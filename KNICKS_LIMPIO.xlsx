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r\Desktop\master\"/>
    </mc:Choice>
  </mc:AlternateContent>
  <xr:revisionPtr revIDLastSave="0" documentId="13_ncr:9_{4426EE5D-E182-4B48-AAD7-3EAC69159746}" xr6:coauthVersionLast="47" xr6:coauthVersionMax="47" xr10:uidLastSave="{00000000-0000-0000-0000-000000000000}"/>
  <bookViews>
    <workbookView xWindow="-108" yWindow="-108" windowWidth="23256" windowHeight="12456" firstSheet="1" activeTab="3" xr2:uid="{1485BD25-BE3A-4974-BE8D-07CB639C2B58}"/>
  </bookViews>
  <sheets>
    <sheet name="KNICKS_DATASET" sheetId="1" r:id="rId1"/>
    <sheet name="KNICKS_TABLA_BRUTO" sheetId="4" r:id="rId2"/>
    <sheet name="KNICKS_TABLA_LIMPIA_20_to_24" sheetId="3" r:id="rId3"/>
    <sheet name="TABLAS_DINÁMICAS" sheetId="5" r:id="rId4"/>
  </sheets>
  <definedNames>
    <definedName name="DatosExternos_1" localSheetId="1" hidden="1">KNICKS_TABLA_BRUTO!$A$1:$AB$1219</definedName>
    <definedName name="DatosExternos_1" localSheetId="2" hidden="1">KNICKS_TABLA_LIMPIA_20_to_24!$A$1:$AO$1219</definedName>
  </definedNames>
  <calcPr calcId="0"/>
  <pivotCaches>
    <pivotCache cacheId="58" r:id="rId5"/>
    <pivotCache cacheId="56" r:id="rId6"/>
  </pivotCaches>
</workbook>
</file>

<file path=xl/calcChain.xml><?xml version="1.0" encoding="utf-8"?>
<calcChain xmlns="http://schemas.openxmlformats.org/spreadsheetml/2006/main">
  <c r="AI3" i="3" l="1"/>
  <c r="AI2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I473" i="3"/>
  <c r="AI474" i="3"/>
  <c r="AI475" i="3"/>
  <c r="AI476" i="3"/>
  <c r="AI477" i="3"/>
  <c r="AI478" i="3"/>
  <c r="AI479" i="3"/>
  <c r="AI480" i="3"/>
  <c r="AI481" i="3"/>
  <c r="AI482" i="3"/>
  <c r="AI483" i="3"/>
  <c r="AI484" i="3"/>
  <c r="AI485" i="3"/>
  <c r="AI486" i="3"/>
  <c r="AI487" i="3"/>
  <c r="AI488" i="3"/>
  <c r="AI489" i="3"/>
  <c r="AI490" i="3"/>
  <c r="AI491" i="3"/>
  <c r="AI492" i="3"/>
  <c r="AI493" i="3"/>
  <c r="AI494" i="3"/>
  <c r="AI495" i="3"/>
  <c r="AI496" i="3"/>
  <c r="AI497" i="3"/>
  <c r="AI498" i="3"/>
  <c r="AI499" i="3"/>
  <c r="AI500" i="3"/>
  <c r="AI501" i="3"/>
  <c r="AI502" i="3"/>
  <c r="AI503" i="3"/>
  <c r="AI504" i="3"/>
  <c r="AI505" i="3"/>
  <c r="AI506" i="3"/>
  <c r="AI507" i="3"/>
  <c r="AI508" i="3"/>
  <c r="AI509" i="3"/>
  <c r="AI510" i="3"/>
  <c r="AI511" i="3"/>
  <c r="AI512" i="3"/>
  <c r="AI513" i="3"/>
  <c r="AI514" i="3"/>
  <c r="AI515" i="3"/>
  <c r="AI516" i="3"/>
  <c r="AI517" i="3"/>
  <c r="AI518" i="3"/>
  <c r="AI519" i="3"/>
  <c r="AI520" i="3"/>
  <c r="AI521" i="3"/>
  <c r="AI522" i="3"/>
  <c r="AI523" i="3"/>
  <c r="AI524" i="3"/>
  <c r="AI525" i="3"/>
  <c r="AI526" i="3"/>
  <c r="AI527" i="3"/>
  <c r="AI528" i="3"/>
  <c r="AI529" i="3"/>
  <c r="AI530" i="3"/>
  <c r="AI531" i="3"/>
  <c r="AI532" i="3"/>
  <c r="AI533" i="3"/>
  <c r="AI534" i="3"/>
  <c r="AI535" i="3"/>
  <c r="AI536" i="3"/>
  <c r="AI537" i="3"/>
  <c r="AI538" i="3"/>
  <c r="AI539" i="3"/>
  <c r="AI540" i="3"/>
  <c r="AI541" i="3"/>
  <c r="AI542" i="3"/>
  <c r="AI543" i="3"/>
  <c r="AI544" i="3"/>
  <c r="AI545" i="3"/>
  <c r="AI546" i="3"/>
  <c r="AI547" i="3"/>
  <c r="AI548" i="3"/>
  <c r="AI549" i="3"/>
  <c r="AI550" i="3"/>
  <c r="AI551" i="3"/>
  <c r="AI552" i="3"/>
  <c r="AI553" i="3"/>
  <c r="AI554" i="3"/>
  <c r="AI555" i="3"/>
  <c r="AI556" i="3"/>
  <c r="AI557" i="3"/>
  <c r="AI558" i="3"/>
  <c r="AI559" i="3"/>
  <c r="AI560" i="3"/>
  <c r="AI561" i="3"/>
  <c r="AI562" i="3"/>
  <c r="AI563" i="3"/>
  <c r="AI564" i="3"/>
  <c r="AI565" i="3"/>
  <c r="AI566" i="3"/>
  <c r="AI567" i="3"/>
  <c r="AI568" i="3"/>
  <c r="AI569" i="3"/>
  <c r="AI570" i="3"/>
  <c r="AI571" i="3"/>
  <c r="AI572" i="3"/>
  <c r="AI573" i="3"/>
  <c r="AI574" i="3"/>
  <c r="AI575" i="3"/>
  <c r="AI576" i="3"/>
  <c r="AI577" i="3"/>
  <c r="AI578" i="3"/>
  <c r="AI579" i="3"/>
  <c r="AI580" i="3"/>
  <c r="AI581" i="3"/>
  <c r="AI582" i="3"/>
  <c r="AI583" i="3"/>
  <c r="AI584" i="3"/>
  <c r="AI585" i="3"/>
  <c r="AI586" i="3"/>
  <c r="AI587" i="3"/>
  <c r="AI588" i="3"/>
  <c r="AI589" i="3"/>
  <c r="AI590" i="3"/>
  <c r="AI591" i="3"/>
  <c r="AI592" i="3"/>
  <c r="AI593" i="3"/>
  <c r="AI594" i="3"/>
  <c r="AI595" i="3"/>
  <c r="AI596" i="3"/>
  <c r="AI597" i="3"/>
  <c r="AI598" i="3"/>
  <c r="AI599" i="3"/>
  <c r="AI600" i="3"/>
  <c r="AI601" i="3"/>
  <c r="AI602" i="3"/>
  <c r="AI603" i="3"/>
  <c r="AI604" i="3"/>
  <c r="AI605" i="3"/>
  <c r="AI606" i="3"/>
  <c r="AI607" i="3"/>
  <c r="AI608" i="3"/>
  <c r="AI609" i="3"/>
  <c r="AI610" i="3"/>
  <c r="AI611" i="3"/>
  <c r="AI612" i="3"/>
  <c r="AI613" i="3"/>
  <c r="AI614" i="3"/>
  <c r="AI615" i="3"/>
  <c r="AI616" i="3"/>
  <c r="AI617" i="3"/>
  <c r="AI618" i="3"/>
  <c r="AI619" i="3"/>
  <c r="AI620" i="3"/>
  <c r="AI621" i="3"/>
  <c r="AI622" i="3"/>
  <c r="AI623" i="3"/>
  <c r="AI624" i="3"/>
  <c r="AI625" i="3"/>
  <c r="AI626" i="3"/>
  <c r="AI627" i="3"/>
  <c r="AI628" i="3"/>
  <c r="AI629" i="3"/>
  <c r="AI630" i="3"/>
  <c r="AI631" i="3"/>
  <c r="AI632" i="3"/>
  <c r="AI633" i="3"/>
  <c r="AI634" i="3"/>
  <c r="AI635" i="3"/>
  <c r="AI636" i="3"/>
  <c r="AI637" i="3"/>
  <c r="AI638" i="3"/>
  <c r="AI639" i="3"/>
  <c r="AI640" i="3"/>
  <c r="AI641" i="3"/>
  <c r="AI642" i="3"/>
  <c r="AI643" i="3"/>
  <c r="AI644" i="3"/>
  <c r="AI645" i="3"/>
  <c r="AI646" i="3"/>
  <c r="AI647" i="3"/>
  <c r="AI648" i="3"/>
  <c r="AI649" i="3"/>
  <c r="AI650" i="3"/>
  <c r="AI651" i="3"/>
  <c r="AI652" i="3"/>
  <c r="AI653" i="3"/>
  <c r="AI654" i="3"/>
  <c r="AI655" i="3"/>
  <c r="AI656" i="3"/>
  <c r="AI657" i="3"/>
  <c r="AI658" i="3"/>
  <c r="AI659" i="3"/>
  <c r="AI660" i="3"/>
  <c r="AI661" i="3"/>
  <c r="AI662" i="3"/>
  <c r="AI663" i="3"/>
  <c r="AI664" i="3"/>
  <c r="AI665" i="3"/>
  <c r="AI666" i="3"/>
  <c r="AI667" i="3"/>
  <c r="AI668" i="3"/>
  <c r="AI669" i="3"/>
  <c r="AI670" i="3"/>
  <c r="AI671" i="3"/>
  <c r="AI672" i="3"/>
  <c r="AI673" i="3"/>
  <c r="AI674" i="3"/>
  <c r="AI675" i="3"/>
  <c r="AI676" i="3"/>
  <c r="AI677" i="3"/>
  <c r="AI678" i="3"/>
  <c r="AI679" i="3"/>
  <c r="AI680" i="3"/>
  <c r="AI681" i="3"/>
  <c r="AI682" i="3"/>
  <c r="AI683" i="3"/>
  <c r="AI684" i="3"/>
  <c r="AI685" i="3"/>
  <c r="AI686" i="3"/>
  <c r="AI687" i="3"/>
  <c r="AI688" i="3"/>
  <c r="AI689" i="3"/>
  <c r="AI690" i="3"/>
  <c r="AI691" i="3"/>
  <c r="AI692" i="3"/>
  <c r="AI693" i="3"/>
  <c r="AI694" i="3"/>
  <c r="AI695" i="3"/>
  <c r="AI696" i="3"/>
  <c r="AI697" i="3"/>
  <c r="AI698" i="3"/>
  <c r="AI699" i="3"/>
  <c r="AI700" i="3"/>
  <c r="AI701" i="3"/>
  <c r="AI702" i="3"/>
  <c r="AI703" i="3"/>
  <c r="AI704" i="3"/>
  <c r="AI705" i="3"/>
  <c r="AI706" i="3"/>
  <c r="AI707" i="3"/>
  <c r="AI708" i="3"/>
  <c r="AI709" i="3"/>
  <c r="AI710" i="3"/>
  <c r="AI711" i="3"/>
  <c r="AI712" i="3"/>
  <c r="AI713" i="3"/>
  <c r="AI714" i="3"/>
  <c r="AI715" i="3"/>
  <c r="AI716" i="3"/>
  <c r="AI717" i="3"/>
  <c r="AI718" i="3"/>
  <c r="AI719" i="3"/>
  <c r="AI720" i="3"/>
  <c r="AI721" i="3"/>
  <c r="AI722" i="3"/>
  <c r="AI723" i="3"/>
  <c r="AI724" i="3"/>
  <c r="AI725" i="3"/>
  <c r="AI726" i="3"/>
  <c r="AI727" i="3"/>
  <c r="AI728" i="3"/>
  <c r="AI729" i="3"/>
  <c r="AI730" i="3"/>
  <c r="AI731" i="3"/>
  <c r="AI732" i="3"/>
  <c r="AI733" i="3"/>
  <c r="AI734" i="3"/>
  <c r="AI735" i="3"/>
  <c r="AI736" i="3"/>
  <c r="AI737" i="3"/>
  <c r="AI738" i="3"/>
  <c r="AI739" i="3"/>
  <c r="AI740" i="3"/>
  <c r="AI741" i="3"/>
  <c r="AI742" i="3"/>
  <c r="AI743" i="3"/>
  <c r="AI744" i="3"/>
  <c r="AI745" i="3"/>
  <c r="AI746" i="3"/>
  <c r="AI747" i="3"/>
  <c r="AI748" i="3"/>
  <c r="AI749" i="3"/>
  <c r="AI750" i="3"/>
  <c r="AI751" i="3"/>
  <c r="AI752" i="3"/>
  <c r="AI753" i="3"/>
  <c r="AI754" i="3"/>
  <c r="AI755" i="3"/>
  <c r="AI756" i="3"/>
  <c r="AI757" i="3"/>
  <c r="AI758" i="3"/>
  <c r="AI759" i="3"/>
  <c r="AI760" i="3"/>
  <c r="AI761" i="3"/>
  <c r="AI762" i="3"/>
  <c r="AI763" i="3"/>
  <c r="AI764" i="3"/>
  <c r="AI765" i="3"/>
  <c r="AI766" i="3"/>
  <c r="AI767" i="3"/>
  <c r="AI768" i="3"/>
  <c r="AI769" i="3"/>
  <c r="AI770" i="3"/>
  <c r="AI771" i="3"/>
  <c r="AI772" i="3"/>
  <c r="AI773" i="3"/>
  <c r="AI774" i="3"/>
  <c r="AI775" i="3"/>
  <c r="AI776" i="3"/>
  <c r="AI777" i="3"/>
  <c r="AI778" i="3"/>
  <c r="AI779" i="3"/>
  <c r="AI780" i="3"/>
  <c r="AI781" i="3"/>
  <c r="AI782" i="3"/>
  <c r="AI783" i="3"/>
  <c r="AI784" i="3"/>
  <c r="AI785" i="3"/>
  <c r="AI786" i="3"/>
  <c r="AI787" i="3"/>
  <c r="AI788" i="3"/>
  <c r="AI789" i="3"/>
  <c r="AI790" i="3"/>
  <c r="AI791" i="3"/>
  <c r="AI792" i="3"/>
  <c r="AI793" i="3"/>
  <c r="AI794" i="3"/>
  <c r="AI795" i="3"/>
  <c r="AI796" i="3"/>
  <c r="AI797" i="3"/>
  <c r="AI798" i="3"/>
  <c r="AI799" i="3"/>
  <c r="AI800" i="3"/>
  <c r="AI801" i="3"/>
  <c r="AI802" i="3"/>
  <c r="AI803" i="3"/>
  <c r="AI804" i="3"/>
  <c r="AI805" i="3"/>
  <c r="AI806" i="3"/>
  <c r="AI807" i="3"/>
  <c r="AI808" i="3"/>
  <c r="AI809" i="3"/>
  <c r="AI810" i="3"/>
  <c r="AI811" i="3"/>
  <c r="AI812" i="3"/>
  <c r="AI813" i="3"/>
  <c r="AI814" i="3"/>
  <c r="AI815" i="3"/>
  <c r="AI816" i="3"/>
  <c r="AI817" i="3"/>
  <c r="AI818" i="3"/>
  <c r="AI819" i="3"/>
  <c r="AI820" i="3"/>
  <c r="AI821" i="3"/>
  <c r="AI822" i="3"/>
  <c r="AI823" i="3"/>
  <c r="AI824" i="3"/>
  <c r="AI825" i="3"/>
  <c r="AI826" i="3"/>
  <c r="AI827" i="3"/>
  <c r="AI828" i="3"/>
  <c r="AI829" i="3"/>
  <c r="AI830" i="3"/>
  <c r="AI831" i="3"/>
  <c r="AI832" i="3"/>
  <c r="AI833" i="3"/>
  <c r="AI834" i="3"/>
  <c r="AI835" i="3"/>
  <c r="AI836" i="3"/>
  <c r="AI837" i="3"/>
  <c r="AI838" i="3"/>
  <c r="AI839" i="3"/>
  <c r="AI840" i="3"/>
  <c r="AI841" i="3"/>
  <c r="AI842" i="3"/>
  <c r="AI843" i="3"/>
  <c r="AI844" i="3"/>
  <c r="AI845" i="3"/>
  <c r="AI846" i="3"/>
  <c r="AI847" i="3"/>
  <c r="AI848" i="3"/>
  <c r="AI849" i="3"/>
  <c r="AI850" i="3"/>
  <c r="AI851" i="3"/>
  <c r="AI852" i="3"/>
  <c r="AI853" i="3"/>
  <c r="AI854" i="3"/>
  <c r="AI855" i="3"/>
  <c r="AI856" i="3"/>
  <c r="AI857" i="3"/>
  <c r="AI858" i="3"/>
  <c r="AI859" i="3"/>
  <c r="AI860" i="3"/>
  <c r="AI861" i="3"/>
  <c r="AI862" i="3"/>
  <c r="AI863" i="3"/>
  <c r="AI864" i="3"/>
  <c r="AI865" i="3"/>
  <c r="AI866" i="3"/>
  <c r="AI867" i="3"/>
  <c r="AI868" i="3"/>
  <c r="AI869" i="3"/>
  <c r="AI870" i="3"/>
  <c r="AI871" i="3"/>
  <c r="AI872" i="3"/>
  <c r="AI873" i="3"/>
  <c r="AI874" i="3"/>
  <c r="AI875" i="3"/>
  <c r="AI876" i="3"/>
  <c r="AI877" i="3"/>
  <c r="AI878" i="3"/>
  <c r="AI879" i="3"/>
  <c r="AI880" i="3"/>
  <c r="AI881" i="3"/>
  <c r="AI882" i="3"/>
  <c r="AI883" i="3"/>
  <c r="AI884" i="3"/>
  <c r="AI885" i="3"/>
  <c r="AI886" i="3"/>
  <c r="AI887" i="3"/>
  <c r="AI888" i="3"/>
  <c r="AI889" i="3"/>
  <c r="AI890" i="3"/>
  <c r="AI891" i="3"/>
  <c r="AI892" i="3"/>
  <c r="AI893" i="3"/>
  <c r="AI894" i="3"/>
  <c r="AI895" i="3"/>
  <c r="AI896" i="3"/>
  <c r="AI897" i="3"/>
  <c r="AI898" i="3"/>
  <c r="AI899" i="3"/>
  <c r="AI900" i="3"/>
  <c r="AI901" i="3"/>
  <c r="AI902" i="3"/>
  <c r="AI903" i="3"/>
  <c r="AI904" i="3"/>
  <c r="AI905" i="3"/>
  <c r="AI906" i="3"/>
  <c r="AI907" i="3"/>
  <c r="AI908" i="3"/>
  <c r="AI909" i="3"/>
  <c r="AI910" i="3"/>
  <c r="AI911" i="3"/>
  <c r="AI912" i="3"/>
  <c r="AI913" i="3"/>
  <c r="AI914" i="3"/>
  <c r="AI915" i="3"/>
  <c r="AI916" i="3"/>
  <c r="AI917" i="3"/>
  <c r="AI918" i="3"/>
  <c r="AI919" i="3"/>
  <c r="AI920" i="3"/>
  <c r="AI921" i="3"/>
  <c r="AI922" i="3"/>
  <c r="AI923" i="3"/>
  <c r="AI924" i="3"/>
  <c r="AI925" i="3"/>
  <c r="AI926" i="3"/>
  <c r="AI927" i="3"/>
  <c r="AI928" i="3"/>
  <c r="AI929" i="3"/>
  <c r="AI930" i="3"/>
  <c r="AI931" i="3"/>
  <c r="AI932" i="3"/>
  <c r="AI933" i="3"/>
  <c r="AI934" i="3"/>
  <c r="AI935" i="3"/>
  <c r="AI936" i="3"/>
  <c r="AI937" i="3"/>
  <c r="AI938" i="3"/>
  <c r="AI939" i="3"/>
  <c r="AI940" i="3"/>
  <c r="AI941" i="3"/>
  <c r="AI942" i="3"/>
  <c r="AI943" i="3"/>
  <c r="AI944" i="3"/>
  <c r="AI945" i="3"/>
  <c r="AI946" i="3"/>
  <c r="AI947" i="3"/>
  <c r="AI948" i="3"/>
  <c r="AI949" i="3"/>
  <c r="AI950" i="3"/>
  <c r="AI951" i="3"/>
  <c r="AI952" i="3"/>
  <c r="AI953" i="3"/>
  <c r="AI954" i="3"/>
  <c r="AI955" i="3"/>
  <c r="AI956" i="3"/>
  <c r="AI957" i="3"/>
  <c r="AI958" i="3"/>
  <c r="AI959" i="3"/>
  <c r="AI960" i="3"/>
  <c r="AI961" i="3"/>
  <c r="AI962" i="3"/>
  <c r="AI963" i="3"/>
  <c r="AI964" i="3"/>
  <c r="AI965" i="3"/>
  <c r="AI966" i="3"/>
  <c r="AI967" i="3"/>
  <c r="AI968" i="3"/>
  <c r="AI969" i="3"/>
  <c r="AI970" i="3"/>
  <c r="AI971" i="3"/>
  <c r="AI972" i="3"/>
  <c r="AI973" i="3"/>
  <c r="AI974" i="3"/>
  <c r="AI975" i="3"/>
  <c r="AI976" i="3"/>
  <c r="AI977" i="3"/>
  <c r="AI978" i="3"/>
  <c r="AI979" i="3"/>
  <c r="AI980" i="3"/>
  <c r="AI981" i="3"/>
  <c r="AI982" i="3"/>
  <c r="AI983" i="3"/>
  <c r="AI984" i="3"/>
  <c r="AI985" i="3"/>
  <c r="AI986" i="3"/>
  <c r="AI987" i="3"/>
  <c r="AI988" i="3"/>
  <c r="AI989" i="3"/>
  <c r="AI990" i="3"/>
  <c r="AI991" i="3"/>
  <c r="AI992" i="3"/>
  <c r="AI993" i="3"/>
  <c r="AI994" i="3"/>
  <c r="AI995" i="3"/>
  <c r="AI996" i="3"/>
  <c r="AI997" i="3"/>
  <c r="AI998" i="3"/>
  <c r="AI999" i="3"/>
  <c r="AI1000" i="3"/>
  <c r="AI1001" i="3"/>
  <c r="AI1002" i="3"/>
  <c r="AI1003" i="3"/>
  <c r="AI1004" i="3"/>
  <c r="AI1005" i="3"/>
  <c r="AI1006" i="3"/>
  <c r="AI1007" i="3"/>
  <c r="AI1008" i="3"/>
  <c r="AI1009" i="3"/>
  <c r="AI1010" i="3"/>
  <c r="AI1011" i="3"/>
  <c r="AI1012" i="3"/>
  <c r="AI1013" i="3"/>
  <c r="AI1014" i="3"/>
  <c r="AI1015" i="3"/>
  <c r="AI1016" i="3"/>
  <c r="AI1017" i="3"/>
  <c r="AI1018" i="3"/>
  <c r="AI1019" i="3"/>
  <c r="AI1020" i="3"/>
  <c r="AI1021" i="3"/>
  <c r="AI1022" i="3"/>
  <c r="AI1023" i="3"/>
  <c r="AI1024" i="3"/>
  <c r="AI1025" i="3"/>
  <c r="AI1026" i="3"/>
  <c r="AI1027" i="3"/>
  <c r="AI1028" i="3"/>
  <c r="AI1029" i="3"/>
  <c r="AI1030" i="3"/>
  <c r="AI1031" i="3"/>
  <c r="AI1032" i="3"/>
  <c r="AI1033" i="3"/>
  <c r="AI1034" i="3"/>
  <c r="AI1035" i="3"/>
  <c r="AI1036" i="3"/>
  <c r="AI1037" i="3"/>
  <c r="AI1038" i="3"/>
  <c r="AI1039" i="3"/>
  <c r="AI1040" i="3"/>
  <c r="AI1041" i="3"/>
  <c r="AI1042" i="3"/>
  <c r="AI1043" i="3"/>
  <c r="AI1044" i="3"/>
  <c r="AI1045" i="3"/>
  <c r="AI1046" i="3"/>
  <c r="AI1047" i="3"/>
  <c r="AI1048" i="3"/>
  <c r="AI1049" i="3"/>
  <c r="AI1050" i="3"/>
  <c r="AI1051" i="3"/>
  <c r="AI1052" i="3"/>
  <c r="AI1053" i="3"/>
  <c r="AI1054" i="3"/>
  <c r="AI1055" i="3"/>
  <c r="AI1056" i="3"/>
  <c r="AI1057" i="3"/>
  <c r="AI1058" i="3"/>
  <c r="AI1059" i="3"/>
  <c r="AI1060" i="3"/>
  <c r="AI1061" i="3"/>
  <c r="AI1062" i="3"/>
  <c r="AI1063" i="3"/>
  <c r="AI1064" i="3"/>
  <c r="AI1065" i="3"/>
  <c r="AI1066" i="3"/>
  <c r="AI1067" i="3"/>
  <c r="AI1068" i="3"/>
  <c r="AI1069" i="3"/>
  <c r="AI1070" i="3"/>
  <c r="AI1071" i="3"/>
  <c r="AI1072" i="3"/>
  <c r="AI1073" i="3"/>
  <c r="AI1074" i="3"/>
  <c r="AI1075" i="3"/>
  <c r="AI1076" i="3"/>
  <c r="AI1077" i="3"/>
  <c r="AI1078" i="3"/>
  <c r="AI1079" i="3"/>
  <c r="AI1080" i="3"/>
  <c r="AI1081" i="3"/>
  <c r="AI1082" i="3"/>
  <c r="AI1083" i="3"/>
  <c r="AI1084" i="3"/>
  <c r="AI1085" i="3"/>
  <c r="AI1086" i="3"/>
  <c r="AI1087" i="3"/>
  <c r="AI1088" i="3"/>
  <c r="AI1089" i="3"/>
  <c r="AI1090" i="3"/>
  <c r="AI1091" i="3"/>
  <c r="AI1092" i="3"/>
  <c r="AI1093" i="3"/>
  <c r="AI1094" i="3"/>
  <c r="AI1095" i="3"/>
  <c r="AI1096" i="3"/>
  <c r="AI1097" i="3"/>
  <c r="AI1098" i="3"/>
  <c r="AI1099" i="3"/>
  <c r="AI1100" i="3"/>
  <c r="AI1101" i="3"/>
  <c r="AI1102" i="3"/>
  <c r="AI1103" i="3"/>
  <c r="AI1104" i="3"/>
  <c r="AI1105" i="3"/>
  <c r="AI1106" i="3"/>
  <c r="AI1107" i="3"/>
  <c r="AI1108" i="3"/>
  <c r="AI1109" i="3"/>
  <c r="AI1110" i="3"/>
  <c r="AI1111" i="3"/>
  <c r="AI1112" i="3"/>
  <c r="AI1113" i="3"/>
  <c r="AI1114" i="3"/>
  <c r="AI1115" i="3"/>
  <c r="AI1116" i="3"/>
  <c r="AI1117" i="3"/>
  <c r="AI1118" i="3"/>
  <c r="AI1119" i="3"/>
  <c r="AI1120" i="3"/>
  <c r="AI1121" i="3"/>
  <c r="AI1122" i="3"/>
  <c r="AI1123" i="3"/>
  <c r="AI1124" i="3"/>
  <c r="AI1125" i="3"/>
  <c r="AI1126" i="3"/>
  <c r="AI1127" i="3"/>
  <c r="AI1128" i="3"/>
  <c r="AI1129" i="3"/>
  <c r="AI1130" i="3"/>
  <c r="AI1131" i="3"/>
  <c r="AI1132" i="3"/>
  <c r="AI1133" i="3"/>
  <c r="AI1134" i="3"/>
  <c r="AI1135" i="3"/>
  <c r="AI1136" i="3"/>
  <c r="AI1137" i="3"/>
  <c r="AI1138" i="3"/>
  <c r="AI1139" i="3"/>
  <c r="AI1140" i="3"/>
  <c r="AI1141" i="3"/>
  <c r="AI1142" i="3"/>
  <c r="AI1143" i="3"/>
  <c r="AI1144" i="3"/>
  <c r="AI1145" i="3"/>
  <c r="AI1146" i="3"/>
  <c r="AI1147" i="3"/>
  <c r="AI1148" i="3"/>
  <c r="AI1149" i="3"/>
  <c r="AI1150" i="3"/>
  <c r="AI1151" i="3"/>
  <c r="AI1152" i="3"/>
  <c r="AI1153" i="3"/>
  <c r="AI1154" i="3"/>
  <c r="AI1155" i="3"/>
  <c r="AI1156" i="3"/>
  <c r="AI1157" i="3"/>
  <c r="AI1158" i="3"/>
  <c r="AI1159" i="3"/>
  <c r="AI1160" i="3"/>
  <c r="AI1161" i="3"/>
  <c r="AI1162" i="3"/>
  <c r="AI1163" i="3"/>
  <c r="AI1164" i="3"/>
  <c r="AI1165" i="3"/>
  <c r="AI1166" i="3"/>
  <c r="AI1167" i="3"/>
  <c r="AI1168" i="3"/>
  <c r="AI1169" i="3"/>
  <c r="AI1170" i="3"/>
  <c r="AI1171" i="3"/>
  <c r="AI1172" i="3"/>
  <c r="AI1173" i="3"/>
  <c r="AI1174" i="3"/>
  <c r="AI1175" i="3"/>
  <c r="AI1176" i="3"/>
  <c r="AI1177" i="3"/>
  <c r="AI1178" i="3"/>
  <c r="AI1179" i="3"/>
  <c r="AI1180" i="3"/>
  <c r="AI1181" i="3"/>
  <c r="AI1182" i="3"/>
  <c r="AI1183" i="3"/>
  <c r="AI1184" i="3"/>
  <c r="AI1185" i="3"/>
  <c r="AI1186" i="3"/>
  <c r="AI1187" i="3"/>
  <c r="AI1188" i="3"/>
  <c r="AI1189" i="3"/>
  <c r="AI1190" i="3"/>
  <c r="AI1191" i="3"/>
  <c r="AI1192" i="3"/>
  <c r="AI1193" i="3"/>
  <c r="AI1194" i="3"/>
  <c r="AI1195" i="3"/>
  <c r="AI1196" i="3"/>
  <c r="AI1197" i="3"/>
  <c r="AI1198" i="3"/>
  <c r="AI1199" i="3"/>
  <c r="AI1200" i="3"/>
  <c r="AI1201" i="3"/>
  <c r="AI1202" i="3"/>
  <c r="AI1203" i="3"/>
  <c r="AI1204" i="3"/>
  <c r="AI1205" i="3"/>
  <c r="AI1206" i="3"/>
  <c r="AI1207" i="3"/>
  <c r="AI1208" i="3"/>
  <c r="AI1209" i="3"/>
  <c r="AI1210" i="3"/>
  <c r="AI1211" i="3"/>
  <c r="AI1212" i="3"/>
  <c r="AI1213" i="3"/>
  <c r="AI1214" i="3"/>
  <c r="AI1215" i="3"/>
  <c r="AI1216" i="3"/>
  <c r="AI1217" i="3"/>
  <c r="AI1218" i="3"/>
  <c r="AI1219" i="3"/>
  <c r="Y5" i="3"/>
  <c r="Y11" i="3"/>
  <c r="Y12" i="3"/>
  <c r="Y15" i="3"/>
  <c r="Y19" i="3"/>
  <c r="Y20" i="3"/>
  <c r="Y21" i="3"/>
  <c r="Y29" i="3"/>
  <c r="Y37" i="3"/>
  <c r="Y39" i="3"/>
  <c r="Y41" i="3"/>
  <c r="Y42" i="3"/>
  <c r="Y50" i="3"/>
  <c r="Y52" i="3"/>
  <c r="Y54" i="3"/>
  <c r="Y55" i="3"/>
  <c r="Y56" i="3"/>
  <c r="Y57" i="3"/>
  <c r="Y62" i="3"/>
  <c r="Y64" i="3"/>
  <c r="Y70" i="3"/>
  <c r="Y74" i="3"/>
  <c r="Y75" i="3"/>
  <c r="Y76" i="3"/>
  <c r="Y78" i="3"/>
  <c r="Y79" i="3"/>
  <c r="Y81" i="3"/>
  <c r="Y82" i="3"/>
  <c r="Y90" i="3"/>
  <c r="Y92" i="3"/>
  <c r="Y93" i="3"/>
  <c r="Y95" i="3"/>
  <c r="Y97" i="3"/>
  <c r="Y98" i="3"/>
  <c r="Y99" i="3"/>
  <c r="Y101" i="3"/>
  <c r="Y106" i="3"/>
  <c r="Y108" i="3"/>
  <c r="Y110" i="3"/>
  <c r="Y111" i="3"/>
  <c r="Y112" i="3"/>
  <c r="Y113" i="3"/>
  <c r="Y118" i="3"/>
  <c r="Y119" i="3"/>
  <c r="Y125" i="3"/>
  <c r="Y126" i="3"/>
  <c r="Y127" i="3"/>
  <c r="Y131" i="3"/>
  <c r="Y132" i="3"/>
  <c r="Y133" i="3"/>
  <c r="Y135" i="3"/>
  <c r="Y137" i="3"/>
  <c r="Y138" i="3"/>
  <c r="Y151" i="3"/>
  <c r="Y152" i="3"/>
  <c r="Y153" i="3"/>
  <c r="Y154" i="3"/>
  <c r="Y155" i="3"/>
  <c r="Y159" i="3"/>
  <c r="Y162" i="3"/>
  <c r="Y163" i="3"/>
  <c r="Y169" i="3"/>
  <c r="Y173" i="3"/>
  <c r="Y174" i="3"/>
  <c r="Y175" i="3"/>
  <c r="Y176" i="3"/>
  <c r="Y177" i="3"/>
  <c r="Y180" i="3"/>
  <c r="Y181" i="3"/>
  <c r="Y183" i="3"/>
  <c r="Y186" i="3"/>
  <c r="Y189" i="3"/>
  <c r="Y191" i="3"/>
  <c r="Y193" i="3"/>
  <c r="Y194" i="3"/>
  <c r="Y195" i="3"/>
  <c r="Y196" i="3"/>
  <c r="Y203" i="3"/>
  <c r="Y205" i="3"/>
  <c r="Y207" i="3"/>
  <c r="Y209" i="3"/>
  <c r="Y210" i="3"/>
  <c r="Y211" i="3"/>
  <c r="Y214" i="3"/>
  <c r="Y218" i="3"/>
  <c r="Y219" i="3"/>
  <c r="Y221" i="3"/>
  <c r="Y223" i="3"/>
  <c r="Y225" i="3"/>
  <c r="Y229" i="3"/>
  <c r="Y230" i="3"/>
  <c r="Y231" i="3"/>
  <c r="Y232" i="3"/>
  <c r="Y233" i="3"/>
  <c r="Y237" i="3"/>
  <c r="Y243" i="3"/>
  <c r="Y244" i="3"/>
  <c r="Y245" i="3"/>
  <c r="Y246" i="3"/>
  <c r="Y247" i="3"/>
  <c r="Y249" i="3"/>
  <c r="Y251" i="3"/>
  <c r="Y252" i="3"/>
  <c r="Y259" i="3"/>
  <c r="Y260" i="3"/>
  <c r="Y263" i="3"/>
  <c r="Y264" i="3"/>
  <c r="Y265" i="3"/>
  <c r="Y267" i="3"/>
  <c r="Y269" i="3"/>
  <c r="Y271" i="3"/>
  <c r="Y272" i="3"/>
  <c r="Y278" i="3"/>
  <c r="Y280" i="3"/>
  <c r="Y281" i="3"/>
  <c r="Y285" i="3"/>
  <c r="Y286" i="3"/>
  <c r="Y288" i="3"/>
  <c r="Y289" i="3"/>
  <c r="Y291" i="3"/>
  <c r="Y292" i="3"/>
  <c r="Y295" i="3"/>
  <c r="Y298" i="3"/>
  <c r="Y299" i="3"/>
  <c r="Y306" i="3"/>
  <c r="Y307" i="3"/>
  <c r="Y308" i="3"/>
  <c r="Y317" i="3"/>
  <c r="Y321" i="3"/>
  <c r="Y322" i="3"/>
  <c r="Y323" i="3"/>
  <c r="Y328" i="3"/>
  <c r="Y329" i="3"/>
  <c r="Y333" i="3"/>
  <c r="Y334" i="3"/>
  <c r="Y336" i="3"/>
  <c r="Y344" i="3"/>
  <c r="Y345" i="3"/>
  <c r="Y347" i="3"/>
  <c r="Y348" i="3"/>
  <c r="Y349" i="3"/>
  <c r="Y361" i="3"/>
  <c r="Y364" i="3"/>
  <c r="Y369" i="3"/>
  <c r="Y372" i="3"/>
  <c r="Y374" i="3"/>
  <c r="Y375" i="3"/>
  <c r="Y377" i="3"/>
  <c r="Y378" i="3"/>
  <c r="Y379" i="3"/>
  <c r="Y383" i="3"/>
  <c r="Y384" i="3"/>
  <c r="Y385" i="3"/>
  <c r="Y386" i="3"/>
  <c r="Y389" i="3"/>
  <c r="Y393" i="3"/>
  <c r="Y395" i="3"/>
  <c r="Y398" i="3"/>
  <c r="Y399" i="3"/>
  <c r="Y400" i="3"/>
  <c r="Y401" i="3"/>
  <c r="Y403" i="3"/>
  <c r="Y404" i="3"/>
  <c r="Y407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L2" i="3"/>
  <c r="O2" i="3"/>
  <c r="R2" i="3"/>
  <c r="L3" i="3"/>
  <c r="O3" i="3"/>
  <c r="R3" i="3"/>
  <c r="L4" i="3"/>
  <c r="O4" i="3"/>
  <c r="R4" i="3"/>
  <c r="O5" i="3"/>
  <c r="R5" i="3"/>
  <c r="O6" i="3"/>
  <c r="R6" i="3"/>
  <c r="L7" i="3"/>
  <c r="O7" i="3"/>
  <c r="R7" i="3"/>
  <c r="O8" i="3"/>
  <c r="R8" i="3"/>
  <c r="O9" i="3"/>
  <c r="R9" i="3"/>
  <c r="O10" i="3"/>
  <c r="R10" i="3"/>
  <c r="L11" i="3"/>
  <c r="O11" i="3"/>
  <c r="R11" i="3"/>
  <c r="O12" i="3"/>
  <c r="R12" i="3"/>
  <c r="O13" i="3"/>
  <c r="R13" i="3"/>
  <c r="L14" i="3"/>
  <c r="O14" i="3"/>
  <c r="R14" i="3"/>
  <c r="L15" i="3"/>
  <c r="O15" i="3"/>
  <c r="R15" i="3"/>
  <c r="L16" i="3"/>
  <c r="O16" i="3"/>
  <c r="R16" i="3"/>
  <c r="L17" i="3"/>
  <c r="O17" i="3"/>
  <c r="R17" i="3"/>
  <c r="L18" i="3"/>
  <c r="O18" i="3"/>
  <c r="R18" i="3"/>
  <c r="O19" i="3"/>
  <c r="R19" i="3"/>
  <c r="L20" i="3"/>
  <c r="O20" i="3"/>
  <c r="R20" i="3"/>
  <c r="O21" i="3"/>
  <c r="R21" i="3"/>
  <c r="L22" i="3"/>
  <c r="O22" i="3"/>
  <c r="R22" i="3"/>
  <c r="O23" i="3"/>
  <c r="R23" i="3"/>
  <c r="O24" i="3"/>
  <c r="R24" i="3"/>
  <c r="L25" i="3"/>
  <c r="O25" i="3"/>
  <c r="R25" i="3"/>
  <c r="L26" i="3"/>
  <c r="O26" i="3"/>
  <c r="R26" i="3"/>
  <c r="L27" i="3"/>
  <c r="O27" i="3"/>
  <c r="R27" i="3"/>
  <c r="L28" i="3"/>
  <c r="O28" i="3"/>
  <c r="R28" i="3"/>
  <c r="L29" i="3"/>
  <c r="O29" i="3"/>
  <c r="R29" i="3"/>
  <c r="L30" i="3"/>
  <c r="O30" i="3"/>
  <c r="R30" i="3"/>
  <c r="O31" i="3"/>
  <c r="R31" i="3"/>
  <c r="L32" i="3"/>
  <c r="O32" i="3"/>
  <c r="R32" i="3"/>
  <c r="O33" i="3"/>
  <c r="R33" i="3"/>
  <c r="L34" i="3"/>
  <c r="O34" i="3"/>
  <c r="R34" i="3"/>
  <c r="O35" i="3"/>
  <c r="R35" i="3"/>
  <c r="L36" i="3"/>
  <c r="O36" i="3"/>
  <c r="R36" i="3"/>
  <c r="O37" i="3"/>
  <c r="R37" i="3"/>
  <c r="L38" i="3"/>
  <c r="O38" i="3"/>
  <c r="R38" i="3"/>
  <c r="L39" i="3"/>
  <c r="O39" i="3"/>
  <c r="R39" i="3"/>
  <c r="L40" i="3"/>
  <c r="O40" i="3"/>
  <c r="R40" i="3"/>
  <c r="L41" i="3"/>
  <c r="O41" i="3"/>
  <c r="R41" i="3"/>
  <c r="L42" i="3"/>
  <c r="O42" i="3"/>
  <c r="R42" i="3"/>
  <c r="O43" i="3"/>
  <c r="R43" i="3"/>
  <c r="L44" i="3"/>
  <c r="O44" i="3"/>
  <c r="R44" i="3"/>
  <c r="L45" i="3"/>
  <c r="O45" i="3"/>
  <c r="R45" i="3"/>
  <c r="O46" i="3"/>
  <c r="R46" i="3"/>
  <c r="O47" i="3"/>
  <c r="R47" i="3"/>
  <c r="L48" i="3"/>
  <c r="O48" i="3"/>
  <c r="R48" i="3"/>
  <c r="O49" i="3"/>
  <c r="R49" i="3"/>
  <c r="L50" i="3"/>
  <c r="O50" i="3"/>
  <c r="R50" i="3"/>
  <c r="O51" i="3"/>
  <c r="R51" i="3"/>
  <c r="L52" i="3"/>
  <c r="O52" i="3"/>
  <c r="R52" i="3"/>
  <c r="L53" i="3"/>
  <c r="O53" i="3"/>
  <c r="R53" i="3"/>
  <c r="L54" i="3"/>
  <c r="O54" i="3"/>
  <c r="R54" i="3"/>
  <c r="L55" i="3"/>
  <c r="O55" i="3"/>
  <c r="R55" i="3"/>
  <c r="L56" i="3"/>
  <c r="O56" i="3"/>
  <c r="R56" i="3"/>
  <c r="O57" i="3"/>
  <c r="R57" i="3"/>
  <c r="L58" i="3"/>
  <c r="O58" i="3"/>
  <c r="R58" i="3"/>
  <c r="O59" i="3"/>
  <c r="R59" i="3"/>
  <c r="L60" i="3"/>
  <c r="O60" i="3"/>
  <c r="R60" i="3"/>
  <c r="O61" i="3"/>
  <c r="R61" i="3"/>
  <c r="L62" i="3"/>
  <c r="O62" i="3"/>
  <c r="R62" i="3"/>
  <c r="L63" i="3"/>
  <c r="O63" i="3"/>
  <c r="R63" i="3"/>
  <c r="O64" i="3"/>
  <c r="R64" i="3"/>
  <c r="O65" i="3"/>
  <c r="R65" i="3"/>
  <c r="O66" i="3"/>
  <c r="R66" i="3"/>
  <c r="L67" i="3"/>
  <c r="O67" i="3"/>
  <c r="R67" i="3"/>
  <c r="O68" i="3"/>
  <c r="R68" i="3"/>
  <c r="O69" i="3"/>
  <c r="R69" i="3"/>
  <c r="L70" i="3"/>
  <c r="O70" i="3"/>
  <c r="R70" i="3"/>
  <c r="O71" i="3"/>
  <c r="R71" i="3"/>
  <c r="O72" i="3"/>
  <c r="R72" i="3"/>
  <c r="L73" i="3"/>
  <c r="O73" i="3"/>
  <c r="R73" i="3"/>
  <c r="L74" i="3"/>
  <c r="O74" i="3"/>
  <c r="R74" i="3"/>
  <c r="O75" i="3"/>
  <c r="R75" i="3"/>
  <c r="L76" i="3"/>
  <c r="O76" i="3"/>
  <c r="R76" i="3"/>
  <c r="O77" i="3"/>
  <c r="R77" i="3"/>
  <c r="O78" i="3"/>
  <c r="R78" i="3"/>
  <c r="L79" i="3"/>
  <c r="O79" i="3"/>
  <c r="R79" i="3"/>
  <c r="O80" i="3"/>
  <c r="R80" i="3"/>
  <c r="L81" i="3"/>
  <c r="O81" i="3"/>
  <c r="R81" i="3"/>
  <c r="L82" i="3"/>
  <c r="O82" i="3"/>
  <c r="R82" i="3"/>
  <c r="L83" i="3"/>
  <c r="O83" i="3"/>
  <c r="R83" i="3"/>
  <c r="O84" i="3"/>
  <c r="R84" i="3"/>
  <c r="L85" i="3"/>
  <c r="O85" i="3"/>
  <c r="R85" i="3"/>
  <c r="L86" i="3"/>
  <c r="O86" i="3"/>
  <c r="R86" i="3"/>
  <c r="O87" i="3"/>
  <c r="R87" i="3"/>
  <c r="O88" i="3"/>
  <c r="R88" i="3"/>
  <c r="L89" i="3"/>
  <c r="O89" i="3"/>
  <c r="R89" i="3"/>
  <c r="O90" i="3"/>
  <c r="R90" i="3"/>
  <c r="L91" i="3"/>
  <c r="O91" i="3"/>
  <c r="R91" i="3"/>
  <c r="L92" i="3"/>
  <c r="O92" i="3"/>
  <c r="R92" i="3"/>
  <c r="O93" i="3"/>
  <c r="R93" i="3"/>
  <c r="O94" i="3"/>
  <c r="R94" i="3"/>
  <c r="L95" i="3"/>
  <c r="O95" i="3"/>
  <c r="R95" i="3"/>
  <c r="L96" i="3"/>
  <c r="O96" i="3"/>
  <c r="R96" i="3"/>
  <c r="L97" i="3"/>
  <c r="O97" i="3"/>
  <c r="R97" i="3"/>
  <c r="L98" i="3"/>
  <c r="O98" i="3"/>
  <c r="R98" i="3"/>
  <c r="O99" i="3"/>
  <c r="R99" i="3"/>
  <c r="O100" i="3"/>
  <c r="R100" i="3"/>
  <c r="O101" i="3"/>
  <c r="R101" i="3"/>
  <c r="O102" i="3"/>
  <c r="R102" i="3"/>
  <c r="L103" i="3"/>
  <c r="O103" i="3"/>
  <c r="R103" i="3"/>
  <c r="O104" i="3"/>
  <c r="R104" i="3"/>
  <c r="L105" i="3"/>
  <c r="O105" i="3"/>
  <c r="R105" i="3"/>
  <c r="O106" i="3"/>
  <c r="R106" i="3"/>
  <c r="L107" i="3"/>
  <c r="O107" i="3"/>
  <c r="R107" i="3"/>
  <c r="O108" i="3"/>
  <c r="R108" i="3"/>
  <c r="O109" i="3"/>
  <c r="R109" i="3"/>
  <c r="L110" i="3"/>
  <c r="O110" i="3"/>
  <c r="R110" i="3"/>
  <c r="O111" i="3"/>
  <c r="R111" i="3"/>
  <c r="L112" i="3"/>
  <c r="O112" i="3"/>
  <c r="R112" i="3"/>
  <c r="L113" i="3"/>
  <c r="O113" i="3"/>
  <c r="R113" i="3"/>
  <c r="O114" i="3"/>
  <c r="R114" i="3"/>
  <c r="O115" i="3"/>
  <c r="R115" i="3"/>
  <c r="O116" i="3"/>
  <c r="R116" i="3"/>
  <c r="L117" i="3"/>
  <c r="O117" i="3"/>
  <c r="R117" i="3"/>
  <c r="L118" i="3"/>
  <c r="O118" i="3"/>
  <c r="R118" i="3"/>
  <c r="O119" i="3"/>
  <c r="R119" i="3"/>
  <c r="O120" i="3"/>
  <c r="R120" i="3"/>
  <c r="O121" i="3"/>
  <c r="R121" i="3"/>
  <c r="L122" i="3"/>
  <c r="O122" i="3"/>
  <c r="R122" i="3"/>
  <c r="L123" i="3"/>
  <c r="O123" i="3"/>
  <c r="R123" i="3"/>
  <c r="L124" i="3"/>
  <c r="O124" i="3"/>
  <c r="R124" i="3"/>
  <c r="O125" i="3"/>
  <c r="R125" i="3"/>
  <c r="O126" i="3"/>
  <c r="R126" i="3"/>
  <c r="O127" i="3"/>
  <c r="R127" i="3"/>
  <c r="L128" i="3"/>
  <c r="O128" i="3"/>
  <c r="R128" i="3"/>
  <c r="L129" i="3"/>
  <c r="O129" i="3"/>
  <c r="R129" i="3"/>
  <c r="O130" i="3"/>
  <c r="R130" i="3"/>
  <c r="O131" i="3"/>
  <c r="R131" i="3"/>
  <c r="O132" i="3"/>
  <c r="R132" i="3"/>
  <c r="O133" i="3"/>
  <c r="R133" i="3"/>
  <c r="L134" i="3"/>
  <c r="O134" i="3"/>
  <c r="R134" i="3"/>
  <c r="O135" i="3"/>
  <c r="R135" i="3"/>
  <c r="L136" i="3"/>
  <c r="O136" i="3"/>
  <c r="R136" i="3"/>
  <c r="L137" i="3"/>
  <c r="O137" i="3"/>
  <c r="R137" i="3"/>
  <c r="L138" i="3"/>
  <c r="O138" i="3"/>
  <c r="R138" i="3"/>
  <c r="O139" i="3"/>
  <c r="R139" i="3"/>
  <c r="L140" i="3"/>
  <c r="O140" i="3"/>
  <c r="R140" i="3"/>
  <c r="L141" i="3"/>
  <c r="O141" i="3"/>
  <c r="R141" i="3"/>
  <c r="O142" i="3"/>
  <c r="R142" i="3"/>
  <c r="L143" i="3"/>
  <c r="O143" i="3"/>
  <c r="R143" i="3"/>
  <c r="O144" i="3"/>
  <c r="R144" i="3"/>
  <c r="O145" i="3"/>
  <c r="R145" i="3"/>
  <c r="L146" i="3"/>
  <c r="O146" i="3"/>
  <c r="R146" i="3"/>
  <c r="O147" i="3"/>
  <c r="R147" i="3"/>
  <c r="O148" i="3"/>
  <c r="R148" i="3"/>
  <c r="O149" i="3"/>
  <c r="R149" i="3"/>
  <c r="O150" i="3"/>
  <c r="R150" i="3"/>
  <c r="O151" i="3"/>
  <c r="R151" i="3"/>
  <c r="L152" i="3"/>
  <c r="O152" i="3"/>
  <c r="R152" i="3"/>
  <c r="O153" i="3"/>
  <c r="R153" i="3"/>
  <c r="O154" i="3"/>
  <c r="R154" i="3"/>
  <c r="O155" i="3"/>
  <c r="R155" i="3"/>
  <c r="O156" i="3"/>
  <c r="R156" i="3"/>
  <c r="L157" i="3"/>
  <c r="O157" i="3"/>
  <c r="R157" i="3"/>
  <c r="L158" i="3"/>
  <c r="O158" i="3"/>
  <c r="R158" i="3"/>
  <c r="L159" i="3"/>
  <c r="O159" i="3"/>
  <c r="R159" i="3"/>
  <c r="L160" i="3"/>
  <c r="O160" i="3"/>
  <c r="R160" i="3"/>
  <c r="O161" i="3"/>
  <c r="R161" i="3"/>
  <c r="L162" i="3"/>
  <c r="O162" i="3"/>
  <c r="R162" i="3"/>
  <c r="L163" i="3"/>
  <c r="O163" i="3"/>
  <c r="R163" i="3"/>
  <c r="L164" i="3"/>
  <c r="O164" i="3"/>
  <c r="R164" i="3"/>
  <c r="O165" i="3"/>
  <c r="R165" i="3"/>
  <c r="L166" i="3"/>
  <c r="O166" i="3"/>
  <c r="R166" i="3"/>
  <c r="L167" i="3"/>
  <c r="O167" i="3"/>
  <c r="R167" i="3"/>
  <c r="L168" i="3"/>
  <c r="O168" i="3"/>
  <c r="R168" i="3"/>
  <c r="L169" i="3"/>
  <c r="O169" i="3"/>
  <c r="R169" i="3"/>
  <c r="O170" i="3"/>
  <c r="R170" i="3"/>
  <c r="L171" i="3"/>
  <c r="O171" i="3"/>
  <c r="R171" i="3"/>
  <c r="O172" i="3"/>
  <c r="R172" i="3"/>
  <c r="O173" i="3"/>
  <c r="R173" i="3"/>
  <c r="L174" i="3"/>
  <c r="O174" i="3"/>
  <c r="R174" i="3"/>
  <c r="L175" i="3"/>
  <c r="O175" i="3"/>
  <c r="R175" i="3"/>
  <c r="L176" i="3"/>
  <c r="O176" i="3"/>
  <c r="R176" i="3"/>
  <c r="O177" i="3"/>
  <c r="R177" i="3"/>
  <c r="O178" i="3"/>
  <c r="R178" i="3"/>
  <c r="L179" i="3"/>
  <c r="O179" i="3"/>
  <c r="R179" i="3"/>
  <c r="L180" i="3"/>
  <c r="O180" i="3"/>
  <c r="R180" i="3"/>
  <c r="L181" i="3"/>
  <c r="O181" i="3"/>
  <c r="R181" i="3"/>
  <c r="L182" i="3"/>
  <c r="O182" i="3"/>
  <c r="R182" i="3"/>
  <c r="O183" i="3"/>
  <c r="R183" i="3"/>
  <c r="L184" i="3"/>
  <c r="O184" i="3"/>
  <c r="R184" i="3"/>
  <c r="L185" i="3"/>
  <c r="O185" i="3"/>
  <c r="R185" i="3"/>
  <c r="O186" i="3"/>
  <c r="R186" i="3"/>
  <c r="O187" i="3"/>
  <c r="R187" i="3"/>
  <c r="L188" i="3"/>
  <c r="O188" i="3"/>
  <c r="R188" i="3"/>
  <c r="O189" i="3"/>
  <c r="R189" i="3"/>
  <c r="L190" i="3"/>
  <c r="O190" i="3"/>
  <c r="R190" i="3"/>
  <c r="O191" i="3"/>
  <c r="R191" i="3"/>
  <c r="O192" i="3"/>
  <c r="R192" i="3"/>
  <c r="L193" i="3"/>
  <c r="O193" i="3"/>
  <c r="R193" i="3"/>
  <c r="L194" i="3"/>
  <c r="O194" i="3"/>
  <c r="R194" i="3"/>
  <c r="L195" i="3"/>
  <c r="O195" i="3"/>
  <c r="R195" i="3"/>
  <c r="O196" i="3"/>
  <c r="R196" i="3"/>
  <c r="L197" i="3"/>
  <c r="O197" i="3"/>
  <c r="R197" i="3"/>
  <c r="L198" i="3"/>
  <c r="O198" i="3"/>
  <c r="R198" i="3"/>
  <c r="L199" i="3"/>
  <c r="O199" i="3"/>
  <c r="R199" i="3"/>
  <c r="O200" i="3"/>
  <c r="R200" i="3"/>
  <c r="L201" i="3"/>
  <c r="O201" i="3"/>
  <c r="R201" i="3"/>
  <c r="L202" i="3"/>
  <c r="O202" i="3"/>
  <c r="R202" i="3"/>
  <c r="L203" i="3"/>
  <c r="O203" i="3"/>
  <c r="R203" i="3"/>
  <c r="O204" i="3"/>
  <c r="R204" i="3"/>
  <c r="L205" i="3"/>
  <c r="O205" i="3"/>
  <c r="R205" i="3"/>
  <c r="L206" i="3"/>
  <c r="O206" i="3"/>
  <c r="R206" i="3"/>
  <c r="O207" i="3"/>
  <c r="R207" i="3"/>
  <c r="O208" i="3"/>
  <c r="R208" i="3"/>
  <c r="O209" i="3"/>
  <c r="R209" i="3"/>
  <c r="L210" i="3"/>
  <c r="O210" i="3"/>
  <c r="R210" i="3"/>
  <c r="L211" i="3"/>
  <c r="O211" i="3"/>
  <c r="R211" i="3"/>
  <c r="L212" i="3"/>
  <c r="O212" i="3"/>
  <c r="R212" i="3"/>
  <c r="O213" i="3"/>
  <c r="R213" i="3"/>
  <c r="O214" i="3"/>
  <c r="R214" i="3"/>
  <c r="L215" i="3"/>
  <c r="O215" i="3"/>
  <c r="R215" i="3"/>
  <c r="L216" i="3"/>
  <c r="O216" i="3"/>
  <c r="R216" i="3"/>
  <c r="L217" i="3"/>
  <c r="O217" i="3"/>
  <c r="R217" i="3"/>
  <c r="L218" i="3"/>
  <c r="O218" i="3"/>
  <c r="R218" i="3"/>
  <c r="L219" i="3"/>
  <c r="O219" i="3"/>
  <c r="R219" i="3"/>
  <c r="O220" i="3"/>
  <c r="R220" i="3"/>
  <c r="O221" i="3"/>
  <c r="R221" i="3"/>
  <c r="L222" i="3"/>
  <c r="O222" i="3"/>
  <c r="R222" i="3"/>
  <c r="O223" i="3"/>
  <c r="R223" i="3"/>
  <c r="O224" i="3"/>
  <c r="R224" i="3"/>
  <c r="O225" i="3"/>
  <c r="R225" i="3"/>
  <c r="L226" i="3"/>
  <c r="O226" i="3"/>
  <c r="R226" i="3"/>
  <c r="L227" i="3"/>
  <c r="O227" i="3"/>
  <c r="R227" i="3"/>
  <c r="L228" i="3"/>
  <c r="O228" i="3"/>
  <c r="R228" i="3"/>
  <c r="O229" i="3"/>
  <c r="R229" i="3"/>
  <c r="O230" i="3"/>
  <c r="R230" i="3"/>
  <c r="L231" i="3"/>
  <c r="O231" i="3"/>
  <c r="R231" i="3"/>
  <c r="O232" i="3"/>
  <c r="R232" i="3"/>
  <c r="O233" i="3"/>
  <c r="R233" i="3"/>
  <c r="L234" i="3"/>
  <c r="O234" i="3"/>
  <c r="R234" i="3"/>
  <c r="L235" i="3"/>
  <c r="O235" i="3"/>
  <c r="R235" i="3"/>
  <c r="L236" i="3"/>
  <c r="O236" i="3"/>
  <c r="R236" i="3"/>
  <c r="L237" i="3"/>
  <c r="O237" i="3"/>
  <c r="R237" i="3"/>
  <c r="O238" i="3"/>
  <c r="R238" i="3"/>
  <c r="L239" i="3"/>
  <c r="O239" i="3"/>
  <c r="R239" i="3"/>
  <c r="L240" i="3"/>
  <c r="O240" i="3"/>
  <c r="R240" i="3"/>
  <c r="O241" i="3"/>
  <c r="R241" i="3"/>
  <c r="O242" i="3"/>
  <c r="R242" i="3"/>
  <c r="L243" i="3"/>
  <c r="O243" i="3"/>
  <c r="R243" i="3"/>
  <c r="L244" i="3"/>
  <c r="O244" i="3"/>
  <c r="R244" i="3"/>
  <c r="L245" i="3"/>
  <c r="O245" i="3"/>
  <c r="R245" i="3"/>
  <c r="O246" i="3"/>
  <c r="R246" i="3"/>
  <c r="O247" i="3"/>
  <c r="R247" i="3"/>
  <c r="O248" i="3"/>
  <c r="R248" i="3"/>
  <c r="L249" i="3"/>
  <c r="O249" i="3"/>
  <c r="R249" i="3"/>
  <c r="L250" i="3"/>
  <c r="O250" i="3"/>
  <c r="R250" i="3"/>
  <c r="O251" i="3"/>
  <c r="R251" i="3"/>
  <c r="L252" i="3"/>
  <c r="O252" i="3"/>
  <c r="R252" i="3"/>
  <c r="L253" i="3"/>
  <c r="O253" i="3"/>
  <c r="R253" i="3"/>
  <c r="O254" i="3"/>
  <c r="R254" i="3"/>
  <c r="L255" i="3"/>
  <c r="O255" i="3"/>
  <c r="R255" i="3"/>
  <c r="O256" i="3"/>
  <c r="R256" i="3"/>
  <c r="L257" i="3"/>
  <c r="O257" i="3"/>
  <c r="R257" i="3"/>
  <c r="L258" i="3"/>
  <c r="O258" i="3"/>
  <c r="R258" i="3"/>
  <c r="L259" i="3"/>
  <c r="O259" i="3"/>
  <c r="R259" i="3"/>
  <c r="O260" i="3"/>
  <c r="R260" i="3"/>
  <c r="O261" i="3"/>
  <c r="R261" i="3"/>
  <c r="L262" i="3"/>
  <c r="O262" i="3"/>
  <c r="R262" i="3"/>
  <c r="L263" i="3"/>
  <c r="O263" i="3"/>
  <c r="R263" i="3"/>
  <c r="L264" i="3"/>
  <c r="O264" i="3"/>
  <c r="R264" i="3"/>
  <c r="O265" i="3"/>
  <c r="R265" i="3"/>
  <c r="O266" i="3"/>
  <c r="R266" i="3"/>
  <c r="L267" i="3"/>
  <c r="O267" i="3"/>
  <c r="R267" i="3"/>
  <c r="O268" i="3"/>
  <c r="R268" i="3"/>
  <c r="L269" i="3"/>
  <c r="O269" i="3"/>
  <c r="R269" i="3"/>
  <c r="L270" i="3"/>
  <c r="O270" i="3"/>
  <c r="R270" i="3"/>
  <c r="O271" i="3"/>
  <c r="R271" i="3"/>
  <c r="L272" i="3"/>
  <c r="O272" i="3"/>
  <c r="R272" i="3"/>
  <c r="L273" i="3"/>
  <c r="O273" i="3"/>
  <c r="R273" i="3"/>
  <c r="L274" i="3"/>
  <c r="O274" i="3"/>
  <c r="R274" i="3"/>
  <c r="L275" i="3"/>
  <c r="O275" i="3"/>
  <c r="R275" i="3"/>
  <c r="L276" i="3"/>
  <c r="O276" i="3"/>
  <c r="R276" i="3"/>
  <c r="O277" i="3"/>
  <c r="R277" i="3"/>
  <c r="O278" i="3"/>
  <c r="R278" i="3"/>
  <c r="L279" i="3"/>
  <c r="O279" i="3"/>
  <c r="R279" i="3"/>
  <c r="O280" i="3"/>
  <c r="R280" i="3"/>
  <c r="O281" i="3"/>
  <c r="R281" i="3"/>
  <c r="O282" i="3"/>
  <c r="R282" i="3"/>
  <c r="L283" i="3"/>
  <c r="O283" i="3"/>
  <c r="R283" i="3"/>
  <c r="L284" i="3"/>
  <c r="O284" i="3"/>
  <c r="R284" i="3"/>
  <c r="O285" i="3"/>
  <c r="R285" i="3"/>
  <c r="L286" i="3"/>
  <c r="O286" i="3"/>
  <c r="R286" i="3"/>
  <c r="O287" i="3"/>
  <c r="R287" i="3"/>
  <c r="L288" i="3"/>
  <c r="O288" i="3"/>
  <c r="R288" i="3"/>
  <c r="L289" i="3"/>
  <c r="O289" i="3"/>
  <c r="R289" i="3"/>
  <c r="L290" i="3"/>
  <c r="O290" i="3"/>
  <c r="R290" i="3"/>
  <c r="L291" i="3"/>
  <c r="O291" i="3"/>
  <c r="R291" i="3"/>
  <c r="L292" i="3"/>
  <c r="O292" i="3"/>
  <c r="R292" i="3"/>
  <c r="L293" i="3"/>
  <c r="O293" i="3"/>
  <c r="R293" i="3"/>
  <c r="L294" i="3"/>
  <c r="O294" i="3"/>
  <c r="R294" i="3"/>
  <c r="O295" i="3"/>
  <c r="R295" i="3"/>
  <c r="L296" i="3"/>
  <c r="O296" i="3"/>
  <c r="R296" i="3"/>
  <c r="O297" i="3"/>
  <c r="R297" i="3"/>
  <c r="L298" i="3"/>
  <c r="O298" i="3"/>
  <c r="R298" i="3"/>
  <c r="L299" i="3"/>
  <c r="O299" i="3"/>
  <c r="R299" i="3"/>
  <c r="L300" i="3"/>
  <c r="O300" i="3"/>
  <c r="R300" i="3"/>
  <c r="L301" i="3"/>
  <c r="O301" i="3"/>
  <c r="R301" i="3"/>
  <c r="O302" i="3"/>
  <c r="R302" i="3"/>
  <c r="O303" i="3"/>
  <c r="R303" i="3"/>
  <c r="O304" i="3"/>
  <c r="R304" i="3"/>
  <c r="L305" i="3"/>
  <c r="O305" i="3"/>
  <c r="R305" i="3"/>
  <c r="L306" i="3"/>
  <c r="O306" i="3"/>
  <c r="R306" i="3"/>
  <c r="L307" i="3"/>
  <c r="O307" i="3"/>
  <c r="R307" i="3"/>
  <c r="L308" i="3"/>
  <c r="O308" i="3"/>
  <c r="R308" i="3"/>
  <c r="L309" i="3"/>
  <c r="O309" i="3"/>
  <c r="R309" i="3"/>
  <c r="L310" i="3"/>
  <c r="O310" i="3"/>
  <c r="R310" i="3"/>
  <c r="O311" i="3"/>
  <c r="R311" i="3"/>
  <c r="O312" i="3"/>
  <c r="R312" i="3"/>
  <c r="L313" i="3"/>
  <c r="O313" i="3"/>
  <c r="R313" i="3"/>
  <c r="L314" i="3"/>
  <c r="O314" i="3"/>
  <c r="R314" i="3"/>
  <c r="L315" i="3"/>
  <c r="O315" i="3"/>
  <c r="R315" i="3"/>
  <c r="L316" i="3"/>
  <c r="O316" i="3"/>
  <c r="R316" i="3"/>
  <c r="L317" i="3"/>
  <c r="O317" i="3"/>
  <c r="R317" i="3"/>
  <c r="L318" i="3"/>
  <c r="O318" i="3"/>
  <c r="R318" i="3"/>
  <c r="O319" i="3"/>
  <c r="R319" i="3"/>
  <c r="L320" i="3"/>
  <c r="O320" i="3"/>
  <c r="R320" i="3"/>
  <c r="L321" i="3"/>
  <c r="O321" i="3"/>
  <c r="R321" i="3"/>
  <c r="L322" i="3"/>
  <c r="O322" i="3"/>
  <c r="R322" i="3"/>
  <c r="L323" i="3"/>
  <c r="O323" i="3"/>
  <c r="R323" i="3"/>
  <c r="L324" i="3"/>
  <c r="O324" i="3"/>
  <c r="R324" i="3"/>
  <c r="L325" i="3"/>
  <c r="O325" i="3"/>
  <c r="R325" i="3"/>
  <c r="L326" i="3"/>
  <c r="O326" i="3"/>
  <c r="R326" i="3"/>
  <c r="L327" i="3"/>
  <c r="O327" i="3"/>
  <c r="R327" i="3"/>
  <c r="L328" i="3"/>
  <c r="O328" i="3"/>
  <c r="R328" i="3"/>
  <c r="L329" i="3"/>
  <c r="O329" i="3"/>
  <c r="R329" i="3"/>
  <c r="L330" i="3"/>
  <c r="O330" i="3"/>
  <c r="R330" i="3"/>
  <c r="O331" i="3"/>
  <c r="R331" i="3"/>
  <c r="L332" i="3"/>
  <c r="O332" i="3"/>
  <c r="R332" i="3"/>
  <c r="L333" i="3"/>
  <c r="O333" i="3"/>
  <c r="R333" i="3"/>
  <c r="L334" i="3"/>
  <c r="O334" i="3"/>
  <c r="R334" i="3"/>
  <c r="L335" i="3"/>
  <c r="O335" i="3"/>
  <c r="R335" i="3"/>
  <c r="O336" i="3"/>
  <c r="R336" i="3"/>
  <c r="L337" i="3"/>
  <c r="O337" i="3"/>
  <c r="R337" i="3"/>
  <c r="O338" i="3"/>
  <c r="R338" i="3"/>
  <c r="L339" i="3"/>
  <c r="O339" i="3"/>
  <c r="R339" i="3"/>
  <c r="L340" i="3"/>
  <c r="O340" i="3"/>
  <c r="R340" i="3"/>
  <c r="L341" i="3"/>
  <c r="O341" i="3"/>
  <c r="R341" i="3"/>
  <c r="L342" i="3"/>
  <c r="O342" i="3"/>
  <c r="R342" i="3"/>
  <c r="L343" i="3"/>
  <c r="O343" i="3"/>
  <c r="R343" i="3"/>
  <c r="L344" i="3"/>
  <c r="O344" i="3"/>
  <c r="R344" i="3"/>
  <c r="L345" i="3"/>
  <c r="O345" i="3"/>
  <c r="R345" i="3"/>
  <c r="L346" i="3"/>
  <c r="O346" i="3"/>
  <c r="R346" i="3"/>
  <c r="L347" i="3"/>
  <c r="O347" i="3"/>
  <c r="R347" i="3"/>
  <c r="L348" i="3"/>
  <c r="O348" i="3"/>
  <c r="R348" i="3"/>
  <c r="O349" i="3"/>
  <c r="R349" i="3"/>
  <c r="L350" i="3"/>
  <c r="O350" i="3"/>
  <c r="R350" i="3"/>
  <c r="L351" i="3"/>
  <c r="O351" i="3"/>
  <c r="R351" i="3"/>
  <c r="O352" i="3"/>
  <c r="R352" i="3"/>
  <c r="L353" i="3"/>
  <c r="O353" i="3"/>
  <c r="R353" i="3"/>
  <c r="O354" i="3"/>
  <c r="R354" i="3"/>
  <c r="L355" i="3"/>
  <c r="O355" i="3"/>
  <c r="R355" i="3"/>
  <c r="O356" i="3"/>
  <c r="R356" i="3"/>
  <c r="L357" i="3"/>
  <c r="O357" i="3"/>
  <c r="R357" i="3"/>
  <c r="L358" i="3"/>
  <c r="O358" i="3"/>
  <c r="R358" i="3"/>
  <c r="L359" i="3"/>
  <c r="O359" i="3"/>
  <c r="R359" i="3"/>
  <c r="L360" i="3"/>
  <c r="O360" i="3"/>
  <c r="R360" i="3"/>
  <c r="L361" i="3"/>
  <c r="O361" i="3"/>
  <c r="R361" i="3"/>
  <c r="L362" i="3"/>
  <c r="O362" i="3"/>
  <c r="R362" i="3"/>
  <c r="L363" i="3"/>
  <c r="O363" i="3"/>
  <c r="R363" i="3"/>
  <c r="L364" i="3"/>
  <c r="O364" i="3"/>
  <c r="R364" i="3"/>
  <c r="L365" i="3"/>
  <c r="O365" i="3"/>
  <c r="R365" i="3"/>
  <c r="L366" i="3"/>
  <c r="O366" i="3"/>
  <c r="R366" i="3"/>
  <c r="L367" i="3"/>
  <c r="O367" i="3"/>
  <c r="R367" i="3"/>
  <c r="L368" i="3"/>
  <c r="O368" i="3"/>
  <c r="R368" i="3"/>
  <c r="L369" i="3"/>
  <c r="O369" i="3"/>
  <c r="R369" i="3"/>
  <c r="L370" i="3"/>
  <c r="O370" i="3"/>
  <c r="R370" i="3"/>
  <c r="L371" i="3"/>
  <c r="O371" i="3"/>
  <c r="R371" i="3"/>
  <c r="L372" i="3"/>
  <c r="O372" i="3"/>
  <c r="R372" i="3"/>
  <c r="L373" i="3"/>
  <c r="O373" i="3"/>
  <c r="R373" i="3"/>
  <c r="L374" i="3"/>
  <c r="O374" i="3"/>
  <c r="R374" i="3"/>
  <c r="O375" i="3"/>
  <c r="R375" i="3"/>
  <c r="L376" i="3"/>
  <c r="O376" i="3"/>
  <c r="R376" i="3"/>
  <c r="O377" i="3"/>
  <c r="R377" i="3"/>
  <c r="L378" i="3"/>
  <c r="O378" i="3"/>
  <c r="R378" i="3"/>
  <c r="L379" i="3"/>
  <c r="O379" i="3"/>
  <c r="R379" i="3"/>
  <c r="L380" i="3"/>
  <c r="O380" i="3"/>
  <c r="R380" i="3"/>
  <c r="L381" i="3"/>
  <c r="O381" i="3"/>
  <c r="R381" i="3"/>
  <c r="O382" i="3"/>
  <c r="R382" i="3"/>
  <c r="L383" i="3"/>
  <c r="O383" i="3"/>
  <c r="R383" i="3"/>
  <c r="L384" i="3"/>
  <c r="O384" i="3"/>
  <c r="R384" i="3"/>
  <c r="L385" i="3"/>
  <c r="O385" i="3"/>
  <c r="R385" i="3"/>
  <c r="L386" i="3"/>
  <c r="O386" i="3"/>
  <c r="R386" i="3"/>
  <c r="L387" i="3"/>
  <c r="O387" i="3"/>
  <c r="R387" i="3"/>
  <c r="L388" i="3"/>
  <c r="O388" i="3"/>
  <c r="R388" i="3"/>
  <c r="L389" i="3"/>
  <c r="O389" i="3"/>
  <c r="R389" i="3"/>
  <c r="L390" i="3"/>
  <c r="O390" i="3"/>
  <c r="R390" i="3"/>
  <c r="L391" i="3"/>
  <c r="O391" i="3"/>
  <c r="R391" i="3"/>
  <c r="L392" i="3"/>
  <c r="O392" i="3"/>
  <c r="R392" i="3"/>
  <c r="O393" i="3"/>
  <c r="R393" i="3"/>
  <c r="L394" i="3"/>
  <c r="O394" i="3"/>
  <c r="R394" i="3"/>
  <c r="O395" i="3"/>
  <c r="R395" i="3"/>
  <c r="L396" i="3"/>
  <c r="O396" i="3"/>
  <c r="R396" i="3"/>
  <c r="L397" i="3"/>
  <c r="O397" i="3"/>
  <c r="R397" i="3"/>
  <c r="L398" i="3"/>
  <c r="O398" i="3"/>
  <c r="R398" i="3"/>
  <c r="O399" i="3"/>
  <c r="R399" i="3"/>
  <c r="L400" i="3"/>
  <c r="O400" i="3"/>
  <c r="R400" i="3"/>
  <c r="L401" i="3"/>
  <c r="O401" i="3"/>
  <c r="R401" i="3"/>
  <c r="O402" i="3"/>
  <c r="R402" i="3"/>
  <c r="O403" i="3"/>
  <c r="R403" i="3"/>
  <c r="L404" i="3"/>
  <c r="O404" i="3"/>
  <c r="R404" i="3"/>
  <c r="O405" i="3"/>
  <c r="R405" i="3"/>
  <c r="L406" i="3"/>
  <c r="O406" i="3"/>
  <c r="R406" i="3"/>
  <c r="L407" i="3"/>
  <c r="O407" i="3"/>
  <c r="R407" i="3"/>
  <c r="L408" i="3"/>
  <c r="O408" i="3"/>
  <c r="R408" i="3"/>
  <c r="L409" i="3"/>
  <c r="O409" i="3"/>
  <c r="R409" i="3"/>
  <c r="AO2" i="3"/>
  <c r="AO3" i="3"/>
  <c r="AO4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O19" i="3"/>
  <c r="AO20" i="3"/>
  <c r="AO21" i="3"/>
  <c r="AO22" i="3"/>
  <c r="AO23" i="3"/>
  <c r="AO24" i="3"/>
  <c r="AO25" i="3"/>
  <c r="AO26" i="3"/>
  <c r="AO27" i="3"/>
  <c r="AO28" i="3"/>
  <c r="AO29" i="3"/>
  <c r="AO30" i="3"/>
  <c r="AO31" i="3"/>
  <c r="AO32" i="3"/>
  <c r="AO33" i="3"/>
  <c r="AO34" i="3"/>
  <c r="AO35" i="3"/>
  <c r="AO36" i="3"/>
  <c r="AO37" i="3"/>
  <c r="AO38" i="3"/>
  <c r="AO39" i="3"/>
  <c r="AO40" i="3"/>
  <c r="AO41" i="3"/>
  <c r="AO42" i="3"/>
  <c r="AO43" i="3"/>
  <c r="AO44" i="3"/>
  <c r="AO45" i="3"/>
  <c r="AO46" i="3"/>
  <c r="AO47" i="3"/>
  <c r="AO48" i="3"/>
  <c r="AO49" i="3"/>
  <c r="AO50" i="3"/>
  <c r="AO51" i="3"/>
  <c r="AO52" i="3"/>
  <c r="AO53" i="3"/>
  <c r="AO54" i="3"/>
  <c r="AO55" i="3"/>
  <c r="AO56" i="3"/>
  <c r="AO57" i="3"/>
  <c r="AO58" i="3"/>
  <c r="AO59" i="3"/>
  <c r="AO60" i="3"/>
  <c r="AO61" i="3"/>
  <c r="AO62" i="3"/>
  <c r="AO63" i="3"/>
  <c r="AO64" i="3"/>
  <c r="AO65" i="3"/>
  <c r="AO66" i="3"/>
  <c r="AO67" i="3"/>
  <c r="AO68" i="3"/>
  <c r="AO69" i="3"/>
  <c r="AO70" i="3"/>
  <c r="AO71" i="3"/>
  <c r="AO72" i="3"/>
  <c r="AO73" i="3"/>
  <c r="AO74" i="3"/>
  <c r="AO75" i="3"/>
  <c r="AO76" i="3"/>
  <c r="AO77" i="3"/>
  <c r="AO78" i="3"/>
  <c r="AO79" i="3"/>
  <c r="AO80" i="3"/>
  <c r="AO81" i="3"/>
  <c r="AO82" i="3"/>
  <c r="AO83" i="3"/>
  <c r="AO84" i="3"/>
  <c r="AO85" i="3"/>
  <c r="AO86" i="3"/>
  <c r="AO87" i="3"/>
  <c r="AO88" i="3"/>
  <c r="AO89" i="3"/>
  <c r="AO90" i="3"/>
  <c r="AO91" i="3"/>
  <c r="AO92" i="3"/>
  <c r="AO93" i="3"/>
  <c r="AO94" i="3"/>
  <c r="AO95" i="3"/>
  <c r="AO96" i="3"/>
  <c r="AO97" i="3"/>
  <c r="AO98" i="3"/>
  <c r="AO99" i="3"/>
  <c r="AO100" i="3"/>
  <c r="AO101" i="3"/>
  <c r="AO102" i="3"/>
  <c r="AO103" i="3"/>
  <c r="AO104" i="3"/>
  <c r="AO105" i="3"/>
  <c r="AO106" i="3"/>
  <c r="AO107" i="3"/>
  <c r="AO108" i="3"/>
  <c r="AO109" i="3"/>
  <c r="AO110" i="3"/>
  <c r="AO111" i="3"/>
  <c r="AO112" i="3"/>
  <c r="AO113" i="3"/>
  <c r="AO114" i="3"/>
  <c r="AO115" i="3"/>
  <c r="AO116" i="3"/>
  <c r="AO117" i="3"/>
  <c r="AO118" i="3"/>
  <c r="AO119" i="3"/>
  <c r="AO120" i="3"/>
  <c r="AO121" i="3"/>
  <c r="AO122" i="3"/>
  <c r="AO123" i="3"/>
  <c r="AO124" i="3"/>
  <c r="AO125" i="3"/>
  <c r="AO126" i="3"/>
  <c r="AO127" i="3"/>
  <c r="AO128" i="3"/>
  <c r="AO129" i="3"/>
  <c r="AO130" i="3"/>
  <c r="AO131" i="3"/>
  <c r="AO132" i="3"/>
  <c r="AO133" i="3"/>
  <c r="AO134" i="3"/>
  <c r="AO135" i="3"/>
  <c r="AO136" i="3"/>
  <c r="AO137" i="3"/>
  <c r="AO138" i="3"/>
  <c r="AO139" i="3"/>
  <c r="AO140" i="3"/>
  <c r="AO141" i="3"/>
  <c r="AO142" i="3"/>
  <c r="AO143" i="3"/>
  <c r="AO144" i="3"/>
  <c r="AO145" i="3"/>
  <c r="AO146" i="3"/>
  <c r="AO147" i="3"/>
  <c r="AO148" i="3"/>
  <c r="AO149" i="3"/>
  <c r="AO150" i="3"/>
  <c r="AO151" i="3"/>
  <c r="AO152" i="3"/>
  <c r="AO153" i="3"/>
  <c r="AO154" i="3"/>
  <c r="AO155" i="3"/>
  <c r="AO156" i="3"/>
  <c r="AO157" i="3"/>
  <c r="AO158" i="3"/>
  <c r="AO159" i="3"/>
  <c r="AO160" i="3"/>
  <c r="AO161" i="3"/>
  <c r="AO162" i="3"/>
  <c r="AO163" i="3"/>
  <c r="AO164" i="3"/>
  <c r="AO165" i="3"/>
  <c r="AO166" i="3"/>
  <c r="AO167" i="3"/>
  <c r="AO168" i="3"/>
  <c r="AO169" i="3"/>
  <c r="AO170" i="3"/>
  <c r="AO171" i="3"/>
  <c r="AO172" i="3"/>
  <c r="AO173" i="3"/>
  <c r="AO174" i="3"/>
  <c r="AO175" i="3"/>
  <c r="AO176" i="3"/>
  <c r="AO177" i="3"/>
  <c r="AO178" i="3"/>
  <c r="AO179" i="3"/>
  <c r="AO180" i="3"/>
  <c r="AO181" i="3"/>
  <c r="AO182" i="3"/>
  <c r="AO183" i="3"/>
  <c r="AO184" i="3"/>
  <c r="AO185" i="3"/>
  <c r="AO186" i="3"/>
  <c r="AO187" i="3"/>
  <c r="AO188" i="3"/>
  <c r="AO189" i="3"/>
  <c r="AO190" i="3"/>
  <c r="AO191" i="3"/>
  <c r="AO192" i="3"/>
  <c r="AO193" i="3"/>
  <c r="AO194" i="3"/>
  <c r="AO195" i="3"/>
  <c r="AO196" i="3"/>
  <c r="AO197" i="3"/>
  <c r="AO198" i="3"/>
  <c r="AO199" i="3"/>
  <c r="AO200" i="3"/>
  <c r="AO201" i="3"/>
  <c r="AO202" i="3"/>
  <c r="AO203" i="3"/>
  <c r="AO204" i="3"/>
  <c r="AO205" i="3"/>
  <c r="AO206" i="3"/>
  <c r="AO207" i="3"/>
  <c r="AO208" i="3"/>
  <c r="AO209" i="3"/>
  <c r="AO210" i="3"/>
  <c r="AO211" i="3"/>
  <c r="AO212" i="3"/>
  <c r="AO213" i="3"/>
  <c r="AO214" i="3"/>
  <c r="AO215" i="3"/>
  <c r="AO216" i="3"/>
  <c r="AO217" i="3"/>
  <c r="AO218" i="3"/>
  <c r="AO219" i="3"/>
  <c r="AO220" i="3"/>
  <c r="AO221" i="3"/>
  <c r="AO222" i="3"/>
  <c r="AO223" i="3"/>
  <c r="AO224" i="3"/>
  <c r="AO225" i="3"/>
  <c r="AO226" i="3"/>
  <c r="AO227" i="3"/>
  <c r="AO228" i="3"/>
  <c r="AO229" i="3"/>
  <c r="AO230" i="3"/>
  <c r="AO231" i="3"/>
  <c r="AO232" i="3"/>
  <c r="AO233" i="3"/>
  <c r="AO234" i="3"/>
  <c r="AO235" i="3"/>
  <c r="AO236" i="3"/>
  <c r="AO237" i="3"/>
  <c r="AO238" i="3"/>
  <c r="AO239" i="3"/>
  <c r="AO240" i="3"/>
  <c r="AO241" i="3"/>
  <c r="AO242" i="3"/>
  <c r="AO243" i="3"/>
  <c r="AO244" i="3"/>
  <c r="AO245" i="3"/>
  <c r="AO246" i="3"/>
  <c r="AO247" i="3"/>
  <c r="AO248" i="3"/>
  <c r="AO249" i="3"/>
  <c r="AO250" i="3"/>
  <c r="AO251" i="3"/>
  <c r="AO252" i="3"/>
  <c r="AO253" i="3"/>
  <c r="AO254" i="3"/>
  <c r="AO255" i="3"/>
  <c r="AO256" i="3"/>
  <c r="AO257" i="3"/>
  <c r="AO258" i="3"/>
  <c r="AO259" i="3"/>
  <c r="AO260" i="3"/>
  <c r="AO261" i="3"/>
  <c r="AO262" i="3"/>
  <c r="AO263" i="3"/>
  <c r="AO264" i="3"/>
  <c r="AO265" i="3"/>
  <c r="AO266" i="3"/>
  <c r="AO267" i="3"/>
  <c r="AO268" i="3"/>
  <c r="AO269" i="3"/>
  <c r="AO270" i="3"/>
  <c r="AO271" i="3"/>
  <c r="AO272" i="3"/>
  <c r="AO273" i="3"/>
  <c r="AO274" i="3"/>
  <c r="AO275" i="3"/>
  <c r="AO276" i="3"/>
  <c r="AO277" i="3"/>
  <c r="AO278" i="3"/>
  <c r="AO279" i="3"/>
  <c r="AO280" i="3"/>
  <c r="AO281" i="3"/>
  <c r="AO282" i="3"/>
  <c r="AO283" i="3"/>
  <c r="AO284" i="3"/>
  <c r="AO285" i="3"/>
  <c r="AO286" i="3"/>
  <c r="AO287" i="3"/>
  <c r="AO288" i="3"/>
  <c r="AO289" i="3"/>
  <c r="AO290" i="3"/>
  <c r="AO291" i="3"/>
  <c r="AO292" i="3"/>
  <c r="AO293" i="3"/>
  <c r="AO294" i="3"/>
  <c r="AO295" i="3"/>
  <c r="AO296" i="3"/>
  <c r="AO297" i="3"/>
  <c r="AO298" i="3"/>
  <c r="AO299" i="3"/>
  <c r="AO300" i="3"/>
  <c r="AO301" i="3"/>
  <c r="AO302" i="3"/>
  <c r="AO303" i="3"/>
  <c r="AO304" i="3"/>
  <c r="AO305" i="3"/>
  <c r="AO306" i="3"/>
  <c r="AO307" i="3"/>
  <c r="AO308" i="3"/>
  <c r="AO309" i="3"/>
  <c r="AO310" i="3"/>
  <c r="AO311" i="3"/>
  <c r="AO312" i="3"/>
  <c r="AO313" i="3"/>
  <c r="AO314" i="3"/>
  <c r="AO315" i="3"/>
  <c r="AO316" i="3"/>
  <c r="AO317" i="3"/>
  <c r="AO318" i="3"/>
  <c r="AO319" i="3"/>
  <c r="AO320" i="3"/>
  <c r="AO321" i="3"/>
  <c r="AO322" i="3"/>
  <c r="AO323" i="3"/>
  <c r="AO324" i="3"/>
  <c r="AO325" i="3"/>
  <c r="AO326" i="3"/>
  <c r="AO327" i="3"/>
  <c r="AO328" i="3"/>
  <c r="AO329" i="3"/>
  <c r="AO330" i="3"/>
  <c r="AO331" i="3"/>
  <c r="AO332" i="3"/>
  <c r="AO333" i="3"/>
  <c r="AO334" i="3"/>
  <c r="AO335" i="3"/>
  <c r="AO336" i="3"/>
  <c r="AO337" i="3"/>
  <c r="AO338" i="3"/>
  <c r="AO339" i="3"/>
  <c r="AO340" i="3"/>
  <c r="AO341" i="3"/>
  <c r="AO342" i="3"/>
  <c r="AO343" i="3"/>
  <c r="AO344" i="3"/>
  <c r="AO345" i="3"/>
  <c r="AO346" i="3"/>
  <c r="AO347" i="3"/>
  <c r="AO348" i="3"/>
  <c r="AO349" i="3"/>
  <c r="AO350" i="3"/>
  <c r="AO351" i="3"/>
  <c r="AO352" i="3"/>
  <c r="AO353" i="3"/>
  <c r="AO354" i="3"/>
  <c r="AO355" i="3"/>
  <c r="AO356" i="3"/>
  <c r="AO357" i="3"/>
  <c r="AO358" i="3"/>
  <c r="AO359" i="3"/>
  <c r="AO360" i="3"/>
  <c r="AO361" i="3"/>
  <c r="AO362" i="3"/>
  <c r="AO363" i="3"/>
  <c r="AO364" i="3"/>
  <c r="AO365" i="3"/>
  <c r="AO366" i="3"/>
  <c r="AO367" i="3"/>
  <c r="AO368" i="3"/>
  <c r="AO369" i="3"/>
  <c r="AO370" i="3"/>
  <c r="AO371" i="3"/>
  <c r="AO372" i="3"/>
  <c r="AO373" i="3"/>
  <c r="AO374" i="3"/>
  <c r="AO375" i="3"/>
  <c r="AO376" i="3"/>
  <c r="AO377" i="3"/>
  <c r="AO378" i="3"/>
  <c r="AO379" i="3"/>
  <c r="AO380" i="3"/>
  <c r="AO381" i="3"/>
  <c r="AO382" i="3"/>
  <c r="AO383" i="3"/>
  <c r="AO384" i="3"/>
  <c r="AO385" i="3"/>
  <c r="AO386" i="3"/>
  <c r="AO387" i="3"/>
  <c r="AO388" i="3"/>
  <c r="AO389" i="3"/>
  <c r="AO390" i="3"/>
  <c r="AO391" i="3"/>
  <c r="AO392" i="3"/>
  <c r="AO393" i="3"/>
  <c r="AO394" i="3"/>
  <c r="AO395" i="3"/>
  <c r="AO396" i="3"/>
  <c r="AO397" i="3"/>
  <c r="AO398" i="3"/>
  <c r="AO399" i="3"/>
  <c r="AO400" i="3"/>
  <c r="AO401" i="3"/>
  <c r="AO402" i="3"/>
  <c r="AO403" i="3"/>
  <c r="AO404" i="3"/>
  <c r="AO405" i="3"/>
  <c r="AO406" i="3"/>
  <c r="AO407" i="3"/>
  <c r="AO408" i="3"/>
  <c r="AO409" i="3"/>
  <c r="C85" i="3"/>
  <c r="C324" i="3"/>
  <c r="C233" i="3"/>
  <c r="C157" i="3"/>
  <c r="C66" i="3"/>
  <c r="C214" i="3"/>
  <c r="C366" i="3"/>
  <c r="C365" i="3"/>
  <c r="C177" i="3"/>
  <c r="C31" i="3"/>
  <c r="C409" i="3"/>
  <c r="C408" i="3"/>
  <c r="C364" i="3"/>
  <c r="C343" i="3"/>
  <c r="C407" i="3"/>
  <c r="C197" i="3"/>
  <c r="C342" i="3"/>
  <c r="C84" i="3"/>
  <c r="C17" i="3"/>
  <c r="C156" i="3"/>
  <c r="C251" i="3"/>
  <c r="C155" i="3"/>
  <c r="C363" i="3"/>
  <c r="C406" i="3"/>
  <c r="C134" i="3"/>
  <c r="C196" i="3"/>
  <c r="C83" i="3"/>
  <c r="C383" i="3"/>
  <c r="C362" i="3"/>
  <c r="C119" i="3"/>
  <c r="C118" i="3"/>
  <c r="C405" i="3"/>
  <c r="C30" i="3"/>
  <c r="C29" i="3"/>
  <c r="C382" i="3"/>
  <c r="C404" i="3"/>
  <c r="C104" i="3"/>
  <c r="C287" i="3"/>
  <c r="C403" i="3"/>
  <c r="C341" i="3"/>
  <c r="C286" i="3"/>
  <c r="C44" i="3"/>
  <c r="C16" i="3"/>
  <c r="C154" i="3"/>
  <c r="C15" i="3"/>
  <c r="C14" i="3"/>
  <c r="C82" i="3"/>
  <c r="C402" i="3"/>
  <c r="C65" i="3"/>
  <c r="C340" i="3"/>
  <c r="C176" i="3"/>
  <c r="C250" i="3"/>
  <c r="C43" i="3"/>
  <c r="C339" i="3"/>
  <c r="C81" i="3"/>
  <c r="C361" i="3"/>
  <c r="C381" i="3"/>
  <c r="C232" i="3"/>
  <c r="C153" i="3"/>
  <c r="C13" i="3"/>
  <c r="C360" i="3"/>
  <c r="C28" i="3"/>
  <c r="C133" i="3"/>
  <c r="C401" i="3"/>
  <c r="C249" i="3"/>
  <c r="C400" i="3"/>
  <c r="C117" i="3"/>
  <c r="C42" i="3"/>
  <c r="C103" i="3"/>
  <c r="C399" i="3"/>
  <c r="C195" i="3"/>
  <c r="C80" i="3"/>
  <c r="C285" i="3"/>
  <c r="C284" i="3"/>
  <c r="C152" i="3"/>
  <c r="C323" i="3"/>
  <c r="C132" i="3"/>
  <c r="C213" i="3"/>
  <c r="C12" i="3"/>
  <c r="C102" i="3"/>
  <c r="C303" i="3"/>
  <c r="C302" i="3"/>
  <c r="C194" i="3"/>
  <c r="C380" i="3"/>
  <c r="C116" i="3"/>
  <c r="C359" i="3"/>
  <c r="C322" i="3"/>
  <c r="C338" i="3"/>
  <c r="C321" i="3"/>
  <c r="C151" i="3"/>
  <c r="C337" i="3"/>
  <c r="C212" i="3"/>
  <c r="C248" i="3"/>
  <c r="C231" i="3"/>
  <c r="C247" i="3"/>
  <c r="C211" i="3"/>
  <c r="C358" i="3"/>
  <c r="C41" i="3"/>
  <c r="C115" i="3"/>
  <c r="C320" i="3"/>
  <c r="C27" i="3"/>
  <c r="C319" i="3"/>
  <c r="C210" i="3"/>
  <c r="C271" i="3"/>
  <c r="C398" i="3"/>
  <c r="C64" i="3"/>
  <c r="C230" i="3"/>
  <c r="C150" i="3"/>
  <c r="C63" i="3"/>
  <c r="C301" i="3"/>
  <c r="C62" i="3"/>
  <c r="C175" i="3"/>
  <c r="C61" i="3"/>
  <c r="C246" i="3"/>
  <c r="C40" i="3"/>
  <c r="C131" i="3"/>
  <c r="C193" i="3"/>
  <c r="C192" i="3"/>
  <c r="C174" i="3"/>
  <c r="C379" i="3"/>
  <c r="C173" i="3"/>
  <c r="C172" i="3"/>
  <c r="C229" i="3"/>
  <c r="C79" i="3"/>
  <c r="C209" i="3"/>
  <c r="C270" i="3"/>
  <c r="C101" i="3"/>
  <c r="C269" i="3"/>
  <c r="C130" i="3"/>
  <c r="C300" i="3"/>
  <c r="C283" i="3"/>
  <c r="C191" i="3"/>
  <c r="C190" i="3"/>
  <c r="C129" i="3"/>
  <c r="C228" i="3"/>
  <c r="C299" i="3"/>
  <c r="C318" i="3"/>
  <c r="C100" i="3"/>
  <c r="C60" i="3"/>
  <c r="C26" i="3"/>
  <c r="C245" i="3"/>
  <c r="C149" i="3"/>
  <c r="C99" i="3"/>
  <c r="C11" i="3"/>
  <c r="C378" i="3"/>
  <c r="C317" i="3"/>
  <c r="C316" i="3"/>
  <c r="C171" i="3"/>
  <c r="C336" i="3"/>
  <c r="C282" i="3"/>
  <c r="C78" i="3"/>
  <c r="C98" i="3"/>
  <c r="C97" i="3"/>
  <c r="C96" i="3"/>
  <c r="C189" i="3"/>
  <c r="C114" i="3"/>
  <c r="C77" i="3"/>
  <c r="C148" i="3"/>
  <c r="C298" i="3"/>
  <c r="C208" i="3"/>
  <c r="C357" i="3"/>
  <c r="C397" i="3"/>
  <c r="C356" i="3"/>
  <c r="C297" i="3"/>
  <c r="C76" i="3"/>
  <c r="C75" i="3"/>
  <c r="C281" i="3"/>
  <c r="C355" i="3"/>
  <c r="C95" i="3"/>
  <c r="C227" i="3"/>
  <c r="C74" i="3"/>
  <c r="C59" i="3"/>
  <c r="C188" i="3"/>
  <c r="C226" i="3"/>
  <c r="C207" i="3"/>
  <c r="C58" i="3"/>
  <c r="C147" i="3"/>
  <c r="C57" i="3"/>
  <c r="C280" i="3"/>
  <c r="C396" i="3"/>
  <c r="C225" i="3"/>
  <c r="C128" i="3"/>
  <c r="C10" i="3"/>
  <c r="C206" i="3"/>
  <c r="C56" i="3"/>
  <c r="C94" i="3"/>
  <c r="C268" i="3"/>
  <c r="C315" i="3"/>
  <c r="C267" i="3"/>
  <c r="C224" i="3"/>
  <c r="C244" i="3"/>
  <c r="C395" i="3"/>
  <c r="C223" i="3"/>
  <c r="C25" i="3"/>
  <c r="C335" i="3"/>
  <c r="C354" i="3"/>
  <c r="C24" i="3"/>
  <c r="C279" i="3"/>
  <c r="C243" i="3"/>
  <c r="C377" i="3"/>
  <c r="C242" i="3"/>
  <c r="C241" i="3"/>
  <c r="C187" i="3"/>
  <c r="C113" i="3"/>
  <c r="C39" i="3"/>
  <c r="C266" i="3"/>
  <c r="C146" i="3"/>
  <c r="C112" i="3"/>
  <c r="C265" i="3"/>
  <c r="C240" i="3"/>
  <c r="C186" i="3"/>
  <c r="C93" i="3"/>
  <c r="C170" i="3"/>
  <c r="C127" i="3"/>
  <c r="C73" i="3"/>
  <c r="C169" i="3"/>
  <c r="C92" i="3"/>
  <c r="C264" i="3"/>
  <c r="C126" i="3"/>
  <c r="C314" i="3"/>
  <c r="C168" i="3"/>
  <c r="C263" i="3"/>
  <c r="C262" i="3"/>
  <c r="C394" i="3"/>
  <c r="C376" i="3"/>
  <c r="C55" i="3"/>
  <c r="C375" i="3"/>
  <c r="C313" i="3"/>
  <c r="C205" i="3"/>
  <c r="C204" i="3"/>
  <c r="C72" i="3"/>
  <c r="C296" i="3"/>
  <c r="C312" i="3"/>
  <c r="C261" i="3"/>
  <c r="C145" i="3"/>
  <c r="C111" i="3"/>
  <c r="C222" i="3"/>
  <c r="C260" i="3"/>
  <c r="C144" i="3"/>
  <c r="C259" i="3"/>
  <c r="C278" i="3"/>
  <c r="C71" i="3"/>
  <c r="C54" i="3"/>
  <c r="C353" i="3"/>
  <c r="C9" i="3"/>
  <c r="C334" i="3"/>
  <c r="C38" i="3"/>
  <c r="C91" i="3"/>
  <c r="C8" i="3"/>
  <c r="C143" i="3"/>
  <c r="C333" i="3"/>
  <c r="C142" i="3"/>
  <c r="C277" i="3"/>
  <c r="C37" i="3"/>
  <c r="C258" i="3"/>
  <c r="C53" i="3"/>
  <c r="C125" i="3"/>
  <c r="C7" i="3"/>
  <c r="C6" i="3"/>
  <c r="C36" i="3"/>
  <c r="C167" i="3"/>
  <c r="C374" i="3"/>
  <c r="C166" i="3"/>
  <c r="C124" i="3"/>
  <c r="C295" i="3"/>
  <c r="C185" i="3"/>
  <c r="C203" i="3"/>
  <c r="C52" i="3"/>
  <c r="C352" i="3"/>
  <c r="C257" i="3"/>
  <c r="C165" i="3"/>
  <c r="C332" i="3"/>
  <c r="C351" i="3"/>
  <c r="C164" i="3"/>
  <c r="C90" i="3"/>
  <c r="C311" i="3"/>
  <c r="C331" i="3"/>
  <c r="C294" i="3"/>
  <c r="C89" i="3"/>
  <c r="C276" i="3"/>
  <c r="C202" i="3"/>
  <c r="C275" i="3"/>
  <c r="C110" i="3"/>
  <c r="C373" i="3"/>
  <c r="C239" i="3"/>
  <c r="C350" i="3"/>
  <c r="C221" i="3"/>
  <c r="C256" i="3"/>
  <c r="C51" i="3"/>
  <c r="C88" i="3"/>
  <c r="C238" i="3"/>
  <c r="C123" i="3"/>
  <c r="C35" i="3"/>
  <c r="C163" i="3"/>
  <c r="C330" i="3"/>
  <c r="C293" i="3"/>
  <c r="C5" i="3"/>
  <c r="C237" i="3"/>
  <c r="C292" i="3"/>
  <c r="C236" i="3"/>
  <c r="C50" i="3"/>
  <c r="C310" i="3"/>
  <c r="C349" i="3"/>
  <c r="C291" i="3"/>
  <c r="C309" i="3"/>
  <c r="C49" i="3"/>
  <c r="C48" i="3"/>
  <c r="C393" i="3"/>
  <c r="C255" i="3"/>
  <c r="C348" i="3"/>
  <c r="C329" i="3"/>
  <c r="C87" i="3"/>
  <c r="C141" i="3"/>
  <c r="C23" i="3"/>
  <c r="C220" i="3"/>
  <c r="C392" i="3"/>
  <c r="C254" i="3"/>
  <c r="C391" i="3"/>
  <c r="C70" i="3"/>
  <c r="C308" i="3"/>
  <c r="C219" i="3"/>
  <c r="C47" i="3"/>
  <c r="C109" i="3"/>
  <c r="C108" i="3"/>
  <c r="C4" i="3"/>
  <c r="C307" i="3"/>
  <c r="C107" i="3"/>
  <c r="C162" i="3"/>
  <c r="C22" i="3"/>
  <c r="C347" i="3"/>
  <c r="C161" i="3"/>
  <c r="C21" i="3"/>
  <c r="C306" i="3"/>
  <c r="C184" i="3"/>
  <c r="C160" i="3"/>
  <c r="C20" i="3"/>
  <c r="C3" i="3"/>
  <c r="C69" i="3"/>
  <c r="C34" i="3"/>
  <c r="C390" i="3"/>
  <c r="C140" i="3"/>
  <c r="C201" i="3"/>
  <c r="C389" i="3"/>
  <c r="C274" i="3"/>
  <c r="C372" i="3"/>
  <c r="C106" i="3"/>
  <c r="C388" i="3"/>
  <c r="C33" i="3"/>
  <c r="C183" i="3"/>
  <c r="C328" i="3"/>
  <c r="C139" i="3"/>
  <c r="C253" i="3"/>
  <c r="C46" i="3"/>
  <c r="C218" i="3"/>
  <c r="C86" i="3"/>
  <c r="C273" i="3"/>
  <c r="C138" i="3"/>
  <c r="C371" i="3"/>
  <c r="C19" i="3"/>
  <c r="C159" i="3"/>
  <c r="C327" i="3"/>
  <c r="C346" i="3"/>
  <c r="C182" i="3"/>
  <c r="C235" i="3"/>
  <c r="C32" i="3"/>
  <c r="C122" i="3"/>
  <c r="C326" i="3"/>
  <c r="C121" i="3"/>
  <c r="C345" i="3"/>
  <c r="C137" i="3"/>
  <c r="C18" i="3"/>
  <c r="C68" i="3"/>
  <c r="C387" i="3"/>
  <c r="C181" i="3"/>
  <c r="C370" i="3"/>
  <c r="C200" i="3"/>
  <c r="C386" i="3"/>
  <c r="C290" i="3"/>
  <c r="C289" i="3"/>
  <c r="C369" i="3"/>
  <c r="C217" i="3"/>
  <c r="C288" i="3"/>
  <c r="C120" i="3"/>
  <c r="C199" i="3"/>
  <c r="C105" i="3"/>
  <c r="C198" i="3"/>
  <c r="C305" i="3"/>
  <c r="C180" i="3"/>
  <c r="C2" i="3"/>
  <c r="C45" i="3"/>
  <c r="C252" i="3"/>
  <c r="C344" i="3"/>
  <c r="C304" i="3"/>
  <c r="C272" i="3"/>
  <c r="C67" i="3"/>
  <c r="C136" i="3"/>
  <c r="C216" i="3"/>
  <c r="C215" i="3"/>
  <c r="C179" i="3"/>
  <c r="C135" i="3"/>
  <c r="C368" i="3"/>
  <c r="C178" i="3"/>
  <c r="C385" i="3"/>
  <c r="C234" i="3"/>
  <c r="C367" i="3"/>
  <c r="C325" i="3"/>
  <c r="C384" i="3"/>
  <c r="C158" i="3"/>
  <c r="AB308" i="3"/>
  <c r="AD308" i="3" s="1"/>
  <c r="AB279" i="3"/>
  <c r="AD279" i="3" s="1"/>
  <c r="AB294" i="3"/>
  <c r="AD294" i="3" s="1"/>
  <c r="AB309" i="3"/>
  <c r="AD309" i="3" s="1"/>
  <c r="AB316" i="3"/>
  <c r="AD316" i="3" s="1"/>
  <c r="AB339" i="3"/>
  <c r="AD339" i="3" s="1"/>
  <c r="AB205" i="3"/>
  <c r="AD205" i="3" s="1"/>
  <c r="AB227" i="3"/>
  <c r="AD227" i="3" s="1"/>
  <c r="AB60" i="3"/>
  <c r="AD60" i="3" s="1"/>
  <c r="AB81" i="3"/>
  <c r="AD81" i="3" s="1"/>
  <c r="AB95" i="3"/>
  <c r="AD95" i="3" s="1"/>
  <c r="AB112" i="3"/>
  <c r="AD112" i="3" s="1"/>
  <c r="AB124" i="3"/>
  <c r="AD124" i="3" s="1"/>
  <c r="AB138" i="3"/>
  <c r="AD138" i="3" s="1"/>
  <c r="AB163" i="3"/>
  <c r="AD163" i="3" s="1"/>
  <c r="AB273" i="3"/>
  <c r="AD273" i="3" s="1"/>
  <c r="AB290" i="3"/>
  <c r="AD290" i="3" s="1"/>
  <c r="AB305" i="3"/>
  <c r="AD305" i="3" s="1"/>
  <c r="AB330" i="3"/>
  <c r="AD330" i="3" s="1"/>
  <c r="AB353" i="3"/>
  <c r="AD353" i="3" s="1"/>
  <c r="AB292" i="3"/>
  <c r="AD292" i="3" s="1"/>
  <c r="AB321" i="3"/>
  <c r="AD321" i="3" s="1"/>
  <c r="AB152" i="3"/>
  <c r="AD152" i="3" s="1"/>
  <c r="AB113" i="3"/>
  <c r="AD113" i="3" s="1"/>
  <c r="AB129" i="3"/>
  <c r="AD129" i="3" s="1"/>
  <c r="AB197" i="3"/>
  <c r="AD197" i="3" s="1"/>
  <c r="AB210" i="3"/>
  <c r="AD210" i="3" s="1"/>
  <c r="AB301" i="3"/>
  <c r="AD301" i="3" s="1"/>
  <c r="AB159" i="3"/>
  <c r="AD159" i="3" s="1"/>
  <c r="AB216" i="3"/>
  <c r="AD216" i="3" s="1"/>
  <c r="AB40" i="3"/>
  <c r="AD40" i="3" s="1"/>
  <c r="AB381" i="3"/>
  <c r="AD381" i="3" s="1"/>
  <c r="AB89" i="3"/>
  <c r="AD89" i="3" s="1"/>
  <c r="AB30" i="3"/>
  <c r="AD30" i="3" s="1"/>
  <c r="AB52" i="3"/>
  <c r="AD52" i="3" s="1"/>
  <c r="AB211" i="3"/>
  <c r="AD211" i="3" s="1"/>
  <c r="AB249" i="3"/>
  <c r="AD249" i="3" s="1"/>
  <c r="AB236" i="3"/>
  <c r="AD236" i="3" s="1"/>
  <c r="AB255" i="3"/>
  <c r="AD255" i="3" s="1"/>
  <c r="AB313" i="3"/>
  <c r="AD313" i="3" s="1"/>
  <c r="AB193" i="3"/>
  <c r="AD193" i="3" s="1"/>
  <c r="AB335" i="3"/>
  <c r="AD335" i="3" s="1"/>
  <c r="AB118" i="3"/>
  <c r="AD118" i="3" s="1"/>
  <c r="AB134" i="3"/>
  <c r="AD134" i="3" s="1"/>
  <c r="AB146" i="3"/>
  <c r="AD146" i="3" s="1"/>
  <c r="AB365" i="3"/>
  <c r="AD365" i="3" s="1"/>
  <c r="AB48" i="3"/>
  <c r="AD48" i="3" s="1"/>
  <c r="AB70" i="3"/>
  <c r="AD70" i="3" s="1"/>
  <c r="AB74" i="3"/>
  <c r="AD74" i="3" s="1"/>
  <c r="AB97" i="3"/>
  <c r="AD97" i="3" s="1"/>
  <c r="AB400" i="3"/>
  <c r="AD400" i="3" s="1"/>
  <c r="AB253" i="3"/>
  <c r="AD253" i="3" s="1"/>
  <c r="AB275" i="3"/>
  <c r="AD275" i="3" s="1"/>
  <c r="AB322" i="3"/>
  <c r="AD322" i="3" s="1"/>
  <c r="AB175" i="3"/>
  <c r="AD175" i="3" s="1"/>
  <c r="AB98" i="3"/>
  <c r="AD98" i="3" s="1"/>
  <c r="AB62" i="3"/>
  <c r="AD62" i="3" s="1"/>
  <c r="AB83" i="3"/>
  <c r="AD83" i="3" s="1"/>
  <c r="AB168" i="3"/>
  <c r="AD168" i="3" s="1"/>
  <c r="AB327" i="3"/>
  <c r="AD327" i="3" s="1"/>
  <c r="AB346" i="3"/>
  <c r="AD346" i="3" s="1"/>
  <c r="AB372" i="3"/>
  <c r="AD372" i="3" s="1"/>
  <c r="AB389" i="3"/>
  <c r="AD389" i="3" s="1"/>
  <c r="AB283" i="3"/>
  <c r="AD283" i="3" s="1"/>
  <c r="AB226" i="3"/>
  <c r="AD226" i="3" s="1"/>
  <c r="AB243" i="3"/>
  <c r="AD243" i="3" s="1"/>
  <c r="AB267" i="3"/>
  <c r="AD267" i="3" s="1"/>
  <c r="AB289" i="3"/>
  <c r="AD289" i="3" s="1"/>
  <c r="AB326" i="3"/>
  <c r="AD326" i="3" s="1"/>
  <c r="AB347" i="3"/>
  <c r="AD347" i="3" s="1"/>
  <c r="AB378" i="3"/>
  <c r="AD378" i="3" s="1"/>
  <c r="AB166" i="3"/>
  <c r="AD166" i="3" s="1"/>
  <c r="AB179" i="3"/>
  <c r="AD179" i="3" s="1"/>
  <c r="AB198" i="3"/>
  <c r="AD198" i="3" s="1"/>
  <c r="AB215" i="3"/>
  <c r="AD215" i="3" s="1"/>
  <c r="AB234" i="3"/>
  <c r="AD234" i="3" s="1"/>
  <c r="AB252" i="3"/>
  <c r="AD252" i="3" s="1"/>
  <c r="AB272" i="3"/>
  <c r="AD272" i="3" s="1"/>
  <c r="AB288" i="3"/>
  <c r="AD288" i="3" s="1"/>
  <c r="AB245" i="3"/>
  <c r="AD245" i="3" s="1"/>
  <c r="AB258" i="3"/>
  <c r="AD258" i="3" s="1"/>
  <c r="AB360" i="3"/>
  <c r="AD360" i="3" s="1"/>
  <c r="AB383" i="3"/>
  <c r="AD383" i="3" s="1"/>
  <c r="AB406" i="3"/>
  <c r="AD406" i="3" s="1"/>
  <c r="AB181" i="3"/>
  <c r="AD181" i="3" s="1"/>
  <c r="AB53" i="3"/>
  <c r="AD53" i="3" s="1"/>
  <c r="AB315" i="3"/>
  <c r="AD315" i="3" s="1"/>
  <c r="AB362" i="3"/>
  <c r="AD362" i="3" s="1"/>
  <c r="AB284" i="3"/>
  <c r="AD284" i="3" s="1"/>
  <c r="AB361" i="3"/>
  <c r="AD361" i="3" s="1"/>
  <c r="AB380" i="3"/>
  <c r="AD380" i="3" s="1"/>
  <c r="AB394" i="3"/>
  <c r="AD394" i="3" s="1"/>
  <c r="AB333" i="3"/>
  <c r="AD333" i="3" s="1"/>
  <c r="AB128" i="3"/>
  <c r="AD128" i="3" s="1"/>
  <c r="AB141" i="3"/>
  <c r="AD141" i="3" s="1"/>
  <c r="AB160" i="3"/>
  <c r="AD160" i="3" s="1"/>
  <c r="AB182" i="3"/>
  <c r="AD182" i="3" s="1"/>
  <c r="AB91" i="3"/>
  <c r="AD91" i="3" s="1"/>
  <c r="AB110" i="3"/>
  <c r="AD110" i="3" s="1"/>
  <c r="AB199" i="3"/>
  <c r="AD199" i="3" s="1"/>
  <c r="AB217" i="3"/>
  <c r="AD217" i="3" s="1"/>
  <c r="AB235" i="3"/>
  <c r="AD235" i="3" s="1"/>
  <c r="AB202" i="3"/>
  <c r="AD202" i="3" s="1"/>
  <c r="AB218" i="3"/>
  <c r="AD218" i="3" s="1"/>
  <c r="AB237" i="3"/>
  <c r="AD237" i="3" s="1"/>
  <c r="AB259" i="3"/>
  <c r="AD259" i="3" s="1"/>
  <c r="AB364" i="3"/>
  <c r="AD364" i="3" s="1"/>
  <c r="AB351" i="3"/>
  <c r="AD351" i="3" s="1"/>
  <c r="AB379" i="3"/>
  <c r="AD379" i="3" s="1"/>
  <c r="AB404" i="3"/>
  <c r="AD404" i="3" s="1"/>
  <c r="AB300" i="3"/>
  <c r="AD300" i="3" s="1"/>
  <c r="AB320" i="3"/>
  <c r="AD320" i="3" s="1"/>
  <c r="AB143" i="3"/>
  <c r="AD143" i="3" s="1"/>
  <c r="AB167" i="3"/>
  <c r="AD167" i="3" s="1"/>
  <c r="AB117" i="3"/>
  <c r="AD117" i="3" s="1"/>
  <c r="AB4" i="3"/>
  <c r="AD4" i="3" s="1"/>
  <c r="AB22" i="3"/>
  <c r="AD22" i="3" s="1"/>
  <c r="AB32" i="3"/>
  <c r="AD32" i="3" s="1"/>
  <c r="AB50" i="3"/>
  <c r="AD50" i="3" s="1"/>
  <c r="AB73" i="3"/>
  <c r="AD73" i="3" s="1"/>
  <c r="AB157" i="3"/>
  <c r="AD157" i="3" s="1"/>
  <c r="AB194" i="3"/>
  <c r="AD194" i="3" s="1"/>
  <c r="AB366" i="3"/>
  <c r="AD366" i="3" s="1"/>
  <c r="AB401" i="3"/>
  <c r="AD401" i="3" s="1"/>
  <c r="AB171" i="3"/>
  <c r="AD171" i="3" s="1"/>
  <c r="AB188" i="3"/>
  <c r="AD188" i="3" s="1"/>
  <c r="AB195" i="3"/>
  <c r="AD195" i="3" s="1"/>
  <c r="AB342" i="3"/>
  <c r="AD342" i="3" s="1"/>
  <c r="AB222" i="3"/>
  <c r="AD222" i="3" s="1"/>
  <c r="AB240" i="3"/>
  <c r="AD240" i="3" s="1"/>
  <c r="AB390" i="3"/>
  <c r="AD390" i="3" s="1"/>
  <c r="AB340" i="3"/>
  <c r="AD340" i="3" s="1"/>
  <c r="AB184" i="3"/>
  <c r="AD184" i="3" s="1"/>
  <c r="AB203" i="3"/>
  <c r="AD203" i="3" s="1"/>
  <c r="AB334" i="3"/>
  <c r="AD334" i="3" s="1"/>
  <c r="AB350" i="3"/>
  <c r="AD350" i="3" s="1"/>
  <c r="AB371" i="3"/>
  <c r="AD371" i="3" s="1"/>
  <c r="AB391" i="3"/>
  <c r="AD391" i="3" s="1"/>
  <c r="AB45" i="3"/>
  <c r="AD45" i="3" s="1"/>
  <c r="AB67" i="3"/>
  <c r="AD67" i="3" s="1"/>
  <c r="AB86" i="3"/>
  <c r="AD86" i="3" s="1"/>
  <c r="AB107" i="3"/>
  <c r="AD107" i="3" s="1"/>
  <c r="AB123" i="3"/>
  <c r="AD123" i="3" s="1"/>
  <c r="AB296" i="3"/>
  <c r="AD296" i="3" s="1"/>
  <c r="AB2" i="3"/>
  <c r="AD2" i="3" s="1"/>
  <c r="AB18" i="3"/>
  <c r="AD18" i="3" s="1"/>
  <c r="AB231" i="3"/>
  <c r="AD231" i="3" s="1"/>
  <c r="AB180" i="3"/>
  <c r="AD180" i="3" s="1"/>
  <c r="AB219" i="3"/>
  <c r="AD219" i="3" s="1"/>
  <c r="AB239" i="3"/>
  <c r="AD239" i="3" s="1"/>
  <c r="AB174" i="3"/>
  <c r="AD174" i="3" s="1"/>
  <c r="AB257" i="3"/>
  <c r="AD257" i="3" s="1"/>
  <c r="AB276" i="3"/>
  <c r="AD276" i="3" s="1"/>
  <c r="AB323" i="3"/>
  <c r="AD323" i="3" s="1"/>
  <c r="AB79" i="3"/>
  <c r="AD79" i="3" s="1"/>
  <c r="AB96" i="3"/>
  <c r="AD96" i="3" s="1"/>
  <c r="AB7" i="3"/>
  <c r="AD7" i="3" s="1"/>
  <c r="AB274" i="3"/>
  <c r="AD274" i="3" s="1"/>
  <c r="AB16" i="3"/>
  <c r="AD16" i="3" s="1"/>
  <c r="AB291" i="3"/>
  <c r="AD291" i="3" s="1"/>
  <c r="AB317" i="3"/>
  <c r="AD317" i="3" s="1"/>
  <c r="AB263" i="3"/>
  <c r="AD263" i="3" s="1"/>
  <c r="AB328" i="3"/>
  <c r="AD328" i="3" s="1"/>
  <c r="AB345" i="3"/>
  <c r="AD345" i="3" s="1"/>
  <c r="AB370" i="3"/>
  <c r="AD370" i="3" s="1"/>
  <c r="AB392" i="3"/>
  <c r="AD392" i="3" s="1"/>
  <c r="AB325" i="3"/>
  <c r="AD325" i="3" s="1"/>
  <c r="AB344" i="3"/>
  <c r="AD344" i="3" s="1"/>
  <c r="AB367" i="3"/>
  <c r="AD367" i="3" s="1"/>
  <c r="AB385" i="3"/>
  <c r="AD385" i="3" s="1"/>
  <c r="AB201" i="3"/>
  <c r="AD201" i="3" s="1"/>
  <c r="AB27" i="3"/>
  <c r="AD27" i="3" s="1"/>
  <c r="AB36" i="3"/>
  <c r="AD36" i="3" s="1"/>
  <c r="AB55" i="3"/>
  <c r="AD55" i="3" s="1"/>
  <c r="AB329" i="3"/>
  <c r="AD329" i="3" s="1"/>
  <c r="AB348" i="3"/>
  <c r="AD348" i="3" s="1"/>
  <c r="AB398" i="3"/>
  <c r="AD398" i="3" s="1"/>
  <c r="AB92" i="3"/>
  <c r="AD92" i="3" s="1"/>
  <c r="AB105" i="3"/>
  <c r="AD105" i="3" s="1"/>
  <c r="AB122" i="3"/>
  <c r="AD122" i="3" s="1"/>
  <c r="AB136" i="3"/>
  <c r="AD136" i="3" s="1"/>
  <c r="AB158" i="3"/>
  <c r="AD158" i="3" s="1"/>
  <c r="AB307" i="3"/>
  <c r="AD307" i="3" s="1"/>
  <c r="AB355" i="3"/>
  <c r="AD355" i="3" s="1"/>
  <c r="AB376" i="3"/>
  <c r="AD376" i="3" s="1"/>
  <c r="AB397" i="3"/>
  <c r="AD397" i="3" s="1"/>
  <c r="AB293" i="3"/>
  <c r="AD293" i="3" s="1"/>
  <c r="AB310" i="3"/>
  <c r="AD310" i="3" s="1"/>
  <c r="AB269" i="3"/>
  <c r="AD269" i="3" s="1"/>
  <c r="AB374" i="3"/>
  <c r="AD374" i="3" s="1"/>
  <c r="AB386" i="3"/>
  <c r="AD386" i="3" s="1"/>
  <c r="AB270" i="3"/>
  <c r="AD270" i="3" s="1"/>
  <c r="AB286" i="3"/>
  <c r="AD286" i="3" s="1"/>
  <c r="AB369" i="3"/>
  <c r="AD369" i="3" s="1"/>
  <c r="AB387" i="3"/>
  <c r="AD387" i="3" s="1"/>
  <c r="AB332" i="3"/>
  <c r="AD332" i="3" s="1"/>
  <c r="AB11" i="3"/>
  <c r="AD11" i="3" s="1"/>
  <c r="AB25" i="3"/>
  <c r="AD25" i="3" s="1"/>
  <c r="AB38" i="3"/>
  <c r="AD38" i="3" s="1"/>
  <c r="AB63" i="3"/>
  <c r="AD63" i="3" s="1"/>
  <c r="AB140" i="3"/>
  <c r="AD140" i="3" s="1"/>
  <c r="AB164" i="3"/>
  <c r="AD164" i="3" s="1"/>
  <c r="AB264" i="3"/>
  <c r="AD264" i="3" s="1"/>
  <c r="AB137" i="3"/>
  <c r="AD137" i="3" s="1"/>
  <c r="AB162" i="3"/>
  <c r="AD162" i="3" s="1"/>
  <c r="AB206" i="3"/>
  <c r="AD206" i="3" s="1"/>
  <c r="AB169" i="3"/>
  <c r="AD169" i="3" s="1"/>
  <c r="AB185" i="3"/>
  <c r="AD185" i="3" s="1"/>
  <c r="AB212" i="3"/>
  <c r="AD212" i="3" s="1"/>
  <c r="AB408" i="3"/>
  <c r="AD408" i="3" s="1"/>
  <c r="AB176" i="3"/>
  <c r="AD176" i="3" s="1"/>
  <c r="AB343" i="3"/>
  <c r="AD343" i="3" s="1"/>
  <c r="AB318" i="3"/>
  <c r="AD318" i="3" s="1"/>
  <c r="AB359" i="3"/>
  <c r="AD359" i="3" s="1"/>
  <c r="AB14" i="3"/>
  <c r="AD14" i="3" s="1"/>
  <c r="AB299" i="3"/>
  <c r="AD299" i="3" s="1"/>
  <c r="AB298" i="3"/>
  <c r="AD298" i="3" s="1"/>
  <c r="AB324" i="3"/>
  <c r="AD324" i="3" s="1"/>
  <c r="AB368" i="3"/>
  <c r="AD368" i="3" s="1"/>
  <c r="AB384" i="3"/>
  <c r="AD384" i="3" s="1"/>
  <c r="AB15" i="3"/>
  <c r="AD15" i="3" s="1"/>
  <c r="AB28" i="3"/>
  <c r="AD28" i="3" s="1"/>
  <c r="AB44" i="3"/>
  <c r="AD44" i="3" s="1"/>
  <c r="AB409" i="3"/>
  <c r="AD409" i="3" s="1"/>
  <c r="AB3" i="3"/>
  <c r="AD3" i="3" s="1"/>
  <c r="AB20" i="3"/>
  <c r="AD20" i="3" s="1"/>
  <c r="AB34" i="3"/>
  <c r="AD34" i="3" s="1"/>
  <c r="AB250" i="3"/>
  <c r="AD250" i="3" s="1"/>
  <c r="AB190" i="3"/>
  <c r="AD190" i="3" s="1"/>
  <c r="AB314" i="3"/>
  <c r="AD314" i="3" s="1"/>
  <c r="AB244" i="3"/>
  <c r="AD244" i="3" s="1"/>
  <c r="AB262" i="3"/>
  <c r="AD262" i="3" s="1"/>
  <c r="AB306" i="3"/>
  <c r="AD306" i="3" s="1"/>
  <c r="AB41" i="3"/>
  <c r="AD41" i="3" s="1"/>
  <c r="AB56" i="3"/>
  <c r="AD56" i="3" s="1"/>
  <c r="AB54" i="3"/>
  <c r="AD54" i="3" s="1"/>
  <c r="AB76" i="3"/>
  <c r="AD76" i="3" s="1"/>
  <c r="AB103" i="3"/>
  <c r="AD103" i="3" s="1"/>
  <c r="AB407" i="3"/>
  <c r="AD407" i="3" s="1"/>
  <c r="AB337" i="3"/>
  <c r="AD337" i="3" s="1"/>
  <c r="AB358" i="3"/>
  <c r="AD358" i="3" s="1"/>
  <c r="AB363" i="3"/>
  <c r="AD363" i="3" s="1"/>
  <c r="AB388" i="3"/>
  <c r="AD388" i="3" s="1"/>
  <c r="AB228" i="3"/>
  <c r="AD228" i="3" s="1"/>
  <c r="AB82" i="3"/>
  <c r="AD82" i="3" s="1"/>
  <c r="AB17" i="3"/>
  <c r="AD17" i="3" s="1"/>
  <c r="AB29" i="3"/>
  <c r="AD29" i="3" s="1"/>
  <c r="AB42" i="3"/>
  <c r="AD42" i="3" s="1"/>
  <c r="AB357" i="3"/>
  <c r="AD357" i="3" s="1"/>
  <c r="AB373" i="3"/>
  <c r="AD373" i="3" s="1"/>
  <c r="AB396" i="3"/>
  <c r="AD396" i="3" s="1"/>
  <c r="AB26" i="3"/>
  <c r="AD26" i="3" s="1"/>
  <c r="AB39" i="3"/>
  <c r="AD39" i="3" s="1"/>
  <c r="AB58" i="3"/>
  <c r="AD58" i="3" s="1"/>
  <c r="AB85" i="3"/>
  <c r="AD85" i="3" s="1"/>
  <c r="AB341" i="3"/>
  <c r="AD341" i="3" s="1"/>
  <c r="AB302" i="3"/>
  <c r="AD302" i="3" s="1"/>
  <c r="AB151" i="3"/>
  <c r="AD151" i="3" s="1"/>
  <c r="AB207" i="3"/>
  <c r="AD207" i="3" s="1"/>
  <c r="AB221" i="3"/>
  <c r="AD221" i="3" s="1"/>
  <c r="AB281" i="3"/>
  <c r="AD281" i="3" s="1"/>
  <c r="AB99" i="3"/>
  <c r="AD99" i="3" s="1"/>
  <c r="AB75" i="3"/>
  <c r="AD75" i="3" s="1"/>
  <c r="AB100" i="3"/>
  <c r="AD100" i="3" s="1"/>
  <c r="AB116" i="3"/>
  <c r="AD116" i="3" s="1"/>
  <c r="AB133" i="3"/>
  <c r="AD133" i="3" s="1"/>
  <c r="AB156" i="3"/>
  <c r="AD156" i="3" s="1"/>
  <c r="AB382" i="3"/>
  <c r="AD382" i="3" s="1"/>
  <c r="AB266" i="3"/>
  <c r="AD266" i="3" s="1"/>
  <c r="AB13" i="3"/>
  <c r="AD13" i="3" s="1"/>
  <c r="AB31" i="3"/>
  <c r="AD31" i="3" s="1"/>
  <c r="AB90" i="3"/>
  <c r="AD90" i="3" s="1"/>
  <c r="AB106" i="3"/>
  <c r="AD106" i="3" s="1"/>
  <c r="AB125" i="3"/>
  <c r="AD125" i="3" s="1"/>
  <c r="AB155" i="3"/>
  <c r="AD155" i="3" s="1"/>
  <c r="AB177" i="3"/>
  <c r="AD177" i="3" s="1"/>
  <c r="AB356" i="3"/>
  <c r="AD356" i="3" s="1"/>
  <c r="AB377" i="3"/>
  <c r="AD377" i="3" s="1"/>
  <c r="AB213" i="3"/>
  <c r="AD213" i="3" s="1"/>
  <c r="AB150" i="3"/>
  <c r="AD150" i="3" s="1"/>
  <c r="AB233" i="3"/>
  <c r="AD233" i="3" s="1"/>
  <c r="AB69" i="3"/>
  <c r="AD69" i="3" s="1"/>
  <c r="AB87" i="3"/>
  <c r="AD87" i="3" s="1"/>
  <c r="AB109" i="3"/>
  <c r="AD109" i="3" s="1"/>
  <c r="AB121" i="3"/>
  <c r="AD121" i="3" s="1"/>
  <c r="AB139" i="3"/>
  <c r="AD139" i="3" s="1"/>
  <c r="AB127" i="3"/>
  <c r="AD127" i="3" s="1"/>
  <c r="AB265" i="3"/>
  <c r="AD265" i="3" s="1"/>
  <c r="AB144" i="3"/>
  <c r="AD144" i="3" s="1"/>
  <c r="AB173" i="3"/>
  <c r="AD173" i="3" s="1"/>
  <c r="AB8" i="3"/>
  <c r="AD8" i="3" s="1"/>
  <c r="AB331" i="3"/>
  <c r="AD331" i="3" s="1"/>
  <c r="AB354" i="3"/>
  <c r="AD354" i="3" s="1"/>
  <c r="AB403" i="3"/>
  <c r="AD403" i="3" s="1"/>
  <c r="AB225" i="3"/>
  <c r="AD225" i="3" s="1"/>
  <c r="AB61" i="3"/>
  <c r="AD61" i="3" s="1"/>
  <c r="AB204" i="3"/>
  <c r="AD204" i="3" s="1"/>
  <c r="AB224" i="3"/>
  <c r="AD224" i="3" s="1"/>
  <c r="AB242" i="3"/>
  <c r="AD242" i="3" s="1"/>
  <c r="AB260" i="3"/>
  <c r="AD260" i="3" s="1"/>
  <c r="AB251" i="3"/>
  <c r="AD251" i="3" s="1"/>
  <c r="AB196" i="3"/>
  <c r="AD196" i="3" s="1"/>
  <c r="AB295" i="3"/>
  <c r="AD295" i="3" s="1"/>
  <c r="AB115" i="3"/>
  <c r="AD115" i="3" s="1"/>
  <c r="AB132" i="3"/>
  <c r="AD132" i="3" s="1"/>
  <c r="AB154" i="3"/>
  <c r="AD154" i="3" s="1"/>
  <c r="AB338" i="3"/>
  <c r="AD338" i="3" s="1"/>
  <c r="AB114" i="3"/>
  <c r="AD114" i="3" s="1"/>
  <c r="AB131" i="3"/>
  <c r="AD131" i="3" s="1"/>
  <c r="AB147" i="3"/>
  <c r="AD147" i="3" s="1"/>
  <c r="AB170" i="3"/>
  <c r="AD170" i="3" s="1"/>
  <c r="AB192" i="3"/>
  <c r="AD192" i="3" s="1"/>
  <c r="AB208" i="3"/>
  <c r="AD208" i="3" s="1"/>
  <c r="AB256" i="3"/>
  <c r="AD256" i="3" s="1"/>
  <c r="AB278" i="3"/>
  <c r="AD278" i="3" s="1"/>
  <c r="AB178" i="3"/>
  <c r="AD178" i="3" s="1"/>
  <c r="AB200" i="3"/>
  <c r="AD200" i="3" s="1"/>
  <c r="AB220" i="3"/>
  <c r="AD220" i="3" s="1"/>
  <c r="AB238" i="3"/>
  <c r="AD238" i="3" s="1"/>
  <c r="AB254" i="3"/>
  <c r="AD254" i="3" s="1"/>
  <c r="AB148" i="3"/>
  <c r="AD148" i="3" s="1"/>
  <c r="AB161" i="3"/>
  <c r="AD161" i="3" s="1"/>
  <c r="AB183" i="3"/>
  <c r="AD183" i="3" s="1"/>
  <c r="AB405" i="3"/>
  <c r="AD405" i="3" s="1"/>
  <c r="AB104" i="3"/>
  <c r="AD104" i="3" s="1"/>
  <c r="AB119" i="3"/>
  <c r="AD119" i="3" s="1"/>
  <c r="AB130" i="3"/>
  <c r="AD130" i="3" s="1"/>
  <c r="AB153" i="3"/>
  <c r="AD153" i="3" s="1"/>
  <c r="AB395" i="3"/>
  <c r="AD395" i="3" s="1"/>
  <c r="AB214" i="3"/>
  <c r="AD214" i="3" s="1"/>
  <c r="AB248" i="3"/>
  <c r="AD248" i="3" s="1"/>
  <c r="AB6" i="3"/>
  <c r="AD6" i="3" s="1"/>
  <c r="AB21" i="3"/>
  <c r="AD21" i="3" s="1"/>
  <c r="AB88" i="3"/>
  <c r="AD88" i="3" s="1"/>
  <c r="AB111" i="3"/>
  <c r="AD111" i="3" s="1"/>
  <c r="AB172" i="3"/>
  <c r="AD172" i="3" s="1"/>
  <c r="AB393" i="3"/>
  <c r="AD393" i="3" s="1"/>
  <c r="AB80" i="3"/>
  <c r="AD80" i="3" s="1"/>
  <c r="AB10" i="3"/>
  <c r="AD10" i="3" s="1"/>
  <c r="AB261" i="3"/>
  <c r="AD261" i="3" s="1"/>
  <c r="AB287" i="3"/>
  <c r="AD287" i="3" s="1"/>
  <c r="AB94" i="3"/>
  <c r="AD94" i="3" s="1"/>
  <c r="AB108" i="3"/>
  <c r="AD108" i="3" s="1"/>
  <c r="AB126" i="3"/>
  <c r="AD126" i="3" s="1"/>
  <c r="AB142" i="3"/>
  <c r="AD142" i="3" s="1"/>
  <c r="AB230" i="3"/>
  <c r="AD230" i="3" s="1"/>
  <c r="AB120" i="3"/>
  <c r="AD120" i="3" s="1"/>
  <c r="AB135" i="3"/>
  <c r="AD135" i="3" s="1"/>
  <c r="AB311" i="3"/>
  <c r="AD311" i="3" s="1"/>
  <c r="AB304" i="3"/>
  <c r="AD304" i="3" s="1"/>
  <c r="AB285" i="3"/>
  <c r="AD285" i="3" s="1"/>
  <c r="AB65" i="3"/>
  <c r="AD65" i="3" s="1"/>
  <c r="AB84" i="3"/>
  <c r="AD84" i="3" s="1"/>
  <c r="AB59" i="3"/>
  <c r="AD59" i="3" s="1"/>
  <c r="AB71" i="3"/>
  <c r="AD71" i="3" s="1"/>
  <c r="AB78" i="3"/>
  <c r="AD78" i="3" s="1"/>
  <c r="AB101" i="3"/>
  <c r="AD101" i="3" s="1"/>
  <c r="AB5" i="3"/>
  <c r="AD5" i="3" s="1"/>
  <c r="AB19" i="3"/>
  <c r="AD19" i="3" s="1"/>
  <c r="AB33" i="3"/>
  <c r="AD33" i="3" s="1"/>
  <c r="AB47" i="3"/>
  <c r="AD47" i="3" s="1"/>
  <c r="AB68" i="3"/>
  <c r="AD68" i="3" s="1"/>
  <c r="AB229" i="3"/>
  <c r="AD229" i="3" s="1"/>
  <c r="AB268" i="3"/>
  <c r="AD268" i="3" s="1"/>
  <c r="AB280" i="3"/>
  <c r="AD280" i="3" s="1"/>
  <c r="AB297" i="3"/>
  <c r="AD297" i="3" s="1"/>
  <c r="AB319" i="3"/>
  <c r="AD319" i="3" s="1"/>
  <c r="AB49" i="3"/>
  <c r="AD49" i="3" s="1"/>
  <c r="AB72" i="3"/>
  <c r="AD72" i="3" s="1"/>
  <c r="AB145" i="3"/>
  <c r="AD145" i="3" s="1"/>
  <c r="AB399" i="3"/>
  <c r="AD399" i="3" s="1"/>
  <c r="AB336" i="3"/>
  <c r="AD336" i="3" s="1"/>
  <c r="AB352" i="3"/>
  <c r="AD352" i="3" s="1"/>
  <c r="AB375" i="3"/>
  <c r="AD375" i="3" s="1"/>
  <c r="AB66" i="3"/>
  <c r="AD66" i="3" s="1"/>
  <c r="AB187" i="3"/>
  <c r="AD187" i="3" s="1"/>
  <c r="AB247" i="3"/>
  <c r="AD247" i="3" s="1"/>
  <c r="AB102" i="3"/>
  <c r="AD102" i="3" s="1"/>
  <c r="AB12" i="3"/>
  <c r="AD12" i="3" s="1"/>
  <c r="AB46" i="3"/>
  <c r="AD46" i="3" s="1"/>
  <c r="AB282" i="3"/>
  <c r="AD282" i="3" s="1"/>
  <c r="AB303" i="3"/>
  <c r="AD303" i="3" s="1"/>
  <c r="AB165" i="3"/>
  <c r="AD165" i="3" s="1"/>
  <c r="AB191" i="3"/>
  <c r="AD191" i="3" s="1"/>
  <c r="AB209" i="3"/>
  <c r="AD209" i="3" s="1"/>
  <c r="AB349" i="3"/>
  <c r="AD349" i="3" s="1"/>
  <c r="AB223" i="3"/>
  <c r="AD223" i="3" s="1"/>
  <c r="AB9" i="3"/>
  <c r="AD9" i="3" s="1"/>
  <c r="AB24" i="3"/>
  <c r="AD24" i="3" s="1"/>
  <c r="AB37" i="3"/>
  <c r="AD37" i="3" s="1"/>
  <c r="AB51" i="3"/>
  <c r="AD51" i="3" s="1"/>
  <c r="AB271" i="3"/>
  <c r="AD271" i="3" s="1"/>
  <c r="AB241" i="3"/>
  <c r="AD241" i="3" s="1"/>
  <c r="AB232" i="3"/>
  <c r="AD232" i="3" s="1"/>
  <c r="AB149" i="3"/>
  <c r="AD149" i="3" s="1"/>
  <c r="AB277" i="3"/>
  <c r="AD277" i="3" s="1"/>
  <c r="AB43" i="3"/>
  <c r="AD43" i="3" s="1"/>
  <c r="AB64" i="3"/>
  <c r="AD64" i="3" s="1"/>
  <c r="AB186" i="3"/>
  <c r="AD186" i="3" s="1"/>
  <c r="AB189" i="3"/>
  <c r="AD189" i="3" s="1"/>
  <c r="AB312" i="3"/>
  <c r="AD312" i="3" s="1"/>
  <c r="AB402" i="3"/>
  <c r="AD402" i="3" s="1"/>
  <c r="AB93" i="3"/>
  <c r="AD93" i="3" s="1"/>
  <c r="AB246" i="3"/>
  <c r="AD246" i="3" s="1"/>
  <c r="AB23" i="3"/>
  <c r="AD23" i="3" s="1"/>
  <c r="AB35" i="3"/>
  <c r="AD35" i="3" s="1"/>
  <c r="AB57" i="3"/>
  <c r="AD57" i="3" s="1"/>
  <c r="AB77" i="3"/>
  <c r="AD77" i="3" s="1"/>
  <c r="AM308" i="3"/>
  <c r="AM279" i="3"/>
  <c r="AM294" i="3"/>
  <c r="AM309" i="3"/>
  <c r="AM316" i="3"/>
  <c r="AM339" i="3"/>
  <c r="AM205" i="3"/>
  <c r="AM227" i="3"/>
  <c r="AM60" i="3"/>
  <c r="AM81" i="3"/>
  <c r="AM95" i="3"/>
  <c r="AM112" i="3"/>
  <c r="AM124" i="3"/>
  <c r="AM138" i="3"/>
  <c r="AM163" i="3"/>
  <c r="AM273" i="3"/>
  <c r="AM290" i="3"/>
  <c r="AM305" i="3"/>
  <c r="AM330" i="3"/>
  <c r="AM353" i="3"/>
  <c r="AM292" i="3"/>
  <c r="AM321" i="3"/>
  <c r="AM152" i="3"/>
  <c r="AM113" i="3"/>
  <c r="AM129" i="3"/>
  <c r="AM197" i="3"/>
  <c r="AM210" i="3"/>
  <c r="AM301" i="3"/>
  <c r="AM159" i="3"/>
  <c r="AM216" i="3"/>
  <c r="AM40" i="3"/>
  <c r="AM381" i="3"/>
  <c r="AM89" i="3"/>
  <c r="AM30" i="3"/>
  <c r="AM52" i="3"/>
  <c r="AM211" i="3"/>
  <c r="AM249" i="3"/>
  <c r="AM236" i="3"/>
  <c r="AM255" i="3"/>
  <c r="AM313" i="3"/>
  <c r="AM193" i="3"/>
  <c r="AM335" i="3"/>
  <c r="AM118" i="3"/>
  <c r="AM134" i="3"/>
  <c r="AM146" i="3"/>
  <c r="AM365" i="3"/>
  <c r="AM48" i="3"/>
  <c r="AM70" i="3"/>
  <c r="AM74" i="3"/>
  <c r="AM97" i="3"/>
  <c r="AM400" i="3"/>
  <c r="AM253" i="3"/>
  <c r="AM275" i="3"/>
  <c r="AM322" i="3"/>
  <c r="AM175" i="3"/>
  <c r="AM98" i="3"/>
  <c r="AM62" i="3"/>
  <c r="AM83" i="3"/>
  <c r="AM168" i="3"/>
  <c r="AM327" i="3"/>
  <c r="AM346" i="3"/>
  <c r="AM372" i="3"/>
  <c r="AM389" i="3"/>
  <c r="AM283" i="3"/>
  <c r="AM226" i="3"/>
  <c r="AM243" i="3"/>
  <c r="AM267" i="3"/>
  <c r="AM289" i="3"/>
  <c r="AM326" i="3"/>
  <c r="AM347" i="3"/>
  <c r="AM378" i="3"/>
  <c r="AM166" i="3"/>
  <c r="AM179" i="3"/>
  <c r="AM198" i="3"/>
  <c r="AM215" i="3"/>
  <c r="AM234" i="3"/>
  <c r="AM252" i="3"/>
  <c r="AM272" i="3"/>
  <c r="AM288" i="3"/>
  <c r="AM245" i="3"/>
  <c r="AM258" i="3"/>
  <c r="AM360" i="3"/>
  <c r="AM383" i="3"/>
  <c r="AM406" i="3"/>
  <c r="AM181" i="3"/>
  <c r="AM53" i="3"/>
  <c r="AM315" i="3"/>
  <c r="AM362" i="3"/>
  <c r="AM284" i="3"/>
  <c r="AM361" i="3"/>
  <c r="AM380" i="3"/>
  <c r="AM394" i="3"/>
  <c r="AM333" i="3"/>
  <c r="AM128" i="3"/>
  <c r="AM141" i="3"/>
  <c r="AM160" i="3"/>
  <c r="AM182" i="3"/>
  <c r="AM91" i="3"/>
  <c r="AM110" i="3"/>
  <c r="AM199" i="3"/>
  <c r="AM217" i="3"/>
  <c r="AM235" i="3"/>
  <c r="AM202" i="3"/>
  <c r="AM218" i="3"/>
  <c r="AM237" i="3"/>
  <c r="AM259" i="3"/>
  <c r="AM364" i="3"/>
  <c r="AM351" i="3"/>
  <c r="AM379" i="3"/>
  <c r="AM404" i="3"/>
  <c r="AM300" i="3"/>
  <c r="AM320" i="3"/>
  <c r="AM143" i="3"/>
  <c r="AM167" i="3"/>
  <c r="AM117" i="3"/>
  <c r="AM4" i="3"/>
  <c r="AM22" i="3"/>
  <c r="AM32" i="3"/>
  <c r="AM50" i="3"/>
  <c r="AM73" i="3"/>
  <c r="AM157" i="3"/>
  <c r="AM194" i="3"/>
  <c r="AM366" i="3"/>
  <c r="AM401" i="3"/>
  <c r="AM171" i="3"/>
  <c r="AM188" i="3"/>
  <c r="AM195" i="3"/>
  <c r="AM342" i="3"/>
  <c r="AM222" i="3"/>
  <c r="AM240" i="3"/>
  <c r="AM390" i="3"/>
  <c r="AM340" i="3"/>
  <c r="AM184" i="3"/>
  <c r="AM203" i="3"/>
  <c r="AM334" i="3"/>
  <c r="AM350" i="3"/>
  <c r="AM371" i="3"/>
  <c r="AM391" i="3"/>
  <c r="AM45" i="3"/>
  <c r="AM67" i="3"/>
  <c r="AM86" i="3"/>
  <c r="AM107" i="3"/>
  <c r="AM123" i="3"/>
  <c r="AM296" i="3"/>
  <c r="AM2" i="3"/>
  <c r="AM18" i="3"/>
  <c r="AM231" i="3"/>
  <c r="AM180" i="3"/>
  <c r="AM219" i="3"/>
  <c r="AM239" i="3"/>
  <c r="AM174" i="3"/>
  <c r="AM257" i="3"/>
  <c r="AM276" i="3"/>
  <c r="AM323" i="3"/>
  <c r="AM79" i="3"/>
  <c r="AM96" i="3"/>
  <c r="AM7" i="3"/>
  <c r="AM274" i="3"/>
  <c r="AM16" i="3"/>
  <c r="AM291" i="3"/>
  <c r="AM317" i="3"/>
  <c r="AM263" i="3"/>
  <c r="AM328" i="3"/>
  <c r="AM345" i="3"/>
  <c r="AM370" i="3"/>
  <c r="AM392" i="3"/>
  <c r="AM325" i="3"/>
  <c r="AM344" i="3"/>
  <c r="AM367" i="3"/>
  <c r="AM385" i="3"/>
  <c r="AM201" i="3"/>
  <c r="AM27" i="3"/>
  <c r="AM36" i="3"/>
  <c r="AM55" i="3"/>
  <c r="AM329" i="3"/>
  <c r="AM348" i="3"/>
  <c r="AM398" i="3"/>
  <c r="AM92" i="3"/>
  <c r="AM105" i="3"/>
  <c r="AM122" i="3"/>
  <c r="AM136" i="3"/>
  <c r="AM158" i="3"/>
  <c r="AM307" i="3"/>
  <c r="AM355" i="3"/>
  <c r="AM376" i="3"/>
  <c r="AM397" i="3"/>
  <c r="AM293" i="3"/>
  <c r="AM310" i="3"/>
  <c r="AM269" i="3"/>
  <c r="AM374" i="3"/>
  <c r="AM386" i="3"/>
  <c r="AM270" i="3"/>
  <c r="AM286" i="3"/>
  <c r="AM369" i="3"/>
  <c r="AM387" i="3"/>
  <c r="AM332" i="3"/>
  <c r="AM11" i="3"/>
  <c r="AM25" i="3"/>
  <c r="AM38" i="3"/>
  <c r="AM63" i="3"/>
  <c r="AM140" i="3"/>
  <c r="AM164" i="3"/>
  <c r="AM264" i="3"/>
  <c r="AM137" i="3"/>
  <c r="AM162" i="3"/>
  <c r="AM206" i="3"/>
  <c r="AM169" i="3"/>
  <c r="AM185" i="3"/>
  <c r="AM212" i="3"/>
  <c r="AM408" i="3"/>
  <c r="AM176" i="3"/>
  <c r="AM343" i="3"/>
  <c r="AM318" i="3"/>
  <c r="AM359" i="3"/>
  <c r="AM14" i="3"/>
  <c r="AM299" i="3"/>
  <c r="AM298" i="3"/>
  <c r="AM324" i="3"/>
  <c r="AM368" i="3"/>
  <c r="AM384" i="3"/>
  <c r="AM15" i="3"/>
  <c r="AM28" i="3"/>
  <c r="AM44" i="3"/>
  <c r="AM409" i="3"/>
  <c r="AM3" i="3"/>
  <c r="AM20" i="3"/>
  <c r="AM34" i="3"/>
  <c r="AM250" i="3"/>
  <c r="AM190" i="3"/>
  <c r="AM314" i="3"/>
  <c r="AM244" i="3"/>
  <c r="AM262" i="3"/>
  <c r="AM306" i="3"/>
  <c r="AM41" i="3"/>
  <c r="AM56" i="3"/>
  <c r="AM54" i="3"/>
  <c r="AM76" i="3"/>
  <c r="AM103" i="3"/>
  <c r="AM407" i="3"/>
  <c r="AM337" i="3"/>
  <c r="AM358" i="3"/>
  <c r="AM363" i="3"/>
  <c r="AM388" i="3"/>
  <c r="AM228" i="3"/>
  <c r="AM82" i="3"/>
  <c r="AM17" i="3"/>
  <c r="AM29" i="3"/>
  <c r="AM42" i="3"/>
  <c r="AM357" i="3"/>
  <c r="AM373" i="3"/>
  <c r="AM396" i="3"/>
  <c r="AM26" i="3"/>
  <c r="AM39" i="3"/>
  <c r="AM58" i="3"/>
  <c r="AM85" i="3"/>
  <c r="AM341" i="3"/>
  <c r="AM302" i="3"/>
  <c r="AM151" i="3"/>
  <c r="AM207" i="3"/>
  <c r="AM221" i="3"/>
  <c r="AM281" i="3"/>
  <c r="AM99" i="3"/>
  <c r="AM75" i="3"/>
  <c r="AM100" i="3"/>
  <c r="AM116" i="3"/>
  <c r="AM133" i="3"/>
  <c r="AM156" i="3"/>
  <c r="AM382" i="3"/>
  <c r="AM266" i="3"/>
  <c r="AM13" i="3"/>
  <c r="AM31" i="3"/>
  <c r="AM90" i="3"/>
  <c r="AM106" i="3"/>
  <c r="AM125" i="3"/>
  <c r="AM155" i="3"/>
  <c r="AM177" i="3"/>
  <c r="AM356" i="3"/>
  <c r="AM377" i="3"/>
  <c r="AM213" i="3"/>
  <c r="AM150" i="3"/>
  <c r="AM233" i="3"/>
  <c r="AM69" i="3"/>
  <c r="AM87" i="3"/>
  <c r="AM109" i="3"/>
  <c r="AM121" i="3"/>
  <c r="AM139" i="3"/>
  <c r="AM127" i="3"/>
  <c r="AM265" i="3"/>
  <c r="AM144" i="3"/>
  <c r="AM173" i="3"/>
  <c r="AM8" i="3"/>
  <c r="AM331" i="3"/>
  <c r="AM354" i="3"/>
  <c r="AM403" i="3"/>
  <c r="AM225" i="3"/>
  <c r="AM61" i="3"/>
  <c r="AM204" i="3"/>
  <c r="AM224" i="3"/>
  <c r="AM242" i="3"/>
  <c r="AM260" i="3"/>
  <c r="AM251" i="3"/>
  <c r="AM196" i="3"/>
  <c r="AM295" i="3"/>
  <c r="AM115" i="3"/>
  <c r="AM132" i="3"/>
  <c r="AM154" i="3"/>
  <c r="AM338" i="3"/>
  <c r="AM114" i="3"/>
  <c r="AM131" i="3"/>
  <c r="AM147" i="3"/>
  <c r="AM170" i="3"/>
  <c r="AM192" i="3"/>
  <c r="AM208" i="3"/>
  <c r="AM256" i="3"/>
  <c r="AM278" i="3"/>
  <c r="AM178" i="3"/>
  <c r="AM200" i="3"/>
  <c r="AM220" i="3"/>
  <c r="AM238" i="3"/>
  <c r="AM254" i="3"/>
  <c r="AM148" i="3"/>
  <c r="AM161" i="3"/>
  <c r="AM183" i="3"/>
  <c r="AM405" i="3"/>
  <c r="AM104" i="3"/>
  <c r="AM119" i="3"/>
  <c r="AM130" i="3"/>
  <c r="AM153" i="3"/>
  <c r="AM395" i="3"/>
  <c r="AM214" i="3"/>
  <c r="AM248" i="3"/>
  <c r="AM6" i="3"/>
  <c r="AM21" i="3"/>
  <c r="AM88" i="3"/>
  <c r="AM111" i="3"/>
  <c r="AM172" i="3"/>
  <c r="AM393" i="3"/>
  <c r="AM80" i="3"/>
  <c r="AM10" i="3"/>
  <c r="AM261" i="3"/>
  <c r="AM287" i="3"/>
  <c r="AM94" i="3"/>
  <c r="AM108" i="3"/>
  <c r="AM126" i="3"/>
  <c r="AM142" i="3"/>
  <c r="AM230" i="3"/>
  <c r="AM120" i="3"/>
  <c r="AM135" i="3"/>
  <c r="AM311" i="3"/>
  <c r="AM304" i="3"/>
  <c r="AM285" i="3"/>
  <c r="AM65" i="3"/>
  <c r="AM84" i="3"/>
  <c r="AM59" i="3"/>
  <c r="AM71" i="3"/>
  <c r="AM78" i="3"/>
  <c r="AM101" i="3"/>
  <c r="AM5" i="3"/>
  <c r="AM19" i="3"/>
  <c r="AM33" i="3"/>
  <c r="AM47" i="3"/>
  <c r="AM68" i="3"/>
  <c r="AM229" i="3"/>
  <c r="AM268" i="3"/>
  <c r="AM280" i="3"/>
  <c r="AM297" i="3"/>
  <c r="AM319" i="3"/>
  <c r="AM49" i="3"/>
  <c r="AM72" i="3"/>
  <c r="AM145" i="3"/>
  <c r="AM399" i="3"/>
  <c r="AM336" i="3"/>
  <c r="AM352" i="3"/>
  <c r="AM375" i="3"/>
  <c r="AM66" i="3"/>
  <c r="AM187" i="3"/>
  <c r="AM247" i="3"/>
  <c r="AM102" i="3"/>
  <c r="AM12" i="3"/>
  <c r="AM46" i="3"/>
  <c r="AM282" i="3"/>
  <c r="AM303" i="3"/>
  <c r="AM165" i="3"/>
  <c r="AM191" i="3"/>
  <c r="AM209" i="3"/>
  <c r="AM349" i="3"/>
  <c r="AM223" i="3"/>
  <c r="AM9" i="3"/>
  <c r="AM24" i="3"/>
  <c r="AM37" i="3"/>
  <c r="AM51" i="3"/>
  <c r="AM271" i="3"/>
  <c r="AM241" i="3"/>
  <c r="AM232" i="3"/>
  <c r="AM149" i="3"/>
  <c r="AM277" i="3"/>
  <c r="AM43" i="3"/>
  <c r="AM64" i="3"/>
  <c r="AM186" i="3"/>
  <c r="AM189" i="3"/>
  <c r="AM312" i="3"/>
  <c r="AM402" i="3"/>
  <c r="AM93" i="3"/>
  <c r="AM246" i="3"/>
  <c r="AM23" i="3"/>
  <c r="AM35" i="3"/>
  <c r="AM57" i="3"/>
  <c r="AM77" i="3"/>
  <c r="AJ308" i="3"/>
  <c r="AK308" i="3" s="1"/>
  <c r="AJ279" i="3"/>
  <c r="AK279" i="3" s="1"/>
  <c r="AJ294" i="3"/>
  <c r="AK294" i="3" s="1"/>
  <c r="AJ309" i="3"/>
  <c r="AK309" i="3" s="1"/>
  <c r="AJ316" i="3"/>
  <c r="AK316" i="3" s="1"/>
  <c r="AJ339" i="3"/>
  <c r="AK339" i="3" s="1"/>
  <c r="AJ205" i="3"/>
  <c r="AK205" i="3" s="1"/>
  <c r="AJ227" i="3"/>
  <c r="AK227" i="3" s="1"/>
  <c r="AJ60" i="3"/>
  <c r="AK60" i="3" s="1"/>
  <c r="AJ81" i="3"/>
  <c r="AK81" i="3" s="1"/>
  <c r="AJ95" i="3"/>
  <c r="AK95" i="3" s="1"/>
  <c r="AJ112" i="3"/>
  <c r="AK112" i="3" s="1"/>
  <c r="AJ124" i="3"/>
  <c r="AK124" i="3" s="1"/>
  <c r="AJ138" i="3"/>
  <c r="AK138" i="3" s="1"/>
  <c r="AJ163" i="3"/>
  <c r="AK163" i="3" s="1"/>
  <c r="AJ273" i="3"/>
  <c r="AK273" i="3" s="1"/>
  <c r="AJ290" i="3"/>
  <c r="AK290" i="3" s="1"/>
  <c r="AJ305" i="3"/>
  <c r="AK305" i="3" s="1"/>
  <c r="AJ330" i="3"/>
  <c r="AK330" i="3" s="1"/>
  <c r="AJ353" i="3"/>
  <c r="AK353" i="3" s="1"/>
  <c r="AJ292" i="3"/>
  <c r="AK292" i="3" s="1"/>
  <c r="AJ321" i="3"/>
  <c r="AK321" i="3" s="1"/>
  <c r="AJ152" i="3"/>
  <c r="AK152" i="3" s="1"/>
  <c r="AJ113" i="3"/>
  <c r="AK113" i="3" s="1"/>
  <c r="AJ129" i="3"/>
  <c r="AK129" i="3" s="1"/>
  <c r="AJ197" i="3"/>
  <c r="AK197" i="3" s="1"/>
  <c r="AJ210" i="3"/>
  <c r="AK210" i="3" s="1"/>
  <c r="AJ301" i="3"/>
  <c r="AK301" i="3" s="1"/>
  <c r="AJ159" i="3"/>
  <c r="AK159" i="3" s="1"/>
  <c r="AJ216" i="3"/>
  <c r="AK216" i="3" s="1"/>
  <c r="AJ40" i="3"/>
  <c r="AK40" i="3" s="1"/>
  <c r="AJ381" i="3"/>
  <c r="AK381" i="3" s="1"/>
  <c r="AJ89" i="3"/>
  <c r="AK89" i="3" s="1"/>
  <c r="AJ30" i="3"/>
  <c r="AK30" i="3" s="1"/>
  <c r="AJ52" i="3"/>
  <c r="AK52" i="3" s="1"/>
  <c r="AJ211" i="3"/>
  <c r="AK211" i="3" s="1"/>
  <c r="AJ249" i="3"/>
  <c r="AK249" i="3" s="1"/>
  <c r="AJ236" i="3"/>
  <c r="AK236" i="3" s="1"/>
  <c r="AJ255" i="3"/>
  <c r="AK255" i="3" s="1"/>
  <c r="AJ313" i="3"/>
  <c r="AK313" i="3" s="1"/>
  <c r="AJ193" i="3"/>
  <c r="AK193" i="3" s="1"/>
  <c r="AJ335" i="3"/>
  <c r="AK335" i="3" s="1"/>
  <c r="AJ118" i="3"/>
  <c r="AK118" i="3" s="1"/>
  <c r="AJ134" i="3"/>
  <c r="AK134" i="3" s="1"/>
  <c r="AJ146" i="3"/>
  <c r="AK146" i="3" s="1"/>
  <c r="AJ365" i="3"/>
  <c r="AK365" i="3" s="1"/>
  <c r="AJ48" i="3"/>
  <c r="AK48" i="3" s="1"/>
  <c r="AJ70" i="3"/>
  <c r="AK70" i="3" s="1"/>
  <c r="AJ74" i="3"/>
  <c r="AK74" i="3" s="1"/>
  <c r="AJ97" i="3"/>
  <c r="AK97" i="3" s="1"/>
  <c r="AJ400" i="3"/>
  <c r="AK400" i="3" s="1"/>
  <c r="AJ253" i="3"/>
  <c r="AK253" i="3" s="1"/>
  <c r="AJ275" i="3"/>
  <c r="AK275" i="3" s="1"/>
  <c r="AJ322" i="3"/>
  <c r="AK322" i="3" s="1"/>
  <c r="AJ175" i="3"/>
  <c r="AK175" i="3" s="1"/>
  <c r="AJ98" i="3"/>
  <c r="AK98" i="3" s="1"/>
  <c r="AJ62" i="3"/>
  <c r="AK62" i="3" s="1"/>
  <c r="AJ83" i="3"/>
  <c r="AK83" i="3" s="1"/>
  <c r="AJ168" i="3"/>
  <c r="AK168" i="3" s="1"/>
  <c r="AJ327" i="3"/>
  <c r="AK327" i="3" s="1"/>
  <c r="AJ346" i="3"/>
  <c r="AK346" i="3" s="1"/>
  <c r="AJ372" i="3"/>
  <c r="AK372" i="3" s="1"/>
  <c r="AJ389" i="3"/>
  <c r="AK389" i="3" s="1"/>
  <c r="AJ283" i="3"/>
  <c r="AK283" i="3" s="1"/>
  <c r="AJ226" i="3"/>
  <c r="AK226" i="3" s="1"/>
  <c r="AJ243" i="3"/>
  <c r="AK243" i="3" s="1"/>
  <c r="AJ267" i="3"/>
  <c r="AK267" i="3" s="1"/>
  <c r="AJ289" i="3"/>
  <c r="AK289" i="3" s="1"/>
  <c r="AJ326" i="3"/>
  <c r="AK326" i="3" s="1"/>
  <c r="AJ347" i="3"/>
  <c r="AK347" i="3" s="1"/>
  <c r="AJ378" i="3"/>
  <c r="AK378" i="3" s="1"/>
  <c r="AJ166" i="3"/>
  <c r="AK166" i="3" s="1"/>
  <c r="AJ179" i="3"/>
  <c r="AK179" i="3" s="1"/>
  <c r="AJ198" i="3"/>
  <c r="AK198" i="3" s="1"/>
  <c r="AJ215" i="3"/>
  <c r="AK215" i="3" s="1"/>
  <c r="AJ234" i="3"/>
  <c r="AK234" i="3" s="1"/>
  <c r="AJ252" i="3"/>
  <c r="AK252" i="3" s="1"/>
  <c r="AJ272" i="3"/>
  <c r="AK272" i="3" s="1"/>
  <c r="AJ288" i="3"/>
  <c r="AK288" i="3" s="1"/>
  <c r="AJ245" i="3"/>
  <c r="AK245" i="3" s="1"/>
  <c r="AJ258" i="3"/>
  <c r="AK258" i="3" s="1"/>
  <c r="AJ360" i="3"/>
  <c r="AK360" i="3" s="1"/>
  <c r="AJ383" i="3"/>
  <c r="AK383" i="3" s="1"/>
  <c r="AJ406" i="3"/>
  <c r="AK406" i="3" s="1"/>
  <c r="AJ181" i="3"/>
  <c r="AK181" i="3" s="1"/>
  <c r="AJ53" i="3"/>
  <c r="AK53" i="3" s="1"/>
  <c r="AJ315" i="3"/>
  <c r="AK315" i="3" s="1"/>
  <c r="AJ362" i="3"/>
  <c r="AK362" i="3" s="1"/>
  <c r="AJ284" i="3"/>
  <c r="AK284" i="3" s="1"/>
  <c r="AJ361" i="3"/>
  <c r="AK361" i="3" s="1"/>
  <c r="AJ380" i="3"/>
  <c r="AK380" i="3" s="1"/>
  <c r="AJ394" i="3"/>
  <c r="AK394" i="3" s="1"/>
  <c r="AJ333" i="3"/>
  <c r="AK333" i="3" s="1"/>
  <c r="AJ128" i="3"/>
  <c r="AK128" i="3" s="1"/>
  <c r="AJ141" i="3"/>
  <c r="AK141" i="3" s="1"/>
  <c r="AJ160" i="3"/>
  <c r="AK160" i="3" s="1"/>
  <c r="AJ182" i="3"/>
  <c r="AK182" i="3" s="1"/>
  <c r="AJ91" i="3"/>
  <c r="AK91" i="3" s="1"/>
  <c r="AJ110" i="3"/>
  <c r="AK110" i="3" s="1"/>
  <c r="AJ199" i="3"/>
  <c r="AK199" i="3" s="1"/>
  <c r="AJ217" i="3"/>
  <c r="AK217" i="3" s="1"/>
  <c r="AJ235" i="3"/>
  <c r="AK235" i="3" s="1"/>
  <c r="AJ202" i="3"/>
  <c r="AK202" i="3" s="1"/>
  <c r="AJ218" i="3"/>
  <c r="AK218" i="3" s="1"/>
  <c r="AJ237" i="3"/>
  <c r="AK237" i="3" s="1"/>
  <c r="AJ259" i="3"/>
  <c r="AK259" i="3" s="1"/>
  <c r="AJ364" i="3"/>
  <c r="AK364" i="3" s="1"/>
  <c r="AJ351" i="3"/>
  <c r="AK351" i="3" s="1"/>
  <c r="AJ379" i="3"/>
  <c r="AK379" i="3" s="1"/>
  <c r="AJ404" i="3"/>
  <c r="AK404" i="3" s="1"/>
  <c r="AJ300" i="3"/>
  <c r="AK300" i="3" s="1"/>
  <c r="AJ320" i="3"/>
  <c r="AK320" i="3" s="1"/>
  <c r="AJ143" i="3"/>
  <c r="AK143" i="3" s="1"/>
  <c r="AJ167" i="3"/>
  <c r="AK167" i="3" s="1"/>
  <c r="AJ117" i="3"/>
  <c r="AK117" i="3" s="1"/>
  <c r="AJ4" i="3"/>
  <c r="AK4" i="3" s="1"/>
  <c r="AJ22" i="3"/>
  <c r="AK22" i="3" s="1"/>
  <c r="AJ32" i="3"/>
  <c r="AK32" i="3" s="1"/>
  <c r="AJ50" i="3"/>
  <c r="AK50" i="3" s="1"/>
  <c r="AJ73" i="3"/>
  <c r="AK73" i="3" s="1"/>
  <c r="AJ157" i="3"/>
  <c r="AK157" i="3" s="1"/>
  <c r="AJ194" i="3"/>
  <c r="AK194" i="3" s="1"/>
  <c r="AJ366" i="3"/>
  <c r="AK366" i="3" s="1"/>
  <c r="AJ401" i="3"/>
  <c r="AK401" i="3" s="1"/>
  <c r="AJ171" i="3"/>
  <c r="AK171" i="3" s="1"/>
  <c r="AJ188" i="3"/>
  <c r="AK188" i="3" s="1"/>
  <c r="AJ195" i="3"/>
  <c r="AK195" i="3" s="1"/>
  <c r="AJ342" i="3"/>
  <c r="AK342" i="3" s="1"/>
  <c r="AJ222" i="3"/>
  <c r="AK222" i="3" s="1"/>
  <c r="AJ240" i="3"/>
  <c r="AK240" i="3" s="1"/>
  <c r="AJ390" i="3"/>
  <c r="AK390" i="3" s="1"/>
  <c r="AJ340" i="3"/>
  <c r="AK340" i="3" s="1"/>
  <c r="AJ184" i="3"/>
  <c r="AK184" i="3" s="1"/>
  <c r="AJ203" i="3"/>
  <c r="AK203" i="3" s="1"/>
  <c r="AJ334" i="3"/>
  <c r="AK334" i="3" s="1"/>
  <c r="AJ350" i="3"/>
  <c r="AK350" i="3" s="1"/>
  <c r="AJ371" i="3"/>
  <c r="AK371" i="3" s="1"/>
  <c r="AJ391" i="3"/>
  <c r="AK391" i="3" s="1"/>
  <c r="AJ45" i="3"/>
  <c r="AK45" i="3" s="1"/>
  <c r="AJ67" i="3"/>
  <c r="AK67" i="3" s="1"/>
  <c r="AJ86" i="3"/>
  <c r="AK86" i="3" s="1"/>
  <c r="AJ107" i="3"/>
  <c r="AK107" i="3" s="1"/>
  <c r="AJ123" i="3"/>
  <c r="AK123" i="3" s="1"/>
  <c r="AJ296" i="3"/>
  <c r="AK296" i="3" s="1"/>
  <c r="AJ2" i="3"/>
  <c r="AK2" i="3" s="1"/>
  <c r="AJ18" i="3"/>
  <c r="AK18" i="3" s="1"/>
  <c r="AJ231" i="3"/>
  <c r="AK231" i="3" s="1"/>
  <c r="AJ180" i="3"/>
  <c r="AK180" i="3" s="1"/>
  <c r="AJ219" i="3"/>
  <c r="AK219" i="3" s="1"/>
  <c r="AJ239" i="3"/>
  <c r="AK239" i="3" s="1"/>
  <c r="AJ174" i="3"/>
  <c r="AK174" i="3" s="1"/>
  <c r="AJ257" i="3"/>
  <c r="AK257" i="3" s="1"/>
  <c r="AJ276" i="3"/>
  <c r="AK276" i="3" s="1"/>
  <c r="AJ323" i="3"/>
  <c r="AK323" i="3" s="1"/>
  <c r="AJ79" i="3"/>
  <c r="AK79" i="3" s="1"/>
  <c r="AJ96" i="3"/>
  <c r="AK96" i="3" s="1"/>
  <c r="AJ7" i="3"/>
  <c r="AK7" i="3" s="1"/>
  <c r="AJ274" i="3"/>
  <c r="AK274" i="3" s="1"/>
  <c r="AJ16" i="3"/>
  <c r="AK16" i="3" s="1"/>
  <c r="AJ291" i="3"/>
  <c r="AK291" i="3" s="1"/>
  <c r="AJ317" i="3"/>
  <c r="AK317" i="3" s="1"/>
  <c r="AJ263" i="3"/>
  <c r="AK263" i="3" s="1"/>
  <c r="AJ328" i="3"/>
  <c r="AK328" i="3" s="1"/>
  <c r="AJ345" i="3"/>
  <c r="AK345" i="3" s="1"/>
  <c r="AJ370" i="3"/>
  <c r="AK370" i="3" s="1"/>
  <c r="AJ392" i="3"/>
  <c r="AK392" i="3" s="1"/>
  <c r="AJ325" i="3"/>
  <c r="AK325" i="3" s="1"/>
  <c r="AJ344" i="3"/>
  <c r="AK344" i="3" s="1"/>
  <c r="AJ367" i="3"/>
  <c r="AK367" i="3" s="1"/>
  <c r="AJ385" i="3"/>
  <c r="AK385" i="3" s="1"/>
  <c r="AJ201" i="3"/>
  <c r="AK201" i="3" s="1"/>
  <c r="AJ27" i="3"/>
  <c r="AK27" i="3" s="1"/>
  <c r="AJ36" i="3"/>
  <c r="AK36" i="3" s="1"/>
  <c r="AJ55" i="3"/>
  <c r="AK55" i="3" s="1"/>
  <c r="AJ329" i="3"/>
  <c r="AK329" i="3" s="1"/>
  <c r="AJ348" i="3"/>
  <c r="AK348" i="3" s="1"/>
  <c r="AJ398" i="3"/>
  <c r="AK398" i="3" s="1"/>
  <c r="AJ92" i="3"/>
  <c r="AK92" i="3" s="1"/>
  <c r="AJ105" i="3"/>
  <c r="AK105" i="3" s="1"/>
  <c r="AJ122" i="3"/>
  <c r="AK122" i="3" s="1"/>
  <c r="AJ136" i="3"/>
  <c r="AK136" i="3" s="1"/>
  <c r="AJ158" i="3"/>
  <c r="AK158" i="3" s="1"/>
  <c r="AJ307" i="3"/>
  <c r="AK307" i="3" s="1"/>
  <c r="AJ355" i="3"/>
  <c r="AK355" i="3" s="1"/>
  <c r="AJ376" i="3"/>
  <c r="AK376" i="3" s="1"/>
  <c r="AJ397" i="3"/>
  <c r="AK397" i="3" s="1"/>
  <c r="AJ293" i="3"/>
  <c r="AK293" i="3" s="1"/>
  <c r="AJ310" i="3"/>
  <c r="AK310" i="3" s="1"/>
  <c r="AJ269" i="3"/>
  <c r="AK269" i="3" s="1"/>
  <c r="AJ374" i="3"/>
  <c r="AK374" i="3" s="1"/>
  <c r="AJ386" i="3"/>
  <c r="AK386" i="3" s="1"/>
  <c r="AJ270" i="3"/>
  <c r="AK270" i="3" s="1"/>
  <c r="AJ286" i="3"/>
  <c r="AK286" i="3" s="1"/>
  <c r="AJ369" i="3"/>
  <c r="AK369" i="3" s="1"/>
  <c r="AJ387" i="3"/>
  <c r="AK387" i="3" s="1"/>
  <c r="AJ332" i="3"/>
  <c r="AK332" i="3" s="1"/>
  <c r="AJ11" i="3"/>
  <c r="AK11" i="3" s="1"/>
  <c r="AJ25" i="3"/>
  <c r="AK25" i="3" s="1"/>
  <c r="AJ38" i="3"/>
  <c r="AK38" i="3" s="1"/>
  <c r="AJ63" i="3"/>
  <c r="AK63" i="3" s="1"/>
  <c r="AJ140" i="3"/>
  <c r="AK140" i="3" s="1"/>
  <c r="AJ164" i="3"/>
  <c r="AK164" i="3" s="1"/>
  <c r="AJ264" i="3"/>
  <c r="AK264" i="3" s="1"/>
  <c r="AJ137" i="3"/>
  <c r="AK137" i="3" s="1"/>
  <c r="AJ162" i="3"/>
  <c r="AK162" i="3" s="1"/>
  <c r="AJ206" i="3"/>
  <c r="AK206" i="3" s="1"/>
  <c r="AJ169" i="3"/>
  <c r="AK169" i="3" s="1"/>
  <c r="AJ185" i="3"/>
  <c r="AK185" i="3" s="1"/>
  <c r="AJ212" i="3"/>
  <c r="AK212" i="3" s="1"/>
  <c r="AJ408" i="3"/>
  <c r="AK408" i="3" s="1"/>
  <c r="AJ176" i="3"/>
  <c r="AK176" i="3" s="1"/>
  <c r="AJ343" i="3"/>
  <c r="AK343" i="3" s="1"/>
  <c r="AJ318" i="3"/>
  <c r="AK318" i="3" s="1"/>
  <c r="AJ359" i="3"/>
  <c r="AK359" i="3" s="1"/>
  <c r="AJ14" i="3"/>
  <c r="AK14" i="3" s="1"/>
  <c r="AJ299" i="3"/>
  <c r="AK299" i="3" s="1"/>
  <c r="AJ298" i="3"/>
  <c r="AK298" i="3" s="1"/>
  <c r="AJ324" i="3"/>
  <c r="AK324" i="3" s="1"/>
  <c r="AJ368" i="3"/>
  <c r="AK368" i="3" s="1"/>
  <c r="AJ384" i="3"/>
  <c r="AK384" i="3" s="1"/>
  <c r="AJ15" i="3"/>
  <c r="AK15" i="3" s="1"/>
  <c r="AJ28" i="3"/>
  <c r="AK28" i="3" s="1"/>
  <c r="AJ44" i="3"/>
  <c r="AK44" i="3" s="1"/>
  <c r="AJ409" i="3"/>
  <c r="AK409" i="3" s="1"/>
  <c r="AJ3" i="3"/>
  <c r="AK3" i="3" s="1"/>
  <c r="AJ20" i="3"/>
  <c r="AK20" i="3" s="1"/>
  <c r="AJ34" i="3"/>
  <c r="AK34" i="3" s="1"/>
  <c r="AJ250" i="3"/>
  <c r="AK250" i="3" s="1"/>
  <c r="AJ190" i="3"/>
  <c r="AK190" i="3" s="1"/>
  <c r="AJ314" i="3"/>
  <c r="AK314" i="3" s="1"/>
  <c r="AJ244" i="3"/>
  <c r="AK244" i="3" s="1"/>
  <c r="AJ262" i="3"/>
  <c r="AK262" i="3" s="1"/>
  <c r="AJ306" i="3"/>
  <c r="AK306" i="3" s="1"/>
  <c r="AJ41" i="3"/>
  <c r="AK41" i="3" s="1"/>
  <c r="AJ56" i="3"/>
  <c r="AK56" i="3" s="1"/>
  <c r="AJ54" i="3"/>
  <c r="AK54" i="3" s="1"/>
  <c r="AJ76" i="3"/>
  <c r="AK76" i="3" s="1"/>
  <c r="AJ103" i="3"/>
  <c r="AK103" i="3" s="1"/>
  <c r="AJ407" i="3"/>
  <c r="AK407" i="3" s="1"/>
  <c r="AJ337" i="3"/>
  <c r="AK337" i="3" s="1"/>
  <c r="AJ358" i="3"/>
  <c r="AK358" i="3" s="1"/>
  <c r="AJ363" i="3"/>
  <c r="AK363" i="3" s="1"/>
  <c r="AJ388" i="3"/>
  <c r="AK388" i="3" s="1"/>
  <c r="AJ228" i="3"/>
  <c r="AK228" i="3" s="1"/>
  <c r="AJ82" i="3"/>
  <c r="AK82" i="3" s="1"/>
  <c r="AJ17" i="3"/>
  <c r="AK17" i="3" s="1"/>
  <c r="AJ29" i="3"/>
  <c r="AK29" i="3" s="1"/>
  <c r="AJ42" i="3"/>
  <c r="AK42" i="3" s="1"/>
  <c r="AJ357" i="3"/>
  <c r="AK357" i="3" s="1"/>
  <c r="AJ373" i="3"/>
  <c r="AK373" i="3" s="1"/>
  <c r="AJ396" i="3"/>
  <c r="AK396" i="3" s="1"/>
  <c r="AJ26" i="3"/>
  <c r="AK26" i="3" s="1"/>
  <c r="AJ39" i="3"/>
  <c r="AK39" i="3" s="1"/>
  <c r="AJ58" i="3"/>
  <c r="AK58" i="3" s="1"/>
  <c r="AJ85" i="3"/>
  <c r="AK85" i="3" s="1"/>
  <c r="AJ341" i="3"/>
  <c r="AK341" i="3" s="1"/>
  <c r="AJ302" i="3"/>
  <c r="AK302" i="3" s="1"/>
  <c r="AJ151" i="3"/>
  <c r="AK151" i="3" s="1"/>
  <c r="AJ207" i="3"/>
  <c r="AK207" i="3" s="1"/>
  <c r="AJ221" i="3"/>
  <c r="AK221" i="3" s="1"/>
  <c r="AJ281" i="3"/>
  <c r="AK281" i="3" s="1"/>
  <c r="AJ99" i="3"/>
  <c r="AK99" i="3" s="1"/>
  <c r="AJ75" i="3"/>
  <c r="AK75" i="3" s="1"/>
  <c r="AJ100" i="3"/>
  <c r="AK100" i="3" s="1"/>
  <c r="AJ116" i="3"/>
  <c r="AK116" i="3" s="1"/>
  <c r="AJ133" i="3"/>
  <c r="AK133" i="3" s="1"/>
  <c r="AJ156" i="3"/>
  <c r="AK156" i="3" s="1"/>
  <c r="AJ382" i="3"/>
  <c r="AK382" i="3" s="1"/>
  <c r="AJ266" i="3"/>
  <c r="AK266" i="3" s="1"/>
  <c r="AJ13" i="3"/>
  <c r="AK13" i="3" s="1"/>
  <c r="AJ31" i="3"/>
  <c r="AK31" i="3" s="1"/>
  <c r="AJ90" i="3"/>
  <c r="AK90" i="3" s="1"/>
  <c r="AJ106" i="3"/>
  <c r="AK106" i="3" s="1"/>
  <c r="AJ125" i="3"/>
  <c r="AK125" i="3" s="1"/>
  <c r="AJ155" i="3"/>
  <c r="AK155" i="3" s="1"/>
  <c r="AJ177" i="3"/>
  <c r="AK177" i="3" s="1"/>
  <c r="AJ356" i="3"/>
  <c r="AK356" i="3" s="1"/>
  <c r="AJ377" i="3"/>
  <c r="AK377" i="3" s="1"/>
  <c r="AJ213" i="3"/>
  <c r="AK213" i="3" s="1"/>
  <c r="AJ150" i="3"/>
  <c r="AK150" i="3" s="1"/>
  <c r="AJ233" i="3"/>
  <c r="AK233" i="3" s="1"/>
  <c r="AJ69" i="3"/>
  <c r="AK69" i="3" s="1"/>
  <c r="AJ87" i="3"/>
  <c r="AK87" i="3" s="1"/>
  <c r="AJ109" i="3"/>
  <c r="AK109" i="3" s="1"/>
  <c r="AJ121" i="3"/>
  <c r="AK121" i="3" s="1"/>
  <c r="AJ139" i="3"/>
  <c r="AK139" i="3" s="1"/>
  <c r="AJ127" i="3"/>
  <c r="AK127" i="3" s="1"/>
  <c r="AJ265" i="3"/>
  <c r="AK265" i="3" s="1"/>
  <c r="AJ144" i="3"/>
  <c r="AK144" i="3" s="1"/>
  <c r="AJ173" i="3"/>
  <c r="AK173" i="3" s="1"/>
  <c r="AJ8" i="3"/>
  <c r="AK8" i="3" s="1"/>
  <c r="AJ331" i="3"/>
  <c r="AK331" i="3" s="1"/>
  <c r="AJ354" i="3"/>
  <c r="AK354" i="3" s="1"/>
  <c r="AJ403" i="3"/>
  <c r="AK403" i="3" s="1"/>
  <c r="AJ225" i="3"/>
  <c r="AK225" i="3" s="1"/>
  <c r="AJ61" i="3"/>
  <c r="AK61" i="3" s="1"/>
  <c r="AJ204" i="3"/>
  <c r="AK204" i="3" s="1"/>
  <c r="AJ224" i="3"/>
  <c r="AK224" i="3" s="1"/>
  <c r="AJ242" i="3"/>
  <c r="AK242" i="3" s="1"/>
  <c r="AJ260" i="3"/>
  <c r="AK260" i="3" s="1"/>
  <c r="AJ251" i="3"/>
  <c r="AK251" i="3" s="1"/>
  <c r="AJ196" i="3"/>
  <c r="AK196" i="3" s="1"/>
  <c r="AJ295" i="3"/>
  <c r="AK295" i="3" s="1"/>
  <c r="AJ115" i="3"/>
  <c r="AK115" i="3" s="1"/>
  <c r="AJ132" i="3"/>
  <c r="AK132" i="3" s="1"/>
  <c r="AJ154" i="3"/>
  <c r="AK154" i="3" s="1"/>
  <c r="AJ338" i="3"/>
  <c r="AK338" i="3" s="1"/>
  <c r="AJ114" i="3"/>
  <c r="AK114" i="3" s="1"/>
  <c r="AJ131" i="3"/>
  <c r="AK131" i="3" s="1"/>
  <c r="AJ147" i="3"/>
  <c r="AK147" i="3" s="1"/>
  <c r="AJ170" i="3"/>
  <c r="AK170" i="3" s="1"/>
  <c r="AJ192" i="3"/>
  <c r="AK192" i="3" s="1"/>
  <c r="AJ208" i="3"/>
  <c r="AK208" i="3" s="1"/>
  <c r="AJ256" i="3"/>
  <c r="AK256" i="3" s="1"/>
  <c r="AJ278" i="3"/>
  <c r="AK278" i="3" s="1"/>
  <c r="AJ178" i="3"/>
  <c r="AK178" i="3" s="1"/>
  <c r="AJ200" i="3"/>
  <c r="AK200" i="3" s="1"/>
  <c r="AJ220" i="3"/>
  <c r="AK220" i="3" s="1"/>
  <c r="AJ238" i="3"/>
  <c r="AK238" i="3" s="1"/>
  <c r="AJ254" i="3"/>
  <c r="AK254" i="3" s="1"/>
  <c r="AJ148" i="3"/>
  <c r="AK148" i="3" s="1"/>
  <c r="AJ161" i="3"/>
  <c r="AK161" i="3" s="1"/>
  <c r="AJ183" i="3"/>
  <c r="AK183" i="3" s="1"/>
  <c r="AJ405" i="3"/>
  <c r="AK405" i="3" s="1"/>
  <c r="AJ104" i="3"/>
  <c r="AK104" i="3" s="1"/>
  <c r="AJ119" i="3"/>
  <c r="AK119" i="3" s="1"/>
  <c r="AJ130" i="3"/>
  <c r="AK130" i="3" s="1"/>
  <c r="AJ153" i="3"/>
  <c r="AK153" i="3" s="1"/>
  <c r="AJ395" i="3"/>
  <c r="AK395" i="3" s="1"/>
  <c r="AJ214" i="3"/>
  <c r="AK214" i="3" s="1"/>
  <c r="AJ248" i="3"/>
  <c r="AK248" i="3" s="1"/>
  <c r="AJ6" i="3"/>
  <c r="AK6" i="3" s="1"/>
  <c r="AJ21" i="3"/>
  <c r="AK21" i="3" s="1"/>
  <c r="AJ88" i="3"/>
  <c r="AK88" i="3" s="1"/>
  <c r="AJ111" i="3"/>
  <c r="AK111" i="3" s="1"/>
  <c r="AJ172" i="3"/>
  <c r="AK172" i="3" s="1"/>
  <c r="AJ393" i="3"/>
  <c r="AK393" i="3" s="1"/>
  <c r="AJ80" i="3"/>
  <c r="AK80" i="3" s="1"/>
  <c r="AJ10" i="3"/>
  <c r="AK10" i="3" s="1"/>
  <c r="AJ261" i="3"/>
  <c r="AK261" i="3" s="1"/>
  <c r="AJ287" i="3"/>
  <c r="AK287" i="3" s="1"/>
  <c r="AJ94" i="3"/>
  <c r="AK94" i="3" s="1"/>
  <c r="AJ108" i="3"/>
  <c r="AK108" i="3" s="1"/>
  <c r="AJ126" i="3"/>
  <c r="AK126" i="3" s="1"/>
  <c r="AJ142" i="3"/>
  <c r="AK142" i="3" s="1"/>
  <c r="AJ230" i="3"/>
  <c r="AK230" i="3" s="1"/>
  <c r="AJ120" i="3"/>
  <c r="AK120" i="3" s="1"/>
  <c r="AJ135" i="3"/>
  <c r="AK135" i="3" s="1"/>
  <c r="AJ311" i="3"/>
  <c r="AK311" i="3" s="1"/>
  <c r="AJ304" i="3"/>
  <c r="AK304" i="3" s="1"/>
  <c r="AJ285" i="3"/>
  <c r="AK285" i="3" s="1"/>
  <c r="AJ65" i="3"/>
  <c r="AK65" i="3" s="1"/>
  <c r="AJ84" i="3"/>
  <c r="AK84" i="3" s="1"/>
  <c r="AJ59" i="3"/>
  <c r="AK59" i="3" s="1"/>
  <c r="AJ71" i="3"/>
  <c r="AK71" i="3" s="1"/>
  <c r="AJ78" i="3"/>
  <c r="AK78" i="3" s="1"/>
  <c r="AJ101" i="3"/>
  <c r="AK101" i="3" s="1"/>
  <c r="AJ5" i="3"/>
  <c r="AK5" i="3" s="1"/>
  <c r="AJ19" i="3"/>
  <c r="AK19" i="3" s="1"/>
  <c r="AJ33" i="3"/>
  <c r="AK33" i="3" s="1"/>
  <c r="AJ47" i="3"/>
  <c r="AK47" i="3" s="1"/>
  <c r="AJ68" i="3"/>
  <c r="AK68" i="3" s="1"/>
  <c r="AJ229" i="3"/>
  <c r="AK229" i="3" s="1"/>
  <c r="AJ268" i="3"/>
  <c r="AK268" i="3" s="1"/>
  <c r="AJ280" i="3"/>
  <c r="AK280" i="3" s="1"/>
  <c r="AJ297" i="3"/>
  <c r="AK297" i="3" s="1"/>
  <c r="AJ319" i="3"/>
  <c r="AK319" i="3" s="1"/>
  <c r="AJ49" i="3"/>
  <c r="AK49" i="3" s="1"/>
  <c r="AJ72" i="3"/>
  <c r="AK72" i="3" s="1"/>
  <c r="AJ145" i="3"/>
  <c r="AK145" i="3" s="1"/>
  <c r="AJ399" i="3"/>
  <c r="AK399" i="3" s="1"/>
  <c r="AJ336" i="3"/>
  <c r="AK336" i="3" s="1"/>
  <c r="AJ352" i="3"/>
  <c r="AK352" i="3" s="1"/>
  <c r="AJ375" i="3"/>
  <c r="AK375" i="3" s="1"/>
  <c r="AJ66" i="3"/>
  <c r="AK66" i="3" s="1"/>
  <c r="AJ187" i="3"/>
  <c r="AK187" i="3" s="1"/>
  <c r="AJ247" i="3"/>
  <c r="AK247" i="3" s="1"/>
  <c r="AJ102" i="3"/>
  <c r="AK102" i="3" s="1"/>
  <c r="AJ12" i="3"/>
  <c r="AK12" i="3" s="1"/>
  <c r="AJ46" i="3"/>
  <c r="AK46" i="3" s="1"/>
  <c r="AJ282" i="3"/>
  <c r="AK282" i="3" s="1"/>
  <c r="AJ303" i="3"/>
  <c r="AK303" i="3" s="1"/>
  <c r="AJ165" i="3"/>
  <c r="AK165" i="3" s="1"/>
  <c r="AJ191" i="3"/>
  <c r="AK191" i="3" s="1"/>
  <c r="AJ209" i="3"/>
  <c r="AK209" i="3" s="1"/>
  <c r="AJ349" i="3"/>
  <c r="AK349" i="3" s="1"/>
  <c r="AJ223" i="3"/>
  <c r="AK223" i="3" s="1"/>
  <c r="AJ9" i="3"/>
  <c r="AK9" i="3" s="1"/>
  <c r="AJ24" i="3"/>
  <c r="AK24" i="3" s="1"/>
  <c r="AJ37" i="3"/>
  <c r="AK37" i="3" s="1"/>
  <c r="AJ51" i="3"/>
  <c r="AK51" i="3" s="1"/>
  <c r="AJ271" i="3"/>
  <c r="AK271" i="3" s="1"/>
  <c r="AJ241" i="3"/>
  <c r="AK241" i="3" s="1"/>
  <c r="AJ232" i="3"/>
  <c r="AK232" i="3" s="1"/>
  <c r="AJ149" i="3"/>
  <c r="AK149" i="3" s="1"/>
  <c r="AJ277" i="3"/>
  <c r="AK277" i="3" s="1"/>
  <c r="AJ43" i="3"/>
  <c r="AK43" i="3" s="1"/>
  <c r="AJ64" i="3"/>
  <c r="AK64" i="3" s="1"/>
  <c r="AJ186" i="3"/>
  <c r="AK186" i="3" s="1"/>
  <c r="AJ189" i="3"/>
  <c r="AK189" i="3" s="1"/>
  <c r="AJ312" i="3"/>
  <c r="AK312" i="3" s="1"/>
  <c r="AJ402" i="3"/>
  <c r="AK402" i="3" s="1"/>
  <c r="AJ93" i="3"/>
  <c r="AK93" i="3" s="1"/>
  <c r="AJ246" i="3"/>
  <c r="AK246" i="3" s="1"/>
  <c r="AJ23" i="3"/>
  <c r="AK23" i="3" s="1"/>
  <c r="AJ35" i="3"/>
  <c r="AK35" i="3" s="1"/>
  <c r="AJ57" i="3"/>
  <c r="AK57" i="3" s="1"/>
  <c r="AJ77" i="3"/>
  <c r="AK77" i="3" s="1"/>
  <c r="AF308" i="3"/>
  <c r="AF279" i="3"/>
  <c r="AF294" i="3"/>
  <c r="AF309" i="3"/>
  <c r="AF316" i="3"/>
  <c r="AF339" i="3"/>
  <c r="AF205" i="3"/>
  <c r="AF227" i="3"/>
  <c r="AF60" i="3"/>
  <c r="AF81" i="3"/>
  <c r="AF95" i="3"/>
  <c r="AF112" i="3"/>
  <c r="AF124" i="3"/>
  <c r="AG124" i="3" s="1"/>
  <c r="AF138" i="3"/>
  <c r="AF163" i="3"/>
  <c r="AG163" i="3" s="1"/>
  <c r="AF273" i="3"/>
  <c r="AF290" i="3"/>
  <c r="AF305" i="3"/>
  <c r="AF330" i="3"/>
  <c r="AG330" i="3" s="1"/>
  <c r="AF353" i="3"/>
  <c r="AF292" i="3"/>
  <c r="AF321" i="3"/>
  <c r="AF152" i="3"/>
  <c r="AF113" i="3"/>
  <c r="AF129" i="3"/>
  <c r="AF197" i="3"/>
  <c r="AF210" i="3"/>
  <c r="AF301" i="3"/>
  <c r="AF159" i="3"/>
  <c r="AF216" i="3"/>
  <c r="AF40" i="3"/>
  <c r="AF381" i="3"/>
  <c r="AF89" i="3"/>
  <c r="AF30" i="3"/>
  <c r="AF52" i="3"/>
  <c r="AF211" i="3"/>
  <c r="AF249" i="3"/>
  <c r="AF236" i="3"/>
  <c r="AF255" i="3"/>
  <c r="AG255" i="3" s="1"/>
  <c r="AF313" i="3"/>
  <c r="AF193" i="3"/>
  <c r="AF335" i="3"/>
  <c r="AF118" i="3"/>
  <c r="AF134" i="3"/>
  <c r="AG134" i="3" s="1"/>
  <c r="AF146" i="3"/>
  <c r="AF365" i="3"/>
  <c r="AF48" i="3"/>
  <c r="AF70" i="3"/>
  <c r="AF74" i="3"/>
  <c r="AF97" i="3"/>
  <c r="AF400" i="3"/>
  <c r="AG400" i="3" s="1"/>
  <c r="AF253" i="3"/>
  <c r="AF275" i="3"/>
  <c r="AF322" i="3"/>
  <c r="AF175" i="3"/>
  <c r="AF98" i="3"/>
  <c r="AG98" i="3" s="1"/>
  <c r="AF62" i="3"/>
  <c r="AG62" i="3" s="1"/>
  <c r="AF83" i="3"/>
  <c r="AF168" i="3"/>
  <c r="AF327" i="3"/>
  <c r="AF346" i="3"/>
  <c r="AF372" i="3"/>
  <c r="AF389" i="3"/>
  <c r="AF283" i="3"/>
  <c r="AF226" i="3"/>
  <c r="AF243" i="3"/>
  <c r="AF267" i="3"/>
  <c r="AF289" i="3"/>
  <c r="AF326" i="3"/>
  <c r="AF347" i="3"/>
  <c r="AF378" i="3"/>
  <c r="AF166" i="3"/>
  <c r="AG166" i="3" s="1"/>
  <c r="AF179" i="3"/>
  <c r="AF198" i="3"/>
  <c r="AF215" i="3"/>
  <c r="AG215" i="3" s="1"/>
  <c r="AF234" i="3"/>
  <c r="AF252" i="3"/>
  <c r="AF272" i="3"/>
  <c r="AF288" i="3"/>
  <c r="AF245" i="3"/>
  <c r="AF258" i="3"/>
  <c r="AF360" i="3"/>
  <c r="AF383" i="3"/>
  <c r="AF406" i="3"/>
  <c r="AF181" i="3"/>
  <c r="AF53" i="3"/>
  <c r="AG53" i="3" s="1"/>
  <c r="AF315" i="3"/>
  <c r="AG315" i="3" s="1"/>
  <c r="AF362" i="3"/>
  <c r="AF284" i="3"/>
  <c r="AF361" i="3"/>
  <c r="AF380" i="3"/>
  <c r="AF394" i="3"/>
  <c r="AF333" i="3"/>
  <c r="AF128" i="3"/>
  <c r="AF141" i="3"/>
  <c r="AF160" i="3"/>
  <c r="AF182" i="3"/>
  <c r="AF91" i="3"/>
  <c r="AF110" i="3"/>
  <c r="AF199" i="3"/>
  <c r="AF217" i="3"/>
  <c r="AF235" i="3"/>
  <c r="AG235" i="3" s="1"/>
  <c r="AF202" i="3"/>
  <c r="AF218" i="3"/>
  <c r="AF237" i="3"/>
  <c r="AF259" i="3"/>
  <c r="AF364" i="3"/>
  <c r="AF351" i="3"/>
  <c r="AF379" i="3"/>
  <c r="AF404" i="3"/>
  <c r="AF300" i="3"/>
  <c r="AF320" i="3"/>
  <c r="AF143" i="3"/>
  <c r="AF167" i="3"/>
  <c r="AF117" i="3"/>
  <c r="AG117" i="3" s="1"/>
  <c r="AF4" i="3"/>
  <c r="AF22" i="3"/>
  <c r="AF32" i="3"/>
  <c r="AF50" i="3"/>
  <c r="AF73" i="3"/>
  <c r="AF157" i="3"/>
  <c r="AF194" i="3"/>
  <c r="AF366" i="3"/>
  <c r="AF401" i="3"/>
  <c r="AF171" i="3"/>
  <c r="AF188" i="3"/>
  <c r="AF195" i="3"/>
  <c r="AF342" i="3"/>
  <c r="AF222" i="3"/>
  <c r="AF240" i="3"/>
  <c r="AF390" i="3"/>
  <c r="AF340" i="3"/>
  <c r="AF184" i="3"/>
  <c r="AF203" i="3"/>
  <c r="AF334" i="3"/>
  <c r="AF350" i="3"/>
  <c r="AF371" i="3"/>
  <c r="AF391" i="3"/>
  <c r="AF45" i="3"/>
  <c r="AF67" i="3"/>
  <c r="AF86" i="3"/>
  <c r="AF107" i="3"/>
  <c r="AF123" i="3"/>
  <c r="AF296" i="3"/>
  <c r="AF2" i="3"/>
  <c r="AF18" i="3"/>
  <c r="AF231" i="3"/>
  <c r="AF180" i="3"/>
  <c r="AF219" i="3"/>
  <c r="AG219" i="3" s="1"/>
  <c r="AF239" i="3"/>
  <c r="AF174" i="3"/>
  <c r="AF257" i="3"/>
  <c r="AG257" i="3" s="1"/>
  <c r="AF276" i="3"/>
  <c r="AF323" i="3"/>
  <c r="AG323" i="3" s="1"/>
  <c r="AF79" i="3"/>
  <c r="AF96" i="3"/>
  <c r="AF7" i="3"/>
  <c r="AG7" i="3" s="1"/>
  <c r="AF274" i="3"/>
  <c r="AF16" i="3"/>
  <c r="AF291" i="3"/>
  <c r="AF317" i="3"/>
  <c r="AF263" i="3"/>
  <c r="AG263" i="3" s="1"/>
  <c r="AF328" i="3"/>
  <c r="AF345" i="3"/>
  <c r="AG345" i="3" s="1"/>
  <c r="AF370" i="3"/>
  <c r="AF392" i="3"/>
  <c r="AF325" i="3"/>
  <c r="AF344" i="3"/>
  <c r="AF367" i="3"/>
  <c r="AF385" i="3"/>
  <c r="AF201" i="3"/>
  <c r="AF27" i="3"/>
  <c r="AF36" i="3"/>
  <c r="AF55" i="3"/>
  <c r="AF329" i="3"/>
  <c r="AF348" i="3"/>
  <c r="AF398" i="3"/>
  <c r="AF92" i="3"/>
  <c r="AF105" i="3"/>
  <c r="AF122" i="3"/>
  <c r="AF136" i="3"/>
  <c r="AF158" i="3"/>
  <c r="AF307" i="3"/>
  <c r="AG307" i="3" s="1"/>
  <c r="AF355" i="3"/>
  <c r="AF376" i="3"/>
  <c r="AF397" i="3"/>
  <c r="AF293" i="3"/>
  <c r="AF310" i="3"/>
  <c r="AG310" i="3" s="1"/>
  <c r="AF269" i="3"/>
  <c r="AF374" i="3"/>
  <c r="AF386" i="3"/>
  <c r="AF270" i="3"/>
  <c r="AF286" i="3"/>
  <c r="AF369" i="3"/>
  <c r="AF387" i="3"/>
  <c r="AF332" i="3"/>
  <c r="AF11" i="3"/>
  <c r="AG11" i="3" s="1"/>
  <c r="AF25" i="3"/>
  <c r="AF38" i="3"/>
  <c r="AF63" i="3"/>
  <c r="AF140" i="3"/>
  <c r="AF164" i="3"/>
  <c r="AF264" i="3"/>
  <c r="AF137" i="3"/>
  <c r="AF162" i="3"/>
  <c r="AF206" i="3"/>
  <c r="AF169" i="3"/>
  <c r="AF185" i="3"/>
  <c r="AF212" i="3"/>
  <c r="AF408" i="3"/>
  <c r="AG408" i="3" s="1"/>
  <c r="AF176" i="3"/>
  <c r="AF343" i="3"/>
  <c r="AF318" i="3"/>
  <c r="AF359" i="3"/>
  <c r="AF14" i="3"/>
  <c r="AF299" i="3"/>
  <c r="AF298" i="3"/>
  <c r="AF324" i="3"/>
  <c r="AF368" i="3"/>
  <c r="AF384" i="3"/>
  <c r="AF15" i="3"/>
  <c r="AF28" i="3"/>
  <c r="AF44" i="3"/>
  <c r="AF409" i="3"/>
  <c r="AF3" i="3"/>
  <c r="AF20" i="3"/>
  <c r="AG20" i="3" s="1"/>
  <c r="AF34" i="3"/>
  <c r="AG34" i="3" s="1"/>
  <c r="AF250" i="3"/>
  <c r="AG250" i="3" s="1"/>
  <c r="AF190" i="3"/>
  <c r="AF314" i="3"/>
  <c r="AF244" i="3"/>
  <c r="AF262" i="3"/>
  <c r="AF306" i="3"/>
  <c r="AG306" i="3" s="1"/>
  <c r="AF41" i="3"/>
  <c r="AF56" i="3"/>
  <c r="AF54" i="3"/>
  <c r="AF76" i="3"/>
  <c r="AF103" i="3"/>
  <c r="AG103" i="3" s="1"/>
  <c r="AF407" i="3"/>
  <c r="AG407" i="3" s="1"/>
  <c r="AF337" i="3"/>
  <c r="AF358" i="3"/>
  <c r="AF363" i="3"/>
  <c r="AF388" i="3"/>
  <c r="AF228" i="3"/>
  <c r="AF82" i="3"/>
  <c r="AF17" i="3"/>
  <c r="AF29" i="3"/>
  <c r="AF42" i="3"/>
  <c r="AF357" i="3"/>
  <c r="AF373" i="3"/>
  <c r="AF396" i="3"/>
  <c r="AF26" i="3"/>
  <c r="AF39" i="3"/>
  <c r="AF58" i="3"/>
  <c r="AF85" i="3"/>
  <c r="AF341" i="3"/>
  <c r="AF302" i="3"/>
  <c r="AF151" i="3"/>
  <c r="AF207" i="3"/>
  <c r="AF221" i="3"/>
  <c r="AF281" i="3"/>
  <c r="AF99" i="3"/>
  <c r="AG99" i="3" s="1"/>
  <c r="AF75" i="3"/>
  <c r="AF100" i="3"/>
  <c r="AF116" i="3"/>
  <c r="AF133" i="3"/>
  <c r="AG133" i="3" s="1"/>
  <c r="AF156" i="3"/>
  <c r="AF382" i="3"/>
  <c r="AF266" i="3"/>
  <c r="AG266" i="3" s="1"/>
  <c r="AF13" i="3"/>
  <c r="AF31" i="3"/>
  <c r="AG31" i="3" s="1"/>
  <c r="AF90" i="3"/>
  <c r="AF106" i="3"/>
  <c r="AF125" i="3"/>
  <c r="AF155" i="3"/>
  <c r="AF177" i="3"/>
  <c r="AF356" i="3"/>
  <c r="AF377" i="3"/>
  <c r="AF213" i="3"/>
  <c r="AF150" i="3"/>
  <c r="AF233" i="3"/>
  <c r="AF69" i="3"/>
  <c r="AF87" i="3"/>
  <c r="AF109" i="3"/>
  <c r="AF121" i="3"/>
  <c r="AF139" i="3"/>
  <c r="AF127" i="3"/>
  <c r="AF265" i="3"/>
  <c r="AF144" i="3"/>
  <c r="AF173" i="3"/>
  <c r="AF8" i="3"/>
  <c r="AF331" i="3"/>
  <c r="AF354" i="3"/>
  <c r="AF403" i="3"/>
  <c r="AF225" i="3"/>
  <c r="AF61" i="3"/>
  <c r="AF204" i="3"/>
  <c r="AF224" i="3"/>
  <c r="AF242" i="3"/>
  <c r="AG242" i="3" s="1"/>
  <c r="AF260" i="3"/>
  <c r="AG260" i="3" s="1"/>
  <c r="AF251" i="3"/>
  <c r="AF196" i="3"/>
  <c r="AF295" i="3"/>
  <c r="AF115" i="3"/>
  <c r="AG115" i="3" s="1"/>
  <c r="AF132" i="3"/>
  <c r="AG132" i="3" s="1"/>
  <c r="AF154" i="3"/>
  <c r="AF338" i="3"/>
  <c r="AF114" i="3"/>
  <c r="AF131" i="3"/>
  <c r="AG131" i="3" s="1"/>
  <c r="AF147" i="3"/>
  <c r="AF170" i="3"/>
  <c r="AF192" i="3"/>
  <c r="AF208" i="3"/>
  <c r="AF256" i="3"/>
  <c r="AF278" i="3"/>
  <c r="AF178" i="3"/>
  <c r="AF200" i="3"/>
  <c r="AF220" i="3"/>
  <c r="AF238" i="3"/>
  <c r="AF254" i="3"/>
  <c r="AF148" i="3"/>
  <c r="AF161" i="3"/>
  <c r="AF183" i="3"/>
  <c r="AF405" i="3"/>
  <c r="AF104" i="3"/>
  <c r="AF119" i="3"/>
  <c r="AF130" i="3"/>
  <c r="AF153" i="3"/>
  <c r="AF395" i="3"/>
  <c r="AF214" i="3"/>
  <c r="AF248" i="3"/>
  <c r="AF6" i="3"/>
  <c r="AF21" i="3"/>
  <c r="AF88" i="3"/>
  <c r="AF111" i="3"/>
  <c r="AF172" i="3"/>
  <c r="AF393" i="3"/>
  <c r="AF80" i="3"/>
  <c r="AF10" i="3"/>
  <c r="AF261" i="3"/>
  <c r="AF287" i="3"/>
  <c r="AF94" i="3"/>
  <c r="AF108" i="3"/>
  <c r="AF126" i="3"/>
  <c r="AF142" i="3"/>
  <c r="AF230" i="3"/>
  <c r="AF120" i="3"/>
  <c r="AF135" i="3"/>
  <c r="AF311" i="3"/>
  <c r="AF304" i="3"/>
  <c r="AF285" i="3"/>
  <c r="AF65" i="3"/>
  <c r="AF84" i="3"/>
  <c r="AF59" i="3"/>
  <c r="AF71" i="3"/>
  <c r="AG71" i="3" s="1"/>
  <c r="AF78" i="3"/>
  <c r="AF101" i="3"/>
  <c r="AF5" i="3"/>
  <c r="AF19" i="3"/>
  <c r="AF33" i="3"/>
  <c r="AF47" i="3"/>
  <c r="AF68" i="3"/>
  <c r="AF229" i="3"/>
  <c r="AF268" i="3"/>
  <c r="AF280" i="3"/>
  <c r="AF297" i="3"/>
  <c r="AF319" i="3"/>
  <c r="AF49" i="3"/>
  <c r="AF72" i="3"/>
  <c r="AF145" i="3"/>
  <c r="AF399" i="3"/>
  <c r="AF336" i="3"/>
  <c r="AF352" i="3"/>
  <c r="AF375" i="3"/>
  <c r="AG375" i="3" s="1"/>
  <c r="AF66" i="3"/>
  <c r="AF187" i="3"/>
  <c r="AF247" i="3"/>
  <c r="AF102" i="3"/>
  <c r="AF12" i="3"/>
  <c r="AF46" i="3"/>
  <c r="AF282" i="3"/>
  <c r="AF303" i="3"/>
  <c r="AF165" i="3"/>
  <c r="AF191" i="3"/>
  <c r="AF209" i="3"/>
  <c r="AF349" i="3"/>
  <c r="AG349" i="3" s="1"/>
  <c r="AF223" i="3"/>
  <c r="AF9" i="3"/>
  <c r="AF24" i="3"/>
  <c r="AF37" i="3"/>
  <c r="AF51" i="3"/>
  <c r="AG51" i="3" s="1"/>
  <c r="AF271" i="3"/>
  <c r="AF241" i="3"/>
  <c r="AF232" i="3"/>
  <c r="AF149" i="3"/>
  <c r="AF277" i="3"/>
  <c r="AF43" i="3"/>
  <c r="AF64" i="3"/>
  <c r="AF186" i="3"/>
  <c r="AF189" i="3"/>
  <c r="AF312" i="3"/>
  <c r="AF402" i="3"/>
  <c r="AF93" i="3"/>
  <c r="AF246" i="3"/>
  <c r="AF23" i="3"/>
  <c r="AF35" i="3"/>
  <c r="AF57" i="3"/>
  <c r="AF77" i="3"/>
  <c r="AA308" i="3"/>
  <c r="AA279" i="3"/>
  <c r="AA294" i="3"/>
  <c r="AA309" i="3"/>
  <c r="AA316" i="3"/>
  <c r="AA339" i="3"/>
  <c r="AA205" i="3"/>
  <c r="AA227" i="3"/>
  <c r="AA60" i="3"/>
  <c r="AA81" i="3"/>
  <c r="AA95" i="3"/>
  <c r="AA112" i="3"/>
  <c r="AA124" i="3"/>
  <c r="AA138" i="3"/>
  <c r="AA163" i="3"/>
  <c r="AA273" i="3"/>
  <c r="AA290" i="3"/>
  <c r="AA305" i="3"/>
  <c r="AA330" i="3"/>
  <c r="AA353" i="3"/>
  <c r="AA292" i="3"/>
  <c r="AA321" i="3"/>
  <c r="AA152" i="3"/>
  <c r="AA113" i="3"/>
  <c r="AA129" i="3"/>
  <c r="AA197" i="3"/>
  <c r="AA210" i="3"/>
  <c r="AA301" i="3"/>
  <c r="AA159" i="3"/>
  <c r="AA216" i="3"/>
  <c r="AA40" i="3"/>
  <c r="AA381" i="3"/>
  <c r="AA89" i="3"/>
  <c r="AA30" i="3"/>
  <c r="AA52" i="3"/>
  <c r="AA211" i="3"/>
  <c r="AA249" i="3"/>
  <c r="AA236" i="3"/>
  <c r="AA255" i="3"/>
  <c r="AA313" i="3"/>
  <c r="AA193" i="3"/>
  <c r="AA335" i="3"/>
  <c r="AA118" i="3"/>
  <c r="AA134" i="3"/>
  <c r="AA146" i="3"/>
  <c r="AA365" i="3"/>
  <c r="AA48" i="3"/>
  <c r="AA70" i="3"/>
  <c r="AA74" i="3"/>
  <c r="AA97" i="3"/>
  <c r="AA400" i="3"/>
  <c r="AA253" i="3"/>
  <c r="AA275" i="3"/>
  <c r="AA322" i="3"/>
  <c r="AA175" i="3"/>
  <c r="AA98" i="3"/>
  <c r="AA62" i="3"/>
  <c r="AA83" i="3"/>
  <c r="AA168" i="3"/>
  <c r="AA327" i="3"/>
  <c r="AA346" i="3"/>
  <c r="AA372" i="3"/>
  <c r="AA389" i="3"/>
  <c r="AA283" i="3"/>
  <c r="AA226" i="3"/>
  <c r="AA243" i="3"/>
  <c r="AA267" i="3"/>
  <c r="AA289" i="3"/>
  <c r="AA326" i="3"/>
  <c r="AA347" i="3"/>
  <c r="AA378" i="3"/>
  <c r="AA166" i="3"/>
  <c r="AA179" i="3"/>
  <c r="AA198" i="3"/>
  <c r="AA215" i="3"/>
  <c r="AA234" i="3"/>
  <c r="AA252" i="3"/>
  <c r="AA272" i="3"/>
  <c r="AA288" i="3"/>
  <c r="AA245" i="3"/>
  <c r="AA258" i="3"/>
  <c r="AA360" i="3"/>
  <c r="AA383" i="3"/>
  <c r="AA406" i="3"/>
  <c r="AA181" i="3"/>
  <c r="AA53" i="3"/>
  <c r="AA315" i="3"/>
  <c r="AA362" i="3"/>
  <c r="AA284" i="3"/>
  <c r="AA361" i="3"/>
  <c r="AA380" i="3"/>
  <c r="AA394" i="3"/>
  <c r="AA333" i="3"/>
  <c r="AA128" i="3"/>
  <c r="AA141" i="3"/>
  <c r="AA160" i="3"/>
  <c r="AA182" i="3"/>
  <c r="AA91" i="3"/>
  <c r="AA110" i="3"/>
  <c r="AA199" i="3"/>
  <c r="AA217" i="3"/>
  <c r="AA235" i="3"/>
  <c r="AA202" i="3"/>
  <c r="AA218" i="3"/>
  <c r="AA237" i="3"/>
  <c r="AA259" i="3"/>
  <c r="AA364" i="3"/>
  <c r="AA351" i="3"/>
  <c r="AA379" i="3"/>
  <c r="AA404" i="3"/>
  <c r="AA300" i="3"/>
  <c r="AA320" i="3"/>
  <c r="AA143" i="3"/>
  <c r="AA167" i="3"/>
  <c r="AA117" i="3"/>
  <c r="AA4" i="3"/>
  <c r="AA22" i="3"/>
  <c r="AA32" i="3"/>
  <c r="AA50" i="3"/>
  <c r="AA73" i="3"/>
  <c r="AA157" i="3"/>
  <c r="AA194" i="3"/>
  <c r="AA366" i="3"/>
  <c r="AA401" i="3"/>
  <c r="AA171" i="3"/>
  <c r="AA188" i="3"/>
  <c r="AA195" i="3"/>
  <c r="AA342" i="3"/>
  <c r="AA222" i="3"/>
  <c r="AA240" i="3"/>
  <c r="AA390" i="3"/>
  <c r="AA340" i="3"/>
  <c r="AA184" i="3"/>
  <c r="AA203" i="3"/>
  <c r="AA334" i="3"/>
  <c r="AA350" i="3"/>
  <c r="AA371" i="3"/>
  <c r="AA391" i="3"/>
  <c r="AA45" i="3"/>
  <c r="AA67" i="3"/>
  <c r="AA86" i="3"/>
  <c r="AA107" i="3"/>
  <c r="AA123" i="3"/>
  <c r="AA296" i="3"/>
  <c r="AA2" i="3"/>
  <c r="AA18" i="3"/>
  <c r="AA231" i="3"/>
  <c r="AA180" i="3"/>
  <c r="AA219" i="3"/>
  <c r="AA239" i="3"/>
  <c r="AA174" i="3"/>
  <c r="AA257" i="3"/>
  <c r="AA276" i="3"/>
  <c r="AA323" i="3"/>
  <c r="AA79" i="3"/>
  <c r="AA96" i="3"/>
  <c r="AA7" i="3"/>
  <c r="AA274" i="3"/>
  <c r="AA16" i="3"/>
  <c r="AA291" i="3"/>
  <c r="AA317" i="3"/>
  <c r="AA263" i="3"/>
  <c r="AA328" i="3"/>
  <c r="AA345" i="3"/>
  <c r="AA370" i="3"/>
  <c r="AA392" i="3"/>
  <c r="AA325" i="3"/>
  <c r="AA344" i="3"/>
  <c r="AA367" i="3"/>
  <c r="AA385" i="3"/>
  <c r="AA201" i="3"/>
  <c r="AA27" i="3"/>
  <c r="AA36" i="3"/>
  <c r="AA55" i="3"/>
  <c r="AA329" i="3"/>
  <c r="AA348" i="3"/>
  <c r="AA398" i="3"/>
  <c r="AA92" i="3"/>
  <c r="AA105" i="3"/>
  <c r="AA122" i="3"/>
  <c r="AA136" i="3"/>
  <c r="AA158" i="3"/>
  <c r="AA307" i="3"/>
  <c r="AA355" i="3"/>
  <c r="AA376" i="3"/>
  <c r="AA397" i="3"/>
  <c r="AA293" i="3"/>
  <c r="AA310" i="3"/>
  <c r="AA269" i="3"/>
  <c r="AA374" i="3"/>
  <c r="AA386" i="3"/>
  <c r="AA270" i="3"/>
  <c r="AA286" i="3"/>
  <c r="AA369" i="3"/>
  <c r="AA387" i="3"/>
  <c r="AA332" i="3"/>
  <c r="AA11" i="3"/>
  <c r="AA25" i="3"/>
  <c r="AA38" i="3"/>
  <c r="AA63" i="3"/>
  <c r="AA140" i="3"/>
  <c r="AA164" i="3"/>
  <c r="AA264" i="3"/>
  <c r="AA137" i="3"/>
  <c r="AA162" i="3"/>
  <c r="AA206" i="3"/>
  <c r="AA169" i="3"/>
  <c r="AA185" i="3"/>
  <c r="AA212" i="3"/>
  <c r="AA408" i="3"/>
  <c r="AA176" i="3"/>
  <c r="AA343" i="3"/>
  <c r="AA318" i="3"/>
  <c r="AA359" i="3"/>
  <c r="AA14" i="3"/>
  <c r="AA299" i="3"/>
  <c r="AA298" i="3"/>
  <c r="AA324" i="3"/>
  <c r="AA368" i="3"/>
  <c r="AA384" i="3"/>
  <c r="AA15" i="3"/>
  <c r="AA28" i="3"/>
  <c r="AA44" i="3"/>
  <c r="AA409" i="3"/>
  <c r="AA3" i="3"/>
  <c r="AA20" i="3"/>
  <c r="AA34" i="3"/>
  <c r="AA250" i="3"/>
  <c r="AA190" i="3"/>
  <c r="AA314" i="3"/>
  <c r="AA244" i="3"/>
  <c r="AA262" i="3"/>
  <c r="AA306" i="3"/>
  <c r="AA41" i="3"/>
  <c r="AA56" i="3"/>
  <c r="AA54" i="3"/>
  <c r="AA76" i="3"/>
  <c r="AA103" i="3"/>
  <c r="AA407" i="3"/>
  <c r="AA337" i="3"/>
  <c r="AA358" i="3"/>
  <c r="AA363" i="3"/>
  <c r="AA388" i="3"/>
  <c r="AA228" i="3"/>
  <c r="AA82" i="3"/>
  <c r="AA17" i="3"/>
  <c r="AA29" i="3"/>
  <c r="AA42" i="3"/>
  <c r="AA357" i="3"/>
  <c r="AA373" i="3"/>
  <c r="AA396" i="3"/>
  <c r="AA26" i="3"/>
  <c r="AA39" i="3"/>
  <c r="AA58" i="3"/>
  <c r="AA85" i="3"/>
  <c r="AA341" i="3"/>
  <c r="AA302" i="3"/>
  <c r="AA151" i="3"/>
  <c r="AA207" i="3"/>
  <c r="AA221" i="3"/>
  <c r="AA281" i="3"/>
  <c r="AA99" i="3"/>
  <c r="AA75" i="3"/>
  <c r="AA100" i="3"/>
  <c r="AA116" i="3"/>
  <c r="AA133" i="3"/>
  <c r="AA156" i="3"/>
  <c r="AA382" i="3"/>
  <c r="AA266" i="3"/>
  <c r="AA13" i="3"/>
  <c r="AA31" i="3"/>
  <c r="AA90" i="3"/>
  <c r="AA106" i="3"/>
  <c r="AA125" i="3"/>
  <c r="AA155" i="3"/>
  <c r="AA177" i="3"/>
  <c r="AA356" i="3"/>
  <c r="AA377" i="3"/>
  <c r="AA213" i="3"/>
  <c r="AA150" i="3"/>
  <c r="AA233" i="3"/>
  <c r="AA69" i="3"/>
  <c r="AA87" i="3"/>
  <c r="AA109" i="3"/>
  <c r="AA121" i="3"/>
  <c r="AA139" i="3"/>
  <c r="AA127" i="3"/>
  <c r="AA265" i="3"/>
  <c r="AA144" i="3"/>
  <c r="AA173" i="3"/>
  <c r="AA8" i="3"/>
  <c r="AA331" i="3"/>
  <c r="AA354" i="3"/>
  <c r="AA403" i="3"/>
  <c r="AA225" i="3"/>
  <c r="AA61" i="3"/>
  <c r="AA204" i="3"/>
  <c r="AA224" i="3"/>
  <c r="AA242" i="3"/>
  <c r="AA260" i="3"/>
  <c r="AA251" i="3"/>
  <c r="AA196" i="3"/>
  <c r="AA295" i="3"/>
  <c r="AA115" i="3"/>
  <c r="AA132" i="3"/>
  <c r="AA154" i="3"/>
  <c r="AA338" i="3"/>
  <c r="AA114" i="3"/>
  <c r="AA131" i="3"/>
  <c r="AA147" i="3"/>
  <c r="AA170" i="3"/>
  <c r="AA192" i="3"/>
  <c r="AA208" i="3"/>
  <c r="AA256" i="3"/>
  <c r="AA278" i="3"/>
  <c r="AA178" i="3"/>
  <c r="AA200" i="3"/>
  <c r="AA220" i="3"/>
  <c r="AA238" i="3"/>
  <c r="AA254" i="3"/>
  <c r="AA148" i="3"/>
  <c r="AA161" i="3"/>
  <c r="AA183" i="3"/>
  <c r="AA405" i="3"/>
  <c r="AA104" i="3"/>
  <c r="AA119" i="3"/>
  <c r="AA130" i="3"/>
  <c r="AA153" i="3"/>
  <c r="AA395" i="3"/>
  <c r="AA214" i="3"/>
  <c r="AA248" i="3"/>
  <c r="AA6" i="3"/>
  <c r="AA21" i="3"/>
  <c r="AA88" i="3"/>
  <c r="AA111" i="3"/>
  <c r="AA172" i="3"/>
  <c r="AA393" i="3"/>
  <c r="AA80" i="3"/>
  <c r="AA10" i="3"/>
  <c r="AA261" i="3"/>
  <c r="AA287" i="3"/>
  <c r="AA94" i="3"/>
  <c r="AA108" i="3"/>
  <c r="AA126" i="3"/>
  <c r="AA142" i="3"/>
  <c r="AA230" i="3"/>
  <c r="AA120" i="3"/>
  <c r="AA135" i="3"/>
  <c r="AA311" i="3"/>
  <c r="AA304" i="3"/>
  <c r="AA285" i="3"/>
  <c r="AA65" i="3"/>
  <c r="AA84" i="3"/>
  <c r="AA59" i="3"/>
  <c r="AA71" i="3"/>
  <c r="AA78" i="3"/>
  <c r="AA101" i="3"/>
  <c r="AA5" i="3"/>
  <c r="AA19" i="3"/>
  <c r="AA33" i="3"/>
  <c r="AA47" i="3"/>
  <c r="AA68" i="3"/>
  <c r="AA229" i="3"/>
  <c r="AA268" i="3"/>
  <c r="AA280" i="3"/>
  <c r="AA297" i="3"/>
  <c r="AA319" i="3"/>
  <c r="AA49" i="3"/>
  <c r="AA72" i="3"/>
  <c r="AA145" i="3"/>
  <c r="AA399" i="3"/>
  <c r="AA336" i="3"/>
  <c r="AA352" i="3"/>
  <c r="AA375" i="3"/>
  <c r="AA66" i="3"/>
  <c r="AA187" i="3"/>
  <c r="AA247" i="3"/>
  <c r="AA102" i="3"/>
  <c r="AA12" i="3"/>
  <c r="AA46" i="3"/>
  <c r="AA282" i="3"/>
  <c r="AA303" i="3"/>
  <c r="AA165" i="3"/>
  <c r="AA191" i="3"/>
  <c r="AA209" i="3"/>
  <c r="AA349" i="3"/>
  <c r="AA223" i="3"/>
  <c r="AA9" i="3"/>
  <c r="AA24" i="3"/>
  <c r="AA37" i="3"/>
  <c r="AA51" i="3"/>
  <c r="AA271" i="3"/>
  <c r="AA241" i="3"/>
  <c r="AA232" i="3"/>
  <c r="AA149" i="3"/>
  <c r="AA277" i="3"/>
  <c r="AA43" i="3"/>
  <c r="AA64" i="3"/>
  <c r="AA186" i="3"/>
  <c r="AA189" i="3"/>
  <c r="AA312" i="3"/>
  <c r="AA402" i="3"/>
  <c r="AA93" i="3"/>
  <c r="AA246" i="3"/>
  <c r="AA23" i="3"/>
  <c r="AA35" i="3"/>
  <c r="AA57" i="3"/>
  <c r="AA77" i="3"/>
  <c r="U308" i="3"/>
  <c r="U279" i="3"/>
  <c r="Y279" i="3" s="1"/>
  <c r="U294" i="3"/>
  <c r="Y294" i="3" s="1"/>
  <c r="U309" i="3"/>
  <c r="Y309" i="3" s="1"/>
  <c r="U316" i="3"/>
  <c r="Y316" i="3" s="1"/>
  <c r="U339" i="3"/>
  <c r="Y339" i="3" s="1"/>
  <c r="U205" i="3"/>
  <c r="U227" i="3"/>
  <c r="Y227" i="3" s="1"/>
  <c r="U60" i="3"/>
  <c r="Y60" i="3" s="1"/>
  <c r="U81" i="3"/>
  <c r="U95" i="3"/>
  <c r="U112" i="3"/>
  <c r="U124" i="3"/>
  <c r="Y124" i="3" s="1"/>
  <c r="U138" i="3"/>
  <c r="U163" i="3"/>
  <c r="U273" i="3"/>
  <c r="Y273" i="3" s="1"/>
  <c r="U290" i="3"/>
  <c r="Y290" i="3" s="1"/>
  <c r="U305" i="3"/>
  <c r="Y305" i="3" s="1"/>
  <c r="U330" i="3"/>
  <c r="Y330" i="3" s="1"/>
  <c r="U353" i="3"/>
  <c r="Y353" i="3" s="1"/>
  <c r="U292" i="3"/>
  <c r="U321" i="3"/>
  <c r="U152" i="3"/>
  <c r="U113" i="3"/>
  <c r="U129" i="3"/>
  <c r="Y129" i="3" s="1"/>
  <c r="U197" i="3"/>
  <c r="Y197" i="3" s="1"/>
  <c r="U210" i="3"/>
  <c r="U301" i="3"/>
  <c r="Y301" i="3" s="1"/>
  <c r="U159" i="3"/>
  <c r="U216" i="3"/>
  <c r="Y216" i="3" s="1"/>
  <c r="U40" i="3"/>
  <c r="Y40" i="3" s="1"/>
  <c r="U381" i="3"/>
  <c r="Y381" i="3" s="1"/>
  <c r="U89" i="3"/>
  <c r="Y89" i="3" s="1"/>
  <c r="U30" i="3"/>
  <c r="Y30" i="3" s="1"/>
  <c r="U52" i="3"/>
  <c r="U211" i="3"/>
  <c r="U249" i="3"/>
  <c r="U236" i="3"/>
  <c r="Y236" i="3" s="1"/>
  <c r="U255" i="3"/>
  <c r="Y255" i="3" s="1"/>
  <c r="U313" i="3"/>
  <c r="Y313" i="3" s="1"/>
  <c r="U193" i="3"/>
  <c r="U335" i="3"/>
  <c r="Y335" i="3" s="1"/>
  <c r="U118" i="3"/>
  <c r="U134" i="3"/>
  <c r="Y134" i="3" s="1"/>
  <c r="U146" i="3"/>
  <c r="Y146" i="3" s="1"/>
  <c r="U365" i="3"/>
  <c r="Y365" i="3" s="1"/>
  <c r="U48" i="3"/>
  <c r="Y48" i="3" s="1"/>
  <c r="U70" i="3"/>
  <c r="U74" i="3"/>
  <c r="U97" i="3"/>
  <c r="U400" i="3"/>
  <c r="U253" i="3"/>
  <c r="Y253" i="3" s="1"/>
  <c r="U275" i="3"/>
  <c r="Y275" i="3" s="1"/>
  <c r="U322" i="3"/>
  <c r="U175" i="3"/>
  <c r="U98" i="3"/>
  <c r="U62" i="3"/>
  <c r="U83" i="3"/>
  <c r="Y83" i="3" s="1"/>
  <c r="U168" i="3"/>
  <c r="Y168" i="3" s="1"/>
  <c r="U327" i="3"/>
  <c r="Y327" i="3" s="1"/>
  <c r="U346" i="3"/>
  <c r="Y346" i="3" s="1"/>
  <c r="U372" i="3"/>
  <c r="U389" i="3"/>
  <c r="U283" i="3"/>
  <c r="Y283" i="3" s="1"/>
  <c r="U226" i="3"/>
  <c r="Y226" i="3" s="1"/>
  <c r="U243" i="3"/>
  <c r="U267" i="3"/>
  <c r="U289" i="3"/>
  <c r="U326" i="3"/>
  <c r="Y326" i="3" s="1"/>
  <c r="U347" i="3"/>
  <c r="U378" i="3"/>
  <c r="U166" i="3"/>
  <c r="Y166" i="3" s="1"/>
  <c r="U179" i="3"/>
  <c r="Y179" i="3" s="1"/>
  <c r="U198" i="3"/>
  <c r="Y198" i="3" s="1"/>
  <c r="U215" i="3"/>
  <c r="Y215" i="3" s="1"/>
  <c r="U234" i="3"/>
  <c r="Y234" i="3" s="1"/>
  <c r="U252" i="3"/>
  <c r="U272" i="3"/>
  <c r="U288" i="3"/>
  <c r="U245" i="3"/>
  <c r="U258" i="3"/>
  <c r="Y258" i="3" s="1"/>
  <c r="U360" i="3"/>
  <c r="Y360" i="3" s="1"/>
  <c r="U383" i="3"/>
  <c r="U406" i="3"/>
  <c r="Y406" i="3" s="1"/>
  <c r="U181" i="3"/>
  <c r="U53" i="3"/>
  <c r="Y53" i="3" s="1"/>
  <c r="U315" i="3"/>
  <c r="Y315" i="3" s="1"/>
  <c r="U362" i="3"/>
  <c r="Y362" i="3" s="1"/>
  <c r="U284" i="3"/>
  <c r="Y284" i="3" s="1"/>
  <c r="U361" i="3"/>
  <c r="U380" i="3"/>
  <c r="Y380" i="3" s="1"/>
  <c r="U394" i="3"/>
  <c r="Y394" i="3" s="1"/>
  <c r="U333" i="3"/>
  <c r="U128" i="3"/>
  <c r="Y128" i="3" s="1"/>
  <c r="U141" i="3"/>
  <c r="Y141" i="3" s="1"/>
  <c r="U160" i="3"/>
  <c r="Y160" i="3" s="1"/>
  <c r="U182" i="3"/>
  <c r="Y182" i="3" s="1"/>
  <c r="U91" i="3"/>
  <c r="Y91" i="3" s="1"/>
  <c r="U110" i="3"/>
  <c r="U199" i="3"/>
  <c r="Y199" i="3" s="1"/>
  <c r="U217" i="3"/>
  <c r="Y217" i="3" s="1"/>
  <c r="U235" i="3"/>
  <c r="Y235" i="3" s="1"/>
  <c r="U202" i="3"/>
  <c r="Y202" i="3" s="1"/>
  <c r="U218" i="3"/>
  <c r="U237" i="3"/>
  <c r="U259" i="3"/>
  <c r="U364" i="3"/>
  <c r="U351" i="3"/>
  <c r="Y351" i="3" s="1"/>
  <c r="U379" i="3"/>
  <c r="U404" i="3"/>
  <c r="U300" i="3"/>
  <c r="Y300" i="3" s="1"/>
  <c r="U320" i="3"/>
  <c r="Y320" i="3" s="1"/>
  <c r="U143" i="3"/>
  <c r="Y143" i="3" s="1"/>
  <c r="U167" i="3"/>
  <c r="Y167" i="3" s="1"/>
  <c r="U117" i="3"/>
  <c r="Y117" i="3" s="1"/>
  <c r="U4" i="3"/>
  <c r="Y4" i="3" s="1"/>
  <c r="U22" i="3"/>
  <c r="Y22" i="3" s="1"/>
  <c r="U32" i="3"/>
  <c r="Y32" i="3" s="1"/>
  <c r="U50" i="3"/>
  <c r="U73" i="3"/>
  <c r="Y73" i="3" s="1"/>
  <c r="U157" i="3"/>
  <c r="Y157" i="3" s="1"/>
  <c r="U194" i="3"/>
  <c r="U366" i="3"/>
  <c r="Y366" i="3" s="1"/>
  <c r="U401" i="3"/>
  <c r="U171" i="3"/>
  <c r="Y171" i="3" s="1"/>
  <c r="U188" i="3"/>
  <c r="Y188" i="3" s="1"/>
  <c r="U195" i="3"/>
  <c r="U342" i="3"/>
  <c r="Y342" i="3" s="1"/>
  <c r="U222" i="3"/>
  <c r="Y222" i="3" s="1"/>
  <c r="U240" i="3"/>
  <c r="Y240" i="3" s="1"/>
  <c r="U390" i="3"/>
  <c r="Y390" i="3" s="1"/>
  <c r="U340" i="3"/>
  <c r="Y340" i="3" s="1"/>
  <c r="U184" i="3"/>
  <c r="Y184" i="3" s="1"/>
  <c r="U203" i="3"/>
  <c r="U334" i="3"/>
  <c r="U350" i="3"/>
  <c r="Y350" i="3" s="1"/>
  <c r="U371" i="3"/>
  <c r="Y371" i="3" s="1"/>
  <c r="U391" i="3"/>
  <c r="Y391" i="3" s="1"/>
  <c r="U45" i="3"/>
  <c r="Y45" i="3" s="1"/>
  <c r="U67" i="3"/>
  <c r="Y67" i="3" s="1"/>
  <c r="U86" i="3"/>
  <c r="Y86" i="3" s="1"/>
  <c r="U107" i="3"/>
  <c r="Y107" i="3" s="1"/>
  <c r="U123" i="3"/>
  <c r="Y123" i="3" s="1"/>
  <c r="U296" i="3"/>
  <c r="Y296" i="3" s="1"/>
  <c r="U2" i="3"/>
  <c r="Y2" i="3" s="1"/>
  <c r="U18" i="3"/>
  <c r="Y18" i="3" s="1"/>
  <c r="U231" i="3"/>
  <c r="U180" i="3"/>
  <c r="U219" i="3"/>
  <c r="U239" i="3"/>
  <c r="Y239" i="3" s="1"/>
  <c r="U174" i="3"/>
  <c r="U257" i="3"/>
  <c r="Y257" i="3" s="1"/>
  <c r="U276" i="3"/>
  <c r="Y276" i="3" s="1"/>
  <c r="U323" i="3"/>
  <c r="U79" i="3"/>
  <c r="U96" i="3"/>
  <c r="Y96" i="3" s="1"/>
  <c r="U7" i="3"/>
  <c r="Y7" i="3" s="1"/>
  <c r="U274" i="3"/>
  <c r="Y274" i="3" s="1"/>
  <c r="U16" i="3"/>
  <c r="Y16" i="3" s="1"/>
  <c r="U291" i="3"/>
  <c r="U317" i="3"/>
  <c r="U263" i="3"/>
  <c r="U328" i="3"/>
  <c r="U345" i="3"/>
  <c r="U370" i="3"/>
  <c r="Y370" i="3" s="1"/>
  <c r="U392" i="3"/>
  <c r="Y392" i="3" s="1"/>
  <c r="U325" i="3"/>
  <c r="Y325" i="3" s="1"/>
  <c r="U344" i="3"/>
  <c r="U367" i="3"/>
  <c r="Y367" i="3" s="1"/>
  <c r="U385" i="3"/>
  <c r="U201" i="3"/>
  <c r="Y201" i="3" s="1"/>
  <c r="U27" i="3"/>
  <c r="Y27" i="3" s="1"/>
  <c r="U36" i="3"/>
  <c r="Y36" i="3" s="1"/>
  <c r="U55" i="3"/>
  <c r="U329" i="3"/>
  <c r="U348" i="3"/>
  <c r="U398" i="3"/>
  <c r="U92" i="3"/>
  <c r="U105" i="3"/>
  <c r="Y105" i="3" s="1"/>
  <c r="U122" i="3"/>
  <c r="Y122" i="3" s="1"/>
  <c r="U136" i="3"/>
  <c r="Y136" i="3" s="1"/>
  <c r="U158" i="3"/>
  <c r="Y158" i="3" s="1"/>
  <c r="U307" i="3"/>
  <c r="U355" i="3"/>
  <c r="Y355" i="3" s="1"/>
  <c r="U376" i="3"/>
  <c r="Y376" i="3" s="1"/>
  <c r="U397" i="3"/>
  <c r="Y397" i="3" s="1"/>
  <c r="U293" i="3"/>
  <c r="Y293" i="3" s="1"/>
  <c r="U310" i="3"/>
  <c r="Y310" i="3" s="1"/>
  <c r="U269" i="3"/>
  <c r="U374" i="3"/>
  <c r="U386" i="3"/>
  <c r="U270" i="3"/>
  <c r="Y270" i="3" s="1"/>
  <c r="U286" i="3"/>
  <c r="U369" i="3"/>
  <c r="U387" i="3"/>
  <c r="Y387" i="3" s="1"/>
  <c r="U332" i="3"/>
  <c r="Y332" i="3" s="1"/>
  <c r="U11" i="3"/>
  <c r="U25" i="3"/>
  <c r="Y25" i="3" s="1"/>
  <c r="U38" i="3"/>
  <c r="Y38" i="3" s="1"/>
  <c r="U63" i="3"/>
  <c r="Y63" i="3" s="1"/>
  <c r="U140" i="3"/>
  <c r="Y140" i="3" s="1"/>
  <c r="U164" i="3"/>
  <c r="Y164" i="3" s="1"/>
  <c r="U264" i="3"/>
  <c r="U137" i="3"/>
  <c r="U162" i="3"/>
  <c r="U206" i="3"/>
  <c r="Y206" i="3" s="1"/>
  <c r="U169" i="3"/>
  <c r="U185" i="3"/>
  <c r="Y185" i="3" s="1"/>
  <c r="U212" i="3"/>
  <c r="Y212" i="3" s="1"/>
  <c r="U408" i="3"/>
  <c r="Y408" i="3" s="1"/>
  <c r="U176" i="3"/>
  <c r="U343" i="3"/>
  <c r="Y343" i="3" s="1"/>
  <c r="U318" i="3"/>
  <c r="Y318" i="3" s="1"/>
  <c r="U359" i="3"/>
  <c r="Y359" i="3" s="1"/>
  <c r="U14" i="3"/>
  <c r="Y14" i="3" s="1"/>
  <c r="U299" i="3"/>
  <c r="U298" i="3"/>
  <c r="U324" i="3"/>
  <c r="Y324" i="3" s="1"/>
  <c r="U368" i="3"/>
  <c r="Y368" i="3" s="1"/>
  <c r="U384" i="3"/>
  <c r="U15" i="3"/>
  <c r="U28" i="3"/>
  <c r="Y28" i="3" s="1"/>
  <c r="U44" i="3"/>
  <c r="Y44" i="3" s="1"/>
  <c r="U409" i="3"/>
  <c r="Y409" i="3" s="1"/>
  <c r="U3" i="3"/>
  <c r="Y3" i="3" s="1"/>
  <c r="U20" i="3"/>
  <c r="U34" i="3"/>
  <c r="Y34" i="3" s="1"/>
  <c r="U250" i="3"/>
  <c r="Y250" i="3" s="1"/>
  <c r="U190" i="3"/>
  <c r="Y190" i="3" s="1"/>
  <c r="U314" i="3"/>
  <c r="Y314" i="3" s="1"/>
  <c r="U244" i="3"/>
  <c r="U262" i="3"/>
  <c r="Y262" i="3" s="1"/>
  <c r="U306" i="3"/>
  <c r="U41" i="3"/>
  <c r="U56" i="3"/>
  <c r="U54" i="3"/>
  <c r="U76" i="3"/>
  <c r="U103" i="3"/>
  <c r="Y103" i="3" s="1"/>
  <c r="U407" i="3"/>
  <c r="U337" i="3"/>
  <c r="Y337" i="3" s="1"/>
  <c r="U358" i="3"/>
  <c r="Y358" i="3" s="1"/>
  <c r="U363" i="3"/>
  <c r="Y363" i="3" s="1"/>
  <c r="U388" i="3"/>
  <c r="Y388" i="3" s="1"/>
  <c r="U228" i="3"/>
  <c r="Y228" i="3" s="1"/>
  <c r="U82" i="3"/>
  <c r="U17" i="3"/>
  <c r="Y17" i="3" s="1"/>
  <c r="U29" i="3"/>
  <c r="U42" i="3"/>
  <c r="U357" i="3"/>
  <c r="Y357" i="3" s="1"/>
  <c r="U373" i="3"/>
  <c r="Y373" i="3" s="1"/>
  <c r="U396" i="3"/>
  <c r="Y396" i="3" s="1"/>
  <c r="U26" i="3"/>
  <c r="Y26" i="3" s="1"/>
  <c r="U39" i="3"/>
  <c r="U58" i="3"/>
  <c r="Y58" i="3" s="1"/>
  <c r="U85" i="3"/>
  <c r="Y85" i="3" s="1"/>
  <c r="U341" i="3"/>
  <c r="Y341" i="3" s="1"/>
  <c r="U302" i="3"/>
  <c r="Y302" i="3" s="1"/>
  <c r="U151" i="3"/>
  <c r="U207" i="3"/>
  <c r="U221" i="3"/>
  <c r="U281" i="3"/>
  <c r="U99" i="3"/>
  <c r="U75" i="3"/>
  <c r="U100" i="3"/>
  <c r="Y100" i="3" s="1"/>
  <c r="U116" i="3"/>
  <c r="Y116" i="3" s="1"/>
  <c r="U133" i="3"/>
  <c r="U156" i="3"/>
  <c r="Y156" i="3" s="1"/>
  <c r="U382" i="3"/>
  <c r="Y382" i="3" s="1"/>
  <c r="U266" i="3"/>
  <c r="Y266" i="3" s="1"/>
  <c r="U13" i="3"/>
  <c r="Y13" i="3" s="1"/>
  <c r="U31" i="3"/>
  <c r="Y31" i="3" s="1"/>
  <c r="U90" i="3"/>
  <c r="U106" i="3"/>
  <c r="U125" i="3"/>
  <c r="U155" i="3"/>
  <c r="U177" i="3"/>
  <c r="U356" i="3"/>
  <c r="Y356" i="3" s="1"/>
  <c r="U377" i="3"/>
  <c r="U213" i="3"/>
  <c r="Y213" i="3" s="1"/>
  <c r="U150" i="3"/>
  <c r="Y150" i="3" s="1"/>
  <c r="U233" i="3"/>
  <c r="U69" i="3"/>
  <c r="Y69" i="3" s="1"/>
  <c r="U87" i="3"/>
  <c r="Y87" i="3" s="1"/>
  <c r="U109" i="3"/>
  <c r="Y109" i="3" s="1"/>
  <c r="U121" i="3"/>
  <c r="Y121" i="3" s="1"/>
  <c r="U139" i="3"/>
  <c r="Y139" i="3" s="1"/>
  <c r="U127" i="3"/>
  <c r="U265" i="3"/>
  <c r="U144" i="3"/>
  <c r="Y144" i="3" s="1"/>
  <c r="U173" i="3"/>
  <c r="U8" i="3"/>
  <c r="Y8" i="3" s="1"/>
  <c r="U331" i="3"/>
  <c r="Y331" i="3" s="1"/>
  <c r="U354" i="3"/>
  <c r="Y354" i="3" s="1"/>
  <c r="U403" i="3"/>
  <c r="U225" i="3"/>
  <c r="U61" i="3"/>
  <c r="Y61" i="3" s="1"/>
  <c r="U204" i="3"/>
  <c r="Y204" i="3" s="1"/>
  <c r="U224" i="3"/>
  <c r="Y224" i="3" s="1"/>
  <c r="U242" i="3"/>
  <c r="Y242" i="3" s="1"/>
  <c r="U260" i="3"/>
  <c r="U251" i="3"/>
  <c r="U196" i="3"/>
  <c r="U295" i="3"/>
  <c r="U115" i="3"/>
  <c r="Y115" i="3" s="1"/>
  <c r="U132" i="3"/>
  <c r="U154" i="3"/>
  <c r="U338" i="3"/>
  <c r="Y338" i="3" s="1"/>
  <c r="U114" i="3"/>
  <c r="Y114" i="3" s="1"/>
  <c r="U131" i="3"/>
  <c r="U147" i="3"/>
  <c r="Y147" i="3" s="1"/>
  <c r="U170" i="3"/>
  <c r="Y170" i="3" s="1"/>
  <c r="U192" i="3"/>
  <c r="Y192" i="3" s="1"/>
  <c r="U208" i="3"/>
  <c r="Y208" i="3" s="1"/>
  <c r="U256" i="3"/>
  <c r="Y256" i="3" s="1"/>
  <c r="U278" i="3"/>
  <c r="U178" i="3"/>
  <c r="Y178" i="3" s="1"/>
  <c r="U200" i="3"/>
  <c r="Y200" i="3" s="1"/>
  <c r="U220" i="3"/>
  <c r="Y220" i="3" s="1"/>
  <c r="U238" i="3"/>
  <c r="Y238" i="3" s="1"/>
  <c r="U254" i="3"/>
  <c r="Y254" i="3" s="1"/>
  <c r="U148" i="3"/>
  <c r="Y148" i="3" s="1"/>
  <c r="U161" i="3"/>
  <c r="Y161" i="3" s="1"/>
  <c r="U183" i="3"/>
  <c r="U405" i="3"/>
  <c r="Y405" i="3" s="1"/>
  <c r="U104" i="3"/>
  <c r="Y104" i="3" s="1"/>
  <c r="U119" i="3"/>
  <c r="U130" i="3"/>
  <c r="Y130" i="3" s="1"/>
  <c r="U153" i="3"/>
  <c r="U395" i="3"/>
  <c r="U214" i="3"/>
  <c r="U248" i="3"/>
  <c r="Y248" i="3" s="1"/>
  <c r="U6" i="3"/>
  <c r="Y6" i="3" s="1"/>
  <c r="U21" i="3"/>
  <c r="U88" i="3"/>
  <c r="Y88" i="3" s="1"/>
  <c r="U111" i="3"/>
  <c r="U172" i="3"/>
  <c r="Y172" i="3" s="1"/>
  <c r="U393" i="3"/>
  <c r="U80" i="3"/>
  <c r="Y80" i="3" s="1"/>
  <c r="U10" i="3"/>
  <c r="Y10" i="3" s="1"/>
  <c r="U261" i="3"/>
  <c r="Y261" i="3" s="1"/>
  <c r="U287" i="3"/>
  <c r="Y287" i="3" s="1"/>
  <c r="U94" i="3"/>
  <c r="Y94" i="3" s="1"/>
  <c r="U108" i="3"/>
  <c r="U126" i="3"/>
  <c r="U142" i="3"/>
  <c r="Y142" i="3" s="1"/>
  <c r="U230" i="3"/>
  <c r="U120" i="3"/>
  <c r="Y120" i="3" s="1"/>
  <c r="U135" i="3"/>
  <c r="U311" i="3"/>
  <c r="Y311" i="3" s="1"/>
  <c r="U304" i="3"/>
  <c r="Y304" i="3" s="1"/>
  <c r="U285" i="3"/>
  <c r="U65" i="3"/>
  <c r="Y65" i="3" s="1"/>
  <c r="U84" i="3"/>
  <c r="Y84" i="3" s="1"/>
  <c r="U59" i="3"/>
  <c r="Y59" i="3" s="1"/>
  <c r="U71" i="3"/>
  <c r="Y71" i="3" s="1"/>
  <c r="U78" i="3"/>
  <c r="U101" i="3"/>
  <c r="U5" i="3"/>
  <c r="U19" i="3"/>
  <c r="U33" i="3"/>
  <c r="Y33" i="3" s="1"/>
  <c r="U47" i="3"/>
  <c r="Y47" i="3" s="1"/>
  <c r="U68" i="3"/>
  <c r="Y68" i="3" s="1"/>
  <c r="U229" i="3"/>
  <c r="U268" i="3"/>
  <c r="Y268" i="3" s="1"/>
  <c r="U280" i="3"/>
  <c r="U297" i="3"/>
  <c r="Y297" i="3" s="1"/>
  <c r="U319" i="3"/>
  <c r="Y319" i="3" s="1"/>
  <c r="U49" i="3"/>
  <c r="Y49" i="3" s="1"/>
  <c r="U72" i="3"/>
  <c r="Y72" i="3" s="1"/>
  <c r="U145" i="3"/>
  <c r="Y145" i="3" s="1"/>
  <c r="U399" i="3"/>
  <c r="U336" i="3"/>
  <c r="U352" i="3"/>
  <c r="Y352" i="3" s="1"/>
  <c r="U375" i="3"/>
  <c r="U66" i="3"/>
  <c r="Y66" i="3" s="1"/>
  <c r="U187" i="3"/>
  <c r="Y187" i="3" s="1"/>
  <c r="U247" i="3"/>
  <c r="U102" i="3"/>
  <c r="Y102" i="3" s="1"/>
  <c r="U12" i="3"/>
  <c r="U46" i="3"/>
  <c r="Y46" i="3" s="1"/>
  <c r="U282" i="3"/>
  <c r="Y282" i="3" s="1"/>
  <c r="U303" i="3"/>
  <c r="Y303" i="3" s="1"/>
  <c r="U165" i="3"/>
  <c r="Y165" i="3" s="1"/>
  <c r="U191" i="3"/>
  <c r="U209" i="3"/>
  <c r="U349" i="3"/>
  <c r="U223" i="3"/>
  <c r="U9" i="3"/>
  <c r="Y9" i="3" s="1"/>
  <c r="U24" i="3"/>
  <c r="Y24" i="3" s="1"/>
  <c r="U37" i="3"/>
  <c r="U51" i="3"/>
  <c r="Y51" i="3" s="1"/>
  <c r="U271" i="3"/>
  <c r="U241" i="3"/>
  <c r="Y241" i="3" s="1"/>
  <c r="U232" i="3"/>
  <c r="U149" i="3"/>
  <c r="Y149" i="3" s="1"/>
  <c r="U277" i="3"/>
  <c r="Y277" i="3" s="1"/>
  <c r="U43" i="3"/>
  <c r="Y43" i="3" s="1"/>
  <c r="U64" i="3"/>
  <c r="U186" i="3"/>
  <c r="U189" i="3"/>
  <c r="U312" i="3"/>
  <c r="Y312" i="3" s="1"/>
  <c r="U402" i="3"/>
  <c r="Y402" i="3" s="1"/>
  <c r="U93" i="3"/>
  <c r="U246" i="3"/>
  <c r="U23" i="3"/>
  <c r="Y23" i="3" s="1"/>
  <c r="U35" i="3"/>
  <c r="Y35" i="3" s="1"/>
  <c r="U57" i="3"/>
  <c r="U77" i="3"/>
  <c r="Y77" i="3" s="1"/>
  <c r="T308" i="3"/>
  <c r="T279" i="3"/>
  <c r="T294" i="3"/>
  <c r="T309" i="3"/>
  <c r="T316" i="3"/>
  <c r="T339" i="3"/>
  <c r="T205" i="3"/>
  <c r="T227" i="3"/>
  <c r="T60" i="3"/>
  <c r="T81" i="3"/>
  <c r="T95" i="3"/>
  <c r="T112" i="3"/>
  <c r="T124" i="3"/>
  <c r="T138" i="3"/>
  <c r="T163" i="3"/>
  <c r="T273" i="3"/>
  <c r="T290" i="3"/>
  <c r="T305" i="3"/>
  <c r="T330" i="3"/>
  <c r="T353" i="3"/>
  <c r="T292" i="3"/>
  <c r="T321" i="3"/>
  <c r="T152" i="3"/>
  <c r="T113" i="3"/>
  <c r="T129" i="3"/>
  <c r="T197" i="3"/>
  <c r="T210" i="3"/>
  <c r="T301" i="3"/>
  <c r="T159" i="3"/>
  <c r="T216" i="3"/>
  <c r="T40" i="3"/>
  <c r="T381" i="3"/>
  <c r="T89" i="3"/>
  <c r="T30" i="3"/>
  <c r="T52" i="3"/>
  <c r="T211" i="3"/>
  <c r="T249" i="3"/>
  <c r="T236" i="3"/>
  <c r="T255" i="3"/>
  <c r="T313" i="3"/>
  <c r="T193" i="3"/>
  <c r="T335" i="3"/>
  <c r="T118" i="3"/>
  <c r="T134" i="3"/>
  <c r="T146" i="3"/>
  <c r="T365" i="3"/>
  <c r="T48" i="3"/>
  <c r="T70" i="3"/>
  <c r="T74" i="3"/>
  <c r="T97" i="3"/>
  <c r="T400" i="3"/>
  <c r="T253" i="3"/>
  <c r="T275" i="3"/>
  <c r="T322" i="3"/>
  <c r="T175" i="3"/>
  <c r="T98" i="3"/>
  <c r="T62" i="3"/>
  <c r="T83" i="3"/>
  <c r="T168" i="3"/>
  <c r="T327" i="3"/>
  <c r="T346" i="3"/>
  <c r="T372" i="3"/>
  <c r="T389" i="3"/>
  <c r="T283" i="3"/>
  <c r="T226" i="3"/>
  <c r="T243" i="3"/>
  <c r="T267" i="3"/>
  <c r="T289" i="3"/>
  <c r="T326" i="3"/>
  <c r="T347" i="3"/>
  <c r="T378" i="3"/>
  <c r="T166" i="3"/>
  <c r="T179" i="3"/>
  <c r="T198" i="3"/>
  <c r="T215" i="3"/>
  <c r="T234" i="3"/>
  <c r="T252" i="3"/>
  <c r="T272" i="3"/>
  <c r="T288" i="3"/>
  <c r="T245" i="3"/>
  <c r="T258" i="3"/>
  <c r="T360" i="3"/>
  <c r="T383" i="3"/>
  <c r="T406" i="3"/>
  <c r="T181" i="3"/>
  <c r="T53" i="3"/>
  <c r="T315" i="3"/>
  <c r="T362" i="3"/>
  <c r="T284" i="3"/>
  <c r="T361" i="3"/>
  <c r="T380" i="3"/>
  <c r="T394" i="3"/>
  <c r="T333" i="3"/>
  <c r="T128" i="3"/>
  <c r="T141" i="3"/>
  <c r="T160" i="3"/>
  <c r="T182" i="3"/>
  <c r="T91" i="3"/>
  <c r="T110" i="3"/>
  <c r="T199" i="3"/>
  <c r="T217" i="3"/>
  <c r="T235" i="3"/>
  <c r="T202" i="3"/>
  <c r="T218" i="3"/>
  <c r="T237" i="3"/>
  <c r="T259" i="3"/>
  <c r="T364" i="3"/>
  <c r="T351" i="3"/>
  <c r="T379" i="3"/>
  <c r="T404" i="3"/>
  <c r="T300" i="3"/>
  <c r="T320" i="3"/>
  <c r="T143" i="3"/>
  <c r="T167" i="3"/>
  <c r="T117" i="3"/>
  <c r="T4" i="3"/>
  <c r="T22" i="3"/>
  <c r="T32" i="3"/>
  <c r="T50" i="3"/>
  <c r="T73" i="3"/>
  <c r="T157" i="3"/>
  <c r="T194" i="3"/>
  <c r="T366" i="3"/>
  <c r="T401" i="3"/>
  <c r="T171" i="3"/>
  <c r="T188" i="3"/>
  <c r="T195" i="3"/>
  <c r="T342" i="3"/>
  <c r="T222" i="3"/>
  <c r="T240" i="3"/>
  <c r="T390" i="3"/>
  <c r="T340" i="3"/>
  <c r="T184" i="3"/>
  <c r="T203" i="3"/>
  <c r="T334" i="3"/>
  <c r="T350" i="3"/>
  <c r="T371" i="3"/>
  <c r="T391" i="3"/>
  <c r="T45" i="3"/>
  <c r="T67" i="3"/>
  <c r="T86" i="3"/>
  <c r="T107" i="3"/>
  <c r="T123" i="3"/>
  <c r="T296" i="3"/>
  <c r="T2" i="3"/>
  <c r="T18" i="3"/>
  <c r="T231" i="3"/>
  <c r="T180" i="3"/>
  <c r="T219" i="3"/>
  <c r="T239" i="3"/>
  <c r="T174" i="3"/>
  <c r="T257" i="3"/>
  <c r="T276" i="3"/>
  <c r="T323" i="3"/>
  <c r="T79" i="3"/>
  <c r="T96" i="3"/>
  <c r="T7" i="3"/>
  <c r="T274" i="3"/>
  <c r="T16" i="3"/>
  <c r="T291" i="3"/>
  <c r="T317" i="3"/>
  <c r="T263" i="3"/>
  <c r="T328" i="3"/>
  <c r="T345" i="3"/>
  <c r="T370" i="3"/>
  <c r="T392" i="3"/>
  <c r="T325" i="3"/>
  <c r="T344" i="3"/>
  <c r="T367" i="3"/>
  <c r="T385" i="3"/>
  <c r="T201" i="3"/>
  <c r="T27" i="3"/>
  <c r="T36" i="3"/>
  <c r="T55" i="3"/>
  <c r="T329" i="3"/>
  <c r="T348" i="3"/>
  <c r="T398" i="3"/>
  <c r="T92" i="3"/>
  <c r="T105" i="3"/>
  <c r="T122" i="3"/>
  <c r="T136" i="3"/>
  <c r="T158" i="3"/>
  <c r="T307" i="3"/>
  <c r="T355" i="3"/>
  <c r="T376" i="3"/>
  <c r="T397" i="3"/>
  <c r="T293" i="3"/>
  <c r="T310" i="3"/>
  <c r="T269" i="3"/>
  <c r="T374" i="3"/>
  <c r="T386" i="3"/>
  <c r="T270" i="3"/>
  <c r="T286" i="3"/>
  <c r="T369" i="3"/>
  <c r="T387" i="3"/>
  <c r="T332" i="3"/>
  <c r="T11" i="3"/>
  <c r="T25" i="3"/>
  <c r="T38" i="3"/>
  <c r="T63" i="3"/>
  <c r="T140" i="3"/>
  <c r="T164" i="3"/>
  <c r="T264" i="3"/>
  <c r="T137" i="3"/>
  <c r="T162" i="3"/>
  <c r="T206" i="3"/>
  <c r="T169" i="3"/>
  <c r="T185" i="3"/>
  <c r="T212" i="3"/>
  <c r="T408" i="3"/>
  <c r="T176" i="3"/>
  <c r="T343" i="3"/>
  <c r="T318" i="3"/>
  <c r="T359" i="3"/>
  <c r="T14" i="3"/>
  <c r="T299" i="3"/>
  <c r="T298" i="3"/>
  <c r="T324" i="3"/>
  <c r="T368" i="3"/>
  <c r="T384" i="3"/>
  <c r="T15" i="3"/>
  <c r="T28" i="3"/>
  <c r="T44" i="3"/>
  <c r="T409" i="3"/>
  <c r="T3" i="3"/>
  <c r="T20" i="3"/>
  <c r="T34" i="3"/>
  <c r="T250" i="3"/>
  <c r="T190" i="3"/>
  <c r="T314" i="3"/>
  <c r="T244" i="3"/>
  <c r="T262" i="3"/>
  <c r="T306" i="3"/>
  <c r="T41" i="3"/>
  <c r="T56" i="3"/>
  <c r="T54" i="3"/>
  <c r="T76" i="3"/>
  <c r="T103" i="3"/>
  <c r="T407" i="3"/>
  <c r="T337" i="3"/>
  <c r="T358" i="3"/>
  <c r="T363" i="3"/>
  <c r="T388" i="3"/>
  <c r="T228" i="3"/>
  <c r="T82" i="3"/>
  <c r="T17" i="3"/>
  <c r="T29" i="3"/>
  <c r="T42" i="3"/>
  <c r="T357" i="3"/>
  <c r="T373" i="3"/>
  <c r="T396" i="3"/>
  <c r="T26" i="3"/>
  <c r="T39" i="3"/>
  <c r="T58" i="3"/>
  <c r="T85" i="3"/>
  <c r="T341" i="3"/>
  <c r="T302" i="3"/>
  <c r="T151" i="3"/>
  <c r="T207" i="3"/>
  <c r="T221" i="3"/>
  <c r="T281" i="3"/>
  <c r="T99" i="3"/>
  <c r="T75" i="3"/>
  <c r="T100" i="3"/>
  <c r="T116" i="3"/>
  <c r="T133" i="3"/>
  <c r="T156" i="3"/>
  <c r="T382" i="3"/>
  <c r="T266" i="3"/>
  <c r="T13" i="3"/>
  <c r="T31" i="3"/>
  <c r="T90" i="3"/>
  <c r="T106" i="3"/>
  <c r="T125" i="3"/>
  <c r="T155" i="3"/>
  <c r="T177" i="3"/>
  <c r="T356" i="3"/>
  <c r="T377" i="3"/>
  <c r="T213" i="3"/>
  <c r="T150" i="3"/>
  <c r="T233" i="3"/>
  <c r="T69" i="3"/>
  <c r="T87" i="3"/>
  <c r="T109" i="3"/>
  <c r="T121" i="3"/>
  <c r="T139" i="3"/>
  <c r="T127" i="3"/>
  <c r="T265" i="3"/>
  <c r="T144" i="3"/>
  <c r="T173" i="3"/>
  <c r="T8" i="3"/>
  <c r="T331" i="3"/>
  <c r="T354" i="3"/>
  <c r="T403" i="3"/>
  <c r="T225" i="3"/>
  <c r="T61" i="3"/>
  <c r="T204" i="3"/>
  <c r="T224" i="3"/>
  <c r="T242" i="3"/>
  <c r="T260" i="3"/>
  <c r="T251" i="3"/>
  <c r="T196" i="3"/>
  <c r="T295" i="3"/>
  <c r="T115" i="3"/>
  <c r="T132" i="3"/>
  <c r="T154" i="3"/>
  <c r="T338" i="3"/>
  <c r="T114" i="3"/>
  <c r="T131" i="3"/>
  <c r="T147" i="3"/>
  <c r="T170" i="3"/>
  <c r="T192" i="3"/>
  <c r="T208" i="3"/>
  <c r="T256" i="3"/>
  <c r="T278" i="3"/>
  <c r="T178" i="3"/>
  <c r="T200" i="3"/>
  <c r="T220" i="3"/>
  <c r="T238" i="3"/>
  <c r="T254" i="3"/>
  <c r="T148" i="3"/>
  <c r="T161" i="3"/>
  <c r="T183" i="3"/>
  <c r="T405" i="3"/>
  <c r="T104" i="3"/>
  <c r="T119" i="3"/>
  <c r="T130" i="3"/>
  <c r="T153" i="3"/>
  <c r="T395" i="3"/>
  <c r="T214" i="3"/>
  <c r="T248" i="3"/>
  <c r="T6" i="3"/>
  <c r="T21" i="3"/>
  <c r="T88" i="3"/>
  <c r="T111" i="3"/>
  <c r="T172" i="3"/>
  <c r="T393" i="3"/>
  <c r="T80" i="3"/>
  <c r="T10" i="3"/>
  <c r="T261" i="3"/>
  <c r="T287" i="3"/>
  <c r="T94" i="3"/>
  <c r="T108" i="3"/>
  <c r="T126" i="3"/>
  <c r="T142" i="3"/>
  <c r="T230" i="3"/>
  <c r="T120" i="3"/>
  <c r="T135" i="3"/>
  <c r="T311" i="3"/>
  <c r="T304" i="3"/>
  <c r="T285" i="3"/>
  <c r="T65" i="3"/>
  <c r="T84" i="3"/>
  <c r="T59" i="3"/>
  <c r="T71" i="3"/>
  <c r="T78" i="3"/>
  <c r="T101" i="3"/>
  <c r="T5" i="3"/>
  <c r="T19" i="3"/>
  <c r="T33" i="3"/>
  <c r="T47" i="3"/>
  <c r="T68" i="3"/>
  <c r="T229" i="3"/>
  <c r="T268" i="3"/>
  <c r="T280" i="3"/>
  <c r="T297" i="3"/>
  <c r="T319" i="3"/>
  <c r="T49" i="3"/>
  <c r="T72" i="3"/>
  <c r="T145" i="3"/>
  <c r="T399" i="3"/>
  <c r="T336" i="3"/>
  <c r="T352" i="3"/>
  <c r="T375" i="3"/>
  <c r="T66" i="3"/>
  <c r="T187" i="3"/>
  <c r="T247" i="3"/>
  <c r="T102" i="3"/>
  <c r="T12" i="3"/>
  <c r="T46" i="3"/>
  <c r="T282" i="3"/>
  <c r="T303" i="3"/>
  <c r="T165" i="3"/>
  <c r="T191" i="3"/>
  <c r="T209" i="3"/>
  <c r="T349" i="3"/>
  <c r="T223" i="3"/>
  <c r="T9" i="3"/>
  <c r="T24" i="3"/>
  <c r="T37" i="3"/>
  <c r="T51" i="3"/>
  <c r="T271" i="3"/>
  <c r="T241" i="3"/>
  <c r="T232" i="3"/>
  <c r="T149" i="3"/>
  <c r="T277" i="3"/>
  <c r="T43" i="3"/>
  <c r="T64" i="3"/>
  <c r="T186" i="3"/>
  <c r="T189" i="3"/>
  <c r="T312" i="3"/>
  <c r="T402" i="3"/>
  <c r="T93" i="3"/>
  <c r="T246" i="3"/>
  <c r="T23" i="3"/>
  <c r="T35" i="3"/>
  <c r="T57" i="3"/>
  <c r="T77" i="3"/>
  <c r="S308" i="3"/>
  <c r="S279" i="3"/>
  <c r="S294" i="3"/>
  <c r="S309" i="3"/>
  <c r="S316" i="3"/>
  <c r="S339" i="3"/>
  <c r="S205" i="3"/>
  <c r="S227" i="3"/>
  <c r="S60" i="3"/>
  <c r="S81" i="3"/>
  <c r="S95" i="3"/>
  <c r="S112" i="3"/>
  <c r="S124" i="3"/>
  <c r="S138" i="3"/>
  <c r="S163" i="3"/>
  <c r="S273" i="3"/>
  <c r="S290" i="3"/>
  <c r="S305" i="3"/>
  <c r="S330" i="3"/>
  <c r="S353" i="3"/>
  <c r="S292" i="3"/>
  <c r="S321" i="3"/>
  <c r="S152" i="3"/>
  <c r="S113" i="3"/>
  <c r="S129" i="3"/>
  <c r="S197" i="3"/>
  <c r="S210" i="3"/>
  <c r="S301" i="3"/>
  <c r="S159" i="3"/>
  <c r="S216" i="3"/>
  <c r="S40" i="3"/>
  <c r="S381" i="3"/>
  <c r="S89" i="3"/>
  <c r="S30" i="3"/>
  <c r="S52" i="3"/>
  <c r="S211" i="3"/>
  <c r="S249" i="3"/>
  <c r="S236" i="3"/>
  <c r="S255" i="3"/>
  <c r="S313" i="3"/>
  <c r="S193" i="3"/>
  <c r="S335" i="3"/>
  <c r="S118" i="3"/>
  <c r="S134" i="3"/>
  <c r="S146" i="3"/>
  <c r="S365" i="3"/>
  <c r="S48" i="3"/>
  <c r="S70" i="3"/>
  <c r="S74" i="3"/>
  <c r="S97" i="3"/>
  <c r="S400" i="3"/>
  <c r="S253" i="3"/>
  <c r="S275" i="3"/>
  <c r="S322" i="3"/>
  <c r="S175" i="3"/>
  <c r="S98" i="3"/>
  <c r="S62" i="3"/>
  <c r="S83" i="3"/>
  <c r="S168" i="3"/>
  <c r="S327" i="3"/>
  <c r="S346" i="3"/>
  <c r="S372" i="3"/>
  <c r="S389" i="3"/>
  <c r="S283" i="3"/>
  <c r="S226" i="3"/>
  <c r="S243" i="3"/>
  <c r="S267" i="3"/>
  <c r="S289" i="3"/>
  <c r="S326" i="3"/>
  <c r="S347" i="3"/>
  <c r="S378" i="3"/>
  <c r="S166" i="3"/>
  <c r="S179" i="3"/>
  <c r="S198" i="3"/>
  <c r="S215" i="3"/>
  <c r="S234" i="3"/>
  <c r="S252" i="3"/>
  <c r="S272" i="3"/>
  <c r="S288" i="3"/>
  <c r="S245" i="3"/>
  <c r="S258" i="3"/>
  <c r="S360" i="3"/>
  <c r="S383" i="3"/>
  <c r="S406" i="3"/>
  <c r="S181" i="3"/>
  <c r="S53" i="3"/>
  <c r="S315" i="3"/>
  <c r="S362" i="3"/>
  <c r="S284" i="3"/>
  <c r="S361" i="3"/>
  <c r="S380" i="3"/>
  <c r="S394" i="3"/>
  <c r="S333" i="3"/>
  <c r="S128" i="3"/>
  <c r="S141" i="3"/>
  <c r="S160" i="3"/>
  <c r="S182" i="3"/>
  <c r="S91" i="3"/>
  <c r="S110" i="3"/>
  <c r="S199" i="3"/>
  <c r="S217" i="3"/>
  <c r="S235" i="3"/>
  <c r="S202" i="3"/>
  <c r="S218" i="3"/>
  <c r="S237" i="3"/>
  <c r="S259" i="3"/>
  <c r="S364" i="3"/>
  <c r="S351" i="3"/>
  <c r="S379" i="3"/>
  <c r="S404" i="3"/>
  <c r="S300" i="3"/>
  <c r="S320" i="3"/>
  <c r="S143" i="3"/>
  <c r="S167" i="3"/>
  <c r="S117" i="3"/>
  <c r="S4" i="3"/>
  <c r="S22" i="3"/>
  <c r="S32" i="3"/>
  <c r="S50" i="3"/>
  <c r="S73" i="3"/>
  <c r="S157" i="3"/>
  <c r="S194" i="3"/>
  <c r="S366" i="3"/>
  <c r="S401" i="3"/>
  <c r="S171" i="3"/>
  <c r="S188" i="3"/>
  <c r="S195" i="3"/>
  <c r="S342" i="3"/>
  <c r="S222" i="3"/>
  <c r="S240" i="3"/>
  <c r="S390" i="3"/>
  <c r="S340" i="3"/>
  <c r="S184" i="3"/>
  <c r="S203" i="3"/>
  <c r="S334" i="3"/>
  <c r="S350" i="3"/>
  <c r="S371" i="3"/>
  <c r="S391" i="3"/>
  <c r="S45" i="3"/>
  <c r="S67" i="3"/>
  <c r="S86" i="3"/>
  <c r="S107" i="3"/>
  <c r="S123" i="3"/>
  <c r="S296" i="3"/>
  <c r="S2" i="3"/>
  <c r="S18" i="3"/>
  <c r="S231" i="3"/>
  <c r="S180" i="3"/>
  <c r="S219" i="3"/>
  <c r="S239" i="3"/>
  <c r="S174" i="3"/>
  <c r="S257" i="3"/>
  <c r="S276" i="3"/>
  <c r="S323" i="3"/>
  <c r="S79" i="3"/>
  <c r="S96" i="3"/>
  <c r="S7" i="3"/>
  <c r="S274" i="3"/>
  <c r="S16" i="3"/>
  <c r="S291" i="3"/>
  <c r="S317" i="3"/>
  <c r="S263" i="3"/>
  <c r="S328" i="3"/>
  <c r="S345" i="3"/>
  <c r="S370" i="3"/>
  <c r="S392" i="3"/>
  <c r="S325" i="3"/>
  <c r="S344" i="3"/>
  <c r="S367" i="3"/>
  <c r="S385" i="3"/>
  <c r="S201" i="3"/>
  <c r="S27" i="3"/>
  <c r="S36" i="3"/>
  <c r="S55" i="3"/>
  <c r="S329" i="3"/>
  <c r="S348" i="3"/>
  <c r="S398" i="3"/>
  <c r="S92" i="3"/>
  <c r="S105" i="3"/>
  <c r="S122" i="3"/>
  <c r="S136" i="3"/>
  <c r="S158" i="3"/>
  <c r="S307" i="3"/>
  <c r="S355" i="3"/>
  <c r="S376" i="3"/>
  <c r="S397" i="3"/>
  <c r="S293" i="3"/>
  <c r="S310" i="3"/>
  <c r="S269" i="3"/>
  <c r="S374" i="3"/>
  <c r="S386" i="3"/>
  <c r="S270" i="3"/>
  <c r="S286" i="3"/>
  <c r="S369" i="3"/>
  <c r="S387" i="3"/>
  <c r="S332" i="3"/>
  <c r="S11" i="3"/>
  <c r="S25" i="3"/>
  <c r="S38" i="3"/>
  <c r="S63" i="3"/>
  <c r="S140" i="3"/>
  <c r="S164" i="3"/>
  <c r="S264" i="3"/>
  <c r="S137" i="3"/>
  <c r="S162" i="3"/>
  <c r="S206" i="3"/>
  <c r="S169" i="3"/>
  <c r="S185" i="3"/>
  <c r="S212" i="3"/>
  <c r="S408" i="3"/>
  <c r="S176" i="3"/>
  <c r="S343" i="3"/>
  <c r="S318" i="3"/>
  <c r="S359" i="3"/>
  <c r="S14" i="3"/>
  <c r="S299" i="3"/>
  <c r="S298" i="3"/>
  <c r="S324" i="3"/>
  <c r="S368" i="3"/>
  <c r="S384" i="3"/>
  <c r="S15" i="3"/>
  <c r="S28" i="3"/>
  <c r="S44" i="3"/>
  <c r="S409" i="3"/>
  <c r="S3" i="3"/>
  <c r="S20" i="3"/>
  <c r="S34" i="3"/>
  <c r="S250" i="3"/>
  <c r="S190" i="3"/>
  <c r="S314" i="3"/>
  <c r="S244" i="3"/>
  <c r="S262" i="3"/>
  <c r="S306" i="3"/>
  <c r="S41" i="3"/>
  <c r="S56" i="3"/>
  <c r="S54" i="3"/>
  <c r="S76" i="3"/>
  <c r="S103" i="3"/>
  <c r="S407" i="3"/>
  <c r="S337" i="3"/>
  <c r="S358" i="3"/>
  <c r="S363" i="3"/>
  <c r="S388" i="3"/>
  <c r="S228" i="3"/>
  <c r="S82" i="3"/>
  <c r="S17" i="3"/>
  <c r="S29" i="3"/>
  <c r="S42" i="3"/>
  <c r="S357" i="3"/>
  <c r="S373" i="3"/>
  <c r="S396" i="3"/>
  <c r="S26" i="3"/>
  <c r="S39" i="3"/>
  <c r="S58" i="3"/>
  <c r="S85" i="3"/>
  <c r="S341" i="3"/>
  <c r="S302" i="3"/>
  <c r="S151" i="3"/>
  <c r="S207" i="3"/>
  <c r="S221" i="3"/>
  <c r="S281" i="3"/>
  <c r="S99" i="3"/>
  <c r="S75" i="3"/>
  <c r="S100" i="3"/>
  <c r="S116" i="3"/>
  <c r="S133" i="3"/>
  <c r="S156" i="3"/>
  <c r="S382" i="3"/>
  <c r="S266" i="3"/>
  <c r="S13" i="3"/>
  <c r="S31" i="3"/>
  <c r="S90" i="3"/>
  <c r="S106" i="3"/>
  <c r="S125" i="3"/>
  <c r="S155" i="3"/>
  <c r="S177" i="3"/>
  <c r="S356" i="3"/>
  <c r="S377" i="3"/>
  <c r="S213" i="3"/>
  <c r="S150" i="3"/>
  <c r="S233" i="3"/>
  <c r="S69" i="3"/>
  <c r="S87" i="3"/>
  <c r="S109" i="3"/>
  <c r="S121" i="3"/>
  <c r="S139" i="3"/>
  <c r="S127" i="3"/>
  <c r="S265" i="3"/>
  <c r="S144" i="3"/>
  <c r="S173" i="3"/>
  <c r="S8" i="3"/>
  <c r="S331" i="3"/>
  <c r="S354" i="3"/>
  <c r="S403" i="3"/>
  <c r="S225" i="3"/>
  <c r="S61" i="3"/>
  <c r="S204" i="3"/>
  <c r="S224" i="3"/>
  <c r="S242" i="3"/>
  <c r="S260" i="3"/>
  <c r="S251" i="3"/>
  <c r="S196" i="3"/>
  <c r="S295" i="3"/>
  <c r="S115" i="3"/>
  <c r="S132" i="3"/>
  <c r="S154" i="3"/>
  <c r="S338" i="3"/>
  <c r="S114" i="3"/>
  <c r="S131" i="3"/>
  <c r="S147" i="3"/>
  <c r="S170" i="3"/>
  <c r="S192" i="3"/>
  <c r="S208" i="3"/>
  <c r="S256" i="3"/>
  <c r="S278" i="3"/>
  <c r="S178" i="3"/>
  <c r="S200" i="3"/>
  <c r="S220" i="3"/>
  <c r="S238" i="3"/>
  <c r="S254" i="3"/>
  <c r="S148" i="3"/>
  <c r="S161" i="3"/>
  <c r="S183" i="3"/>
  <c r="S405" i="3"/>
  <c r="S104" i="3"/>
  <c r="S119" i="3"/>
  <c r="S130" i="3"/>
  <c r="S153" i="3"/>
  <c r="S395" i="3"/>
  <c r="S214" i="3"/>
  <c r="S248" i="3"/>
  <c r="S6" i="3"/>
  <c r="S21" i="3"/>
  <c r="S88" i="3"/>
  <c r="S111" i="3"/>
  <c r="S172" i="3"/>
  <c r="S393" i="3"/>
  <c r="S80" i="3"/>
  <c r="S10" i="3"/>
  <c r="S261" i="3"/>
  <c r="S287" i="3"/>
  <c r="S94" i="3"/>
  <c r="S108" i="3"/>
  <c r="S126" i="3"/>
  <c r="S142" i="3"/>
  <c r="S230" i="3"/>
  <c r="S120" i="3"/>
  <c r="S135" i="3"/>
  <c r="S311" i="3"/>
  <c r="S304" i="3"/>
  <c r="S285" i="3"/>
  <c r="S65" i="3"/>
  <c r="S84" i="3"/>
  <c r="S59" i="3"/>
  <c r="S71" i="3"/>
  <c r="S78" i="3"/>
  <c r="S101" i="3"/>
  <c r="S5" i="3"/>
  <c r="S19" i="3"/>
  <c r="S33" i="3"/>
  <c r="S47" i="3"/>
  <c r="S68" i="3"/>
  <c r="S229" i="3"/>
  <c r="S268" i="3"/>
  <c r="S280" i="3"/>
  <c r="S297" i="3"/>
  <c r="S319" i="3"/>
  <c r="S49" i="3"/>
  <c r="S72" i="3"/>
  <c r="S145" i="3"/>
  <c r="S399" i="3"/>
  <c r="S336" i="3"/>
  <c r="S352" i="3"/>
  <c r="S375" i="3"/>
  <c r="S66" i="3"/>
  <c r="S187" i="3"/>
  <c r="S247" i="3"/>
  <c r="S102" i="3"/>
  <c r="S12" i="3"/>
  <c r="S46" i="3"/>
  <c r="S282" i="3"/>
  <c r="S303" i="3"/>
  <c r="S165" i="3"/>
  <c r="S191" i="3"/>
  <c r="S209" i="3"/>
  <c r="S349" i="3"/>
  <c r="S223" i="3"/>
  <c r="S9" i="3"/>
  <c r="S24" i="3"/>
  <c r="S37" i="3"/>
  <c r="S51" i="3"/>
  <c r="S271" i="3"/>
  <c r="S241" i="3"/>
  <c r="S232" i="3"/>
  <c r="S149" i="3"/>
  <c r="S277" i="3"/>
  <c r="S43" i="3"/>
  <c r="S64" i="3"/>
  <c r="S186" i="3"/>
  <c r="S189" i="3"/>
  <c r="S312" i="3"/>
  <c r="S402" i="3"/>
  <c r="S93" i="3"/>
  <c r="S246" i="3"/>
  <c r="S23" i="3"/>
  <c r="S35" i="3"/>
  <c r="S57" i="3"/>
  <c r="S77" i="3"/>
  <c r="D308" i="3"/>
  <c r="D279" i="3"/>
  <c r="D294" i="3"/>
  <c r="D309" i="3"/>
  <c r="D316" i="3"/>
  <c r="D339" i="3"/>
  <c r="D205" i="3"/>
  <c r="D227" i="3"/>
  <c r="D60" i="3"/>
  <c r="D81" i="3"/>
  <c r="D95" i="3"/>
  <c r="D112" i="3"/>
  <c r="D124" i="3"/>
  <c r="D138" i="3"/>
  <c r="D163" i="3"/>
  <c r="D273" i="3"/>
  <c r="D290" i="3"/>
  <c r="D305" i="3"/>
  <c r="D330" i="3"/>
  <c r="D353" i="3"/>
  <c r="D292" i="3"/>
  <c r="D321" i="3"/>
  <c r="D152" i="3"/>
  <c r="D113" i="3"/>
  <c r="D129" i="3"/>
  <c r="D197" i="3"/>
  <c r="D210" i="3"/>
  <c r="D301" i="3"/>
  <c r="D159" i="3"/>
  <c r="D216" i="3"/>
  <c r="D40" i="3"/>
  <c r="D381" i="3"/>
  <c r="D89" i="3"/>
  <c r="D30" i="3"/>
  <c r="D52" i="3"/>
  <c r="D211" i="3"/>
  <c r="D249" i="3"/>
  <c r="D236" i="3"/>
  <c r="D255" i="3"/>
  <c r="D313" i="3"/>
  <c r="D193" i="3"/>
  <c r="D335" i="3"/>
  <c r="D118" i="3"/>
  <c r="D134" i="3"/>
  <c r="D146" i="3"/>
  <c r="D365" i="3"/>
  <c r="D48" i="3"/>
  <c r="D70" i="3"/>
  <c r="D74" i="3"/>
  <c r="D97" i="3"/>
  <c r="D400" i="3"/>
  <c r="D253" i="3"/>
  <c r="D275" i="3"/>
  <c r="D322" i="3"/>
  <c r="D175" i="3"/>
  <c r="D98" i="3"/>
  <c r="D62" i="3"/>
  <c r="D83" i="3"/>
  <c r="D168" i="3"/>
  <c r="D327" i="3"/>
  <c r="D346" i="3"/>
  <c r="D372" i="3"/>
  <c r="D389" i="3"/>
  <c r="D283" i="3"/>
  <c r="D226" i="3"/>
  <c r="D243" i="3"/>
  <c r="D267" i="3"/>
  <c r="D289" i="3"/>
  <c r="D326" i="3"/>
  <c r="D347" i="3"/>
  <c r="D378" i="3"/>
  <c r="D166" i="3"/>
  <c r="D179" i="3"/>
  <c r="D198" i="3"/>
  <c r="D215" i="3"/>
  <c r="D234" i="3"/>
  <c r="D252" i="3"/>
  <c r="D272" i="3"/>
  <c r="D288" i="3"/>
  <c r="D245" i="3"/>
  <c r="D258" i="3"/>
  <c r="D360" i="3"/>
  <c r="D383" i="3"/>
  <c r="D406" i="3"/>
  <c r="D181" i="3"/>
  <c r="D53" i="3"/>
  <c r="D315" i="3"/>
  <c r="D362" i="3"/>
  <c r="D284" i="3"/>
  <c r="D361" i="3"/>
  <c r="D380" i="3"/>
  <c r="D394" i="3"/>
  <c r="D333" i="3"/>
  <c r="D128" i="3"/>
  <c r="D141" i="3"/>
  <c r="D160" i="3"/>
  <c r="D182" i="3"/>
  <c r="D91" i="3"/>
  <c r="D110" i="3"/>
  <c r="D199" i="3"/>
  <c r="D217" i="3"/>
  <c r="D235" i="3"/>
  <c r="D202" i="3"/>
  <c r="D218" i="3"/>
  <c r="D237" i="3"/>
  <c r="D259" i="3"/>
  <c r="D364" i="3"/>
  <c r="D351" i="3"/>
  <c r="D379" i="3"/>
  <c r="D404" i="3"/>
  <c r="D300" i="3"/>
  <c r="D320" i="3"/>
  <c r="D143" i="3"/>
  <c r="D167" i="3"/>
  <c r="D117" i="3"/>
  <c r="D4" i="3"/>
  <c r="D22" i="3"/>
  <c r="D32" i="3"/>
  <c r="D50" i="3"/>
  <c r="D73" i="3"/>
  <c r="D157" i="3"/>
  <c r="D194" i="3"/>
  <c r="D366" i="3"/>
  <c r="D401" i="3"/>
  <c r="D171" i="3"/>
  <c r="D188" i="3"/>
  <c r="D195" i="3"/>
  <c r="D342" i="3"/>
  <c r="D222" i="3"/>
  <c r="D240" i="3"/>
  <c r="D390" i="3"/>
  <c r="D340" i="3"/>
  <c r="D184" i="3"/>
  <c r="D203" i="3"/>
  <c r="D334" i="3"/>
  <c r="D350" i="3"/>
  <c r="D371" i="3"/>
  <c r="D391" i="3"/>
  <c r="D45" i="3"/>
  <c r="D67" i="3"/>
  <c r="D86" i="3"/>
  <c r="D107" i="3"/>
  <c r="D123" i="3"/>
  <c r="D296" i="3"/>
  <c r="D2" i="3"/>
  <c r="D18" i="3"/>
  <c r="D231" i="3"/>
  <c r="D180" i="3"/>
  <c r="D219" i="3"/>
  <c r="D239" i="3"/>
  <c r="D174" i="3"/>
  <c r="D257" i="3"/>
  <c r="D276" i="3"/>
  <c r="D323" i="3"/>
  <c r="D79" i="3"/>
  <c r="D96" i="3"/>
  <c r="D7" i="3"/>
  <c r="D274" i="3"/>
  <c r="D16" i="3"/>
  <c r="D291" i="3"/>
  <c r="D317" i="3"/>
  <c r="D263" i="3"/>
  <c r="D328" i="3"/>
  <c r="D345" i="3"/>
  <c r="D370" i="3"/>
  <c r="D392" i="3"/>
  <c r="D325" i="3"/>
  <c r="D344" i="3"/>
  <c r="D367" i="3"/>
  <c r="D385" i="3"/>
  <c r="D201" i="3"/>
  <c r="D27" i="3"/>
  <c r="D36" i="3"/>
  <c r="D55" i="3"/>
  <c r="D329" i="3"/>
  <c r="D348" i="3"/>
  <c r="D398" i="3"/>
  <c r="D92" i="3"/>
  <c r="D105" i="3"/>
  <c r="D122" i="3"/>
  <c r="D136" i="3"/>
  <c r="D158" i="3"/>
  <c r="D307" i="3"/>
  <c r="D355" i="3"/>
  <c r="D376" i="3"/>
  <c r="D397" i="3"/>
  <c r="D293" i="3"/>
  <c r="D310" i="3"/>
  <c r="D269" i="3"/>
  <c r="D374" i="3"/>
  <c r="D386" i="3"/>
  <c r="D270" i="3"/>
  <c r="D286" i="3"/>
  <c r="D369" i="3"/>
  <c r="D387" i="3"/>
  <c r="D332" i="3"/>
  <c r="D11" i="3"/>
  <c r="D25" i="3"/>
  <c r="D38" i="3"/>
  <c r="D63" i="3"/>
  <c r="D140" i="3"/>
  <c r="D164" i="3"/>
  <c r="D264" i="3"/>
  <c r="D137" i="3"/>
  <c r="D162" i="3"/>
  <c r="D206" i="3"/>
  <c r="D169" i="3"/>
  <c r="D185" i="3"/>
  <c r="D212" i="3"/>
  <c r="D408" i="3"/>
  <c r="D176" i="3"/>
  <c r="D343" i="3"/>
  <c r="D318" i="3"/>
  <c r="D359" i="3"/>
  <c r="D14" i="3"/>
  <c r="D299" i="3"/>
  <c r="D298" i="3"/>
  <c r="D324" i="3"/>
  <c r="D368" i="3"/>
  <c r="D384" i="3"/>
  <c r="D15" i="3"/>
  <c r="D28" i="3"/>
  <c r="D44" i="3"/>
  <c r="D409" i="3"/>
  <c r="D3" i="3"/>
  <c r="D20" i="3"/>
  <c r="D34" i="3"/>
  <c r="D250" i="3"/>
  <c r="D190" i="3"/>
  <c r="D314" i="3"/>
  <c r="D244" i="3"/>
  <c r="D262" i="3"/>
  <c r="D306" i="3"/>
  <c r="D41" i="3"/>
  <c r="D56" i="3"/>
  <c r="D54" i="3"/>
  <c r="D76" i="3"/>
  <c r="D103" i="3"/>
  <c r="D407" i="3"/>
  <c r="D337" i="3"/>
  <c r="D358" i="3"/>
  <c r="D363" i="3"/>
  <c r="D388" i="3"/>
  <c r="D228" i="3"/>
  <c r="D82" i="3"/>
  <c r="D17" i="3"/>
  <c r="D29" i="3"/>
  <c r="D42" i="3"/>
  <c r="D357" i="3"/>
  <c r="D373" i="3"/>
  <c r="D396" i="3"/>
  <c r="D26" i="3"/>
  <c r="D39" i="3"/>
  <c r="D58" i="3"/>
  <c r="D85" i="3"/>
  <c r="D341" i="3"/>
  <c r="D302" i="3"/>
  <c r="D151" i="3"/>
  <c r="D207" i="3"/>
  <c r="D221" i="3"/>
  <c r="D281" i="3"/>
  <c r="D99" i="3"/>
  <c r="D75" i="3"/>
  <c r="D100" i="3"/>
  <c r="D116" i="3"/>
  <c r="D133" i="3"/>
  <c r="D156" i="3"/>
  <c r="D382" i="3"/>
  <c r="D266" i="3"/>
  <c r="D13" i="3"/>
  <c r="D31" i="3"/>
  <c r="D90" i="3"/>
  <c r="D106" i="3"/>
  <c r="D125" i="3"/>
  <c r="D155" i="3"/>
  <c r="D177" i="3"/>
  <c r="D356" i="3"/>
  <c r="D377" i="3"/>
  <c r="D213" i="3"/>
  <c r="D150" i="3"/>
  <c r="D233" i="3"/>
  <c r="D69" i="3"/>
  <c r="D87" i="3"/>
  <c r="D109" i="3"/>
  <c r="D121" i="3"/>
  <c r="D139" i="3"/>
  <c r="D127" i="3"/>
  <c r="D265" i="3"/>
  <c r="D144" i="3"/>
  <c r="D173" i="3"/>
  <c r="D8" i="3"/>
  <c r="D331" i="3"/>
  <c r="D354" i="3"/>
  <c r="D403" i="3"/>
  <c r="D225" i="3"/>
  <c r="D61" i="3"/>
  <c r="D204" i="3"/>
  <c r="D224" i="3"/>
  <c r="D242" i="3"/>
  <c r="D260" i="3"/>
  <c r="D251" i="3"/>
  <c r="D196" i="3"/>
  <c r="D295" i="3"/>
  <c r="D115" i="3"/>
  <c r="D132" i="3"/>
  <c r="D154" i="3"/>
  <c r="D338" i="3"/>
  <c r="D114" i="3"/>
  <c r="D131" i="3"/>
  <c r="D147" i="3"/>
  <c r="D170" i="3"/>
  <c r="D192" i="3"/>
  <c r="D208" i="3"/>
  <c r="D256" i="3"/>
  <c r="D278" i="3"/>
  <c r="D178" i="3"/>
  <c r="D200" i="3"/>
  <c r="D220" i="3"/>
  <c r="D238" i="3"/>
  <c r="D254" i="3"/>
  <c r="D148" i="3"/>
  <c r="D161" i="3"/>
  <c r="D183" i="3"/>
  <c r="D405" i="3"/>
  <c r="D104" i="3"/>
  <c r="D119" i="3"/>
  <c r="D130" i="3"/>
  <c r="D153" i="3"/>
  <c r="D395" i="3"/>
  <c r="D214" i="3"/>
  <c r="D248" i="3"/>
  <c r="D6" i="3"/>
  <c r="D21" i="3"/>
  <c r="D88" i="3"/>
  <c r="D111" i="3"/>
  <c r="D172" i="3"/>
  <c r="D393" i="3"/>
  <c r="D80" i="3"/>
  <c r="D10" i="3"/>
  <c r="D261" i="3"/>
  <c r="D287" i="3"/>
  <c r="D94" i="3"/>
  <c r="D108" i="3"/>
  <c r="D126" i="3"/>
  <c r="D142" i="3"/>
  <c r="D230" i="3"/>
  <c r="D120" i="3"/>
  <c r="D135" i="3"/>
  <c r="D311" i="3"/>
  <c r="D304" i="3"/>
  <c r="D285" i="3"/>
  <c r="D65" i="3"/>
  <c r="D84" i="3"/>
  <c r="D59" i="3"/>
  <c r="D71" i="3"/>
  <c r="D78" i="3"/>
  <c r="D101" i="3"/>
  <c r="D5" i="3"/>
  <c r="D19" i="3"/>
  <c r="D33" i="3"/>
  <c r="D47" i="3"/>
  <c r="D68" i="3"/>
  <c r="D229" i="3"/>
  <c r="D268" i="3"/>
  <c r="D280" i="3"/>
  <c r="D297" i="3"/>
  <c r="D319" i="3"/>
  <c r="D49" i="3"/>
  <c r="D72" i="3"/>
  <c r="D145" i="3"/>
  <c r="D399" i="3"/>
  <c r="D336" i="3"/>
  <c r="D352" i="3"/>
  <c r="D375" i="3"/>
  <c r="D66" i="3"/>
  <c r="D187" i="3"/>
  <c r="D247" i="3"/>
  <c r="D102" i="3"/>
  <c r="D12" i="3"/>
  <c r="D46" i="3"/>
  <c r="D282" i="3"/>
  <c r="D303" i="3"/>
  <c r="D165" i="3"/>
  <c r="D191" i="3"/>
  <c r="D209" i="3"/>
  <c r="D349" i="3"/>
  <c r="D223" i="3"/>
  <c r="D9" i="3"/>
  <c r="D24" i="3"/>
  <c r="D37" i="3"/>
  <c r="D51" i="3"/>
  <c r="D271" i="3"/>
  <c r="D241" i="3"/>
  <c r="D232" i="3"/>
  <c r="D149" i="3"/>
  <c r="D277" i="3"/>
  <c r="D43" i="3"/>
  <c r="D64" i="3"/>
  <c r="D186" i="3"/>
  <c r="D189" i="3"/>
  <c r="D312" i="3"/>
  <c r="D402" i="3"/>
  <c r="D93" i="3"/>
  <c r="D246" i="3"/>
  <c r="D23" i="3"/>
  <c r="D35" i="3"/>
  <c r="D57" i="3"/>
  <c r="D77" i="3"/>
  <c r="H133" i="3" l="1"/>
  <c r="I133" i="3" s="1"/>
  <c r="H51" i="3"/>
  <c r="I51" i="3" s="1"/>
  <c r="H307" i="3"/>
  <c r="I307" i="3" s="1"/>
  <c r="H235" i="3"/>
  <c r="I235" i="3" s="1"/>
  <c r="H310" i="3"/>
  <c r="I310" i="3" s="1"/>
  <c r="H240" i="3"/>
  <c r="I240" i="3" s="1"/>
  <c r="H7" i="3"/>
  <c r="I7" i="3" s="1"/>
  <c r="H62" i="3"/>
  <c r="I62" i="3" s="1"/>
  <c r="H53" i="3"/>
  <c r="I53" i="3" s="1"/>
  <c r="H132" i="3"/>
  <c r="I132" i="3" s="1"/>
  <c r="H131" i="3"/>
  <c r="I131" i="3" s="1"/>
  <c r="H315" i="3"/>
  <c r="I315" i="3" s="1"/>
  <c r="AG246" i="3"/>
  <c r="H246" i="3"/>
  <c r="I246" i="3" s="1"/>
  <c r="AG220" i="3"/>
  <c r="H220" i="3"/>
  <c r="I220" i="3" s="1"/>
  <c r="AG196" i="3"/>
  <c r="H196" i="3"/>
  <c r="I196" i="3" s="1"/>
  <c r="AG8" i="3"/>
  <c r="H8" i="3"/>
  <c r="I8" i="3" s="1"/>
  <c r="AG82" i="3"/>
  <c r="H82" i="3"/>
  <c r="I82" i="3" s="1"/>
  <c r="AG36" i="3"/>
  <c r="H36" i="3"/>
  <c r="I36" i="3" s="1"/>
  <c r="AG371" i="3"/>
  <c r="H371" i="3"/>
  <c r="I371" i="3" s="1"/>
  <c r="AG401" i="3"/>
  <c r="H401" i="3"/>
  <c r="I401" i="3" s="1"/>
  <c r="AG160" i="3"/>
  <c r="H160" i="3"/>
  <c r="I160" i="3" s="1"/>
  <c r="AG179" i="3"/>
  <c r="H179" i="3"/>
  <c r="I179" i="3" s="1"/>
  <c r="AG327" i="3"/>
  <c r="H327" i="3"/>
  <c r="I327" i="3" s="1"/>
  <c r="AG146" i="3"/>
  <c r="H146" i="3"/>
  <c r="I146" i="3" s="1"/>
  <c r="AG95" i="3"/>
  <c r="H95" i="3"/>
  <c r="I95" i="3" s="1"/>
  <c r="AG12" i="3"/>
  <c r="H12" i="3"/>
  <c r="I12" i="3" s="1"/>
  <c r="AG145" i="3"/>
  <c r="H145" i="3"/>
  <c r="I145" i="3" s="1"/>
  <c r="AG311" i="3"/>
  <c r="H311" i="3"/>
  <c r="I311" i="3" s="1"/>
  <c r="AG405" i="3"/>
  <c r="H405" i="3"/>
  <c r="I405" i="3" s="1"/>
  <c r="AG200" i="3"/>
  <c r="H200" i="3"/>
  <c r="I200" i="3" s="1"/>
  <c r="AG251" i="3"/>
  <c r="H251" i="3"/>
  <c r="I251" i="3" s="1"/>
  <c r="AG377" i="3"/>
  <c r="H377" i="3"/>
  <c r="I377" i="3" s="1"/>
  <c r="AG90" i="3"/>
  <c r="H90" i="3"/>
  <c r="I90" i="3" s="1"/>
  <c r="AG302" i="3"/>
  <c r="H302" i="3"/>
  <c r="I302" i="3" s="1"/>
  <c r="AG396" i="3"/>
  <c r="H396" i="3"/>
  <c r="I396" i="3" s="1"/>
  <c r="AG363" i="3"/>
  <c r="H363" i="3"/>
  <c r="I363" i="3" s="1"/>
  <c r="AG190" i="3"/>
  <c r="H190" i="3"/>
  <c r="I190" i="3" s="1"/>
  <c r="AG318" i="3"/>
  <c r="H318" i="3"/>
  <c r="I318" i="3" s="1"/>
  <c r="AG206" i="3"/>
  <c r="H206" i="3"/>
  <c r="I206" i="3" s="1"/>
  <c r="AG387" i="3"/>
  <c r="H387" i="3"/>
  <c r="I387" i="3" s="1"/>
  <c r="AG27" i="3"/>
  <c r="H27" i="3"/>
  <c r="I27" i="3" s="1"/>
  <c r="AG385" i="3"/>
  <c r="H385" i="3"/>
  <c r="I385" i="3" s="1"/>
  <c r="AG18" i="3"/>
  <c r="H18" i="3"/>
  <c r="I18" i="3" s="1"/>
  <c r="AG350" i="3"/>
  <c r="H350" i="3"/>
  <c r="I350" i="3" s="1"/>
  <c r="H31" i="3"/>
  <c r="I31" i="3" s="1"/>
  <c r="AG277" i="3"/>
  <c r="H277" i="3"/>
  <c r="I277" i="3" s="1"/>
  <c r="AG165" i="3"/>
  <c r="H165" i="3"/>
  <c r="I165" i="3" s="1"/>
  <c r="AG5" i="3"/>
  <c r="H5" i="3"/>
  <c r="I5" i="3" s="1"/>
  <c r="AG304" i="3"/>
  <c r="H304" i="3"/>
  <c r="I304" i="3" s="1"/>
  <c r="AG106" i="3"/>
  <c r="H106" i="3"/>
  <c r="I106" i="3" s="1"/>
  <c r="AG388" i="3"/>
  <c r="H388" i="3"/>
  <c r="I388" i="3" s="1"/>
  <c r="AG314" i="3"/>
  <c r="H314" i="3"/>
  <c r="I314" i="3" s="1"/>
  <c r="AG169" i="3"/>
  <c r="H169" i="3"/>
  <c r="I169" i="3" s="1"/>
  <c r="AG231" i="3"/>
  <c r="H231" i="3"/>
  <c r="I231" i="3" s="1"/>
  <c r="AG50" i="3"/>
  <c r="H50" i="3"/>
  <c r="I50" i="3" s="1"/>
  <c r="AG406" i="3"/>
  <c r="H406" i="3"/>
  <c r="I406" i="3" s="1"/>
  <c r="AG70" i="3"/>
  <c r="H70" i="3"/>
  <c r="I70" i="3" s="1"/>
  <c r="AG249" i="3"/>
  <c r="H249" i="3"/>
  <c r="I249" i="3" s="1"/>
  <c r="AG129" i="3"/>
  <c r="H129" i="3"/>
  <c r="I129" i="3" s="1"/>
  <c r="AG93" i="3"/>
  <c r="H93" i="3"/>
  <c r="I93" i="3" s="1"/>
  <c r="AG189" i="3"/>
  <c r="H189" i="3"/>
  <c r="I189" i="3" s="1"/>
  <c r="AG102" i="3"/>
  <c r="H102" i="3"/>
  <c r="I102" i="3" s="1"/>
  <c r="AG66" i="3"/>
  <c r="H66" i="3"/>
  <c r="I66" i="3" s="1"/>
  <c r="AG72" i="3"/>
  <c r="H72" i="3"/>
  <c r="I72" i="3" s="1"/>
  <c r="AG135" i="3"/>
  <c r="H135" i="3"/>
  <c r="I135" i="3" s="1"/>
  <c r="AG395" i="3"/>
  <c r="H395" i="3"/>
  <c r="I395" i="3" s="1"/>
  <c r="AG183" i="3"/>
  <c r="H183" i="3"/>
  <c r="I183" i="3" s="1"/>
  <c r="AG178" i="3"/>
  <c r="H178" i="3"/>
  <c r="I178" i="3" s="1"/>
  <c r="AG356" i="3"/>
  <c r="H356" i="3"/>
  <c r="I356" i="3" s="1"/>
  <c r="AG382" i="3"/>
  <c r="H382" i="3"/>
  <c r="I382" i="3" s="1"/>
  <c r="AG373" i="3"/>
  <c r="H373" i="3"/>
  <c r="I373" i="3" s="1"/>
  <c r="AG358" i="3"/>
  <c r="H358" i="3"/>
  <c r="I358" i="3" s="1"/>
  <c r="AG409" i="3"/>
  <c r="H409" i="3"/>
  <c r="I409" i="3" s="1"/>
  <c r="AG343" i="3"/>
  <c r="H343" i="3"/>
  <c r="I343" i="3" s="1"/>
  <c r="AG369" i="3"/>
  <c r="H369" i="3"/>
  <c r="I369" i="3" s="1"/>
  <c r="AG293" i="3"/>
  <c r="H293" i="3"/>
  <c r="I293" i="3" s="1"/>
  <c r="AG158" i="3"/>
  <c r="H158" i="3"/>
  <c r="I158" i="3" s="1"/>
  <c r="AG367" i="3"/>
  <c r="H367" i="3"/>
  <c r="I367" i="3" s="1"/>
  <c r="AG317" i="3"/>
  <c r="H317" i="3"/>
  <c r="I317" i="3" s="1"/>
  <c r="AG2" i="3"/>
  <c r="H2" i="3"/>
  <c r="I2" i="3" s="1"/>
  <c r="AG334" i="3"/>
  <c r="H334" i="3"/>
  <c r="I334" i="3" s="1"/>
  <c r="AG171" i="3"/>
  <c r="H171" i="3"/>
  <c r="I171" i="3" s="1"/>
  <c r="AG194" i="3"/>
  <c r="H194" i="3"/>
  <c r="I194" i="3" s="1"/>
  <c r="AG22" i="3"/>
  <c r="H22" i="3"/>
  <c r="I22" i="3" s="1"/>
  <c r="AG320" i="3"/>
  <c r="H320" i="3"/>
  <c r="I320" i="3" s="1"/>
  <c r="AG259" i="3"/>
  <c r="H259" i="3"/>
  <c r="I259" i="3" s="1"/>
  <c r="AG128" i="3"/>
  <c r="H128" i="3"/>
  <c r="I128" i="3" s="1"/>
  <c r="AG360" i="3"/>
  <c r="H360" i="3"/>
  <c r="I360" i="3" s="1"/>
  <c r="AG322" i="3"/>
  <c r="H322" i="3"/>
  <c r="I322" i="3" s="1"/>
  <c r="AG118" i="3"/>
  <c r="H118" i="3"/>
  <c r="I118" i="3" s="1"/>
  <c r="AG211" i="3"/>
  <c r="H211" i="3"/>
  <c r="I211" i="3" s="1"/>
  <c r="AG152" i="3"/>
  <c r="H152" i="3"/>
  <c r="I152" i="3" s="1"/>
  <c r="AG149" i="3"/>
  <c r="H149" i="3"/>
  <c r="I149" i="3" s="1"/>
  <c r="AG187" i="3"/>
  <c r="H187" i="3"/>
  <c r="I187" i="3" s="1"/>
  <c r="AG352" i="3"/>
  <c r="H352" i="3"/>
  <c r="I352" i="3" s="1"/>
  <c r="AG297" i="3"/>
  <c r="H297" i="3"/>
  <c r="I297" i="3" s="1"/>
  <c r="AG126" i="3"/>
  <c r="H126" i="3"/>
  <c r="I126" i="3" s="1"/>
  <c r="AG256" i="3"/>
  <c r="H256" i="3"/>
  <c r="I256" i="3" s="1"/>
  <c r="AG13" i="3"/>
  <c r="H13" i="3"/>
  <c r="I13" i="3" s="1"/>
  <c r="AG58" i="3"/>
  <c r="H58" i="3"/>
  <c r="I58" i="3" s="1"/>
  <c r="AG299" i="3"/>
  <c r="H299" i="3"/>
  <c r="I299" i="3" s="1"/>
  <c r="AG140" i="3"/>
  <c r="H140" i="3"/>
  <c r="I140" i="3" s="1"/>
  <c r="AG270" i="3"/>
  <c r="H270" i="3"/>
  <c r="I270" i="3" s="1"/>
  <c r="AG92" i="3"/>
  <c r="H92" i="3"/>
  <c r="I92" i="3" s="1"/>
  <c r="AG392" i="3"/>
  <c r="H392" i="3"/>
  <c r="I392" i="3" s="1"/>
  <c r="AG239" i="3"/>
  <c r="H239" i="3"/>
  <c r="I239" i="3" s="1"/>
  <c r="AG296" i="3"/>
  <c r="H296" i="3"/>
  <c r="I296" i="3" s="1"/>
  <c r="AG184" i="3"/>
  <c r="H184" i="3"/>
  <c r="I184" i="3" s="1"/>
  <c r="AG342" i="3"/>
  <c r="H342" i="3"/>
  <c r="I342" i="3" s="1"/>
  <c r="AG379" i="3"/>
  <c r="H379" i="3"/>
  <c r="I379" i="3" s="1"/>
  <c r="AG333" i="3"/>
  <c r="H333" i="3"/>
  <c r="I333" i="3" s="1"/>
  <c r="AG362" i="3"/>
  <c r="H362" i="3"/>
  <c r="I362" i="3" s="1"/>
  <c r="AG245" i="3"/>
  <c r="H245" i="3"/>
  <c r="I245" i="3" s="1"/>
  <c r="AG347" i="3"/>
  <c r="H347" i="3"/>
  <c r="I347" i="3" s="1"/>
  <c r="AG243" i="3"/>
  <c r="H243" i="3"/>
  <c r="I243" i="3" s="1"/>
  <c r="AG193" i="3"/>
  <c r="H193" i="3"/>
  <c r="I193" i="3" s="1"/>
  <c r="AG301" i="3"/>
  <c r="H301" i="3"/>
  <c r="I301" i="3" s="1"/>
  <c r="AG81" i="3"/>
  <c r="H81" i="3"/>
  <c r="I81" i="3" s="1"/>
  <c r="H349" i="3"/>
  <c r="I349" i="3" s="1"/>
  <c r="AG186" i="3"/>
  <c r="H186" i="3"/>
  <c r="I186" i="3" s="1"/>
  <c r="AG247" i="3"/>
  <c r="H247" i="3"/>
  <c r="I247" i="3" s="1"/>
  <c r="AG120" i="3"/>
  <c r="H120" i="3"/>
  <c r="I120" i="3" s="1"/>
  <c r="AG337" i="3"/>
  <c r="H337" i="3"/>
  <c r="I337" i="3" s="1"/>
  <c r="AG324" i="3"/>
  <c r="H324" i="3"/>
  <c r="I324" i="3" s="1"/>
  <c r="AG397" i="3"/>
  <c r="H397" i="3"/>
  <c r="I397" i="3" s="1"/>
  <c r="AG291" i="3"/>
  <c r="H291" i="3"/>
  <c r="I291" i="3" s="1"/>
  <c r="AG174" i="3"/>
  <c r="H174" i="3"/>
  <c r="I174" i="3" s="1"/>
  <c r="AG4" i="3"/>
  <c r="H4" i="3"/>
  <c r="I4" i="3" s="1"/>
  <c r="AG300" i="3"/>
  <c r="H300" i="3"/>
  <c r="I300" i="3" s="1"/>
  <c r="AG284" i="3"/>
  <c r="H284" i="3"/>
  <c r="I284" i="3" s="1"/>
  <c r="AG52" i="3"/>
  <c r="H52" i="3"/>
  <c r="I52" i="3" s="1"/>
  <c r="AG321" i="3"/>
  <c r="H321" i="3"/>
  <c r="I321" i="3" s="1"/>
  <c r="AG309" i="3"/>
  <c r="H309" i="3"/>
  <c r="I309" i="3" s="1"/>
  <c r="AG101" i="3"/>
  <c r="H101" i="3"/>
  <c r="I101" i="3" s="1"/>
  <c r="AG230" i="3"/>
  <c r="H230" i="3"/>
  <c r="I230" i="3" s="1"/>
  <c r="AG172" i="3"/>
  <c r="H172" i="3"/>
  <c r="I172" i="3" s="1"/>
  <c r="AG148" i="3"/>
  <c r="H148" i="3"/>
  <c r="I148" i="3" s="1"/>
  <c r="AG298" i="3"/>
  <c r="H298" i="3"/>
  <c r="I298" i="3" s="1"/>
  <c r="AG122" i="3"/>
  <c r="H122" i="3"/>
  <c r="I122" i="3" s="1"/>
  <c r="AG325" i="3"/>
  <c r="H325" i="3"/>
  <c r="I325" i="3" s="1"/>
  <c r="AG16" i="3"/>
  <c r="H16" i="3"/>
  <c r="I16" i="3" s="1"/>
  <c r="H99" i="3"/>
  <c r="I99" i="3" s="1"/>
  <c r="AG271" i="3"/>
  <c r="H271" i="3"/>
  <c r="I271" i="3" s="1"/>
  <c r="AG78" i="3"/>
  <c r="H78" i="3"/>
  <c r="I78" i="3" s="1"/>
  <c r="AG142" i="3"/>
  <c r="H142" i="3"/>
  <c r="I142" i="3" s="1"/>
  <c r="AG278" i="3"/>
  <c r="H278" i="3"/>
  <c r="I278" i="3" s="1"/>
  <c r="AG156" i="3"/>
  <c r="H156" i="3"/>
  <c r="I156" i="3" s="1"/>
  <c r="AG286" i="3"/>
  <c r="H286" i="3"/>
  <c r="I286" i="3" s="1"/>
  <c r="AG404" i="3"/>
  <c r="H404" i="3"/>
  <c r="I404" i="3" s="1"/>
  <c r="AG267" i="3"/>
  <c r="H267" i="3"/>
  <c r="I267" i="3" s="1"/>
  <c r="AG168" i="3"/>
  <c r="H168" i="3"/>
  <c r="I168" i="3" s="1"/>
  <c r="AG253" i="3"/>
  <c r="H253" i="3"/>
  <c r="I253" i="3" s="1"/>
  <c r="AG335" i="3"/>
  <c r="H335" i="3"/>
  <c r="I335" i="3" s="1"/>
  <c r="AG279" i="3"/>
  <c r="H279" i="3"/>
  <c r="I279" i="3" s="1"/>
  <c r="AG240" i="3"/>
  <c r="H115" i="3"/>
  <c r="I115" i="3" s="1"/>
  <c r="H345" i="3"/>
  <c r="I345" i="3" s="1"/>
  <c r="AG77" i="3"/>
  <c r="H77" i="3"/>
  <c r="I77" i="3" s="1"/>
  <c r="AG223" i="3"/>
  <c r="H223" i="3"/>
  <c r="I223" i="3" s="1"/>
  <c r="AG49" i="3"/>
  <c r="H49" i="3"/>
  <c r="I49" i="3" s="1"/>
  <c r="AG161" i="3"/>
  <c r="H161" i="3"/>
  <c r="I161" i="3" s="1"/>
  <c r="AG357" i="3"/>
  <c r="H357" i="3"/>
  <c r="I357" i="3" s="1"/>
  <c r="AG176" i="3"/>
  <c r="H176" i="3"/>
  <c r="I176" i="3" s="1"/>
  <c r="AG136" i="3"/>
  <c r="H136" i="3"/>
  <c r="I136" i="3" s="1"/>
  <c r="AG344" i="3"/>
  <c r="H344" i="3"/>
  <c r="I344" i="3" s="1"/>
  <c r="AG157" i="3"/>
  <c r="H157" i="3"/>
  <c r="I157" i="3" s="1"/>
  <c r="AG237" i="3"/>
  <c r="H237" i="3"/>
  <c r="I237" i="3" s="1"/>
  <c r="AG275" i="3"/>
  <c r="H275" i="3"/>
  <c r="I275" i="3" s="1"/>
  <c r="H241" i="3"/>
  <c r="I241" i="3" s="1"/>
  <c r="AG241" i="3"/>
  <c r="AG248" i="3"/>
  <c r="H248" i="3"/>
  <c r="I248" i="3" s="1"/>
  <c r="AG127" i="3"/>
  <c r="H127" i="3"/>
  <c r="I127" i="3" s="1"/>
  <c r="AG233" i="3"/>
  <c r="H233" i="3"/>
  <c r="I233" i="3" s="1"/>
  <c r="AG376" i="3"/>
  <c r="H376" i="3"/>
  <c r="I376" i="3" s="1"/>
  <c r="AG218" i="3"/>
  <c r="H218" i="3"/>
  <c r="I218" i="3" s="1"/>
  <c r="AG292" i="3"/>
  <c r="H292" i="3"/>
  <c r="I292" i="3" s="1"/>
  <c r="AG294" i="3"/>
  <c r="H294" i="3"/>
  <c r="I294" i="3" s="1"/>
  <c r="AG319" i="3"/>
  <c r="H319" i="3"/>
  <c r="I319" i="3" s="1"/>
  <c r="AG214" i="3"/>
  <c r="H214" i="3"/>
  <c r="I214" i="3" s="1"/>
  <c r="AG85" i="3"/>
  <c r="H85" i="3"/>
  <c r="I85" i="3" s="1"/>
  <c r="AG164" i="3"/>
  <c r="H164" i="3"/>
  <c r="I164" i="3" s="1"/>
  <c r="AG355" i="3"/>
  <c r="H355" i="3"/>
  <c r="I355" i="3" s="1"/>
  <c r="AG105" i="3"/>
  <c r="H105" i="3"/>
  <c r="I105" i="3" s="1"/>
  <c r="AG203" i="3"/>
  <c r="H203" i="3"/>
  <c r="I203" i="3" s="1"/>
  <c r="AG222" i="3"/>
  <c r="H222" i="3"/>
  <c r="I222" i="3" s="1"/>
  <c r="AG202" i="3"/>
  <c r="H202" i="3"/>
  <c r="I202" i="3" s="1"/>
  <c r="AG258" i="3"/>
  <c r="H258" i="3"/>
  <c r="I258" i="3" s="1"/>
  <c r="AG378" i="3"/>
  <c r="H378" i="3"/>
  <c r="I378" i="3" s="1"/>
  <c r="AG353" i="3"/>
  <c r="H353" i="3"/>
  <c r="I353" i="3" s="1"/>
  <c r="AG35" i="3"/>
  <c r="H35" i="3"/>
  <c r="I35" i="3" s="1"/>
  <c r="AG232" i="3"/>
  <c r="H232" i="3"/>
  <c r="I232" i="3" s="1"/>
  <c r="AG37" i="3"/>
  <c r="H37" i="3"/>
  <c r="I37" i="3" s="1"/>
  <c r="AG303" i="3"/>
  <c r="H303" i="3"/>
  <c r="I303" i="3" s="1"/>
  <c r="AG399" i="3"/>
  <c r="H399" i="3"/>
  <c r="I399" i="3" s="1"/>
  <c r="AG268" i="3"/>
  <c r="H268" i="3"/>
  <c r="I268" i="3" s="1"/>
  <c r="AG285" i="3"/>
  <c r="H285" i="3"/>
  <c r="I285" i="3" s="1"/>
  <c r="AG94" i="3"/>
  <c r="H94" i="3"/>
  <c r="I94" i="3" s="1"/>
  <c r="AG80" i="3"/>
  <c r="H80" i="3"/>
  <c r="I80" i="3" s="1"/>
  <c r="AG88" i="3"/>
  <c r="H88" i="3"/>
  <c r="I88" i="3" s="1"/>
  <c r="AG192" i="3"/>
  <c r="H192" i="3"/>
  <c r="I192" i="3" s="1"/>
  <c r="AG61" i="3"/>
  <c r="H61" i="3"/>
  <c r="I61" i="3" s="1"/>
  <c r="AG100" i="3"/>
  <c r="H100" i="3"/>
  <c r="I100" i="3" s="1"/>
  <c r="AG151" i="3"/>
  <c r="H151" i="3"/>
  <c r="I151" i="3" s="1"/>
  <c r="AG26" i="3"/>
  <c r="H26" i="3"/>
  <c r="I26" i="3" s="1"/>
  <c r="AG41" i="3"/>
  <c r="H41" i="3"/>
  <c r="I41" i="3" s="1"/>
  <c r="AG3" i="3"/>
  <c r="H3" i="3"/>
  <c r="I3" i="3" s="1"/>
  <c r="AG44" i="3"/>
  <c r="H44" i="3"/>
  <c r="I44" i="3" s="1"/>
  <c r="AG38" i="3"/>
  <c r="H38" i="3"/>
  <c r="I38" i="3" s="1"/>
  <c r="AG374" i="3"/>
  <c r="H374" i="3"/>
  <c r="I374" i="3" s="1"/>
  <c r="AG79" i="3"/>
  <c r="H79" i="3"/>
  <c r="I79" i="3" s="1"/>
  <c r="AG180" i="3"/>
  <c r="H180" i="3"/>
  <c r="I180" i="3" s="1"/>
  <c r="AG107" i="3"/>
  <c r="H107" i="3"/>
  <c r="I107" i="3" s="1"/>
  <c r="AG188" i="3"/>
  <c r="H188" i="3"/>
  <c r="I188" i="3" s="1"/>
  <c r="AG364" i="3"/>
  <c r="H364" i="3"/>
  <c r="I364" i="3" s="1"/>
  <c r="AG199" i="3"/>
  <c r="H199" i="3"/>
  <c r="I199" i="3" s="1"/>
  <c r="AG288" i="3"/>
  <c r="H288" i="3"/>
  <c r="I288" i="3" s="1"/>
  <c r="AG289" i="3"/>
  <c r="H289" i="3"/>
  <c r="I289" i="3" s="1"/>
  <c r="AG313" i="3"/>
  <c r="H313" i="3"/>
  <c r="I313" i="3" s="1"/>
  <c r="AG30" i="3"/>
  <c r="H30" i="3"/>
  <c r="I30" i="3" s="1"/>
  <c r="AG290" i="3"/>
  <c r="H290" i="3"/>
  <c r="I290" i="3" s="1"/>
  <c r="AG227" i="3"/>
  <c r="H227" i="3"/>
  <c r="I227" i="3" s="1"/>
  <c r="H242" i="3"/>
  <c r="I242" i="3" s="1"/>
  <c r="H375" i="3"/>
  <c r="I375" i="3" s="1"/>
  <c r="AG23" i="3"/>
  <c r="H23" i="3"/>
  <c r="I23" i="3" s="1"/>
  <c r="AG59" i="3"/>
  <c r="H59" i="3"/>
  <c r="I59" i="3" s="1"/>
  <c r="AG154" i="3"/>
  <c r="H154" i="3"/>
  <c r="I154" i="3" s="1"/>
  <c r="AG28" i="3"/>
  <c r="H28" i="3"/>
  <c r="I28" i="3" s="1"/>
  <c r="AG269" i="3"/>
  <c r="H269" i="3"/>
  <c r="I269" i="3" s="1"/>
  <c r="AG328" i="3"/>
  <c r="H328" i="3"/>
  <c r="I328" i="3" s="1"/>
  <c r="AG97" i="3"/>
  <c r="H97" i="3"/>
  <c r="I97" i="3" s="1"/>
  <c r="H71" i="3"/>
  <c r="I71" i="3" s="1"/>
  <c r="H323" i="3"/>
  <c r="I323" i="3" s="1"/>
  <c r="AG282" i="3"/>
  <c r="H282" i="3"/>
  <c r="I282" i="3" s="1"/>
  <c r="AG229" i="3"/>
  <c r="H229" i="3"/>
  <c r="I229" i="3" s="1"/>
  <c r="AG21" i="3"/>
  <c r="H21" i="3"/>
  <c r="I21" i="3" s="1"/>
  <c r="AG225" i="3"/>
  <c r="H225" i="3"/>
  <c r="I225" i="3" s="1"/>
  <c r="AG14" i="3"/>
  <c r="H14" i="3"/>
  <c r="I14" i="3" s="1"/>
  <c r="AG25" i="3"/>
  <c r="H25" i="3"/>
  <c r="I25" i="3" s="1"/>
  <c r="AG340" i="3"/>
  <c r="H340" i="3"/>
  <c r="I340" i="3" s="1"/>
  <c r="AG205" i="3"/>
  <c r="H205" i="3"/>
  <c r="I205" i="3" s="1"/>
  <c r="AG312" i="3"/>
  <c r="H312" i="3"/>
  <c r="I312" i="3" s="1"/>
  <c r="AG47" i="3"/>
  <c r="H47" i="3"/>
  <c r="I47" i="3" s="1"/>
  <c r="AG84" i="3"/>
  <c r="H84" i="3"/>
  <c r="I84" i="3" s="1"/>
  <c r="AG10" i="3"/>
  <c r="H10" i="3"/>
  <c r="I10" i="3" s="1"/>
  <c r="AG130" i="3"/>
  <c r="H130" i="3"/>
  <c r="I130" i="3" s="1"/>
  <c r="AG354" i="3"/>
  <c r="H354" i="3"/>
  <c r="I354" i="3" s="1"/>
  <c r="AG144" i="3"/>
  <c r="H144" i="3"/>
  <c r="I144" i="3" s="1"/>
  <c r="AG109" i="3"/>
  <c r="H109" i="3"/>
  <c r="I109" i="3" s="1"/>
  <c r="AG177" i="3"/>
  <c r="H177" i="3"/>
  <c r="I177" i="3" s="1"/>
  <c r="AG281" i="3"/>
  <c r="H281" i="3"/>
  <c r="I281" i="3" s="1"/>
  <c r="AG341" i="3"/>
  <c r="H341" i="3"/>
  <c r="I341" i="3" s="1"/>
  <c r="AG42" i="3"/>
  <c r="H42" i="3"/>
  <c r="I42" i="3" s="1"/>
  <c r="AG262" i="3"/>
  <c r="H262" i="3"/>
  <c r="I262" i="3" s="1"/>
  <c r="H103" i="3"/>
  <c r="I103" i="3" s="1"/>
  <c r="H98" i="3"/>
  <c r="I98" i="3" s="1"/>
  <c r="AG402" i="3"/>
  <c r="H402" i="3"/>
  <c r="I402" i="3" s="1"/>
  <c r="AG287" i="3"/>
  <c r="H287" i="3"/>
  <c r="I287" i="3" s="1"/>
  <c r="AG224" i="3"/>
  <c r="H224" i="3"/>
  <c r="I224" i="3" s="1"/>
  <c r="AG139" i="3"/>
  <c r="H139" i="3"/>
  <c r="I139" i="3" s="1"/>
  <c r="AG213" i="3"/>
  <c r="H213" i="3"/>
  <c r="I213" i="3" s="1"/>
  <c r="AG272" i="3"/>
  <c r="H272" i="3"/>
  <c r="I272" i="3" s="1"/>
  <c r="AG273" i="3"/>
  <c r="H273" i="3"/>
  <c r="I273" i="3" s="1"/>
  <c r="AG9" i="3"/>
  <c r="H9" i="3"/>
  <c r="I9" i="3" s="1"/>
  <c r="AG68" i="3"/>
  <c r="H68" i="3"/>
  <c r="I68" i="3" s="1"/>
  <c r="AG261" i="3"/>
  <c r="H261" i="3"/>
  <c r="I261" i="3" s="1"/>
  <c r="AG6" i="3"/>
  <c r="H6" i="3"/>
  <c r="I6" i="3" s="1"/>
  <c r="AG153" i="3"/>
  <c r="H153" i="3"/>
  <c r="I153" i="3" s="1"/>
  <c r="AG64" i="3"/>
  <c r="H64" i="3"/>
  <c r="I64" i="3" s="1"/>
  <c r="AG209" i="3"/>
  <c r="H209" i="3"/>
  <c r="I209" i="3" s="1"/>
  <c r="AG33" i="3"/>
  <c r="H33" i="3"/>
  <c r="I33" i="3" s="1"/>
  <c r="AG65" i="3"/>
  <c r="H65" i="3"/>
  <c r="I65" i="3" s="1"/>
  <c r="AG119" i="3"/>
  <c r="H119" i="3"/>
  <c r="I119" i="3" s="1"/>
  <c r="AG254" i="3"/>
  <c r="H254" i="3"/>
  <c r="I254" i="3" s="1"/>
  <c r="AG114" i="3"/>
  <c r="H114" i="3"/>
  <c r="I114" i="3" s="1"/>
  <c r="AG331" i="3"/>
  <c r="H331" i="3"/>
  <c r="I331" i="3" s="1"/>
  <c r="AG265" i="3"/>
  <c r="H265" i="3"/>
  <c r="I265" i="3" s="1"/>
  <c r="AG87" i="3"/>
  <c r="H87" i="3"/>
  <c r="I87" i="3" s="1"/>
  <c r="H250" i="3"/>
  <c r="I250" i="3" s="1"/>
  <c r="H400" i="3"/>
  <c r="I400" i="3" s="1"/>
  <c r="AG24" i="3"/>
  <c r="H24" i="3"/>
  <c r="I24" i="3" s="1"/>
  <c r="AG170" i="3"/>
  <c r="H170" i="3"/>
  <c r="I170" i="3" s="1"/>
  <c r="AG75" i="3"/>
  <c r="H75" i="3"/>
  <c r="I75" i="3" s="1"/>
  <c r="AG162" i="3"/>
  <c r="H162" i="3"/>
  <c r="I162" i="3" s="1"/>
  <c r="AG86" i="3"/>
  <c r="H86" i="3"/>
  <c r="I86" i="3" s="1"/>
  <c r="AG110" i="3"/>
  <c r="H110" i="3"/>
  <c r="I110" i="3" s="1"/>
  <c r="AG89" i="3"/>
  <c r="H89" i="3"/>
  <c r="I89" i="3" s="1"/>
  <c r="AG43" i="3"/>
  <c r="H43" i="3"/>
  <c r="I43" i="3" s="1"/>
  <c r="AG191" i="3"/>
  <c r="H191" i="3"/>
  <c r="I191" i="3" s="1"/>
  <c r="AG19" i="3"/>
  <c r="H19" i="3"/>
  <c r="I19" i="3" s="1"/>
  <c r="AG393" i="3"/>
  <c r="H393" i="3"/>
  <c r="I393" i="3" s="1"/>
  <c r="AG104" i="3"/>
  <c r="H104" i="3"/>
  <c r="I104" i="3" s="1"/>
  <c r="AG238" i="3"/>
  <c r="H238" i="3"/>
  <c r="I238" i="3" s="1"/>
  <c r="AG338" i="3"/>
  <c r="H338" i="3"/>
  <c r="I338" i="3" s="1"/>
  <c r="AG295" i="3"/>
  <c r="H295" i="3"/>
  <c r="I295" i="3" s="1"/>
  <c r="AG69" i="3"/>
  <c r="H69" i="3"/>
  <c r="I69" i="3" s="1"/>
  <c r="AG125" i="3"/>
  <c r="H125" i="3"/>
  <c r="I125" i="3" s="1"/>
  <c r="AG207" i="3"/>
  <c r="H207" i="3"/>
  <c r="I207" i="3" s="1"/>
  <c r="AG17" i="3"/>
  <c r="H17" i="3"/>
  <c r="I17" i="3" s="1"/>
  <c r="AG54" i="3"/>
  <c r="H54" i="3"/>
  <c r="I54" i="3" s="1"/>
  <c r="AG185" i="3"/>
  <c r="H185" i="3"/>
  <c r="I185" i="3" s="1"/>
  <c r="AG55" i="3"/>
  <c r="H55" i="3"/>
  <c r="I55" i="3" s="1"/>
  <c r="AG391" i="3"/>
  <c r="H391" i="3"/>
  <c r="I391" i="3" s="1"/>
  <c r="AG73" i="3"/>
  <c r="H73" i="3"/>
  <c r="I73" i="3" s="1"/>
  <c r="AG143" i="3"/>
  <c r="H143" i="3"/>
  <c r="I143" i="3" s="1"/>
  <c r="AG182" i="3"/>
  <c r="H182" i="3"/>
  <c r="I182" i="3" s="1"/>
  <c r="AG361" i="3"/>
  <c r="H361" i="3"/>
  <c r="I361" i="3" s="1"/>
  <c r="AG181" i="3"/>
  <c r="H181" i="3"/>
  <c r="I181" i="3" s="1"/>
  <c r="AG198" i="3"/>
  <c r="H198" i="3"/>
  <c r="I198" i="3" s="1"/>
  <c r="AG346" i="3"/>
  <c r="H346" i="3"/>
  <c r="I346" i="3" s="1"/>
  <c r="AG365" i="3"/>
  <c r="H365" i="3"/>
  <c r="I365" i="3" s="1"/>
  <c r="AG159" i="3"/>
  <c r="H159" i="3"/>
  <c r="I159" i="3" s="1"/>
  <c r="AG197" i="3"/>
  <c r="H197" i="3"/>
  <c r="I197" i="3" s="1"/>
  <c r="AG112" i="3"/>
  <c r="H112" i="3"/>
  <c r="I112" i="3" s="1"/>
  <c r="AG316" i="3"/>
  <c r="H316" i="3"/>
  <c r="I316" i="3" s="1"/>
  <c r="H34" i="3"/>
  <c r="I34" i="3" s="1"/>
  <c r="H330" i="3"/>
  <c r="I330" i="3" s="1"/>
  <c r="AG366" i="3"/>
  <c r="H366" i="3"/>
  <c r="I366" i="3" s="1"/>
  <c r="AG32" i="3"/>
  <c r="H32" i="3"/>
  <c r="I32" i="3" s="1"/>
  <c r="AG141" i="3"/>
  <c r="H141" i="3"/>
  <c r="I141" i="3" s="1"/>
  <c r="AG383" i="3"/>
  <c r="H383" i="3"/>
  <c r="I383" i="3" s="1"/>
  <c r="AG48" i="3"/>
  <c r="H48" i="3"/>
  <c r="I48" i="3" s="1"/>
  <c r="AG113" i="3"/>
  <c r="H113" i="3"/>
  <c r="I113" i="3" s="1"/>
  <c r="H260" i="3"/>
  <c r="I260" i="3" s="1"/>
  <c r="H20" i="3"/>
  <c r="I20" i="3" s="1"/>
  <c r="H257" i="3"/>
  <c r="I257" i="3" s="1"/>
  <c r="H215" i="3"/>
  <c r="I215" i="3" s="1"/>
  <c r="H134" i="3"/>
  <c r="I134" i="3" s="1"/>
  <c r="H117" i="3"/>
  <c r="I117" i="3" s="1"/>
  <c r="H166" i="3"/>
  <c r="I166" i="3" s="1"/>
  <c r="H255" i="3"/>
  <c r="I255" i="3" s="1"/>
  <c r="AG57" i="3"/>
  <c r="H57" i="3"/>
  <c r="I57" i="3" s="1"/>
  <c r="AG46" i="3"/>
  <c r="H46" i="3"/>
  <c r="I46" i="3" s="1"/>
  <c r="AG336" i="3"/>
  <c r="H336" i="3"/>
  <c r="I336" i="3" s="1"/>
  <c r="AG280" i="3"/>
  <c r="H280" i="3"/>
  <c r="I280" i="3" s="1"/>
  <c r="AG108" i="3"/>
  <c r="H108" i="3"/>
  <c r="I108" i="3" s="1"/>
  <c r="AG111" i="3"/>
  <c r="H111" i="3"/>
  <c r="I111" i="3" s="1"/>
  <c r="AG208" i="3"/>
  <c r="H208" i="3"/>
  <c r="I208" i="3" s="1"/>
  <c r="AG173" i="3"/>
  <c r="H173" i="3"/>
  <c r="I173" i="3" s="1"/>
  <c r="AG150" i="3"/>
  <c r="H150" i="3"/>
  <c r="I150" i="3" s="1"/>
  <c r="AG116" i="3"/>
  <c r="H116" i="3"/>
  <c r="I116" i="3" s="1"/>
  <c r="AG39" i="3"/>
  <c r="H39" i="3"/>
  <c r="I39" i="3" s="1"/>
  <c r="AG56" i="3"/>
  <c r="H56" i="3"/>
  <c r="I56" i="3" s="1"/>
  <c r="AG63" i="3"/>
  <c r="H63" i="3"/>
  <c r="I63" i="3" s="1"/>
  <c r="AG386" i="3"/>
  <c r="H386" i="3"/>
  <c r="I386" i="3" s="1"/>
  <c r="AG201" i="3"/>
  <c r="H201" i="3"/>
  <c r="I201" i="3" s="1"/>
  <c r="AG370" i="3"/>
  <c r="H370" i="3"/>
  <c r="I370" i="3" s="1"/>
  <c r="AG96" i="3"/>
  <c r="H96" i="3"/>
  <c r="I96" i="3" s="1"/>
  <c r="AG123" i="3"/>
  <c r="H123" i="3"/>
  <c r="I123" i="3" s="1"/>
  <c r="AG195" i="3"/>
  <c r="H195" i="3"/>
  <c r="I195" i="3" s="1"/>
  <c r="AG351" i="3"/>
  <c r="H351" i="3"/>
  <c r="I351" i="3" s="1"/>
  <c r="AG217" i="3"/>
  <c r="H217" i="3"/>
  <c r="I217" i="3" s="1"/>
  <c r="AG326" i="3"/>
  <c r="H326" i="3"/>
  <c r="I326" i="3" s="1"/>
  <c r="AG226" i="3"/>
  <c r="H226" i="3"/>
  <c r="I226" i="3" s="1"/>
  <c r="AG305" i="3"/>
  <c r="H305" i="3"/>
  <c r="I305" i="3" s="1"/>
  <c r="AG60" i="3"/>
  <c r="H60" i="3"/>
  <c r="I60" i="3" s="1"/>
  <c r="AG308" i="3"/>
  <c r="H308" i="3"/>
  <c r="I308" i="3" s="1"/>
  <c r="H408" i="3"/>
  <c r="I408" i="3" s="1"/>
  <c r="H219" i="3"/>
  <c r="I219" i="3" s="1"/>
  <c r="H407" i="3"/>
  <c r="I407" i="3" s="1"/>
  <c r="AG147" i="3"/>
  <c r="H147" i="3"/>
  <c r="I147" i="3" s="1"/>
  <c r="AG204" i="3"/>
  <c r="H204" i="3"/>
  <c r="I204" i="3" s="1"/>
  <c r="AG403" i="3"/>
  <c r="H403" i="3"/>
  <c r="I403" i="3" s="1"/>
  <c r="AG121" i="3"/>
  <c r="H121" i="3"/>
  <c r="I121" i="3" s="1"/>
  <c r="AG228" i="3"/>
  <c r="H228" i="3"/>
  <c r="I228" i="3" s="1"/>
  <c r="AG15" i="3"/>
  <c r="H15" i="3"/>
  <c r="I15" i="3" s="1"/>
  <c r="AG137" i="3"/>
  <c r="H137" i="3"/>
  <c r="I137" i="3" s="1"/>
  <c r="H11" i="3"/>
  <c r="I11" i="3" s="1"/>
  <c r="AG398" i="3"/>
  <c r="H398" i="3"/>
  <c r="I398" i="3" s="1"/>
  <c r="AG276" i="3"/>
  <c r="H276" i="3"/>
  <c r="I276" i="3" s="1"/>
  <c r="AG67" i="3"/>
  <c r="H67" i="3"/>
  <c r="I67" i="3" s="1"/>
  <c r="AG91" i="3"/>
  <c r="H91" i="3"/>
  <c r="I91" i="3" s="1"/>
  <c r="AG252" i="3"/>
  <c r="H252" i="3"/>
  <c r="I252" i="3" s="1"/>
  <c r="AG74" i="3"/>
  <c r="H74" i="3"/>
  <c r="I74" i="3" s="1"/>
  <c r="AG381" i="3"/>
  <c r="H381" i="3"/>
  <c r="I381" i="3" s="1"/>
  <c r="AG339" i="3"/>
  <c r="H339" i="3"/>
  <c r="I339" i="3" s="1"/>
  <c r="H163" i="3"/>
  <c r="I163" i="3" s="1"/>
  <c r="AG384" i="3"/>
  <c r="H384" i="3"/>
  <c r="I384" i="3" s="1"/>
  <c r="AG264" i="3"/>
  <c r="H264" i="3"/>
  <c r="I264" i="3" s="1"/>
  <c r="AG348" i="3"/>
  <c r="H348" i="3"/>
  <c r="I348" i="3" s="1"/>
  <c r="AG274" i="3"/>
  <c r="H274" i="3"/>
  <c r="I274" i="3" s="1"/>
  <c r="AG45" i="3"/>
  <c r="H45" i="3"/>
  <c r="I45" i="3" s="1"/>
  <c r="AG394" i="3"/>
  <c r="H394" i="3"/>
  <c r="I394" i="3" s="1"/>
  <c r="AG234" i="3"/>
  <c r="H234" i="3"/>
  <c r="I234" i="3" s="1"/>
  <c r="AG389" i="3"/>
  <c r="H389" i="3"/>
  <c r="I389" i="3" s="1"/>
  <c r="AG83" i="3"/>
  <c r="H83" i="3"/>
  <c r="I83" i="3" s="1"/>
  <c r="AG175" i="3"/>
  <c r="H175" i="3"/>
  <c r="I175" i="3" s="1"/>
  <c r="AG236" i="3"/>
  <c r="H236" i="3"/>
  <c r="I236" i="3" s="1"/>
  <c r="AG40" i="3"/>
  <c r="H40" i="3"/>
  <c r="I40" i="3" s="1"/>
  <c r="AG138" i="3"/>
  <c r="H138" i="3"/>
  <c r="I138" i="3" s="1"/>
  <c r="H266" i="3"/>
  <c r="I266" i="3" s="1"/>
  <c r="H306" i="3"/>
  <c r="I306" i="3" s="1"/>
  <c r="H263" i="3"/>
  <c r="I263" i="3" s="1"/>
  <c r="H124" i="3"/>
  <c r="I124" i="3" s="1"/>
  <c r="AG155" i="3"/>
  <c r="H155" i="3"/>
  <c r="I155" i="3" s="1"/>
  <c r="AG221" i="3"/>
  <c r="H221" i="3"/>
  <c r="I221" i="3" s="1"/>
  <c r="AG29" i="3"/>
  <c r="H29" i="3"/>
  <c r="I29" i="3" s="1"/>
  <c r="AG76" i="3"/>
  <c r="H76" i="3"/>
  <c r="I76" i="3" s="1"/>
  <c r="AG244" i="3"/>
  <c r="H244" i="3"/>
  <c r="I244" i="3" s="1"/>
  <c r="AG368" i="3"/>
  <c r="H368" i="3"/>
  <c r="I368" i="3" s="1"/>
  <c r="AG359" i="3"/>
  <c r="H359" i="3"/>
  <c r="I359" i="3" s="1"/>
  <c r="AG212" i="3"/>
  <c r="H212" i="3"/>
  <c r="I212" i="3" s="1"/>
  <c r="AG332" i="3"/>
  <c r="H332" i="3"/>
  <c r="I332" i="3" s="1"/>
  <c r="AG329" i="3"/>
  <c r="H329" i="3"/>
  <c r="I329" i="3" s="1"/>
  <c r="AG390" i="3"/>
  <c r="H390" i="3"/>
  <c r="I390" i="3" s="1"/>
  <c r="AG167" i="3"/>
  <c r="H167" i="3"/>
  <c r="I167" i="3" s="1"/>
  <c r="AG380" i="3"/>
  <c r="H380" i="3"/>
  <c r="I380" i="3" s="1"/>
  <c r="AG283" i="3"/>
  <c r="H283" i="3"/>
  <c r="I283" i="3" s="1"/>
  <c r="AG372" i="3"/>
  <c r="H372" i="3"/>
  <c r="I372" i="3" s="1"/>
  <c r="AG216" i="3"/>
  <c r="H216" i="3"/>
  <c r="I216" i="3" s="1"/>
  <c r="AG210" i="3"/>
  <c r="H210" i="3"/>
  <c r="I210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D43AF8-FE5E-4B21-AA32-40449190F1EB}" keepAlive="1" name="Consulta - knicks_players_all_stats" description="Conexión a la consulta 'knicks_players_all_stats' en el libro." type="5" refreshedVersion="8" background="1" saveData="1">
    <dbPr connection="Provider=Microsoft.Mashup.OleDb.1;Data Source=$Workbook$;Location=knicks_players_all_stats;Extended Properties=&quot;&quot;" command="SELECT * FROM [knicks_players_all_stats]"/>
  </connection>
  <connection id="2" xr16:uid="{EDFB798A-AB5E-4B92-964F-B3E5DA50EEF1}" keepAlive="1" name="Consulta - knicks_players_all_stats (2)" description="Conexión a la consulta 'knicks_players_all_stats (2)' en el libro." type="5" refreshedVersion="8" background="1" saveData="1">
    <dbPr connection="Provider=Microsoft.Mashup.OleDb.1;Data Source=$Workbook$;Location=&quot;knicks_players_all_stats (2)&quot;;Extended Properties=&quot;&quot;" command="SELECT * FROM [knicks_players_all_stats (2)]"/>
  </connection>
</connections>
</file>

<file path=xl/sharedStrings.xml><?xml version="1.0" encoding="utf-8"?>
<sst xmlns="http://schemas.openxmlformats.org/spreadsheetml/2006/main" count="5797" uniqueCount="1898">
  <si>
    <t>PLAYER_ID,SEASON_ID,LEAGUE_ID,TEAM_ID,TEAM_ABBREVIATION,PLAYER_AGE,GP,GS,MIN,FGM,FGA,FG_PCT,FG3M,FG3A,FG3_PCT,FTM,FTA,FT_PCT,OREB,DREB,REB,AST,STL,BLK,TOV,PF,PTS,PLAYER_NAME</t>
  </si>
  <si>
    <t>78082,1951-52,00,1610612752,NYK,22.0,12,,167.0,19,65,0.292,,,,9,14,0.643,,,26.0,6,,,,25,47,Herb Scherer</t>
  </si>
  <si>
    <t>76168,1958-59,00,1610612752,NYK,24.0,11,,45.0,12,32,0.375,,,,1,1,1.0,,,12.0,4,,,,7,25,Jerry Bird</t>
  </si>
  <si>
    <t>78113,1958-59,00,1610612752,NYK,26.0,68,,1448.0,233,605,0.385,,,,201,262,0.767,,,248.0,96,,,,113,667,Frank Selvy</t>
  </si>
  <si>
    <t>78102,1987-88,00,1610612752,NYK,25.0,4,0.0,8.0,1,2,0.5,0.0,0.0,0.0,0,0,0.0,1.0,2.0,3.0,1,2.0,1.0,2.0,3,2,Carey Scurry</t>
  </si>
  <si>
    <t>78037,1962-63,00,1610612752,NYK,23.0,56,,572.0,108,307,0.352,,,,73,95,0.768,,,149.0,30,,,,58,289,John Rudometkin</t>
  </si>
  <si>
    <t>78037,1963-64,00,1610612752,NYK,24.0,52,,696.0,154,326,0.472,,,,87,116,0.75,,,164.0,26,,,,86,395,John Rudometkin</t>
  </si>
  <si>
    <t>78037,1964-65,00,1610612752,NYK,25.0,1,,22.0,3,8,0.375,,,,0,0,0.0,,,7.0,0,,,,5,6,John Rudometkin</t>
  </si>
  <si>
    <t>201563,2017-18,00,1610612752,NYK,29.0,74,30.0,1653.0,409,807,0.507,34.0,86.0,0.395,124,159,0.78,97.0,317.0,414.0,123,36.0,43.0,143.0,145,976,Michael Beasley</t>
  </si>
  <si>
    <t>76130,1975-76,00,1610612752,NYK,29.0,60,,1449.0,193,406,0.475,,,,117,155,0.755,89.0,178.0,267.0,173,71.0,6.0,,180,503,Butch Beard</t>
  </si>
  <si>
    <t>76130,1976-77,00,1610612752,NYK,30.0,70,,1082.0,148,293,0.505,,,,75,109,0.688,50.0,113.0,163.0,144,57.0,5.0,,137,371,Butch Beard</t>
  </si>
  <si>
    <t>76130,1977-78,00,1610612752,NYK,31.0,79,,1979.0,308,614,0.502,,,,129,160,0.806,76.0,188.0,264.0,339,117.0,3.0,154.0,201,745,Butch Beard</t>
  </si>
  <si>
    <t>76130,1978-79,00,1610612752,NYK,32.0,7,,85.0,11,26,0.423,,,,0,0,,1.0,9.0,10.0,19,7.0,0.0,10.0,13,22,Butch Beard</t>
  </si>
  <si>
    <t>76117,1949-50,00,1610612752,NYK,24.0,2,,0.0,1,4,0.25,,,,2,3,0.667,,,0.0,0,,,,2,4,Ed Bartels</t>
  </si>
  <si>
    <t>891,1988-89,00,1610612752,NYK,25.0,82,82.0,2604.0,426,835,0.51,12.0,48.0,0.25,197,255,0.773,343.0,518.0,861.0,187,104.0,14.0,248.0,270,1061,Charles Oakley</t>
  </si>
  <si>
    <t>891,1989-90,00,1610612752,NYK,26.0,61,61.0,2196.0,336,641,0.524,0.0,3.0,0.0,217,285,0.761,258.0,469.0,727.0,146,64.0,16.0,165.0,220,889,Charles Oakley</t>
  </si>
  <si>
    <t>891,1990-91,00,1610612752,NYK,27.0,76,74.0,2739.0,307,595,0.516,0.0,2.0,0.0,239,305,0.784,305.0,615.0,920.0,204,62.0,17.0,215.0,288,853,Charles Oakley</t>
  </si>
  <si>
    <t>891,1991-92,00,1610612752,NYK,28.0,82,82.0,2309.0,210,402,0.522,0.0,3.0,0.0,86,117,0.735,256.0,444.0,700.0,133,67.0,15.0,123.0,258,506,Charles Oakley</t>
  </si>
  <si>
    <t>891,1992-93,00,1610612752,NYK,29.0,82,82.0,2230.0,219,431,0.508,0.0,1.0,0.0,127,176,0.722,288.0,420.0,708.0,126,85.0,15.0,124.0,289,565,Charles Oakley</t>
  </si>
  <si>
    <t>891,1993-94,00,1610612752,NYK,30.0,82,82.0,2932.0,363,760,0.478,0.0,3.0,0.0,243,313,0.776,349.0,616.0,965.0,218,110.0,18.0,193.0,293,969,Charles Oakley</t>
  </si>
  <si>
    <t>891,1994-95,00,1610612752,NYK,31.0,50,49.0,1567.0,192,393,0.489,3.0,12.0,0.25,119,150,0.793,155.0,290.0,445.0,126,60.0,7.0,103.0,179,506,Charles Oakley</t>
  </si>
  <si>
    <t>891,1995-96,00,1610612752,NYK,32.0,53,51.0,1775.0,211,448,0.471,7.0,26.0,0.269,175,210,0.833,162.0,298.0,460.0,137,58.0,14.0,104.0,195,604,Charles Oakley</t>
  </si>
  <si>
    <t>891,1996-97,00,1610612752,NYK,33.0,80,80.0,2870.0,339,694,0.488,5.0,19.0,0.263,181,224,0.808,246.0,535.0,781.0,221,111.0,21.0,171.0,305,864,Charles Oakley</t>
  </si>
  <si>
    <t>891,1997-98,00,1610612752,NYK,34.0,79,79.0,2734.0,307,698,0.44,0.0,6.0,0.0,97,114,0.851,218.0,506.0,724.0,201,123.0,22.0,126.0,280,711,Charles Oakley</t>
  </si>
  <si>
    <t>203124,2015-16,00,1610612752,NYK,26.0,65,1.0,764.0,129,271,0.476,5.0,22.0,0.227,46,60,0.767,76.0,174.0,250.0,72,20.0,49.0,61.0,107,309,Kyle O'Quinn</t>
  </si>
  <si>
    <t>203124,2016-17,00,1610612752,NYK,27.0,79,8.0,1229.0,215,413,0.521,2.0,17.0,0.118,64,83,0.771,157.0,282.0,439.0,117,36.0,104.0,76.0,174,496,Kyle O'Quinn</t>
  </si>
  <si>
    <t>203124,2017-18,00,1610612752,NYK,28.0,77,10.0,1387.0,224,384,0.583,4.0,17.0,0.235,98,127,0.772,121.0,349.0,470.0,158,36.0,98.0,100.0,192,550,Kyle O'Quinn</t>
  </si>
  <si>
    <t>78068,1980-81,00,1610612752,NYK,22.0,44,,484.0,94,225,0.418,1.0,6.0,0.167,26,39,0.667,47.0,85.0,132.0,10,12.0,4.0,30.0,54,215,Dewayne Scales</t>
  </si>
  <si>
    <t>78068,1981-82,00,1610612752,NYK,23.0,3,0.0,24.0,1,5,0.2,0.0,0.0,,1,2,0.5,2.0,3.0,5.0,0,1.0,1.0,2.0,3,3,Dewayne Scales</t>
  </si>
  <si>
    <t>194,1997-98,00,1610612752,NYK,34.0,27,3.0,224.0,32,59,0.542,3.0,4.0,0.75,8,9,0.889,9.0,17.0,26.0,11,6.0,2.0,7.0,25,75,Anthony Bowie</t>
  </si>
  <si>
    <t>1628373,2017-18,00,1610612752,NYK,19.0,78,9.0,1706.0,182,500,0.364,50.0,157.0,0.318,49,68,0.721,37.0,140.0,177.0,250,65.0,18.0,131.0,181,463,Frank Ntilikina</t>
  </si>
  <si>
    <t>1628373,2018-19,00,1610612752,NYK,20.0,43,16.0,904.0,95,282,0.337,33.0,115.0,0.287,23,30,0.767,12.0,75.0,87.0,121,30.0,14.0,56.0,104,246,Frank Ntilikina</t>
  </si>
  <si>
    <t>1628373,2019-20,00,1610612752,NYK,21.0,57,26.0,1187.0,131,333,0.393,44.0,137.0,0.321,51,59,0.864,23.0,98.0,121.0,172,54.0,16.0,71.0,142,357,Frank Ntilikina</t>
  </si>
  <si>
    <t>1628373,2020-21,00,1610612752,NYK,22.0,33,4.0,322.0,29,79,0.367,23.0,48.0,0.479,8,18,0.444,6.0,25.0,31.0,19,18.0,4.0,11.0,45,89,Frank Ntilikina</t>
  </si>
  <si>
    <t>200779,2011-12,00,1610612752,NYK,29.0,54,0.0,1020.0,161,337,0.478,133.0,282.0,0.472,22,26,0.846,9.0,95.0,104.0,12,16.0,9.0,21.0,59,477,Steve Novak</t>
  </si>
  <si>
    <t>200779,2012-13,00,1610612752,NYK,30.0,81,1.0,1641.0,178,430,0.414,149.0,351.0,0.425,30,33,0.909,17.0,135.0,152.0,35,28.0,8.0,12.0,97,535,Steve Novak</t>
  </si>
  <si>
    <t>983,2003-04,00,1610612752,NYK,30.0,36,0.0,446.0,53,130,0.408,12.0,35.0,0.343,36,47,0.766,8.0,27.0,35.0,73,28.0,3.0,34.0,35,154,Moochie Norris</t>
  </si>
  <si>
    <t>983,2004-05,00,1610612752,NYK,31.0,32,0.0,321.0,32,93,0.344,0.0,12.0,0.0,18,22,0.818,9.0,33.0,42.0,34,17.0,2.0,25.0,42,82,Moochie Norris</t>
  </si>
  <si>
    <t>944,1992-93,00,1610612752,NYK,23.0,16,0.0,44.0,5,18,0.278,0.0,0.0,0.0,11,13,0.846,6.0,8.0,14.0,3,3.0,1.0,5.0,14,21,Eric Anderson</t>
  </si>
  <si>
    <t>944,1993-94,00,1610612752,NYK,24.0,11,0.0,39.0,7,17,0.412,2.0,2.0,1.0,5,14,0.357,6.0,11.0,17.0,2,0.0,1.0,2.0,9,21,Eric Anderson</t>
  </si>
  <si>
    <t>77723,1947-48,00,1610612752,NYK,23.0,29,,,40,138,0.29,,,,19,30,0.633,,,,3,,,,41,99,Paul Noel</t>
  </si>
  <si>
    <t>77723,1948-49,00,1610612752,NYK,24.0,47,,,70,277,0.253,,,,37,60,0.617,,,,33,,,,84,177,Paul Noel</t>
  </si>
  <si>
    <t>77723,1949-50,00,1610612752,NYK,25.0,65,,,98,291,0.337,,,,53,87,0.609,,,,67,,,,132,249,Paul Noel</t>
  </si>
  <si>
    <t>101126,2005-06,00,1610612752,NYK,22.0,72,26.0,1544.0,230,565,0.407,58.0,146.0,0.397,152,202,0.752,56.0,111.0,167.0,147,59.0,1.0,114.0,201,670,Nate Robinson</t>
  </si>
  <si>
    <t>101126,2006-07,00,1610612752,NYK,23.0,64,5.0,1356.0,227,523,0.434,83.0,213.0,0.39,108,139,0.777,55.0,97.0,152.0,90,50.0,6.0,72.0,160,645,Nate Robinson</t>
  </si>
  <si>
    <t>101126,2007-08,00,1610612752,NYK,24.0,72,17.0,1883.0,331,782,0.423,97.0,292.0,0.332,154,196,0.786,51.0,171.0,222.0,212,60.0,1.0,103.0,186,913,Nate Robinson</t>
  </si>
  <si>
    <t>101126,2008-09,00,1610612752,NYK,25.0,74,11.0,2209.0,449,1028,0.437,125.0,385.0,0.325,249,296,0.841,98.0,192.0,290.0,301,95.0,6.0,139.0,206,1272,Nate Robinson</t>
  </si>
  <si>
    <t>101126,2009-10,00,1610612752,NYK,26.0,30,2.0,733.0,152,336,0.452,51.0,136.0,0.375,42,54,0.778,23.0,49.0,72.0,112,27.0,5.0,53.0,66,397,Nate Robinson</t>
  </si>
  <si>
    <t>204001,2015-16,00,1610612752,NYK,20.0,72,72.0,2047.0,373,886,0.421,81.0,243.0,0.333,201,240,0.838,132.0,394.0,526.0,94,53.0,134.0,121.0,205,1028,Kristaps Porzingis</t>
  </si>
  <si>
    <t>204001,2016-17,00,1610612752,NYK,21.0,66,65.0,2164.0,443,985,0.45,112.0,314.0,0.357,198,252,0.786,111.0,364.0,475.0,97,47.0,129.0,118.0,244,1196,Kristaps Porzingis</t>
  </si>
  <si>
    <t>204001,2017-18,00,1610612752,NYK,22.0,48,48.0,1553.0,390,889,0.439,90.0,228.0,0.395,218,275,0.793,62.0,254.0,316.0,57,36.0,115.0,93.0,141,1088,Kristaps Porzingis</t>
  </si>
  <si>
    <t>203457,2020-21,00,1610612752,NYK,27.0,64,41.0,1547.0,137,223,0.614,0.0,3.0,0.0,50,70,0.714,142.0,265.0,407.0,46,70.0,141.0,65.0,176,324,Nerlens Noel</t>
  </si>
  <si>
    <t>203457,2021-22,00,1610612752,NYK,28.0,25,11.0,562.0,32,60,0.533,0.0,3.0,0.0,21,30,0.7,48.0,93.0,141.0,23,30.0,31.0,20.0,67,85,Nerlens Noel</t>
  </si>
  <si>
    <t>201149,2016-17,00,1610612752,NYK,32.0,46,46.0,1015.0,99,202,0.49,0.0,1.0,0.0,34,78,0.436,162.0,241.0,403.0,103,30.0,37.0,58.0,127,232,Joakim Noah</t>
  </si>
  <si>
    <t>201149,2017-18,00,1610612752,NYK,33.0,7,0.0,40.0,5,10,0.5,0.0,0.0,0.0,2,4,0.5,6.0,8.0,14.0,4,2.0,2.0,4.0,5,12,Joakim Noah</t>
  </si>
  <si>
    <t>201193,2008-09,00,1610612752,NYK,24.0,2,0.0,9.0,2,5,0.4,0.0,1.0,0.0,1,2,0.5,0.0,2.0,2.0,0,0.0,1.0,0.0,0,5,Demetris Nichols</t>
  </si>
  <si>
    <t>200764,2006-07,00,1610612752,NYK,22.0,68,1.0,1064.0,139,275,0.505,5.0,27.0,0.185,51,90,0.567,97.0,197.0,294.0,44,57.0,44.0,49.0,146,334,Renaldo Balkman</t>
  </si>
  <si>
    <t>200764,2007-08,00,1610612752,NYK,23.0,65,0.0,952.0,91,186,0.489,1.0,12.0,0.083,41,95,0.432,83.0,133.0,216.0,40,44.0,30.0,37.0,132,224,Renaldo Balkman</t>
  </si>
  <si>
    <t>200764,2010-11,00,1610612752,NYK,26.0,3,0.0,18.0,1,4,0.25,1.0,2.0,0.5,0,0,0.0,1.0,2.0,3.0,0,1.0,0.0,1.0,4,3,Renaldo Balkman</t>
  </si>
  <si>
    <t>200764,2011-12,00,1610612752,NYK,27.0,14,0.0,115.0,16,32,0.5,2.0,9.0,0.222,8,11,0.727,6.0,20.0,26.0,5,4.0,3.0,6.0,14,42,Renaldo Balkman</t>
  </si>
  <si>
    <t>271,1987-88,00,1610612752,NYK,24.0,77,25.0,1589.0,270,620,0.435,26.0,93.0,0.28,207,246,0.841,87.0,72.0,159.0,62,72.0,11.0,103.0,204,773,Johnny Newman</t>
  </si>
  <si>
    <t>271,1988-89,00,1610612752,NYK,25.0,81,80.0,2336.0,455,957,0.475,97.0,287.0,0.338,286,351,0.815,93.0,113.0,206.0,162,111.0,23.0,153.0,259,1293,Johnny Newman</t>
  </si>
  <si>
    <t>271,1989-90,00,1610612752,NYK,26.0,80,69.0,2277.0,374,786,0.476,45.0,142.0,0.317,239,299,0.799,60.0,131.0,191.0,180,95.0,22.0,143.0,254,1032,Johnny Newman</t>
  </si>
  <si>
    <t>77710,1981-82,00,1610612752,NYK,33.0,76,32.0,1507.0,286,615,0.465,7.0,23.0,0.304,126,147,0.857,36.0,55.0,91.0,170,33.0,3.0,104.0,194,705,Mike Newlin</t>
  </si>
  <si>
    <t>76069,1955-56,00,1610612752,NYK,24.0,25,,288.0,36,88,0.409,,,,21,27,0.778,,,42.0,32,,,,39,93,Richard Atha</t>
  </si>
  <si>
    <t>1626254,2016-17,00,1610612752,NYK,25.0,32,4.0,331.0,39,86,0.453,1.0,7.0,0.143,19,26,0.731,22.0,42.0,64.0,8,15.0,8.0,12.0,30,98,Maurice Ndour</t>
  </si>
  <si>
    <t>77693,1956-57,00,1610612752,NYK,22.0,71,,1778.0,293,820,0.357,,,,132,195,0.677,,,617.0,84,,,,186,718,Willie Naulls</t>
  </si>
  <si>
    <t>77693,1957-58,00,1610612752,NYK,23.0,68,,2369.0,472,1189,0.397,,,,284,344,0.826,,,799.0,97,,,,220,1228,Willie Naulls</t>
  </si>
  <si>
    <t>77693,1958-59,00,1610612752,NYK,24.0,68,,2061.0,405,1072,0.378,,,,258,311,0.83,,,723.0,102,,,,233,1068,Willie Naulls</t>
  </si>
  <si>
    <t>77693,1959-60,00,1610612752,NYK,25.0,65,,2250.0,551,1286,0.428,,,,286,342,0.836,,,921.0,138,,,,214,1388,Willie Naulls</t>
  </si>
  <si>
    <t>77693,1960-61,00,1610612752,NYK,26.0,79,,2976.0,737,1723,0.428,,,,372,456,0.816,,,1055.0,191,,,,268,1846,Willie Naulls</t>
  </si>
  <si>
    <t>77693,1961-62,00,1610612752,NYK,27.0,75,,2978.0,747,1798,0.415,,,,383,455,0.842,,,867.0,192,,,,260,1877,Willie Naulls</t>
  </si>
  <si>
    <t>2853,2009-10,00,1610612752,NYK,28.0,7,6.0,232.0,30,68,0.441,0.0,0.0,0.0,22,29,0.759,31.0,46.0,77.0,8,4.0,4.0,11.0,24,82,Earl Barron</t>
  </si>
  <si>
    <t>2853,2012-13,00,1610612752,NYK,31.0,1,1.0,37.0,5,14,0.357,0.0,0.0,0.0,1,2,0.5,6.0,12.0,18.0,2,0.0,1.0,1.0,1,11,Earl Barron</t>
  </si>
  <si>
    <t>1924,2002-03,00,1610612752,NYK,28.0,38,0.0,406.0,84,190,0.442,0.0,1.0,0.0,42,51,0.824,32.0,38.0,70.0,26,6.0,3.0,32.0,46,210,Lee Nailon</t>
  </si>
  <si>
    <t>1629004,2022-23,00,1610612752,NYK,26.0,13,0.0,40.0,6,12,0.5,6.0,10.0,0.6,3,5,0.6,0.0,7.0,7.0,1,1.0,0.0,2.0,1,21,Svi Mykhailiuk</t>
  </si>
  <si>
    <t>147,2005-06,00,1610612752,NYK,33.0,26,23.0,746.0,110,239,0.46,28.0,57.0,0.491,82,101,0.812,13.0,69.0,82.0,68,10.0,3.0,50.0,55,330,Jalen Rose</t>
  </si>
  <si>
    <t>1683,2001-02,00,1610612752,NYK,34.0,2,0.0,11.0,1,4,0.25,1.0,2.0,0.5,0,0,0.0,0.0,2.0,2.0,0,0.0,0.0,0.0,1,3,Larry Robinson</t>
  </si>
  <si>
    <t>939,1988-89,00,1610612752,NYK,25.0,29,0.0,230.0,25,61,0.41,0.0,2.0,0.0,31,44,0.705,12.0,11.0,23.0,46,17.0,2.0,19.0,41,81,Pete Myers</t>
  </si>
  <si>
    <t>939,1989-90,00,1610612752,NYK,26.0,24,0.0,208.0,15,45,0.333,0.0,1.0,0.0,16,31,0.516,10.0,18.0,28.0,35,15.0,2.0,18.0,39,46,Pete Myers</t>
  </si>
  <si>
    <t>939,1997-98,00,1610612752,NYK,34.0,9,0.0,40.0,5,10,0.5,0.0,0.0,0.0,4,6,0.667,5.0,5.0,10.0,3,4.0,0.0,4.0,7,14,Pete Myers</t>
  </si>
  <si>
    <t>78200,1981-82,00,1610612752,NYK,33.0,82,40.0,2033.0,348,748,0.465,3.0,11.0,0.273,122,151,0.808,53.0,102.0,155.0,255,91.0,1.0,124.0,199,821,Randy Smith</t>
  </si>
  <si>
    <t>87,2003-04,00,1610612752,NYK,38.0,65,56.0,1497.0,141,295,0.478,0.0,0.0,0.0,81,119,0.681,145.0,292.0,437.0,25,17.0,123.0,54.0,141,363,Dikembe Mutombo</t>
  </si>
  <si>
    <t>1710,2011-12,00,1610612752,NYK,34.0,39,4.0,557.0,35,124,0.282,27.0,85.0,0.318,6,8,0.75,5.0,54.0,59.0,80,21.0,3.0,20.0,45,103,Mike Bibby</t>
  </si>
  <si>
    <t>1054,1990-91,00,1610612752,NYK,21.0,62,5.0,825.0,106,228,0.465,0.0,1.0,0.0,56,87,0.644,51.0,118.0,169.0,36,15.0,14.0,61.0,109,268,Jerrod Mustaf</t>
  </si>
  <si>
    <t>203315,2013-14,00,1610612752,NYK,24.0,51,0.0,372.0,56,129,0.434,5.0,12.0,0.417,23,39,0.59,13.0,31.0,44.0,49,19.0,1.0,34.0,46,140,Toure' Murry</t>
  </si>
  <si>
    <t>77671,1946-47,00,1610612752,NYK,22.0,9,,0.0,8,25,0.32,,,,8,12,0.667,,,0.0,0,,,,3,24,John Murphy</t>
  </si>
  <si>
    <t>77672,1946-47,00,1610612752,NYK,26.0,24,,0.0,14,58,0.241,,,,4,5,0.8,,,0.0,5,,,,9,32,Dick Murphy</t>
  </si>
  <si>
    <t>200745,2013-14,00,1610612752,NYK,28.0,42,39.0,1257.0,222,502,0.442,30.0,108.0,0.278,84,102,0.824,69.0,153.0,222.0,45,14.0,52.0,58.0,100,558,Andrea Bargnani</t>
  </si>
  <si>
    <t>200745,2014-15,00,1610612752,NYK,29.0,29,22.0,785.0,164,361,0.454,15.0,41.0,0.366,87,107,0.813,32.0,95.0,127.0,46,2.0,27.0,42.0,53,430,Andrea Bargnani</t>
  </si>
  <si>
    <t>77660,1946-47,00,1610612752,NYK,24.0,26,,0.0,27,104,0.26,,,,22,34,0.647,,,0.0,18,,,,32,76,Bob Mullens</t>
  </si>
  <si>
    <t>1626144,2017-18,00,1610612752,NYK,22.0,22,14.0,493.0,75,204,0.368,9.0,46.0,0.196,35,51,0.686,10.0,48.0,58.0,85,20.0,7.0,41.0,33,194,Emmanuel Mudiay</t>
  </si>
  <si>
    <t>1626144,2018-19,00,1610612752,NYK,23.0,59,42.0,1607.0,330,740,0.446,69.0,210.0,0.329,144,186,0.774,33.0,163.0,196.0,228,43.0,19.0,140.0,103,873,Emmanuel Mudiay</t>
  </si>
  <si>
    <t>202389,2010-11,00,1610612752,NYK,24.0,34,14.0,458.0,52,112,0.464,0.0,0.0,0.0,31,44,0.705,41.0,63.0,104.0,15,14.0,23.0,32.0,76,135,Timofey Mozgov</t>
  </si>
  <si>
    <t>203085,2020-21,00,1610612752,NYK,28.0,21,2.0,442.0,58,135,0.43,28.0,77.0,0.364,10,14,0.714,5.0,42.0,47.0,42,12.0,0.0,22.0,32,154,Austin Rivers</t>
  </si>
  <si>
    <t>202694,2019-20,00,1610612752,NYK,30.0,43,43.0,1387.0,281,636,0.442,116.0,264.0,0.439,163,198,0.823,48.0,185.0,233.0,59,34.0,17.0,73.0,128,841,Marcus Morris Sr.</t>
  </si>
  <si>
    <t>78075,1953-54,00,1610612752,NYK,28.0,67,,1515.0,161,415,0.388,,,,153,195,0.785,,,267.0,109,,,,176,475,Fred Schaus</t>
  </si>
  <si>
    <t>201043,2006-07,00,1610612752,NYK,21.0,5,0.0,44.0,1,6,0.167,0.0,0.0,0.0,2,6,0.333,1.0,8.0,9.0,1,2.0,1.0,2.0,4,4,Randolph Morris</t>
  </si>
  <si>
    <t>201043,2007-08,00,1610612752,NYK,22.0,18,2.0,181.0,21,58,0.362,0.0,0.0,0.0,14,29,0.483,12.0,25.0,37.0,2,4.0,2.0,9.0,37,56,Randolph Morris</t>
  </si>
  <si>
    <t>201235,2008-09,00,1610612752,NYK,25.0,1,0.0,11.0,3,6,0.5,0.0,0.0,0.0,0,0,0.0,2.0,2.0,4.0,0,0.0,0.0,0.0,1,6,Courtney Sims</t>
  </si>
  <si>
    <t>1629760,2021-22,00,1610612752,NYK,27.0,1,0.0,2.0,0,1,0.0,0.0,1.0,0.0,0,0,0.0,0.0,0.0,0.0,0,1.0,0.0,1.0,0,0,Matt Mooney</t>
  </si>
  <si>
    <t>600006,1971-72,00,1610612752,NYK,27.0,60,,1234.0,261,598,0.436,,,,162,206,0.786,,,92.0,132,,,,130,684,Earl Monroe</t>
  </si>
  <si>
    <t>600006,1972-73,00,1610612752,NYK,28.0,75,,2370.0,496,1016,0.488,,,,171,208,0.822,,,245.0,288,,,,195,1163,Earl Monroe</t>
  </si>
  <si>
    <t>600006,1973-74,00,1610612752,NYK,29.0,41,,1194.0,240,513,0.468,,,,93,113,0.823,22.0,99.0,121.0,110,34.0,19.0,,97,573,Earl Monroe</t>
  </si>
  <si>
    <t>600006,1974-75,00,1610612752,NYK,30.0,78,,2814.0,668,1462,0.457,,,,297,359,0.827,56.0,271.0,327.0,270,108.0,29.0,,200,1633,Earl Monroe</t>
  </si>
  <si>
    <t>600006,1975-76,00,1610612752,NYK,31.0,76,,2889.0,647,1354,0.478,,,,280,356,0.787,48.0,225.0,273.0,304,111.0,22.0,,209,1574,Earl Monroe</t>
  </si>
  <si>
    <t>600006,1976-77,00,1610612752,NYK,32.0,77,,2656.0,613,1185,0.517,,,,307,366,0.839,45.0,178.0,223.0,366,91.0,23.0,,197,1533,Earl Monroe</t>
  </si>
  <si>
    <t>600006,1977-78,00,1610612752,NYK,33.0,76,,2369.0,556,1123,0.495,,,,242,291,0.832,47.0,135.0,182.0,361,60.0,19.0,179.0,189,1354,Earl Monroe</t>
  </si>
  <si>
    <t>600006,1978-79,00,1610612752,NYK,34.0,64,,1393.0,329,699,0.471,,,,129,154,0.838,26.0,48.0,74.0,189,48.0,6.0,98.0,123,787,Earl Monroe</t>
  </si>
  <si>
    <t>600006,1979-80,00,1610612752,NYK,35.0,51,,633.0,161,352,0.457,0.0,0.0,,56,64,0.875,16.0,20.0,36.0,67,21.0,3.0,28.0,46,378,Earl Monroe</t>
  </si>
  <si>
    <t>77625,1966-67,00,1610612752,NYK,24.0,13,,75.0,19,51,0.373,,,,7,13,0.538,,,22.0,2,,,,9,45,Wayne Molis</t>
  </si>
  <si>
    <t>76049,1954-55,00,1610612752,NYK,24.0,1,,10.0,0,4,0.0,,,,3,4,0.75,,,2.0,0,,,,0,3,Don Anielak</t>
  </si>
  <si>
    <t>1737,2003-04,00,1610612752,NYK,26.0,27,23.0,673.0,108,192,0.563,0.0,0.0,0.0,31,59,0.525,77.0,130.0,207.0,16,33.0,25.0,41.0,82,247,Nazr Mohammed</t>
  </si>
  <si>
    <t>1737,2004-05,00,1610612752,NYK,27.0,54,54.0,1519.0,234,460,0.509,0.0,1.0,0.0,121,171,0.708,169.0,270.0,439.0,26,53.0,53.0,81.0,172,589,Nazr Mohammed</t>
  </si>
  <si>
    <t>78036,1978-79,00,1610612752,NYK,23.0,58,,723.0,59,133,0.444,,,,66,93,0.71,69.0,98.0,167.0,35,17.0,8.0,59.0,95,184,John Rudd</t>
  </si>
  <si>
    <t>77613,1947-48,00,1610612752,NYK,24.0,3,,,3,13,0.231,,,,1,3,0.333,,,,0,,,,7,7,Wat Misaka</t>
  </si>
  <si>
    <t>78078,1946-47,00,1610612752,NYK,28.0,54,,,162,588,0.276,,,,111,179,0.62,,,,109,,,,115,435,Ossie Schectman</t>
  </si>
  <si>
    <t>2772,2004-05,00,1610612752,NYK,20.0,80,12.0,1385.0,172,389,0.442,3.0,13.0,0.231,121,174,0.695,89.0,153.0,242.0,85,70.0,18.0,73.0,150,468,Trevor Ariza</t>
  </si>
  <si>
    <t>2772,2005-06,00,1610612752,NYK,20.0,36,10.0,709.0,61,146,0.418,1.0,3.0,0.333,42,77,0.545,49.0,88.0,137.0,46,43.0,9.0,46.0,78,165,Trevor Ariza</t>
  </si>
  <si>
    <t>1629003,2023-24,00,1610612752,NYK,27.0,6,0.0,27.0,4,9,0.444,1.0,2.0,0.5,2,2,1.0,0.0,6.0,6.0,4,1.0,0.0,0.0,7,11,Shake Milton</t>
  </si>
  <si>
    <t>76176,1992-93,00,1610612752,NYK,34.0,60,33.0,1434.0,239,539,0.443,31.0,73.0,0.425,71,90,0.789,23.0,79.0,102.0,157,22.0,10.0,65.0,129,580,Rolando Blackman</t>
  </si>
  <si>
    <t>76176,1993-94,00,1610612752,NYK,35.0,55,1.0,969.0,161,369,0.436,30.0,84.0,0.357,48,53,0.906,23.0,70.0,93.0,76,25.0,6.0,44.0,100,400,Rolando Blackman</t>
  </si>
  <si>
    <t>203144,2014-15,00,1610612752,NYK,26.0,16,9.0,423.0,73,181,0.403,26.0,70.0,0.371,64,82,0.78,14.0,59.0,73.0,57,15.0,5.0,25.0,25,236,Alexey Shved</t>
  </si>
  <si>
    <t>168,1997-98,00,1610612752,NYK,28.0,80,29.0,2183.0,292,675,0.433,40.0,137.0,0.292,152,189,0.804,120.0,288.0,408.0,133,45.0,30.0,107.0,218,776,Chris Mills</t>
  </si>
  <si>
    <t>201167,2015-16,00,1610612752,NYK,30.0,71,57.0,2371.0,354,799,0.443,91.0,238.0,0.382,110,131,0.84,23.0,243.0,266.0,144,25.0,10.0,82.0,142,909,Arron Afflalo</t>
  </si>
  <si>
    <t>201196,2017-18,00,1610612752,NYK,32.0,13,3.0,167.0,17,53,0.321,2.0,11.0,0.182,12,15,0.8,1.0,17.0,18.0,27,7.0,1.0,15.0,14,48,Ramon Sessions</t>
  </si>
  <si>
    <t>77598,1946-47,00,1610612752,NYK,24.0,36,,0.0,52,214,0.243,,,,40,73,0.548,,,0.0,28,,,,91,144,Nat Militzok</t>
  </si>
  <si>
    <t>77968,1948-49,00,1610612752,NYK,25.0,55,,,123,353,0.348,,,,91,146,0.623,,,,57,,,,71,337,Goebel Ritter</t>
  </si>
  <si>
    <t>77968,1949-50,00,1610612752,NYK,26.0,62,,,100,297,0.337,,,,125,176,0.71,,,,51,,,,101,325,Goebel Ritter</t>
  </si>
  <si>
    <t>77968,1950-51,00,1610612752,NYK,27.0,34,,,39,103,0.379,,,,49,71,0.69,,,65.0,37,,,,52,127,Goebel Ritter</t>
  </si>
  <si>
    <t>2545,2009-10,00,1610612752,NYK,25.0,8,0.0,71.0,8,17,0.471,0.0,0.0,0.0,0,0,0.0,5.0,13.0,18.0,4,4.0,1.0,2.0,7,16,Darko Milicic</t>
  </si>
  <si>
    <t>78023,1948-49,00,1610612752,NYK,27.0,53,,,101,367,0.275,,,,112,174,0.644,,,,68,,,,174,314,Irv Rothenberg</t>
  </si>
  <si>
    <t>78019,1946-47,00,1610612752,NYK,27.0,31,,0.0,38,145,0.262,,,,57,95,0.6,,,0.0,19,,,,71,133,Hank Rosenstein</t>
  </si>
  <si>
    <t>77596,1971-72,00,1610612752,NYK,31.0,42,,198.0,23,64,0.359,,,,16,18,0.889,,,16.0,17,,,,46,62,Eddie Miles</t>
  </si>
  <si>
    <t>77582,1978-79,00,1610612752,NYK,25.0,41,,1053.0,158,313,0.505,,,,75,109,0.688,81.0,144.0,225.0,48,23.0,53.0,85.0,178,391,Joe Meriweather</t>
  </si>
  <si>
    <t>77582,1979-80,00,1610612752,NYK,26.0,65,,1565.0,252,477,0.528,0.0,1.0,0.0,78,121,0.645,122.0,228.0,350.0,66,37.0,120.0,112.0,239,582,Joe Meriweather</t>
  </si>
  <si>
    <t>2440,2005-06,00,1610612752,NYK,26.0,6,5.0,93.0,11,30,0.367,1.0,4.0,0.25,3,4,0.75,7.0,17.0,24.0,6,4.0,0.0,6.0,8,26,Matt Barnes</t>
  </si>
  <si>
    <t>78013,1960-61,00,1610612752,NYK,27.0,60,,816.0,109,293,0.372,,,,58,88,0.659,,,97.0,123,,,,121,276,Phil Rollins</t>
  </si>
  <si>
    <t>77578,1971-72,00,1610612752,NYK,24.0,78,,1173.0,139,293,0.474,,,,79,140,0.564,,,185.0,103,,,,137,357,Dean Meminger</t>
  </si>
  <si>
    <t>77578,1972-73,00,1610612752,NYK,25.0,80,,1453.0,188,365,0.515,,,,81,129,0.628,,,229.0,133,,,,109,457,Dean Meminger</t>
  </si>
  <si>
    <t>77578,1973-74,00,1610612752,NYK,26.0,78,,2079.0,274,539,0.508,,,,103,160,0.644,125.0,156.0,281.0,162,62.0,8.0,,161,651,Dean Meminger</t>
  </si>
  <si>
    <t>77578,1976-77,00,1610612752,NYK,29.0,32,,254.0,15,36,0.417,,,,13,23,0.565,12.0,14.0,26.0,29,8.0,1.0,,17,43,Dean Meminger</t>
  </si>
  <si>
    <t>77562,1960-61,00,1610612752,NYK,22.0,75,,1387.0,166,427,0.389,,,,105,126,0.833,,,123.0,238,,,,148,437,Bob McNeill</t>
  </si>
  <si>
    <t>452,2003-04,00,1610612752,NYK,32.0,17,0.0,313.0,40,99,0.404,1.0,2.0,0.5,32,45,0.711,36.0,34.0,70.0,12,7.0,9.0,25.0,62,113,Vin Baker</t>
  </si>
  <si>
    <t>452,2004-05,00,1610612752,NYK,33.0,24,0.0,191.0,13,38,0.342,0.0,1.0,0.0,7,15,0.467,17.0,20.0,37.0,9,2.0,4.0,15.0,31,33,Vin Baker</t>
  </si>
  <si>
    <t>78153,1949-50,00,1610612752,NYK,25.0,60,,,241,729,0.331,,,,198,299,0.662,,,,102,,,,203,680,Connie Simmons</t>
  </si>
  <si>
    <t>78153,1950-51,00,1610612752,NYK,26.0,66,,,229,613,0.374,,,,146,208,0.702,,,426.0,117,,,,222,604,Connie Simmons</t>
  </si>
  <si>
    <t>78153,1951-52,00,1610612752,NYK,27.0,66,,1558.0,227,600,0.378,,,,175,254,0.689,,,471.0,121,,,,214,629,Connie Simmons</t>
  </si>
  <si>
    <t>78153,1952-53,00,1610612752,NYK,28.0,65,,1707.0,240,637,0.377,,,,249,340,0.732,,,458.0,127,,,,252,729,Connie Simmons</t>
  </si>
  <si>
    <t>78153,1953-54,00,1610612752,NYK,29.0,72,,2006.0,255,713,0.358,,,,210,305,0.689,,,484.0,128,,,,234,720,Connie Simmons</t>
  </si>
  <si>
    <t>200771,2009-10,00,1610612752,NYK,24.0,27,8.0,531.0,79,161,0.491,17.0,49.0,0.347,25,31,0.806,9.0,30.0,39.0,91,21.0,2.0,55.0,38,200,Sergio Rodriguez</t>
  </si>
  <si>
    <t>77560,1985-86,00,1610612752,NYK,24.0,30,6.0,627.0,70,144,0.486,0.0,0.0,,31,47,0.66,62.0,141.0,203.0,41,38.0,12.0,35.0,88,171,Chris McNealy</t>
  </si>
  <si>
    <t>77560,1986-87,00,1610612752,NYK,25.0,59,16.0,972.0,88,179,0.492,0.0,0.0,0.0,52,80,0.65,74.0,153.0,227.0,46,36.0,16.0,64.0,136,228,Chris McNealy</t>
  </si>
  <si>
    <t>77560,1987-88,00,1610612752,NYK,26.0,19,0.0,265.0,23,74,0.311,0.0,0.0,0.0,21,31,0.677,24.0,40.0,64.0,23,16.0,2.0,17.0,50,67,Chris McNealy</t>
  </si>
  <si>
    <t>1629628,2019-20,00,1610612752,NYK,20.0,56,55.0,1704.0,292,727,0.402,63.0,197.0,0.32,156,254,0.614,50.0,229.0,279.0,143,55.0,17.0,124.0,122,803,RJ Barrett</t>
  </si>
  <si>
    <t>1629628,2020-21,00,1610612752,NYK,21.0,72,72.0,2511.0,467,1060,0.441,124.0,309.0,0.401,206,276,0.746,68.0,346.0,414.0,217,53.0,20.0,139.0,188,1264,RJ Barrett</t>
  </si>
  <si>
    <t>1629628,2021-22,00,1610612752,NYK,22.0,70,70.0,2417.0,487,1194,0.408,138.0,404.0,0.342,290,406,0.714,66.0,342.0,408.0,208,43.0,16.0,151.0,142,1402,RJ Barrett</t>
  </si>
  <si>
    <t>1629628,2022-23,00,1610612752,NYK,23.0,73,73.0,2476.0,510,1176,0.434,121.0,390.0,0.31,290,392,0.74,60.0,308.0,368.0,201,31.0,15.0,164.0,179,1431,RJ Barrett</t>
  </si>
  <si>
    <t>1629628,2023-24,00,1610612752,NYK,24.0,26,26.0,767.0,164,388,0.423,43.0,130.0,0.331,103,124,0.831,19.0,92.0,111.0,63,12.0,9.0,47.0,45,474,RJ Barrett</t>
  </si>
  <si>
    <t>77554,1976-77,00,1610612752,NYK,29.0,67,,2158.0,298,642,0.464,,,,67,86,0.779,66.0,241.0,307.0,139,63.0,5.0,,103,663,Jim McMillian</t>
  </si>
  <si>
    <t>77554,1977-78,00,1610612752,NYK,30.0,81,,1977.0,288,623,0.462,,,,115,134,0.858,80.0,209.0,289.0,205,76.0,17.0,104.0,116,691,Jim McMillian</t>
  </si>
  <si>
    <t>76140,1978-79,00,1610612752,NYK,28.0,5,,38.0,5,12,0.417,,,,2,2,1.0,2.0,9.0,11.0,2,2.0,0.0,4.0,8,12,Ron Behagen</t>
  </si>
  <si>
    <t>78106,1955-56,00,1610612752,NYK,22.0,70,,2069.0,319,728,0.438,,,,258,324,0.796,,,616.0,114,,,,201,896,Ken Sears</t>
  </si>
  <si>
    <t>78106,1956-57,00,1610612752,NYK,23.0,72,,2516.0,343,821,0.418,,,,383,485,0.79,,,614.0,101,,,,226,1069,Ken Sears</t>
  </si>
  <si>
    <t>78106,1957-58,00,1610612752,NYK,24.0,72,,2685.0,445,1014,0.439,,,,452,550,0.822,,,785.0,126,,,,251,1342,Ken Sears</t>
  </si>
  <si>
    <t>78106,1958-59,00,1610612752,NYK,25.0,71,,2498.0,491,1002,0.49,,,,506,588,0.861,,,658.0,136,,,,237,1488,Ken Sears</t>
  </si>
  <si>
    <t>78106,1959-60,00,1610612752,NYK,26.0,64,,2099.0,412,863,0.477,,,,363,418,0.868,,,876.0,127,,,,191,1187,Ken Sears</t>
  </si>
  <si>
    <t>78106,1960-61,00,1610612752,NYK,27.0,52,,1396.0,241,568,0.424,,,,268,325,0.825,,,293.0,102,,,,165,750,Ken Sears</t>
  </si>
  <si>
    <t>76106,1974-75,00,1610612752,NYK,30.0,28,,538.0,70,172,0.407,,,,43,50,0.86,15.0,36.0,51.0,39,12.0,0.0,,51,183,Jim Barnett</t>
  </si>
  <si>
    <t>76106,1975-76,00,1610612752,NYK,31.0,71,,1026.0,164,371,0.442,,,,90,114,0.789,48.0,40.0,88.0,90,24.0,3.0,,86,418,Jim Barnett</t>
  </si>
  <si>
    <t>77553,1976-77,00,1610612752,NYK,25.0,56,,1222.0,229,471,0.486,,,,70,87,0.805,85.0,232.0,317.0,51,10.0,4.0,,134,528,Tom McMillen</t>
  </si>
  <si>
    <t>202338,2015-16,00,1610612752,NYK,26.0,48,0.0,526.0,84,205,0.41,0.0,2.0,0.0,19,23,0.826,31.0,95.0,126.0,47,8.0,36.0,43.0,67,187,Kevin Seraphin</t>
  </si>
  <si>
    <t>77545,1991-92,00,1610612752,NYK,27.0,2,0.0,9.0,2,9,0.222,0.0,0.0,0.0,0,0,0.0,0.0,1.0,1.0,0,0.0,0.0,0.0,1,4,Carlton McKinney</t>
  </si>
  <si>
    <t>77960,1972-73,00,1610612752,NYK,23.0,14,,65.0,10,24,0.417,,,,15,24,0.625,,,16.0,2,,,,15,35,Tom Riker</t>
  </si>
  <si>
    <t>77960,1973-74,00,1610612752,NYK,24.0,17,,57.0,13,29,0.448,,,,12,17,0.706,9.0,6.0,15.0,3,0.0,0.0,,6,38,Tom Riker</t>
  </si>
  <si>
    <t>77960,1974-75,00,1610612752,NYK,25.0,51,,483.0,53,147,0.361,,,,46,82,0.561,40.0,67.0,107.0,19,15.0,5.0,,64,152,Tom Riker</t>
  </si>
  <si>
    <t>203143,2012-13,00,1610612752,NYK,36.0,78,18.0,1263.0,100,220,0.455,53.0,134.0,0.396,22,25,0.88,41.0,102.0,143.0,236,69.0,2.0,86.0,127,275,Pablo Prigioni</t>
  </si>
  <si>
    <t>203143,2013-14,00,1610612752,NYK,37.0,66,27.0,1283.0,88,191,0.461,65.0,140.0,0.464,11,12,0.917,36.0,93.0,129.0,228,67.0,2.0,60.0,132,252,Pablo Prigioni</t>
  </si>
  <si>
    <t>203143,2014-15,00,1610612752,NYK,38.0,43,3.0,795.0,68,161,0.422,43.0,115.0,0.374,22,26,0.846,18.0,62.0,80.0,104,52.0,1.0,47.0,53,201,Pablo Prigioni</t>
  </si>
  <si>
    <t>77537,1949-50,00,1610612752,NYK,24.0,68,,,190,563,0.337,,,,204,313,0.652,,,,386,,,,160,584,Dick McGuire</t>
  </si>
  <si>
    <t>77537,1950-51,00,1610612752,NYK,25.0,64,,,179,482,0.371,,,,179,276,0.649,,,334.0,400,,,,154,537,Dick McGuire</t>
  </si>
  <si>
    <t>77537,1951-52,00,1610612752,NYK,26.0,64,,2018.0,204,474,0.43,,,,183,290,0.631,,,332.0,388,,,,181,591,Dick McGuire</t>
  </si>
  <si>
    <t>77537,1952-53,00,1610612752,NYK,27.0,61,,1783.0,142,373,0.381,,,,153,269,0.569,,,280.0,296,,,,172,437,Dick McGuire</t>
  </si>
  <si>
    <t>77537,1953-54,00,1610612752,NYK,28.0,68,,2343.0,201,493,0.408,,,,220,345,0.638,,,310.0,354,,,,199,622,Dick McGuire</t>
  </si>
  <si>
    <t>77537,1954-55,00,1610612752,NYK,29.0,71,,2310.0,226,581,0.389,,,,195,303,0.644,,,322.0,542,,,,143,647,Dick McGuire</t>
  </si>
  <si>
    <t>77537,1955-56,00,1610612752,NYK,30.0,62,,1685.0,152,438,0.347,,,,121,193,0.627,,,220.0,362,,,,146,425,Dick McGuire</t>
  </si>
  <si>
    <t>77537,1956-57,00,1610612752,NYK,31.0,72,,1191.0,140,366,0.383,,,,105,163,0.644,,,146.0,222,,,,103,385,Dick McGuire</t>
  </si>
  <si>
    <t>76094,1984-85,00,1610612752,NYK,25.0,75,50.0,1404.0,209,445,0.47,0.0,0.0,0.0,91,192,0.474,108.0,222.0,330.0,39,38.0,40.0,141.0,279,509,Ken Bannister</t>
  </si>
  <si>
    <t>76094,1985-86,00,1610612752,NYK,26.0,70,15.0,1405.0,235,479,0.491,0.0,1.0,0.0,131,249,0.526,89.0,233.0,322.0,42,42.0,24.0,129.0,208,601,Ken Bannister</t>
  </si>
  <si>
    <t>201565,2016-17,00,1610612752,NYK,28.0,64,64.0,2082.0,460,977,0.471,13.0,60.0,0.217,221,253,0.874,66.0,180.0,246.0,283,44.0,17.0,147.0,84,1154,Derrick Rose</t>
  </si>
  <si>
    <t>201565,2020-21,00,1610612752,NYK,32.0,35,3.0,937.0,208,427,0.487,37.0,90.0,0.411,68,77,0.883,14.0,87.0,101.0,146,31.0,15.0,49.0,39,521,Derrick Rose</t>
  </si>
  <si>
    <t>201565,2021-22,00,1610612752,NYK,33.0,26,4.0,636.0,122,274,0.445,37.0,92.0,0.402,30,31,0.968,21.0,57.0,78.0,103,22.0,12.0,39.0,15,311,Derrick Rose</t>
  </si>
  <si>
    <t>201565,2022-23,00,1610612752,NYK,34.0,27,0.0,338.0,61,159,0.384,19.0,63.0,0.302,11,12,0.917,8.0,32.0,40.0,46,7.0,5.0,22.0,18,152,Derrick Rose</t>
  </si>
  <si>
    <t>77535,1973-74,00,1610612752,NYK,22.0,2,,10.0,2,4,0.5,,,,0,0,,0.0,2.0,2.0,1,0.0,0.0,,2,4,Allie McGuire</t>
  </si>
  <si>
    <t>76081,1953-54,00,1610612752,NYK,26.0,70,,1627.0,170,465,0.366,,,,134,177,0.757,,,183.0,117,,,,195,474,Jim Baechtold</t>
  </si>
  <si>
    <t>76081,1954-55,00,1610612752,NYK,27.0,72,,2536.0,362,898,0.403,,,,279,339,0.823,,,307.0,218,,,,202,1003,Jim Baechtold</t>
  </si>
  <si>
    <t>76081,1955-56,00,1610612752,NYK,28.0,70,,1738.0,268,695,0.386,,,,233,291,0.801,,,220.0,163,,,,156,769,Jim Baechtold</t>
  </si>
  <si>
    <t>76081,1956-57,00,1610612752,NYK,29.0,45,,462.0,75,197,0.381,,,,66,88,0.75,,,80.0,33,,,,39,216,Jim Baechtold</t>
  </si>
  <si>
    <t>77536,1951-52,00,1610612752,NYK,23.0,59,,788.0,72,167,0.431,,,,64,122,0.525,,,121.0,107,,,,136,208,Al McGuire</t>
  </si>
  <si>
    <t>77536,1952-53,00,1610612752,NYK,24.0,58,,1231.0,112,287,0.39,,,,128,201,0.637,,,167.0,145,,,,206,352,Al McGuire</t>
  </si>
  <si>
    <t>77536,1953-54,00,1610612752,NYK,25.0,64,,849.0,58,177,0.328,,,,58,133,0.436,,,121.0,103,,,,144,174,Al McGuire</t>
  </si>
  <si>
    <t>76107,1965-66,00,1610612752,NYK,29.0,75,,2589.0,631,1344,0.469,,,,467,605,0.772,,,310.0,259,,,,235,1729,Dick Barnett</t>
  </si>
  <si>
    <t>76107,1966-67,00,1610612752,NYK,30.0,67,,1969.0,454,949,0.478,,,,231,295,0.783,,,226.0,161,,,,185,1139,Dick Barnett</t>
  </si>
  <si>
    <t>76107,1967-68,00,1610612752,NYK,31.0,81,,2488.0,559,1159,0.482,,,,343,440,0.78,,,238.0,242,,,,222,1461,Dick Barnett</t>
  </si>
  <si>
    <t>76107,1968-69,00,1610612752,NYK,32.0,82,,2953.0,565,1220,0.463,,,,312,403,0.774,,,251.0,291,,,,239,1442,Dick Barnett</t>
  </si>
  <si>
    <t>76107,1969-70,00,1610612752,NYK,33.0,82,,2772.0,494,1039,0.475,,,,232,325,0.714,,,221.0,298,,,,220,1220,Dick Barnett</t>
  </si>
  <si>
    <t>76107,1970-71,00,1610612752,NYK,34.0,82,,2843.0,540,1184,0.456,,,,193,278,0.694,,,238.0,225,,,,232,1273,Dick Barnett</t>
  </si>
  <si>
    <t>76107,1971-72,00,1610612752,NYK,35.0,79,,2256.0,401,918,0.437,,,,162,215,0.753,,,153.0,198,,,,229,964,Dick Barnett</t>
  </si>
  <si>
    <t>76107,1972-73,00,1610612752,NYK,36.0,51,,514.0,88,226,0.389,,,,16,30,0.533,,,41.0,50,,,,52,192,Dick Barnett</t>
  </si>
  <si>
    <t>76107,1973-74,00,1610612752,NYK,37.0,5,,58.0,10,26,0.385,,,,2,3,0.667,1.0,3.0,4.0,6,1.0,0.0,,2,22,Dick Barnett</t>
  </si>
  <si>
    <t>1503,2009-10,00,1610612752,NYK,31.0,24,24.0,627.0,84,216,0.389,15.0,62.0,0.242,43,57,0.754,22.0,67.0,89.0,93,15.0,12.0,43.0,38,226,Tracy McGrady</t>
  </si>
  <si>
    <t>2546,2010-11,00,1610612752,NYK,27.0,27,27.0,977.0,247,536,0.461,53.0,125.0,0.424,164,188,0.872,41.0,140.0,181.0,81,25.0,15.0,64.0,90,711,Carmelo Anthony</t>
  </si>
  <si>
    <t>2546,2011-12,00,1610612752,NYK,28.0,55,55.0,1876.0,441,1025,0.43,68.0,203.0,0.335,295,367,0.804,88.0,256.0,344.0,200,62.0,24.0,144.0,156,1245,Carmelo Anthony</t>
  </si>
  <si>
    <t>2546,2012-13,00,1610612752,NYK,29.0,67,67.0,2482.0,669,1489,0.449,157.0,414.0,0.379,425,512,0.83,134.0,326.0,460.0,171,52.0,32.0,175.0,205,1920,Carmelo Anthony</t>
  </si>
  <si>
    <t>2546,2013-14,00,1610612752,NYK,30.0,77,77.0,2982.0,743,1643,0.452,167.0,415.0,0.402,459,541,0.848,145.0,477.0,622.0,242,95.0,51.0,198.0,224,2112,Carmelo Anthony</t>
  </si>
  <si>
    <t>2546,2014-15,00,1610612752,NYK,31.0,40,40.0,1428.0,358,806,0.444,61.0,179.0,0.341,189,237,0.797,72.0,192.0,264.0,122,40.0,17.0,89.0,87,966,Carmelo Anthony</t>
  </si>
  <si>
    <t>2546,2015-16,00,1610612752,NYK,32.0,72,72.0,2530.0,567,1307,0.434,105.0,310.0,0.339,334,403,0.829,98.0,458.0,556.0,299,62.0,38.0,176.0,180,1573,Carmelo Anthony</t>
  </si>
  <si>
    <t>2546,2016-17,00,1610612752,NYK,33.0,74,74.0,2538.0,602,1389,0.433,151.0,421.0,0.359,304,365,0.833,62.0,376.0,438.0,213,60.0,34.0,153.0,198,1659,Carmelo Anthony</t>
  </si>
  <si>
    <t>77531,1963-64,00,1610612752,NYK,24.0,74,,1784.0,456,937,0.487,,,,204,282,0.723,,,414.0,121,,,,217,1116,Bill McGill</t>
  </si>
  <si>
    <t>202332,2013-14,00,1610612752,NYK,25.0,46,2.0,330.0,33,61,0.541,0.0,0.0,0.0,26,30,0.867,37.0,92.0,129.0,14,8.0,30.0,18.0,40,92,Cole Aldrich</t>
  </si>
  <si>
    <t>202332,2014-15,00,1610612752,NYK,26.0,61,16.0,976.0,144,301,0.478,0.0,0.0,0.0,50,64,0.781,101.0,237.0,338.0,75,37.0,65.0,59.0,122,338,Cole Aldrich</t>
  </si>
  <si>
    <t>76099,1978-79,00,1610612752,NYK,24.0,22,,329.0,44,102,0.431,,,,14,20,0.7,31.0,52.0,83.0,9,6.0,7.0,20.0,45,102,Tom Barker</t>
  </si>
  <si>
    <t>77529,1948-49,00,1610612752,NYK,22.0,51,,,62,195,0.318,,,,52,88,0.591,,,,51,,,,104,176,Mel McGaha</t>
  </si>
  <si>
    <t>1627853,2021-22,00,1610612752,NYK,28.0,10,0.0,76.0,6,12,0.5,4.0,9.0,0.444,0,0,0.0,0.0,8.0,8.0,4,1.0,0.0,3.0,5,16,Ryan Arcidiacono</t>
  </si>
  <si>
    <t>1627853,2022-23,00,1610612752,NYK,29.0,11,0.0,26.0,1,5,0.2,1.0,3.0,0.333,0,0,0.0,0.0,4.0,4.0,2,2.0,0.0,1.0,3,3,Ryan Arcidiacono</t>
  </si>
  <si>
    <t>1627853,2023-24,00,1610612752,NYK,30.0,20,0.0,45.0,0,6,0.0,0.0,6.0,0.0,0,0,0.0,0.0,8.0,8.0,4,2.0,0.0,2.0,5,0,Ryan Arcidiacono</t>
  </si>
  <si>
    <t>1497,2010-11,00,1610612752,NYK,34.0,21,21.0,664.0,104,258,0.403,41.0,125.0,0.328,119,132,0.902,13.0,52.0,65.0,116,19.0,2.0,48.0,52,368,Chauncey Billups</t>
  </si>
  <si>
    <t>686,2003-04,00,1610612752,NYK,29.0,18,6.0,422.0,65,142,0.458,0.0,0.0,0.0,22,38,0.579,31.0,88.0,119.0,20,12.0,11.0,27.0,46,152,Antonio McDyess</t>
  </si>
  <si>
    <t>203926,2017-18,00,1610612752,NYK,26.0,55,1.0,1172.0,151,328,0.46,53.0,137.0,0.387,40,53,0.755,33.0,101.0,134.0,50,10.0,12.0,34.0,73,395,Doug McDermott</t>
  </si>
  <si>
    <t>78061,1955-56,00,1610612752,NYK,21.0,4,,23.0,5,10,0.5,,,,1,2,0.5,,,3.0,1,,,,4,11,Bob Santini</t>
  </si>
  <si>
    <t>192,1998-99,00,1610612752,NYK,30.0,15,0.0,206.0,17,56,0.304,8.0,29.0,0.276,1,4,0.25,3.0,17.0,20.0,8,3.0,1.0,5.0,17,43,Dennis Scott</t>
  </si>
  <si>
    <t>1365,1991-92,00,1610612752,NYK,29.0,82,82.0,2344.0,488,1021,0.478,12.0,39.0,0.308,137,192,0.714,176.0,284.0,460.0,149,57.0,24.0,147.0,241,1125,Xavier McDaniel</t>
  </si>
  <si>
    <t>76034,1959-60,00,1610612752,NYK,22.0,33,,373.0,55,143,0.385,,,,23,42,0.548,,,69.0,29,,,,32,133,Bob Anderegg</t>
  </si>
  <si>
    <t>1627782,2021-22,00,1610612752,NYK,27.0,3,0.0,19.0,1,4,0.25,1.0,2.0,0.5,2,4,0.5,0.0,1.0,1.0,1,0.0,0.0,0.0,1,5,Wayne Selden</t>
  </si>
  <si>
    <t>77516,1991-92,00,1610612752,NYK,30.0,22,0.0,108.0,14,33,0.424,0.0,0.0,0.0,14,21,0.667,14.0,20.0,34.0,9,2.0,0.0,8.0,18,42,Tim McCormick</t>
  </si>
  <si>
    <t>962,1996-97,00,1610612752,NYK,23.0,35,0.0,189.0,26,68,0.382,4.0,14.0,0.286,8,14,0.571,8.0,15.0,23.0,13,7.0,9.0,17.0,38,64,Walter McCarty</t>
  </si>
  <si>
    <t>203648,2015-16,00,1610612752,NYK,23.0,2,0.0,6.0,3,4,0.75,0.0,1.0,0.0,0,0,0.0,0.0,1.0,1.0,0,0.0,0.0,0.0,2,6,Thanasis Antetokounmpo</t>
  </si>
  <si>
    <t>77500,1957-58,00,1610612752,NYK,22.0,36,,295.0,22,100,0.22,,,,25,37,0.676,,,45.0,54,,,,34,69,Brendan McCann</t>
  </si>
  <si>
    <t>77500,1958-59,00,1610612752,NYK,23.0,1,,7.0,0,3,0.0,,,,0,0,,,,1.0,1,,,,1,0,Brendan McCann</t>
  </si>
  <si>
    <t>77500,1959-60,00,1610612752,NYK,24.0,4,,29.0,1,10,0.1,,,,3,3,1.0,,,4.0,10,,,,2,5,Brendan McCann</t>
  </si>
  <si>
    <t>1630540,2021-22,00,1610612752,NYK,21.0,40,2.0,372.0,32,108,0.296,17.0,68.0,0.25,8,12,0.667,4.0,38.0,42.0,41,14.0,1.0,5.0,45,89,Miles McBride</t>
  </si>
  <si>
    <t>1630540,2022-23,00,1610612752,NYK,22.0,64,2.0,760.0,77,215,0.358,40.0,134.0,0.299,28,42,0.667,13.0,37.0,50.0,72,37.0,8.0,25.0,60,222,Miles McBride</t>
  </si>
  <si>
    <t>1630540,2023-24,00,1610612752,NYK,23.0,68,14.0,1328.0,205,454,0.452,109.0,266.0,0.41,43,50,0.86,31.0,69.0,100.0,114,50.0,7.0,30.0,108,562,Miles McBride</t>
  </si>
  <si>
    <t>77893,1989-90,00,1610612752,NYK,24.0,31,0.0,193.0,19,58,0.328,0.0,2.0,0.0,2,3,0.667,9.0,19.0,28.0,11,3.0,4.0,4.0,27,40,Brian Quinnett</t>
  </si>
  <si>
    <t>77893,1990-91,00,1610612752,NYK,25.0,68,5.0,1011.0,139,303,0.459,15.0,43.0,0.349,26,36,0.722,65.0,80.0,145.0,53,22.0,13.0,52.0,100,319,Brian Quinnett</t>
  </si>
  <si>
    <t>77893,1991-92,00,1610612752,NYK,26.0,24,0.0,190.0,28,73,0.384,10.0,26.0,0.385,8,14,0.571,9.0,15.0,24.0,7,7.0,6.0,8.0,21,74,Brian Quinnett</t>
  </si>
  <si>
    <t>203901,2019-20,00,1610612752,NYK,26.0,45,36.0,1246.0,193,440,0.439,14.0,69.0,0.203,49,86,0.57,52.0,160.0,212.0,323,70.0,17.0,96.0,89,449,Elfrid Payton</t>
  </si>
  <si>
    <t>203901,2020-21,00,1610612752,NYK,27.0,63,63.0,1484.0,269,622,0.432,28.0,98.0,0.286,73,107,0.682,64.0,152.0,216.0,203,47.0,9.0,103.0,116,639,Elfrid Payton</t>
  </si>
  <si>
    <t>78209,1961-62,00,1610612752,NYK,23.0,9,,83.0,8,33,0.242,,,,7,8,0.875,,,16.0,7,,,,6,23,Bill Smith</t>
  </si>
  <si>
    <t>78047,1980-81,00,1610612752,NYK,29.0,79,,2865.0,508,1095,0.464,8.0,26.0,0.308,268,343,0.781,109.0,244.0,353.0,257,99.0,8.0,212.0,248,1292,Campy Russell</t>
  </si>
  <si>
    <t>78047,1981-82,00,1610612752,NYK,30.0,77,63.0,2358.0,410,858,0.478,25.0,57.0,0.439,228,294,0.776,86.0,150.0,236.0,284,77.0,12.0,195.0,221,1073,Campy Russell</t>
  </si>
  <si>
    <t>77498,1976-77,00,1610612752,NYK,25.0,52,,2031.0,558,1045,0.534,,,,271,358,0.757,133.0,529.0,662.0,140,61.0,65.0,,188,1387,Bob McAdoo</t>
  </si>
  <si>
    <t>77498,1977-78,00,1610612752,NYK,26.0,79,,3182.0,814,1564,0.52,,,,469,645,0.727,236.0,774.0,1010.0,298,105.0,126.0,346.0,297,2097,Bob McAdoo</t>
  </si>
  <si>
    <t>77498,1978-79,00,1610612752,NYK,27.0,40,,1594.0,429,793,0.541,,,,218,335,0.651,94.0,285.0,379.0,128,62.0,47.0,153.0,134,1076,Bob McAdoo</t>
  </si>
  <si>
    <t>77089,1957-58,00,1610612752,NYK,29.0,18,,384.0,51,131,0.389,,,,24,43,0.558,,,86.0,34,,,,31,126,Mel Hutchins</t>
  </si>
  <si>
    <t>76750,1967-68,00,1610612752,NYK,23.0,74,,1588.0,256,568,0.451,,,,154,235,0.655,,,313.0,305,,,,199,666,Walt Frazier</t>
  </si>
  <si>
    <t>76750,1968-69,00,1610612752,NYK,24.0,80,,2949.0,531,1052,0.505,,,,341,457,0.746,,,499.0,635,,,,245,1403,Walt Frazier</t>
  </si>
  <si>
    <t>76750,1969-70,00,1610612752,NYK,25.0,77,,3040.0,600,1158,0.518,,,,409,547,0.748,,,465.0,629,,,,203,1609,Walt Frazier</t>
  </si>
  <si>
    <t>76750,1970-71,00,1610612752,NYK,26.0,80,,3455.0,651,1317,0.494,,,,434,557,0.779,,,544.0,536,,,,240,1736,Walt Frazier</t>
  </si>
  <si>
    <t>76750,1971-72,00,1610612752,NYK,27.0,77,,3126.0,669,1307,0.512,,,,450,557,0.808,,,513.0,446,,,,185,1788,Walt Frazier</t>
  </si>
  <si>
    <t>76750,1972-73,00,1610612752,NYK,28.0,78,,3181.0,681,1389,0.49,,,,286,350,0.817,,,570.0,461,,,,186,1648,Walt Frazier</t>
  </si>
  <si>
    <t>76750,1973-74,00,1610612752,NYK,29.0,80,,3338.0,674,1429,0.472,,,,295,352,0.838,120.0,416.0,536.0,551,161.0,15.0,,212,1643,Walt Frazier</t>
  </si>
  <si>
    <t>76750,1974-75,00,1610612752,NYK,30.0,78,,3204.0,672,1391,0.483,,,,331,400,0.828,90.0,375.0,465.0,474,190.0,14.0,,205,1675,Walt Frazier</t>
  </si>
  <si>
    <t>76750,1975-76,00,1610612752,NYK,31.0,59,,2427.0,470,969,0.485,,,,186,226,0.823,79.0,321.0,400.0,351,106.0,9.0,,163,1126,Walt Frazier</t>
  </si>
  <si>
    <t>76750,1976-77,00,1610612752,NYK,32.0,76,,2687.0,532,1089,0.489,,,,259,336,0.771,52.0,241.0,293.0,403,132.0,9.0,,194,1323,Walt Frazier</t>
  </si>
  <si>
    <t>201163,2007-08,00,1610612752,NYK,21.0,35,16.0,685.0,106,242,0.438,9.0,30.0,0.3,34,54,0.63,38.0,89.0,127.0,33,15.0,16.0,27.0,83,255,Wilson Chandler</t>
  </si>
  <si>
    <t>201163,2008-09,00,1610612752,NYK,22.0,82,70.0,2735.0,455,1054,0.432,103.0,314.0,0.328,171,215,0.795,91.0,354.0,445.0,170,71.0,75.0,139.0,250,1184,Wilson Chandler</t>
  </si>
  <si>
    <t>201163,2009-10,00,1610612752,NYK,23.0,65,64.0,2320.0,412,860,0.479,40.0,150.0,0.267,129,160,0.806,93.0,255.0,348.0,138,46.0,49.0,108.0,184,993,Wilson Chandler</t>
  </si>
  <si>
    <t>201163,2010-11,00,1610612752,NYK,24.0,51,30.0,1759.0,328,712,0.461,86.0,245.0,0.351,96,119,0.807,62.0,241.0,303.0,86,34.0,70.0,67.0,152,838,Wilson Chandler</t>
  </si>
  <si>
    <t>77494,1975-76,00,1610612752,NYK,28.0,13,,64.0,17,46,0.37,,,,3,3,1.0,1.0,7.0,8.0,4,0.0,0.0,,18,37,Ken Mayfield</t>
  </si>
  <si>
    <t>77087,1979-80,00,1610612752,NYK,22.0,71,,923.0,94,241,0.39,3.0,17.0,0.176,28,38,0.737,14.0,44.0,58.0,159,39.0,5.0,73.0,83,219,Geoff Huston</t>
  </si>
  <si>
    <t>1883,2005-06,00,1610612752,NYK,29.0,24,15.0,659.0,84,190,0.442,7.0,13.0,0.538,83,109,0.761,14.0,57.0,71.0,83,23.0,6.0,58.0,62,258,Steve Francis</t>
  </si>
  <si>
    <t>1883,2006-07,00,1610612752,NYK,30.0,44,30.0,1237.0,140,343,0.408,42.0,111.0,0.378,175,211,0.829,33.0,124.0,157.0,170,41.0,12.0,100.0,126,497,Steve Francis</t>
  </si>
  <si>
    <t>2199,2011-12,00,1610612752,NYK,29.0,62,62.0,2061.0,241,355,0.679,0.0,2.0,0.0,217,315,0.689,212.0,400.0,612.0,56,56.0,89.0,102.0,186,699,Tyson Chandler</t>
  </si>
  <si>
    <t>2199,2012-13,00,1610612752,NYK,30.0,66,66.0,2164.0,255,400,0.637,0.0,0.0,0.0,179,258,0.694,269.0,434.0,703.0,62,42.0,75.0,87.0,188,689,Tyson Chandler</t>
  </si>
  <si>
    <t>2199,2013-14,00,1610612752,NYK,31.0,55,55.0,1662.0,191,322,0.593,0.0,1.0,0.0,98,155,0.632,159.0,370.0,529.0,59,36.0,63.0,71.0,145,480,Tyson Chandler</t>
  </si>
  <si>
    <t>2747,2011-12,00,1610612752,NYK,26.0,35,1.0,967.0,165,405,0.407,67.0,193.0,0.347,39,55,0.709,29.0,107.0,136.0,84,54.0,6.0,46.0,87,436,JR Smith</t>
  </si>
  <si>
    <t>2747,2012-13,00,1610612752,NYK,27.0,80,0.0,2678.0,527,1249,0.422,155.0,436.0,0.356,237,311,0.762,64.0,361.0,425.0,218,100.0,24.0,134.0,226,1446,JR Smith</t>
  </si>
  <si>
    <t>2747,2013-14,00,1610612752,NYK,28.0,74,37.0,2421.0,396,955,0.415,189.0,480.0,0.394,90,138,0.652,35.0,261.0,296.0,219,65.0,20.0,108.0,196,1071,JR Smith</t>
  </si>
  <si>
    <t>2747,2014-15,00,1610612752,NYK,29.0,24,6.0,619.0,101,251,0.402,32.0,90.0,0.356,27,39,0.692,4.0,54.0,58.0,81,18.0,4.0,45.0,44,261,JR Smith</t>
  </si>
  <si>
    <t>78045,1966-67,00,1610612752,NYK,23.0,77,,1696.0,344,789,0.436,,,,179,228,0.785,,,251.0,187,,,,174,867,Cazzie Russell</t>
  </si>
  <si>
    <t>78045,1967-68,00,1610612752,NYK,24.0,82,,2296.0,551,1192,0.462,,,,282,349,0.808,,,374.0,195,,,,223,1384,Cazzie Russell</t>
  </si>
  <si>
    <t>78045,1968-69,00,1610612752,NYK,25.0,50,,1645.0,362,804,0.45,,,,191,240,0.796,,,209.0,115,,,,140,915,Cazzie Russell</t>
  </si>
  <si>
    <t>78045,1969-70,00,1610612752,NYK,26.0,78,,1563.0,385,773,0.498,,,,124,160,0.775,,,236.0,135,,,,137,894,Cazzie Russell</t>
  </si>
  <si>
    <t>78045,1970-71,00,1610612752,NYK,27.0,57,,1056.0,216,504,0.429,,,,92,119,0.773,,,192.0,77,,,,74,524,Cazzie Russell</t>
  </si>
  <si>
    <t>77489,1968-69,00,1610612752,NYK,23.0,48,,560.0,81,223,0.363,,,,42,58,0.724,,,114.0,35,,,,64,204,Don May</t>
  </si>
  <si>
    <t>77489,1969-70,00,1610612752,NYK,24.0,37,,238.0,39,101,0.386,,,,18,19,0.947,,,52.0,17,,,,42,96,Don May</t>
  </si>
  <si>
    <t>1630624,2021-22,00,1610612752,NYK,22.0,2,0.0,8.0,0,2,0.0,0.0,0.0,0.0,0,0,0.0,1.0,0.0,1.0,1,1.0,0.0,1.0,1,0,Feron Hunt</t>
  </si>
  <si>
    <t>203095,2021-22,00,1610612752,NYK,29.0,80,80.0,2358.0,402,965,0.417,241.0,619.0,0.389,80,113,0.708,34.0,176.0,210.0,171,79.0,20.0,105.0,180,1125,Evan Fournier</t>
  </si>
  <si>
    <t>203095,2022-23,00,1610612752,NYK,30.0,27,7.0,459.0,56,166,0.337,35.0,114.0,0.307,18,21,0.857,4.0,45.0,49.0,36,16.0,3.0,22.0,46,165,Evan Fournier</t>
  </si>
  <si>
    <t>203095,2023-24,00,1610612752,NYK,31.0,3,0.0,39.0,4,20,0.2,2.0,15.0,0.133,2,2,1.0,0.0,4.0,4.0,3,4.0,0.0,1.0,4,12,Evan Fournier</t>
  </si>
  <si>
    <t>76370,1984-85,00,1610612752,NYK,26.0,53,2.0,653.0,28,86,0.326,0.0,0.0,0.0,22,39,0.564,53.0,113.0,166.0,19,12.0,42.0,45.0,123,78,Ron Cavenall</t>
  </si>
  <si>
    <t>1627758,2016-17,00,1610612752,NYK,24.0,52,13.0,857.0,82,217,0.378,23.0,86.0,0.267,28,43,0.651,12.0,86.0,98.0,107,34.0,8.0,56.0,74,215,Ron Baker</t>
  </si>
  <si>
    <t>1627758,2017-18,00,1610612752,NYK,25.0,29,1.0,385.0,20,59,0.339,11.0,33.0,0.333,20,26,0.769,5.0,25.0,30.0,47,26.0,6.0,18.0,33,71,Ron Baker</t>
  </si>
  <si>
    <t>1627758,2018-19,00,1610612752,NYK,26.0,11,0.0,107.0,4,16,0.25,1.0,9.0,0.111,5,6,0.833,1.0,6.0,7.0,13,5.0,0.0,3.0,16,14,Ron Baker</t>
  </si>
  <si>
    <t>202083,2018-19,00,1610612752,NYK,32.0,2,1.0,54.0,4,19,0.211,2.0,10.0,0.2,4,5,0.8,1.0,2.0,3.0,5,1.0,1.0,2.0,2,14,Wesley Matthews</t>
  </si>
  <si>
    <t>1716,2008-09,00,1610612752,NYK,30.0,25,14.0,687.0,97,249,0.39,35.0,91.0,0.385,50,63,0.794,10.0,55.0,65.0,60,36.0,5.0,35.0,45,279,Larry Hughes</t>
  </si>
  <si>
    <t>1716,2009-10,00,1610612752,NYK,31.0,31,14.0,820.0,102,279,0.366,28.0,97.0,0.289,65,79,0.823,16.0,94.0,110.0,109,40.0,11.0,56.0,53,297,Larry Hughes</t>
  </si>
  <si>
    <t>76729,1962-63,00,1610612752,NYK,24.0,11,,83.0,20,51,0.392,,,,13,15,0.867,,,16.0,5,,,,8,53,Jack Foley</t>
  </si>
  <si>
    <t>1509,2006-07,00,1610612752,NYK,32.0,18,0.0,95.0,7,22,0.318,0.0,0.0,0.0,8,12,0.667,12.0,19.0,31.0,0,3.0,10.0,6.0,10,22,Kelvin Cato</t>
  </si>
  <si>
    <t>77483,1970-71,00,1610612752,NYK,22.0,30,,164.0,25,66,0.379,,,,11,20,0.55,,,56.0,4,,,,25,61,Eddie Mast</t>
  </si>
  <si>
    <t>77483,1971-72,00,1610612752,NYK,23.0,40,,270.0,39,112,0.348,,,,25,41,0.61,,,73.0,10,,,,39,103,Eddie Mast</t>
  </si>
  <si>
    <t>275,1996-97,00,1610612752,NYK,26.0,81,81.0,2681.0,437,1032,0.423,148.0,384.0,0.385,175,218,0.803,43.0,197.0,240.0,179,41.0,18.0,167.0,233,1197,Allan Houston</t>
  </si>
  <si>
    <t>275,1997-98,00,1610612752,NYK,27.0,82,82.0,2848.0,571,1277,0.447,82.0,213.0,0.385,285,335,0.851,43.0,231.0,274.0,212,63.0,24.0,200.0,207,1509,Allan Houston</t>
  </si>
  <si>
    <t>275,1998-99,00,1610612752,NYK,28.0,50,50.0,1815.0,294,703,0.418,57.0,140.0,0.407,168,195,0.862,20.0,132.0,152.0,137,35.0,9.0,130.0,115,813,Allan Houston</t>
  </si>
  <si>
    <t>275,1999-00,00,1610612752,NYK,29.0,82,82.0,3169.0,614,1271,0.483,106.0,243.0,0.436,280,334,0.838,38.0,233.0,271.0,224,65.0,14.0,186.0,219,1614,Allan Houston</t>
  </si>
  <si>
    <t>275,2000-01,00,1610612752,NYK,30.0,78,78.0,2858.0,542,1208,0.449,96.0,252.0,0.381,279,307,0.909,20.0,263.0,283.0,173,52.0,10.0,161.0,190,1459,Allan Houston</t>
  </si>
  <si>
    <t>275,2001-02,00,1610612752,NYK,31.0,77,77.0,2915.0,568,1301,0.437,136.0,346.0,0.393,295,339,0.87,37.0,215.0,252.0,190,54.0,10.0,170.0,182,1567,Allan Houston</t>
  </si>
  <si>
    <t>275,2002-03,00,1610612752,NYK,32.0,82,82.0,3110.0,652,1465,0.445,178.0,450.0,0.396,363,395,0.919,26.0,205.0,231.0,220,54.0,7.0,178.0,191,1845,Allan Houston</t>
  </si>
  <si>
    <t>275,2003-04,00,1610612752,NYK,33.0,50,50.0,1797.0,340,781,0.435,87.0,202.0,0.431,157,172,0.913,20.0,101.0,121.0,99,38.0,2.0,102.0,105,924,Allan Houston</t>
  </si>
  <si>
    <t>275,2004-05,00,1610612752,NYK,34.0,20,11.0,532.0,85,205,0.415,31.0,80.0,0.388,36,43,0.837,4.0,19.0,23.0,42,8.0,2.0,21.0,40,237,Allan Houston</t>
  </si>
  <si>
    <t>76728,1975-76,00,1610612752,NYK,23.0,2,,14.0,1,5,0.2,,,,0,0,,1.0,2.0,3.0,0,1.0,0.0,,4,2,Larry Fogle</t>
  </si>
  <si>
    <t>76362,1979-80,00,1610612752,NYK,22.0,82,82.0,3150.0,665,1215,0.547,0.0,0.0,0.0,451,566,0.797,194.0,532.0,726.0,165,48.0,101.0,222.0,279,1781,Bill Cartwright</t>
  </si>
  <si>
    <t>76362,1980-81,00,1610612752,NYK,23.0,82,81.0,2925.0,619,1118,0.554,0.0,1.0,0.0,408,518,0.788,161.0,452.0,613.0,111,48.0,83.0,200.0,259,1646,Bill Cartwright</t>
  </si>
  <si>
    <t>76362,1981-82,00,1610612752,NYK,24.0,72,50.0,2060.0,390,694,0.562,0.0,0.0,0.0,257,337,0.763,116.0,305.0,421.0,87,48.0,65.0,166.0,208,1037,Bill Cartwright</t>
  </si>
  <si>
    <t>76362,1982-83,00,1610612752,NYK,25.0,82,82.0,2468.0,455,804,0.566,0.0,0.0,0.0,380,511,0.744,185.0,405.0,590.0,136,41.0,127.0,204.0,315,1290,Bill Cartwright</t>
  </si>
  <si>
    <t>76362,1983-84,00,1610612752,NYK,26.0,77,77.0,2487.0,453,808,0.561,0.0,1.0,0.0,404,502,0.805,195.0,454.0,649.0,107,44.0,97.0,200.0,262,1310,Bill Cartwright</t>
  </si>
  <si>
    <t>76362,1985-86,00,1610612752,NYK,28.0,2,0.0,36.0,3,7,0.429,0.0,0.0,0.0,6,10,0.6,2.0,8.0,10.0,5,1.0,1.0,6.0,6,12,Bill Cartwright</t>
  </si>
  <si>
    <t>76362,1986-87,00,1610612752,NYK,29.0,58,50.0,1989.0,335,631,0.531,0.0,0.0,0.0,346,438,0.79,132.0,313.0,445.0,96,40.0,26.0,128.0,188,1016,Bill Cartwright</t>
  </si>
  <si>
    <t>76362,1987-88,00,1610612752,NYK,30.0,82,4.0,1676.0,287,528,0.544,0.0,0.0,0.0,340,426,0.798,127.0,257.0,384.0,85,43.0,43.0,135.0,234,914,Bill Cartwright</t>
  </si>
  <si>
    <t>200798,2008-09,00,1610612752,NYK,24.0,2,0.0,8.0,0,3,0.0,0.0,0.0,0.0,0,2,0.0,1.0,1.0,2.0,0,0.0,0.0,0.0,0,0,Cheikh Samb</t>
  </si>
  <si>
    <t>2427,2010-11,00,1610612752,NYK,30.0,26,0.0,319.0,26,77,0.338,16.0,44.0,0.364,7,10,0.7,5.0,38.0,43.0,20,6.0,2.0,6.0,25,75,Roger Mason Jr.</t>
  </si>
  <si>
    <t>1627863,2021-22,00,1610612752,NYK,29.0,1,0.0,3.0,0,1,0.0,0.0,1.0,0.0,0,0,0.0,0.0,0.0,0.0,0,0.0,0.0,0.0,0,0,Danuel House Jr.</t>
  </si>
  <si>
    <t>1630201,2023-24,00,1610612752,NYK,26.0,14,0.0,61.0,9,23,0.391,4.0,13.0,0.308,9,11,0.818,0.0,6.0,6.0,6,1.0,0.0,3.0,3,31,Malachi Flynn</t>
  </si>
  <si>
    <t>76360,1980-81,00,1610612752,NYK,23.0,60,,536.0,59,179,0.33,0.0,3.0,0.0,51,69,0.739,30.0,39.0,69.0,76,22.0,2.0,38.0,68,169,Reggie Carter</t>
  </si>
  <si>
    <t>76360,1981-82,00,1610612752,NYK,24.0,75,1.0,923.0,119,280,0.425,0.0,0.0,,64,80,0.8,35.0,60.0,95.0,130,36.0,6.0,78.0,124,302,Reggie Carter</t>
  </si>
  <si>
    <t>77952,1978-79,00,1610612752,NYK,24.0,72,,1218.0,200,483,0.414,,,,69,128,0.539,78.0,155.0,233.0,213,100.0,18.0,141.0,188,469,Micheal Ray Richardson</t>
  </si>
  <si>
    <t>77952,1979-80,00,1610612752,NYK,25.0,82,,3060.0,502,1063,0.472,27.0,110.0,0.245,223,338,0.66,151.0,388.0,539.0,832,265.0,35.0,359.0,260,1254,Micheal Ray Richardson</t>
  </si>
  <si>
    <t>77952,1980-81,00,1610612752,NYK,26.0,79,,3175.0,523,1116,0.469,23.0,102.0,0.225,224,338,0.663,173.0,372.0,545.0,627,232.0,35.0,302.0,258,1293,Micheal Ray Richardson</t>
  </si>
  <si>
    <t>77952,1981-82,00,1610612752,NYK,27.0,82,79.0,3044.0,619,1343,0.461,19.0,101.0,0.188,212,303,0.7,177.0,388.0,565.0,572,213.0,41.0,291.0,317,1469,Micheal Ray Richardson</t>
  </si>
  <si>
    <t>193,1991-92,00,1610612752,NYK,25.0,82,0.0,2198.0,203,399,0.509,0.0,0.0,0.0,167,260,0.642,216.0,357.0,573.0,106,46.0,20.0,101.0,229,573,Anthony Mason</t>
  </si>
  <si>
    <t>193,1992-93,00,1610612752,NYK,26.0,81,0.0,2482.0,316,629,0.502,0.0,0.0,0.0,199,292,0.682,231.0,409.0,640.0,170,43.0,19.0,137.0,240,831,Anthony Mason</t>
  </si>
  <si>
    <t>193,1993-94,00,1610612752,NYK,27.0,73,12.0,1903.0,206,433,0.476,0.0,1.0,0.0,116,161,0.72,158.0,269.0,427.0,151,31.0,9.0,107.0,190,528,Anthony Mason</t>
  </si>
  <si>
    <t>193,1994-95,00,1610612752,NYK,28.0,77,11.0,2496.0,287,507,0.566,0.0,1.0,0.0,191,298,0.641,182.0,468.0,650.0,240,69.0,21.0,123.0,253,765,Anthony Mason</t>
  </si>
  <si>
    <t>193,1995-96,00,1610612752,NYK,29.0,82,82.0,3457.0,449,798,0.563,0.0,0.0,0.0,298,414,0.72,220.0,544.0,764.0,363,69.0,34.0,211.0,246,1196,Anthony Mason</t>
  </si>
  <si>
    <t>2067,2009-10,00,1610612752,NYK,32.0,18,0.0,371.0,44,133,0.331,15.0,60.0,0.25,12,12,1.0,6.0,34.0,40.0,37,12.0,0.0,20.0,20,115,Eddie House</t>
  </si>
  <si>
    <t>76720,1946-47,00,1610612752,NYK,24.0,29,,0.0,23,121,0.19,,,,36,60,0.6,,,0.0,9,,,,67,82,Bob Fitzgerald</t>
  </si>
  <si>
    <t>76355,1984-85,00,1610612752,NYK,27.0,69,11.0,1279.0,214,476,0.45,11.0,43.0,0.256,109,134,0.813,36.0,59.0,95.0,167,57.0,5.0,109.0,151,548,Butch Carter</t>
  </si>
  <si>
    <t>76355,1985-86,00,1610612752,NYK,28.0,5,0.0,31.0,2,8,0.25,0.0,1.0,0.0,1,1,1.0,2.0,1.0,3.0,3,1.0,0.0,6.0,6,5,Butch Carter</t>
  </si>
  <si>
    <t>77479,1961-62,00,1610612752,NYK,23.0,66,,1018.0,95,292,0.325,,,,37,55,0.673,,,158.0,115,,,,158,227,Ronald Martin</t>
  </si>
  <si>
    <t>77061,1968-69,00,1610612752,NYK,22.0,50,,351.0,53,123,0.431,,,,24,42,0.571,,,94.0,19,,,,77,130,Wilmer Hosket</t>
  </si>
  <si>
    <t>77061,1969-70,00,1610612752,NYK,23.0,36,,235.0,46,91,0.505,,,,26,33,0.788,,,63.0,17,,,,36,118,Wilmer Hosket</t>
  </si>
  <si>
    <t>900,1995-96,00,1610612752,NYK,26.0,2,1.0,17.0,6,10,0.6,0.0,0.0,0.0,0,1,0.0,3.0,0.0,3.0,1,0.0,1.0,0.0,3,12,Matt Fish</t>
  </si>
  <si>
    <t>1853,2010-11,00,1610612752,NYK,36.0,19,0.0,310.0,35,76,0.461,8.0,28.0,0.286,6,6,1.0,7.0,32.0,39.0,43,18.0,5.0,25.0,30,84,Anthony Carter</t>
  </si>
  <si>
    <t>201576,2010-11,00,1610612752,NYK,21.0,17,0.0,127.0,14,45,0.311,1.0,4.0,0.25,6,12,0.5,11.0,29.0,40.0,7,4.0,8.0,10.0,15,35,Anthony Randolph</t>
  </si>
  <si>
    <t>1629033,2020-21,00,1610612752,NYK,25.0,17,0.0,34.0,1,9,0.111,0.0,8.0,0.0,0,0,0.0,0.0,5.0,5.0,1,0.0,0.0,1.0,4,2,Theo Pinson</t>
  </si>
  <si>
    <t>2030,2012-13,00,1610612752,NYK,35.0,18,11.0,431.0,56,93,0.602,0.0,0.0,0.0,17,40,0.425,34.0,61.0,95.0,8,16.0,17.0,16.0,64,129,Kenyon Martin</t>
  </si>
  <si>
    <t>2030,2013-14,00,1610612752,NYK,36.0,32,15.0,633.0,63,123,0.512,0.0,1.0,0.0,11,19,0.579,36.0,98.0,134.0,50,25.0,27.0,26.0,85,137,Kenyon Martin</t>
  </si>
  <si>
    <t>77051,1963-64,00,1610612752,NYK,23.0,59,,988.0,102,247,0.413,,,,81,132,0.614,,,331.0,36,,,,185,285,Tom Hoover</t>
  </si>
  <si>
    <t>77051,1964-65,00,1610612752,NYK,24.0,24,,153.0,13,32,0.406,,,,8,14,0.571,,,58.0,12,,,,37,34,Tom Hoover</t>
  </si>
  <si>
    <t>76715,1970-71,00,1610612752,NYK,24.0,39,,271.0,45,102,0.441,,,,13,27,0.481,,,93.0,17,,,,80,103,Greg Fillmore</t>
  </si>
  <si>
    <t>76715,1971-72,00,1610612752,NYK,25.0,10,,67.0,7,27,0.259,,,,1,3,0.333,,,15.0,3,,,,17,15,Greg Fillmore</t>
  </si>
  <si>
    <t>76342,1987-88,00,1610612752,NYK,28.0,26,0.0,204.0,29,67,0.433,6.0,17.0,0.353,10,11,0.909,6.0,7.0,13.0,32,11.0,4.0,22.0,39,74,Rick Carlisle</t>
  </si>
  <si>
    <t>1628384,2023-24,00,1610612752,NYK,26.0,23,23.0,802.0,125,256,0.488,41.0,104.0,0.394,34,43,0.791,23.0,79.0,102.0,35,40.0,23.0,38.0,57,325,OG Anunoby</t>
  </si>
  <si>
    <t>1628372,2018-19,00,1610612752,NYK,21.0,21,18.0,600.0,121,293,0.413,24.0,83.0,0.289,42,74,0.568,14.0,44.0,58.0,114,27.0,9.0,54.0,47,308,Dennis Smith Jr.</t>
  </si>
  <si>
    <t>1628372,2019-20,00,1610612752,NYK,22.0,34,3.0,537.0,72,211,0.341,16.0,54.0,0.296,27,53,0.509,21.0,57.0,78.0,98,28.0,8.0,58.0,65,187,Dennis Smith Jr.</t>
  </si>
  <si>
    <t>1628372,2020-21,00,1610612752,NYK,23.0,3,0.0,28.0,2,10,0.2,0.0,4.0,0.0,5,6,0.833,0.0,2.0,2.0,3,3.0,0.0,1.0,4,9,Dennis Smith Jr.</t>
  </si>
  <si>
    <t>77481,1986-87,00,1610612752,NYK,24.0,8,0.0,68.0,9,25,0.36,0.0,0.0,0.0,7,8,0.875,2.0,5.0,7.0,0,4.0,2.0,7.0,5,25,Bill Martin</t>
  </si>
  <si>
    <t>77048,1947-48,00,1610612752,NYK,26.0,48,,,195,662,0.295,,,,114,180,0.633,,,,37,,,,159,504,Dick Holub</t>
  </si>
  <si>
    <t>202361,2010-11,00,1610612752,NYK,23.0,82,81.0,2541.0,299,602,0.497,86.0,219.0,0.393,113,147,0.769,105.0,416.0,521.0,155,80.0,17.0,107.0,114,797,Landry Fields</t>
  </si>
  <si>
    <t>202361,2011-12,00,1610612752,NYK,24.0,66,62.0,1894.0,236,513,0.46,31.0,121.0,0.256,77,137,0.562,59.0,219.0,278.0,169,79.0,17.0,102.0,99,580,Landry Fields</t>
  </si>
  <si>
    <t>76338,1992-93,00,1610612752,NYK,31.0,58,13.0,1062.0,194,396,0.49,2.0,5.0,0.4,59,87,0.678,59.0,96.0,155.0,62,34.0,5.0,51.0,150,449,Tony Campbell</t>
  </si>
  <si>
    <t>76338,1993-94,00,1610612752,NYK,32.0,22,11.0,379.0,63,128,0.492,1.0,3.0,0.333,30,37,0.811,28.0,32.0,60.0,31,20.0,1.0,29.0,59,157,Tony Campbell</t>
  </si>
  <si>
    <t>1630193,2020-21,00,1610612752,NYK,22.0,64,3.0,1244.0,229,580,0.395,118.0,303.0,0.389,155,174,0.891,25.0,112.0,137.0,127,30.0,12.0,58.0,114,731,Immanuel Quickley</t>
  </si>
  <si>
    <t>1630193,2021-22,00,1610612752,NYK,23.0,78,3.0,1802.0,284,724,0.392,137.0,396.0,0.346,177,201,0.881,31.0,216.0,247.0,275,54.0,3.0,99.0,167,882,Immanuel Quickley</t>
  </si>
  <si>
    <t>1630193,2022-23,00,1610612752,NYK,24.0,81,21.0,2344.0,419,936,0.448,168.0,454.0,0.37,203,248,0.819,58.0,279.0,337.0,279,80.0,14.0,100.0,166,1209,Immanuel Quickley</t>
  </si>
  <si>
    <t>1630193,2023-24,00,1610612752,NYK,25.0,30,0.0,720.0,152,335,0.454,64.0,162.0,0.395,82,94,0.872,5.0,72.0,77.0,74,16.0,3.0,31.0,44,450,Immanuel Quickley</t>
  </si>
  <si>
    <t>77815,1971-72,00,1610612752,NYK,26.0,28,,151.0,16,60,0.267,,,,8,12,0.667,,,49.0,7,,,,24,40,Charlie Paulk</t>
  </si>
  <si>
    <t>950,2003-04,00,1610612752,NYK,27.0,47,47.0,1839.0,336,780,0.431,50.0,156.0,0.321,209,251,0.833,39.0,107.0,146.0,438,65.0,4.0,152.0,98,931,Stephon Marbury</t>
  </si>
  <si>
    <t>950,2004-05,00,1610612752,NYK,28.0,82,82.0,3281.0,604,1308,0.462,115.0,325.0,0.354,458,549,0.834,50.0,198.0,248.0,668,122.0,6.0,233.0,186,1781,Stephon Marbury</t>
  </si>
  <si>
    <t>950,2005-06,00,1610612752,NYK,29.0,60,60.0,2193.0,349,774,0.451,33.0,104.0,0.317,246,326,0.755,25.0,150.0,175.0,382,63.0,4.0,157.0,143,977,Stephon Marbury</t>
  </si>
  <si>
    <t>950,2006-07,00,1610612752,NYK,30.0,74,74.0,2748.0,395,952,0.415,123.0,345.0,0.357,297,386,0.769,36.0,177.0,213.0,403,71.0,10.0,179.0,185,1210,Stephon Marbury</t>
  </si>
  <si>
    <t>950,2007-08,00,1610612752,NYK,31.0,24,19.0,805.0,111,265,0.419,28.0,74.0,0.378,83,116,0.716,17.0,42.0,59.0,113,21.0,2.0,48.0,57,333,Stephon Marbury</t>
  </si>
  <si>
    <t>203200,2016-17,00,1610612752,NYK,28.0,82,4.0,1639.0,233,538,0.433,97.0,273.0,0.355,66,80,0.825,27.0,198.0,225.0,102,65.0,31.0,66.0,109,629,Justin Holiday</t>
  </si>
  <si>
    <t>76707,1983-84,00,1610612752,NYK,30.0,32,0.0,402.0,29,52,0.558,0.0,0.0,0.0,25,34,0.735,29.0,57.0,86.0,11,16.0,8.0,19.0,49,83,Eric Fernsten</t>
  </si>
  <si>
    <t>948,1998-99,00,1610612752,NYK,25.0,46,0.0,945.0,136,261,0.521,0.0,0.0,0.0,57,103,0.553,102.0,151.0,253.0,12,29.0,74.0,39.0,131,329,Marcus Camby</t>
  </si>
  <si>
    <t>948,1999-00,00,1610612752,NYK,26.0,59,11.0,1548.0,226,471,0.48,1.0,2.0,0.5,148,221,0.67,174.0,287.0,461.0,49,43.0,116.0,72.0,204,601,Marcus Camby</t>
  </si>
  <si>
    <t>948,2000-01,00,1610612752,NYK,27.0,63,63.0,2127.0,304,580,0.524,1.0,8.0,0.125,150,225,0.667,196.0,527.0,723.0,52,66.0,136.0,63.0,205,759,Marcus Camby</t>
  </si>
  <si>
    <t>948,2001-02,00,1610612752,NYK,28.0,29,29.0,1007.0,130,290,0.448,0.0,1.0,0.0,62,99,0.626,89.0,233.0,322.0,33,34.0,50.0,42.0,107,322,Marcus Camby</t>
  </si>
  <si>
    <t>948,2012-13,00,1610612752,NYK,39.0,24,4.0,250.0,17,53,0.321,0.0,0.0,0.0,8,19,0.421,24.0,56.0,80.0,14,7.0,14.0,15.0,28,42,Marcus Camby</t>
  </si>
  <si>
    <t>76105,1964-65,00,1610612752,NYK,24.0,75,,2586.0,454,1070,0.424,,,,251,379,0.662,,,729.0,93,,,,312,1159,Jim Barnes</t>
  </si>
  <si>
    <t>76105,1965-66,00,1610612752,NYK,25.0,7,,263.0,40,90,0.444,,,,30,42,0.714,,,72.0,9,,,,33,110,Jim Barnes</t>
  </si>
  <si>
    <t>77453,1946-47,00,1610612752,NYK,21.0,6,,,2,13,0.154,,,,1,3,0.333,,,,0,,,,6,5,Frank Mangiapane</t>
  </si>
  <si>
    <t>77038,1962-63,00,1610612752,NYK,23.0,50,,1340.0,152,419,0.363,,,,79,174,0.454,,,430.0,42,,,,220,383,Paul Hogue</t>
  </si>
  <si>
    <t>77038,1963-64,00,1610612752,NYK,24.0,6,,89.0,9,16,0.563,,,,1,5,0.2,,,15.0,5,,,,15,19,Paul Hogue</t>
  </si>
  <si>
    <t>101109,2010-11,00,1610612752,NYK,27.0,54,54.0,2074.0,339,801,0.423,88.0,268.0,0.328,157,181,0.867,40.0,154.0,194.0,488,97.0,11.0,176.0,113,923,Raymond Felton</t>
  </si>
  <si>
    <t>101109,2012-13,00,1610612752,NYK,29.0,68,68.0,2313.0,377,882,0.427,93.0,258.0,0.36,101,128,0.789,51.0,143.0,194.0,372,94.0,14.0,155.0,130,948,Raymond Felton</t>
  </si>
  <si>
    <t>101109,2013-14,00,1610612752,NYK,30.0,65,65.0,2017.0,240,608,0.395,62.0,195.0,0.318,88,122,0.721,54.0,143.0,197.0,365,78.0,27.0,129.0,157,630,Raymond Felton</t>
  </si>
  <si>
    <t>76328,1967-68,00,1610612752,NYK,25.0,2,,7.0,0,1,0.0,,,,0,0,,,,1.0,1,,,,1,0,Jim Caldwell</t>
  </si>
  <si>
    <t>77435,1983-84,00,1610612752,NYK,26.0,8,0.0,65.0,12,30,0.4,0.0,0.0,0.0,11,13,0.846,5.0,6.0,11.0,3,1.0,0.0,6.0,17,35,Rudy Macklin</t>
  </si>
  <si>
    <t>201941,2009-10,00,1610612752,NYK,22.0,24,0.0,252.0,41,92,0.446,0.0,2.0,0.0,15,21,0.714,32.0,29.0,61.0,7,10.0,9.0,12.0,37,97,Jordan Hill</t>
  </si>
  <si>
    <t>76704,1954-55,00,1610612752,NYK,24.0,72,,2024.0,364,832,0.438,,,,310,498,0.622,,,818.0,67,,,,286,1038,Ray Felix</t>
  </si>
  <si>
    <t>76704,1955-56,00,1610612752,NYK,25.0,72,,1702.0,277,668,0.415,,,,331,469,0.706,,,623.0,47,,,,293,885,Ray Felix</t>
  </si>
  <si>
    <t>76704,1956-57,00,1610612752,NYK,26.0,72,,1622.0,295,709,0.416,,,,277,371,0.747,,,587.0,36,,,,284,867,Ray Felix</t>
  </si>
  <si>
    <t>76704,1957-58,00,1610612752,NYK,27.0,72,,1709.0,304,688,0.442,,,,271,389,0.697,,,747.0,52,,,,283,879,Ray Felix</t>
  </si>
  <si>
    <t>76704,1958-59,00,1610612752,NYK,28.0,72,,1588.0,260,700,0.371,,,,229,321,0.713,,,569.0,49,,,,275,749,Ray Felix</t>
  </si>
  <si>
    <t>101181,2014-15,00,1610612752,NYK,33.0,42,42.0,1270.0,147,354,0.415,59.0,142.0,0.415,29,32,0.906,19.0,105.0,124.0,198,31.0,0.0,75.0,76,382,Jose Calderon</t>
  </si>
  <si>
    <t>101181,2015-16,00,1610612752,NYK,34.0,72,72.0,2024.0,209,455,0.459,84.0,203.0,0.414,42,48,0.875,22.0,207.0,229.0,298,63.0,7.0,87.0,135,544,Jose Calderon</t>
  </si>
  <si>
    <t>77425,1948-49,00,1610612752,NYK,25.0,24,,0.0,117,311,0.376,,,,90,112,0.804,,,0.0,34,,,,74,324,Ray Lumpp</t>
  </si>
  <si>
    <t>77425,1949-50,00,1610612752,NYK,26.0,58,,,91,283,0.322,,,,86,108,0.796,,,,90,,,,117,268,Ray Lumpp</t>
  </si>
  <si>
    <t>77425,1950-51,00,1610612752,NYK,27.0,64,,,153,379,0.404,,,,124,160,0.775,,,125.0,115,,,,160,430,Ray Lumpp</t>
  </si>
  <si>
    <t>77425,1951-52,00,1610612752,NYK,28.0,62,,1317.0,184,476,0.387,,,,90,119,0.756,,,125.0,123,,,,165,458,Ray Lumpp</t>
  </si>
  <si>
    <t>1628439,2017-18,00,1610612752,NYK,23.0,18,0.0,239.0,33,72,0.458,2.0,9.0,0.222,12,18,0.667,10.0,31.0,41.0,16,2.0,4.0,16.0,45,80,Isaiah Hicks</t>
  </si>
  <si>
    <t>1628439,2018-19,00,1610612752,NYK,24.0,3,0.0,32.0,4,8,0.5,0.0,0.0,0.0,4,5,0.8,2.0,5.0,7.0,2,1.0,3.0,1.0,5,12,Isaiah Hicks</t>
  </si>
  <si>
    <t>76694,1958-59,00,1610612752,NYK,22.0,72,,1545.0,176,498,0.353,,,,83,99,0.838,,,315.0,66,,,,152,435,Mike Farmer</t>
  </si>
  <si>
    <t>76694,1959-60,00,1610612752,NYK,23.0,67,,1536.0,212,568,0.373,,,,70,83,0.843,,,385.0,57,,,,130,494,Mike Farmer</t>
  </si>
  <si>
    <t>76322,1946-47,00,1610612752,NYK,24.0,60,,,175,583,0.3,,,,103,160,0.644,,,,35,,,,90,453,Tommy Byrnes</t>
  </si>
  <si>
    <t>76322,1947-48,00,1610612752,NYK,25.0,47,,,117,410,0.285,,,,65,103,0.631,,,,17,,,,56,299,Tommy Byrnes</t>
  </si>
  <si>
    <t>76322,1948-49,00,1610612752,NYK,26.0,35,,0.0,77,270,0.285,,,,46,81,0.568,,,0.0,54,,,,53,200,Tommy Byrnes</t>
  </si>
  <si>
    <t>335,1995-96,00,1610612752,NYK,29.0,27,2.0,496.0,56,133,0.421,5.0,25.0,0.2,19,31,0.613,13.0,47.0,60.0,48,17.0,8.0,24.0,59,136,Willie Anderson</t>
  </si>
  <si>
    <t>77420,1981-82,00,1610612752,NYK,30.0,80,74.0,2671.0,505,1001,0.504,0.0,3.0,0.0,253,349,0.725,274.0,629.0,903.0,179,68.0,70.0,173.0,309,1263,Maurice Lucas</t>
  </si>
  <si>
    <t>1626209,2018-19,00,1610612752,NYK,24.0,58,24.0,1206.0,191,464,0.412,42.0,152.0,0.276,87,114,0.763,28.0,211.0,239.0,88,57.0,8.0,88.0,110,511,Mario Hezonja</t>
  </si>
  <si>
    <t>121,1985-86,00,1610612752,NYK,23.0,50,50.0,1771.0,386,814,0.474,0.0,5.0,0.0,226,306,0.739,124.0,327.0,451.0,102,54.0,103.0,172.0,191,998,Patrick Ewing</t>
  </si>
  <si>
    <t>121,1986-87,00,1610612752,NYK,24.0,63,63.0,2206.0,530,1053,0.503,0.0,7.0,0.0,296,415,0.713,157.0,398.0,555.0,104,89.0,147.0,229.0,248,1356,Patrick Ewing</t>
  </si>
  <si>
    <t>121,1987-88,00,1610612752,NYK,25.0,82,82.0,2546.0,656,1183,0.555,0.0,3.0,0.0,341,476,0.716,245.0,431.0,676.0,125,104.0,245.0,287.0,332,1653,Patrick Ewing</t>
  </si>
  <si>
    <t>121,1988-89,00,1610612752,NYK,26.0,80,80.0,2896.0,727,1282,0.567,0.0,6.0,0.0,361,484,0.746,213.0,527.0,740.0,188,117.0,281.0,266.0,311,1815,Patrick Ewing</t>
  </si>
  <si>
    <t>121,1989-90,00,1610612752,NYK,27.0,82,82.0,3165.0,922,1673,0.551,1.0,4.0,0.25,502,648,0.775,235.0,658.0,893.0,182,78.0,327.0,278.0,325,2347,Patrick Ewing</t>
  </si>
  <si>
    <t>121,1990-91,00,1610612752,NYK,28.0,81,81.0,3104.0,845,1645,0.514,0.0,6.0,0.0,464,623,0.745,194.0,711.0,905.0,244,80.0,258.0,291.0,287,2154,Patrick Ewing</t>
  </si>
  <si>
    <t>121,1991-92,00,1610612752,NYK,29.0,82,82.0,3150.0,796,1525,0.522,1.0,6.0,0.167,377,511,0.738,228.0,693.0,921.0,156,88.0,245.0,209.0,277,1970,Patrick Ewing</t>
  </si>
  <si>
    <t>121,1992-93,00,1610612752,NYK,30.0,81,81.0,3003.0,779,1550,0.503,1.0,7.0,0.143,400,556,0.719,191.0,789.0,980.0,151,74.0,161.0,265.0,286,1959,Patrick Ewing</t>
  </si>
  <si>
    <t>121,1993-94,00,1610612752,NYK,31.0,79,79.0,2972.0,745,1503,0.496,4.0,14.0,0.286,445,582,0.765,219.0,666.0,885.0,179,90.0,217.0,260.0,275,1939,Patrick Ewing</t>
  </si>
  <si>
    <t>121,1994-95,00,1610612752,NYK,32.0,79,79.0,2920.0,730,1452,0.503,6.0,21.0,0.286,420,560,0.75,157.0,710.0,867.0,212,68.0,159.0,256.0,272,1886,Patrick Ewing</t>
  </si>
  <si>
    <t>121,1995-96,00,1610612752,NYK,33.0,76,76.0,2783.0,678,1456,0.466,4.0,28.0,0.143,351,461,0.761,157.0,649.0,806.0,160,68.0,184.0,221.0,247,1711,Patrick Ewing</t>
  </si>
  <si>
    <t>121,1996-97,00,1610612752,NYK,34.0,78,78.0,2887.0,655,1342,0.488,2.0,9.0,0.222,439,582,0.754,175.0,659.0,834.0,156,69.0,189.0,269.0,250,1751,Patrick Ewing</t>
  </si>
  <si>
    <t>121,1997-98,00,1610612752,NYK,35.0,26,26.0,848.0,203,403,0.504,0.0,2.0,0.0,134,186,0.72,59.0,206.0,265.0,28,16.0,58.0,77.0,74,540,Patrick Ewing</t>
  </si>
  <si>
    <t>121,1998-99,00,1610612752,NYK,36.0,38,38.0,1300.0,247,568,0.435,0.0,2.0,0.0,163,231,0.706,74.0,303.0,377.0,43,30.0,100.0,99.0,105,657,Patrick Ewing</t>
  </si>
  <si>
    <t>121,1999-00,00,1610612752,NYK,37.0,62,62.0,2035.0,361,775,0.466,0.0,2.0,0.0,207,283,0.731,140.0,464.0,604.0,58,36.0,84.0,142.0,196,929,Patrick Ewing</t>
  </si>
  <si>
    <t>2866,2004-05,00,1610612752,NYK,20.0,3,0.0,5.0,4,4,1.0,0.0,0.0,0.0,2,2,1.0,0.0,0.0,0.0,0,1.0,0.0,1.0,0,10,Jackie Butler</t>
  </si>
  <si>
    <t>2866,2005-06,00,1610612752,NYK,21.0,55,0.0,740.0,117,215,0.544,0.0,0.0,0.0,58,77,0.753,67.0,116.0,183.0,25,17.0,31.0,62.0,127,292,Jackie Butler</t>
  </si>
  <si>
    <t>77418,1971-72,00,1610612752,NYK,32.0,77,,2926.0,543,1060,0.512,,,,197,249,0.791,,,1011.0,318,,,,218,1283,Jerry Lucas</t>
  </si>
  <si>
    <t>77418,1972-73,00,1610612752,NYK,33.0,71,,2001.0,312,608,0.513,,,,80,100,0.8,,,510.0,317,,,,157,704,Jerry Lucas</t>
  </si>
  <si>
    <t>77418,1973-74,00,1610612752,NYK,34.0,73,,1627.0,194,420,0.462,,,,67,96,0.698,62.0,312.0,374.0,230,28.0,24.0,,134,455,Jerry Lucas</t>
  </si>
  <si>
    <t>77015,1963-64,00,1610612752,NYK,23.0,75,,2236.0,432,1003,0.431,,,,289,422,0.685,,,298.0,256,,,,229,1153,Art Heyman</t>
  </si>
  <si>
    <t>77015,1964-65,00,1610612752,NYK,24.0,55,,663.0,114,267,0.427,,,,88,132,0.667,,,99.0,79,,,,96,316,Art Heyman</t>
  </si>
  <si>
    <t>600010,1983-84,00,1610612752,NYK,32.0,65,5.0,832.0,64,157,0.408,0.0,0.0,0.0,27,38,0.711,62.0,103.0,165.0,30,29.0,30.0,46.0,153,155,Len Elmore</t>
  </si>
  <si>
    <t>76320,1988-89,00,1610612752,NYK,23.0,33,0.0,140.0,20,48,0.417,0.0,3.0,0.0,16,20,0.8,9.0,19.0,28.0,2,1.0,2.0,17.0,28,56,Greg Butler</t>
  </si>
  <si>
    <t>76320,1989-90,00,1610612752,NYK,24.0,13,0.0,33.0,3,12,0.25,0.0,0.0,0.0,0,2,0.0,3.0,6.0,9.0,1,0.0,0.0,3.0,8,6,Greg Butler</t>
  </si>
  <si>
    <t>779,2000-01,00,1610612752,NYK,34.0,75,25.0,2212.0,331,752,0.44,82.0,211.0,0.389,155,182,0.852,61.0,246.0,307.0,89,41.0,13.0,96.0,179,899,Glen Rice</t>
  </si>
  <si>
    <t>201577,2015-16,00,1610612752,NYK,28.0,82,82.0,2219.0,357,662,0.539,0.0,1.0,0.0,128,161,0.795,268.0,334.0,602.0,114,16.0,129.0,133.0,182,842,Robin Lopez</t>
  </si>
  <si>
    <t>77011,1946-47,00,1610612752,NYK,24.0,59,,,201,695,0.289,,,,113,149,0.758,,,,37,,,,109,515,Sidney Hertzberg</t>
  </si>
  <si>
    <t>77011,1947-48,00,1610612752,NYK,25.0,4,,0.0,1,14,0.071,,,,3,4,0.75,,,0.0,1,,,,3,5,Sidney Hertzberg</t>
  </si>
  <si>
    <t>201961,2019-20,00,1610612752,NYK,32.0,36,1.0,558.0,61,174,0.351,50.0,143.0,0.35,11,13,0.846,4.0,61.0,65.0,44,13.0,4.0,18.0,41,183,Wayne Ellington</t>
  </si>
  <si>
    <t>76319,1961-62,00,1610612752,NYK,23.0,59,,2016.0,349,754,0.463,,,,129,182,0.709,,,337.0,205,,,,156,827,Al Butler</t>
  </si>
  <si>
    <t>76319,1962-63,00,1610612752,NYK,24.0,74,,1488.0,297,676,0.439,,,,144,187,0.77,,,170.0,156,,,,145,738,Al Butler</t>
  </si>
  <si>
    <t>76319,1963-64,00,1610612752,NYK,25.0,76,,1379.0,260,616,0.422,,,,138,187,0.738,,,168.0,157,,,,167,658,Al Butler</t>
  </si>
  <si>
    <t>26,2000-01,00,1610612752,NYK,32.0,25,2.0,299.0,18,54,0.333,0.0,0.0,0.0,13,17,0.765,26.0,40.0,66.0,7,3.0,9.0,22.0,51,49,Luc Longley</t>
  </si>
  <si>
    <t>1626195,2016-17,00,1610612752,NYK,23.0,72,22.0,1324.0,246,465,0.529,4.0,15.0,0.267,91,125,0.728,170.0,332.0,502.0,96,41.0,36.0,100.0,150,587,Willy Hernangomez</t>
  </si>
  <si>
    <t>1626195,2017-18,00,1610612752,NYK,24.0,26,0.0,233.0,49,81,0.605,1.0,5.0,0.2,12,28,0.429,22.0,45.0,67.0,21,8.0,7.0,26.0,32,111,Willy Hernangomez</t>
  </si>
  <si>
    <t>1627740,2018-19,00,1610612752,NYK,22.0,17,0.0,234.0,35,85,0.412,15.0,34.0,0.441,17,23,0.739,5.0,52.0,57.0,15,7.0,2.0,9.0,25,102,Henry Ellenson</t>
  </si>
  <si>
    <t>76318,1961-62,00,1610612752,NYK,26.0,47,,479.0,48,155,0.31,,,,42,69,0.609,,,79.0,51,,,,63,138,Donnie Butcher</t>
  </si>
  <si>
    <t>76318,1962-63,00,1610612752,NYK,27.0,68,,1193.0,172,424,0.406,,,,131,194,0.675,,,180.0,138,,,,164,475,Donnie Butcher</t>
  </si>
  <si>
    <t>201160,2014-15,00,1610612752,NYK,29.0,82,31.0,1785.0,257,592,0.434,15.0,42.0,0.357,127,153,0.83,98.0,226.0,324.0,140,32.0,44.0,104.0,205,656,Jason Smith</t>
  </si>
  <si>
    <t>1629011,2018-19,00,1610612752,NYK,21.0,66,19.0,1360.0,202,291,0.694,0.0,0.0,0.0,81,135,0.6,177.0,246.0,423.0,37,52.0,161.0,35.0,217,485,Mitchell Robinson</t>
  </si>
  <si>
    <t>1629011,2019-20,00,1610612752,NYK,22.0,61,7.0,1412.0,253,341,0.742,0.0,0.0,0.0,84,148,0.568,186.0,242.0,428.0,36,52.0,119.0,37.0,194,590,Mitchell Robinson</t>
  </si>
  <si>
    <t>1629011,2020-21,00,1610612752,NYK,23.0,31,29.0,853.0,115,176,0.653,0.0,0.0,0.0,26,53,0.491,113.0,139.0,252.0,17,35.0,45.0,26.0,86,256,Mitchell Robinson</t>
  </si>
  <si>
    <t>1629011,2021-22,00,1610612752,NYK,24.0,72,62.0,1848.0,261,343,0.761,0.0,0.0,0.0,88,181,0.486,295.0,322.0,617.0,38,58.0,133.0,60.0,195,610,Mitchell Robinson</t>
  </si>
  <si>
    <t>1629011,2022-23,00,1610612752,NYK,25.0,59,58.0,1589.0,188,280,0.671,0.0,0.0,0.0,59,122,0.484,267.0,288.0,555.0,53,56.0,109.0,41.0,160,435,Mitchell Robinson</t>
  </si>
  <si>
    <t>1629011,2023-24,00,1610612752,NYK,26.0,31,21.0,768.0,73,127,0.575,0.0,0.0,0.0,27,66,0.409,142.0,121.0,263.0,18,37.0,35.0,25.0,55,173,Mitchell Robinson</t>
  </si>
  <si>
    <t>203944,2019-20,00,1610612752,NYK,25.0,64,64.0,2080.0,463,1006,0.46,64.0,231.0,0.277,258,352,0.733,151.0,471.0,622.0,198,51.0,22.0,193.0,178,1248,Julius Randle</t>
  </si>
  <si>
    <t>203944,2020-21,00,1610612752,NYK,26.0,71,71.0,2667.0,602,1321,0.456,160.0,389.0,0.411,348,429,0.811,84.0,640.0,724.0,427,64.0,18.0,241.0,225,1712,Julius Randle</t>
  </si>
  <si>
    <t>203944,2021-22,00,1610612752,NYK,27.0,72,72.0,2544.0,512,1246,0.411,120.0,390.0,0.308,303,401,0.756,125.0,591.0,716.0,370,53.0,39.0,245.0,205,1447,Julius Randle</t>
  </si>
  <si>
    <t>203944,2022-23,00,1610612752,NYK,28.0,77,77.0,2737.0,658,1432,0.459,218.0,636.0,0.343,402,531,0.757,141.0,626.0,767.0,316,49.0,21.0,216.0,233,1936,Julius Randle</t>
  </si>
  <si>
    <t>203944,2023-24,00,1610612752,NYK,29.0,46,46.0,1630.0,395,836,0.472,76.0,244.0,0.311,236,302,0.781,99.0,324.0,423.0,229,25.0,12.0,159.0,125,1102,Julius Randle</t>
  </si>
  <si>
    <t>38,1995-96,00,1610612752,NYK,31.0,23,7.0,325.0,32,79,0.405,24.0,57.0,0.421,2,2,1.0,2.0,29.0,31.0,27,8.0,10.0,11.0,36,90,Brad Lohaus</t>
  </si>
  <si>
    <t>76993,1986-87,00,1610612752,NYK,31.0,68,53.0,1890.0,273,624,0.438,19.0,74.0,0.257,173,212,0.816,44.0,122.0,166.0,439,95.0,11.0,157.0,191,738,Gerald Henderson</t>
  </si>
  <si>
    <t>76993,1987-88,00,1610612752,NYK,32.0,6,2.0,69.0,5,14,0.357,2.0,4.0,0.5,2,2,1.0,1.0,9.0,10.0,13,2.0,0.0,8.0,14,14,Gerald Henderson</t>
  </si>
  <si>
    <t>76655,1950-51,00,1610612752,NYK,28.0,3,,,0,4,0.0,,,,4,4,1.0,,,8.0,0,,,,6,4,Ray Ellefson</t>
  </si>
  <si>
    <t>76314,1961-62,00,1610612752,NYK,22.0,8,,28.0,7,14,0.5,,,,1,4,0.25,,,5.0,1,,,,3,15,Ed Burton</t>
  </si>
  <si>
    <t>77884,1970-71,00,1610612752,NYK,22.0,56,,251.0,30,81,0.37,,,,24,34,0.706,,,29.0,12,,,,57,84,Mike Price</t>
  </si>
  <si>
    <t>77884,1971-72,00,1610612752,NYK,23.0,6,,40.0,5,14,0.357,,,,9,11,0.818,,,6.0,6,,,,10,19,Mike Price</t>
  </si>
  <si>
    <t>202391,2011-12,00,1610612752,NYK,23.0,35,25.0,940.0,171,383,0.446,24.0,75.0,0.32,146,183,0.798,18.0,89.0,107.0,216,55.0,9.0,126.0,78,512,Jeremy Lin</t>
  </si>
  <si>
    <t>21,1991-92,00,1610612752,NYK,24.0,82,1.0,1510.0,161,435,0.37,8.0,55.0,0.145,117,158,0.741,33.0,103.0,136.0,314,59.0,9.0,98.0,170,447,Greg Anthony</t>
  </si>
  <si>
    <t>21,1992-93,00,1610612752,NYK,25.0,70,35.0,1699.0,174,419,0.415,4.0,30.0,0.133,107,159,0.673,42.0,128.0,170.0,398,113.0,12.0,104.0,141,459,Greg Anthony</t>
  </si>
  <si>
    <t>21,1993-94,00,1610612752,NYK,26.0,80,36.0,1994.0,225,571,0.394,48.0,160.0,0.3,130,168,0.774,43.0,146.0,189.0,365,114.0,13.0,127.0,163,628,Greg Anthony</t>
  </si>
  <si>
    <t>21,1994-95,00,1610612752,NYK,27.0,61,2.0,943.0,128,293,0.437,56.0,155.0,0.361,60,76,0.789,7.0,57.0,64.0,160,50.0,7.0,57.0,99,372,Greg Anthony</t>
  </si>
  <si>
    <t>76986,1954-55,00,1610612752,NYK,25.0,5,,23.0,2,9,0.222,,,,0,1,0.0,,,4.0,2,,,,3,4,Herm Hedderick</t>
  </si>
  <si>
    <t>458,2001-02,00,1610612752,NYK,29.0,39,0.0,610.0,59,175,0.337,14.0,58.0,0.241,39,49,0.796,9.0,40.0,49.0,100,24.0,3.0,53.0,55,171,Howard Eisley</t>
  </si>
  <si>
    <t>458,2002-03,00,1610612752,NYK,30.0,82,76.0,2243.0,262,628,0.417,131.0,337.0,0.389,89,105,0.848,24.0,162.0,186.0,444,71.0,9.0,149.0,222,744,Howard Eisley</t>
  </si>
  <si>
    <t>458,2003-04,00,1610612752,NYK,31.0,33,23.0,730.0,80,202,0.396,28.0,85.0,0.329,32,36,0.889,7.0,59.0,66.0,156,30.0,3.0,50.0,85,220,Howard Eisley</t>
  </si>
  <si>
    <t>202692,2020-21,00,1610612752,NYK,29.0,49,5.0,1255.0,210,500,0.42,102.0,246.0,0.415,101,118,0.856,21.0,206.0,227.0,107,31.0,14.0,49.0,102,623,Alec Burks</t>
  </si>
  <si>
    <t>202692,2021-22,00,1610612752,NYK,30.0,81,44.0,2318.0,285,728,0.391,157.0,389.0,0.404,217,264,0.822,47.0,350.0,397.0,239,85.0,26.0,91.0,215,944,Alec Burks</t>
  </si>
  <si>
    <t>202692,2023-24,00,1610612752,NYK,32.0,23,1.0,311.0,50,163,0.307,25.0,83.0,0.301,24,33,0.727,8.0,32.0,40.0,20,7.0,1.0,16.0,11,149,Alec Burks</t>
  </si>
  <si>
    <t>77793,1946-47,00,1610612752,NYK,25.0,42,,,160,521,0.307,,,,81,121,0.669,,,,34,,,,110,401,John Palmer</t>
  </si>
  <si>
    <t>77793,1947-48,00,1610612752,NYK,26.0,48,,,224,710,0.315,,,,174,234,0.744,,,,45,,,,149,622,John Palmer</t>
  </si>
  <si>
    <t>77793,1948-49,00,1610612752,NYK,27.0,58,,,240,685,0.35,,,,234,307,0.762,,,,108,,,,206,714,John Palmer</t>
  </si>
  <si>
    <t>101135,2005-06,00,1610612752,NYK,23.0,67,14.0,1129.0,137,230,0.596,0.0,0.0,0.0,71,123,0.577,109.0,194.0,303.0,43,30.0,20.0,51.0,124,345,David Lee</t>
  </si>
  <si>
    <t>101135,2006-07,00,1610612752,NYK,24.0,58,12.0,1727.0,240,400,0.6,0.0,0.0,0.0,141,173,0.815,196.0,406.0,602.0,104,48.0,23.0,92.0,155,621,David Lee</t>
  </si>
  <si>
    <t>101135,2007-08,00,1610612752,NYK,25.0,81,29.0,2356.0,341,618,0.552,0.0,2.0,0.0,194,237,0.819,242.0,482.0,724.0,95,55.0,29.0,97.0,210,876,David Lee</t>
  </si>
  <si>
    <t>101135,2008-09,00,1610612752,NYK,26.0,81,74.0,2824.0,522,951,0.549,0.0,3.0,0.0,249,330,0.755,256.0,695.0,951.0,174,80.0,22.0,150.0,260,1293,David Lee</t>
  </si>
  <si>
    <t>101135,2009-10,00,1610612752,NYK,27.0,81,81.0,3019.0,686,1258,0.545,0.0,8.0,0.0,268,330,0.812,228.0,721.0,949.0,295,85.0,40.0,189.0,257,1640,David Lee</t>
  </si>
  <si>
    <t>76008,1953-54,00,1610612752,NYK,23.0,28,,220.0,14,63,0.222,,,,15,28,0.536,,,15.0,23,,,,43,43,Donald Ackerman</t>
  </si>
  <si>
    <t>76981,1975-76,00,1610612752,NYK,27.0,78,,2892.0,605,1360,0.445,,,,339,448,0.757,234.0,644.0,878.0,92,53.0,80.0,,255,1549,Spencer Haywood</t>
  </si>
  <si>
    <t>76981,1976-77,00,1610612752,NYK,28.0,31,,1021.0,202,449,0.45,,,,109,131,0.832,77.0,203.0,280.0,50,14.0,29.0,,72,513,Spencer Haywood</t>
  </si>
  <si>
    <t>76981,1977-78,00,1610612752,NYK,29.0,67,,1765.0,412,852,0.484,,,,96,135,0.711,141.0,301.0,442.0,126,37.0,72.0,140.0,188,920,Spencer Haywood</t>
  </si>
  <si>
    <t>76981,1978-79,00,1610612752,NYK,30.0,34,,1023.0,249,509,0.489,,,,107,146,0.733,66.0,140.0,206.0,56,10.0,29.0,87.0,108,605,Spencer Haywood</t>
  </si>
  <si>
    <t>76647,1963-64,00,1610612752,NYK,25.0,66,,2325.0,334,758,0.441,,,,193,243,0.794,,,191.0,358,,,,181,861,Johnny Egan</t>
  </si>
  <si>
    <t>76647,1964-65,00,1610612752,NYK,26.0,74,,1664.0,258,529,0.488,,,,162,199,0.814,,,143.0,252,,,,139,678,Johnny Egan</t>
  </si>
  <si>
    <t>76647,1965-66,00,1610612752,NYK,27.0,7,,58.0,5,16,0.313,,,,7,10,0.7,,,2.0,14,,,,4,17,Johnny Egan</t>
  </si>
  <si>
    <t>203504,2017-18,00,1610612752,NYK,25.0,36,9.0,785.0,193,384,0.503,38.0,105.0,0.362,37,57,0.649,13.0,58.0,71.0,170,24.0,4.0,43.0,43,461,Trey Burke</t>
  </si>
  <si>
    <t>203504,2018-19,00,1610612752,NYK,26.0,33,7.0,689.0,148,358,0.413,30.0,86.0,0.349,62,75,0.827,15.0,47.0,62.0,94,21.0,5.0,29.0,33,388,Trey Burke</t>
  </si>
  <si>
    <t>1630579,2021-22,00,1610612752,NYK,23.0,41,5.0,555.0,39,54,0.722,0.0,0.0,0.0,12,29,0.414,61.0,108.0,169.0,21,11.0,22.0,20.0,66,90,Jericho Sims</t>
  </si>
  <si>
    <t>1630579,2022-23,00,1610612752,NYK,24.0,52,16.0,812.0,83,107,0.776,0.0,1.0,0.0,12,16,0.75,99.0,143.0,242.0,25,15.0,28.0,27.0,96,178,Jericho Sims</t>
  </si>
  <si>
    <t>1630579,2023-24,00,1610612752,NYK,25.0,45,11.0,585.0,38,55,0.691,0.0,0.0,0.0,16,24,0.667,56.0,91.0,147.0,25,8.0,19.0,16.0,45,92,Jericho Sims</t>
  </si>
  <si>
    <t>201584,2016-17,00,1610612752,NYK,31.0,77,74.0,2459.0,321,704,0.456,108.0,269.0,0.401,85,98,0.867,53.0,206.0,259.0,179,81.0,24.0,69.0,141,835,Courtney Lee</t>
  </si>
  <si>
    <t>201584,2017-18,00,1610612752,NYK,32.0,76,69.0,2310.0,343,755,0.454,113.0,278.0,0.406,114,124,0.919,30.0,194.0,224.0,180,80.0,17.0,84.0,109,913,Courtney Lee</t>
  </si>
  <si>
    <t>201584,2018-19,00,1610612752,NYK,33.0,12,2.0,160.0,21,47,0.447,5.0,16.0,0.313,9,14,0.643,6.0,21.0,27.0,16,8.0,2.0,5.0,13,56,Courtney Lee</t>
  </si>
  <si>
    <t>76968,1982-83,00,1610612752,NYK,23.0,21,0.0,98.0,8,22,0.364,0.0,1.0,0.0,7,14,0.5,10.0,21.0,31.0,1,5.0,0.0,6.0,31,23,Scott Hastings</t>
  </si>
  <si>
    <t>76635,1991-92,00,1610612752,NYK,24.0,4,0.0,13.0,2,9,0.222,0.0,0.0,0.0,0,0,0.0,0.0,1.0,1.0,0,0.0,0.0,0.0,3,4,Patrick Eddie</t>
  </si>
  <si>
    <t>76303,1976-77,00,1610612752,NYK,24.0,61,,608.0,148,352,0.42,,,,51,85,0.6,26.0,40.0,66.0,62,47.0,1.0,,88,347,Luther Burden</t>
  </si>
  <si>
    <t>76303,1977-78,00,1610612752,NYK,25.0,2,,15.0,1,2,0.5,,,,0,0,,0.0,0.0,0.0,1,1.0,0.0,0.0,1,2,Luther Burden</t>
  </si>
  <si>
    <t>203495,2014-15,00,1610612752,NYK,22.0,12,0.0,233.0,32,90,0.356,10.0,24.0,0.417,15,20,0.75,15.0,19.0,34.0,18,6.0,1.0,24.0,20,89,Ricky Ledo</t>
  </si>
  <si>
    <t>1628392,2022-23,00,1610612752,NYK,25.0,82,8.0,1628.0,175,327,0.535,8.0,37.0,0.216,48,71,0.676,209.0,327.0,536.0,102,53.0,64.0,66.0,213,406,Isaiah Hartenstein</t>
  </si>
  <si>
    <t>1628392,2023-24,00,1610612752,NYK,26.0,75,49.0,1896.0,235,365,0.644,1.0,3.0,0.333,111,157,0.707,244.0,382.0,626.0,188,87.0,85.0,93.0,210,582,Isaiah Hartenstein</t>
  </si>
  <si>
    <t>203921,2014-15,00,1610612752,NYK,24.0,39,7.0,647.0,76,214,0.355,22.0,84.0,0.262,36,48,0.75,22.0,75.0,97.0,36,24.0,12.0,40.0,57,210,Cleanthony Early</t>
  </si>
  <si>
    <t>203921,2015-16,00,1610612752,NYK,25.0,17,2.0,154.0,12,40,0.3,4.0,15.0,0.267,3,4,0.75,4.0,22.0,26.0,6,2.0,3.0,9.0,16,31,Cleanthony Early</t>
  </si>
  <si>
    <t>76300,1978-79,00,1610612752,NYK,23.0,12,,97.0,9,26,0.346,,,,10,12,0.833,9.0,8.0,17.0,4,3.0,3.0,5.0,10,28,Greg Bunch</t>
  </si>
  <si>
    <t>77350,1976-77,00,1610612752,NYK,28.0,56,,765.0,134,277,0.484,,,,58,73,0.795,11.0,36.0,47.0,154,21.0,6.0,,87,326,Dennis Layton</t>
  </si>
  <si>
    <t>1628404,2022-23,00,1610612752,NYK,28.0,25,1.0,750.0,92,157,0.586,27.0,52.0,0.519,45,57,0.789,47.0,129.0,176.0,90,34.0,12.0,38.0,62,256,Josh Hart</t>
  </si>
  <si>
    <t>1628404,2023-24,00,1610612752,NYK,29.0,81,42.0,2707.0,295,679,0.434,80.0,258.0,0.31,91,115,0.791,128.0,547.0,675.0,331,75.0,23.0,118.0,171,761,Josh Hart</t>
  </si>
  <si>
    <t>76611,1955-56,00,1610612752,NYK,26.0,60,,1290.0,149,370,0.403,,,,167,236,0.708,,,443.0,39,,,,211,465,Walter Dukes</t>
  </si>
  <si>
    <t>203493,2019-20,00,1610612752,NYK,29.0,29,19.0,684.0,90,224,0.402,37.0,111.0,0.333,17,21,0.81,13.0,55.0,68.0,42,25.0,3.0,19.0,56,234,Reggie Bullock Jr.</t>
  </si>
  <si>
    <t>203493,2020-21,00,1610612752,NYK,30.0,65,64.0,1949.0,248,561,0.442,163.0,398.0,0.41,50,55,0.909,16.0,207.0,223.0,99,52.0,11.0,45.0,146,709,Reggie Bullock Jr.</t>
  </si>
  <si>
    <t>77346,1950-51,00,1610612752,NYK,24.0,30,,,32,93,0.344,,,,35,41,0.854,,,59.0,23,,,,56,99,Tony Lavelli</t>
  </si>
  <si>
    <t>970,2000-01,00,1610612752,NYK,27.0,30,5.0,548.0,67,121,0.554,0.0,0.0,0.0,51,70,0.729,37.0,62.0,99.0,20,15.0,19.0,41.0,101,185,Othella Harrington</t>
  </si>
  <si>
    <t>970,2001-02,00,1610612752,NYK,28.0,77,4.0,1564.0,237,450,0.527,0.0,2.0,0.0,122,172,0.709,125.0,224.0,349.0,37,30.0,36.0,95.0,250,596,Othella Harrington</t>
  </si>
  <si>
    <t>970,2002-03,00,1610612752,NYK,29.0,74,64.0,1846.0,225,443,0.508,0.0,0.0,0.0,123,150,0.82,165.0,311.0,476.0,62,12.0,23.0,90.0,231,573,Othella Harrington</t>
  </si>
  <si>
    <t>970,2003-04,00,1610612752,NYK,30.0,56,3.0,871.0,100,202,0.495,0.0,0.0,0.0,58,78,0.744,58.0,119.0,177.0,29,12.0,14.0,65.0,134,258,Othella Harrington</t>
  </si>
  <si>
    <t>2768,2008-09,00,1610612752,NYK,26.0,79,78.0,2906.0,287,681,0.421,127.0,325.0,0.391,179,209,0.856,45.0,201.0,246.0,566,72.0,7.0,221.0,126,880,Chris Duhon</t>
  </si>
  <si>
    <t>2768,2009-10,00,1610612752,NYK,27.0,67,59.0,2072.0,168,451,0.373,90.0,258.0,0.349,68,95,0.716,28.0,150.0,178.0,378,59.0,3.0,110.0,83,494,Chris Duhon</t>
  </si>
  <si>
    <t>76297,1960-61,00,1610612752,NYK,22.0,61,,1075.0,156,361,0.432,,,,87,134,0.649,,,297.0,45,,,,171,399,Dave Budd</t>
  </si>
  <si>
    <t>76297,1961-62,00,1610612752,NYK,23.0,79,,1370.0,188,431,0.436,,,,138,231,0.597,,,345.0,86,,,,162,514,Dave Budd</t>
  </si>
  <si>
    <t>76297,1962-63,00,1610612752,NYK,24.0,78,,1725.0,294,596,0.493,,,,151,202,0.748,,,395.0,87,,,,204,739,Dave Budd</t>
  </si>
  <si>
    <t>76297,1963-64,00,1610612752,NYK,25.0,73,,1031.0,128,297,0.431,,,,84,115,0.73,,,276.0,57,,,,130,340,Dave Budd</t>
  </si>
  <si>
    <t>76297,1964-65,00,1610612752,NYK,26.0,62,,1188.0,196,407,0.482,,,,121,170,0.712,,,310.0,62,,,,147,513,Dave Budd</t>
  </si>
  <si>
    <t>76085,1984-85,00,1610612752,NYK,28.0,74,28.0,1297.0,156,349,0.447,0.0,1.0,0.0,73,108,0.676,122.0,222.0,344.0,39,30.0,50.0,100.0,286,385,James Bailey</t>
  </si>
  <si>
    <t>76085,1985-86,00,1610612752,NYK,29.0,48,36.0,1245.0,202,443,0.456,0.0,4.0,0.0,129,167,0.772,102.0,232.0,334.0,50,33.0,40.0,99.0,207,533,James Bailey</t>
  </si>
  <si>
    <t>203499,2014-15,00,1610612752,NYK,22.0,76,22.0,1865.0,187,432,0.433,35.0,116.0,0.302,61,78,0.782,29.0,147.0,176.0,226,93.0,9.0,83.0,150,470,Shane Larkin</t>
  </si>
  <si>
    <t>1733,2008-09,00,1610612752,NYK,29.0,68,51.0,2380.0,509,1142,0.446,160.0,442.0,0.362,229,285,0.804,89.0,338.0,427.0,92,81.0,22.0,154.0,213,1407,Al Harrington</t>
  </si>
  <si>
    <t>1733,2009-10,00,1610612752,NYK,30.0,72,15.0,2195.0,448,1030,0.435,140.0,409.0,0.342,240,317,0.757,88.0,317.0,405.0,110,62.0,26.0,132.0,209,1276,Al Harrington</t>
  </si>
  <si>
    <t>201,1997-98,00,1610612752,NYK,33.0,51,22.0,858.0,58,143,0.406,0.0,0.0,0.0,41,92,0.446,108.0,167.0,275.0,21,13.0,51.0,44.0,139,157,Chris Dudley</t>
  </si>
  <si>
    <t>201,1998-99,00,1610612752,NYK,34.0,46,16.0,685.0,48,109,0.44,0.0,0.0,0.0,19,40,0.475,79.0,114.0,193.0,7,13.0,38.0,24.0,116,115,Chris Dudley</t>
  </si>
  <si>
    <t>201,1999-00,00,1610612752,NYK,35.0,47,3.0,459.0,23,67,0.343,0.0,0.0,0.0,9,27,0.333,63.0,73.0,136.0,5,7.0,21.0,18.0,95,55,Chris Dudley</t>
  </si>
  <si>
    <t>76295,1961-62,00,1610612752,NYK,23.0,62,,696.0,158,367,0.431,,,,83,133,0.624,,,236.0,39,,,,114,399,Cleveland Buckner</t>
  </si>
  <si>
    <t>76295,1962-63,00,1610612752,NYK,24.0,6,,27.0,5,10,0.5,,,,2,4,0.5,,,4.0,5,,,,6,12,Cleveland Buckner</t>
  </si>
  <si>
    <t>462,1995-96,00,1610612752,NYK,28.0,33,16.0,670.0,88,160,0.55,0.0,0.0,0.0,43,55,0.782,38.0,94.0,132.0,28,18.0,7.0,30.0,89,219,J.R. Reid</t>
  </si>
  <si>
    <t>457,1999-00,00,1610612752,NYK,34.0,19,10.0,244.0,28,64,0.438,0.0,0.0,0.0,3,7,0.429,16.0,44.0,60.0,3,8.0,6.0,5.0,31,59,Andrew Lang</t>
  </si>
  <si>
    <t>202725,2011-12,00,1610612752,NYK,23.0,37,4.0,540.0,63,149,0.423,20.0,59.0,0.339,16,26,0.615,47.0,97.0,144.0,11,23.0,20.0,20.0,48,162,Josh Harrellson</t>
  </si>
  <si>
    <t>201962,2009-10,00,1610612752,NYK,24.0,56,12.0,1087.0,179,391,0.458,68.0,175.0,0.389,55,68,0.809,40.0,68.0,108.0,112,42.0,3.0,55.0,116,481,Toney Douglas</t>
  </si>
  <si>
    <t>201962,2010-11,00,1610612752,NYK,25.0,81,9.0,1971.0,314,755,0.416,143.0,383.0,0.373,85,107,0.794,65.0,179.0,244.0,244,89.0,4.0,89.0,177,856,Toney Douglas</t>
  </si>
  <si>
    <t>201962,2011-12,00,1610612752,NYK,26.0,38,9.0,656.0,94,290,0.324,27.0,117.0,0.231,22,26,0.846,16.0,56.0,72.0,77,29.0,1.0,56.0,55,237,Toney Douglas</t>
  </si>
  <si>
    <t>76289,1964-65,00,1610612752,NYK,26.0,77,,1332.0,145,436,0.333,,,,87,133,0.654,,,167.0,167,,,,212,377,Emmette Bryant</t>
  </si>
  <si>
    <t>76289,1965-66,00,1610612752,NYK,27.0,71,,1193.0,212,449,0.472,,,,74,101,0.733,,,170.0,216,,,,215,498,Emmette Bryant</t>
  </si>
  <si>
    <t>76289,1966-67,00,1610612752,NYK,28.0,63,,1593.0,236,577,0.409,,,,74,114,0.649,,,273.0,218,,,,231,546,Emmette Bryant</t>
  </si>
  <si>
    <t>76289,1967-68,00,1610612752,NYK,29.0,77,,968.0,112,291,0.385,,,,59,86,0.686,,,133.0,134,,,,173,283,Emmette Bryant</t>
  </si>
  <si>
    <t>1631376,2023-24,00,1610612752,NYK,26.0,2,0.0,2.0,0,1,0.0,0.0,0.0,0.0,0,0,0.0,0.0,0.0,0.0,0,0.0,0.0,0.0,0,0,Dmytro Skapintsev</t>
  </si>
  <si>
    <t>78142,1954-55,00,1610612752,NYK,23.0,62,,947.0,100,289,0.346,,,,59,78,0.756,,,154.0,89,,,,64,259,Gene Shue</t>
  </si>
  <si>
    <t>78142,1955-56,00,1610612752,NYK,24.0,72,,1750.0,240,625,0.384,,,,181,237,0.764,,,212.0,179,,,,111,661,Gene Shue</t>
  </si>
  <si>
    <t>78142,1962-63,00,1610612752,NYK,31.0,78,,2288.0,354,894,0.396,,,,208,302,0.689,,,191.0,259,,,,171,916,Gene Shue</t>
  </si>
  <si>
    <t>202068,2009-10,00,1610612752,NYK,24.0,17,0.0,108.0,16,41,0.39,9.0,26.0,0.346,3,5,0.6,5.0,14.0,19.0,0,1.0,2.0,6.0,14,44,Marcus Landry</t>
  </si>
  <si>
    <t>1629607,2020-21,00,1610612752,NYK,23.0,8,0.0,16.0,0,4,0.0,0.0,1.0,0.0,3,4,0.75,0.0,2.0,2.0,1,0.0,0.0,3.0,1,3,Jared Harper</t>
  </si>
  <si>
    <t>1628422,2017-18,00,1610612752,NYK,24.0,44,2.0,474.0,72,161,0.447,22.0,68.0,0.324,16,23,0.696,9.0,75.0,84.0,31,12.0,2.0,17.0,34,182,Damyean Dotson</t>
  </si>
  <si>
    <t>1628422,2018-19,00,1610612752,NYK,25.0,73,40.0,2004.0,290,698,0.415,126.0,342.0,0.368,73,98,0.745,34.0,228.0,262.0,135,58.0,10.0,71.0,135,779,Damyean Dotson</t>
  </si>
  <si>
    <t>1628422,2019-20,00,1610612752,NYK,26.0,48,0.0,836.0,120,290,0.414,59.0,163.0,0.362,22,33,0.667,10.0,81.0,91.0,57,23.0,4.0,21.0,44,321,Damyean Dotson</t>
  </si>
  <si>
    <t>1628422,2021-22,00,1610612752,NYK,28.0,2,0.0,21.0,2,4,0.5,0.0,1.0,0.0,0,0,0.0,0.0,2.0,2.0,1,0.0,0.0,0.0,0,4,Damyean Dotson</t>
  </si>
  <si>
    <t>1594,1998-99,00,1610612752,NYK,27.0,17,0.0,95.0,6,21,0.286,0.0,5.0,0.0,5,18,0.278,3.0,7.0,10.0,19,9.0,0.0,12.0,8,17,Rick Brunson</t>
  </si>
  <si>
    <t>1594,1999-00,00,1610612752,NYK,28.0,37,0.0,289.0,29,70,0.414,2.0,13.0,0.154,11,18,0.611,3.0,24.0,27.0,49,9.0,1.0,31.0,35,71,Rick Brunson</t>
  </si>
  <si>
    <t>1594,2000-01,00,1610612752,NYK,29.0,15,0.0,66.0,8,19,0.421,0.0,3.0,0.0,4,6,0.667,3.0,9.0,12.0,7,1.0,0.0,8.0,5,20,Rick Brunson</t>
  </si>
  <si>
    <t>1628443,2018-19,00,1610612752,NYK,26.0,19,1.0,416.0,65,141,0.461,17.0,36.0,0.472,42,54,0.778,8.0,43.0,51.0,76,16.0,4.0,26.0,46,189,Kadeem Allen</t>
  </si>
  <si>
    <t>1628443,2019-20,00,1610612752,NYK,27.0,10,0.0,117.0,19,44,0.432,5.0,16.0,0.313,7,11,0.636,2.0,7.0,9.0,21,5.0,2.0,8.0,7,50,Kadeem Allen</t>
  </si>
  <si>
    <t>1626184,2016-17,00,1610612752,NYK,24.0,18,0.0,225.0,28,72,0.389,10.0,32.0,0.313,29,31,0.935,6.0,21.0,27.0,28,6.0,1.0,16.0,28,95,Chasson Randle</t>
  </si>
  <si>
    <t>78138,1975-76,00,1610612752,NYK,22.0,27,,185.0,26,80,0.325,,,,19,30,0.633,17.0,24.0,41.0,8,8.0,3.0,,31,71,Gene Short</t>
  </si>
  <si>
    <t>1627851,2016-17,00,1610612752,NYK,27.0,68,5.0,1016.0,158,369,0.428,54.0,168.0,0.321,55,68,0.809,47.0,79.0,126.0,69,29.0,11.0,51.0,79,425,Mindaugas Kuzminskas</t>
  </si>
  <si>
    <t>1627851,2017-18,00,1610612752,NYK,28.0,1,0.0,2.0,0,2,0.0,0.0,0.0,0.0,0,0,0.0,0.0,0.0,0.0,0,0.0,0.0,0.0,0,0,Mindaugas Kuzminskas</t>
  </si>
  <si>
    <t>157,1993-94,00,1610612752,NYK,32.0,54,27.0,1311.0,173,402,0.43,36.0,98.0,0.367,84,113,0.743,10.0,76.0,86.0,236,80.0,4.0,81.0,117,466,Derek Harper</t>
  </si>
  <si>
    <t>157,1994-95,00,1610612752,NYK,33.0,80,80.0,2716.0,337,756,0.446,106.0,292.0,0.363,139,192,0.724,31.0,163.0,194.0,458,79.0,10.0,151.0,219,919,Derek Harper</t>
  </si>
  <si>
    <t>157,1995-96,00,1610612752,NYK,34.0,82,82.0,2893.0,436,939,0.464,121.0,325.0,0.372,156,206,0.757,32.0,170.0,202.0,352,131.0,5.0,178.0,201,1149,Derek Harper</t>
  </si>
  <si>
    <t>76585,1949-50,00,1610612752,NYK,23.0,45,,,90,275,0.327,,,,73,106,0.689,,,,38,,,,107,253,Harry Donovan</t>
  </si>
  <si>
    <t>1628973,2022-23,00,1610612752,NYK,26.0,68,68.0,2379.0,587,1195,0.491,134.0,322.0,0.416,325,392,0.829,40.0,201.0,241.0,421,61.0,15.0,142.0,152,1633,Jalen Brunson</t>
  </si>
  <si>
    <t>1628973,2023-24,00,1610612752,NYK,27.0,77,77.0,2726.0,790,1648,0.479,211.0,526.0,0.401,421,497,0.847,43.0,235.0,278.0,519,70.0,13.0,186.0,144,2212,Jalen Brunson</t>
  </si>
  <si>
    <t>2068,2000-01,00,1610612752,NYK,23.0,26,0.0,168.0,17,54,0.315,3.0,11.0,0.273,22,27,0.815,8.0,17.0,25.0,5,4.0,2.0,17.0,12,59,Lavor Postell</t>
  </si>
  <si>
    <t>2068,2001-02,00,1610612752,NYK,24.0,23,0.0,178.0,28,84,0.333,6.0,26.0,0.231,31,41,0.756,2.0,14.0,16.0,5,6.0,0.0,11.0,7,93,Lavor Postell</t>
  </si>
  <si>
    <t>2068,2002-03,00,1610612752,NYK,25.0,12,0.0,99.0,14,38,0.368,2.0,7.0,0.286,13,15,0.867,1.0,3.0,4.0,3,2.0,0.0,7.0,9,43,Lavor Postell</t>
  </si>
  <si>
    <t>77875,1974-75,00,1610612752,NYK,26.0,17,,133.0,13,36,0.361,,,,7,9,0.778,13.0,25.0,38.0,2,3.0,1.0,,17,33,Howard Porter</t>
  </si>
  <si>
    <t>77322,1947-48,00,1610612752,NYK,26.0,44,,,89,273,0.326,,,,50,84,0.595,,,,27,,,,117,228,Ray Kuka</t>
  </si>
  <si>
    <t>77322,1948-49,00,1610612752,NYK,27.0,8,,,10,36,0.278,,,,5,9,0.556,,,,11,,,,16,25,Ray Kuka</t>
  </si>
  <si>
    <t>76950,1963-64,00,1610612752,NYK,24.0,5,,59.0,13,30,0.433,,,,3,8,0.375,,,6.0,6,,,,4,29,Jerry Harkness</t>
  </si>
  <si>
    <t>76586,1987-88,00,1610612752,NYK,23.0,44,0.0,364.0,44,109,0.404,0.0,7.0,0.0,17,21,0.81,5.0,20.0,25.0,87,16.0,1.0,42.0,33,105,Billy Donovan</t>
  </si>
  <si>
    <t>1629718,2023-24,00,1610612752,NYK,27.0,8,0.0,37.0,2,10,0.2,2.0,7.0,0.286,0,0,0.0,1.0,1.0,2.0,0,0.0,2.0,2.0,5,6,Charlie Brown Jr.</t>
  </si>
  <si>
    <t>77792,1959-60,00,1610612752,NYK,27.0,74,,1482.0,246,574,0.429,,,,119,174,0.684,,,389.0,70,,,,224,611,Jim Palmer</t>
  </si>
  <si>
    <t>77792,1960-61,00,1610612752,NYK,28.0,55,,688.0,125,310,0.403,,,,44,65,0.677,,,179.0,30,,,,128,294,Jim Palmer</t>
  </si>
  <si>
    <t>77993,1982-83,00,1610612752,NYK,31.0,81,76.0,2426.0,326,706,0.462,0.0,0.0,0.0,118,201,0.587,199.0,458.0,657.0,145,57.0,24.0,190.0,241,770,Truck Robinson</t>
  </si>
  <si>
    <t>77993,1983-84,00,1610612752,NYK,32.0,65,63.0,2135.0,284,581,0.489,0.0,0.0,0.0,133,206,0.646,171.0,374.0,545.0,94,43.0,27.0,160.0,217,701,Truck Robinson</t>
  </si>
  <si>
    <t>77993,1984-85,00,1610612752,NYK,33.0,2,1.0,35.0,2,5,0.4,0.0,0.0,,0,2,0.0,6.0,3.0,9.0,3,2.0,3.0,5.0,3,4,Truck Robinson</t>
  </si>
  <si>
    <t>84,1998-99,00,1610612752,NYK,28.0,37,4.0,1233.0,215,518,0.415,21.0,77.0,0.273,155,191,0.812,41.0,115.0,156.0,91,46.0,2.0,79.0,65,606,Latrell Sprewell</t>
  </si>
  <si>
    <t>84,1999-00,00,1610612752,NYK,29.0,82,82.0,3276.0,568,1305,0.435,44.0,127.0,0.346,344,397,0.866,49.0,300.0,349.0,332,109.0,22.0,226.0,184,1524,Latrell Sprewell</t>
  </si>
  <si>
    <t>84,2000-01,00,1610612752,NYK,30.0,77,77.0,3013.0,524,1219,0.43,41.0,135.0,0.304,275,351,0.783,49.0,298.0,347.0,269,106.0,28.0,218.0,159,1364,Latrell Sprewell</t>
  </si>
  <si>
    <t>84,2001-02,00,1610612752,NYK,31.0,81,81.0,3328.0,573,1419,0.404,145.0,403.0,0.36,284,346,0.821,59.0,239.0,298.0,313,94.0,14.0,223.0,161,1575,Latrell Sprewell</t>
  </si>
  <si>
    <t>84,2002-03,00,1610612752,NYK,32.0,74,73.0,2858.0,454,1127,0.403,134.0,360.0,0.372,173,218,0.794,45.0,240.0,285.0,332,102.0,22.0,172.0,134,1215,Latrell Sprewell</t>
  </si>
  <si>
    <t>200769,2013-14,00,1610612752,NYK,28.0,19,0.0,148.0,16,38,0.421,0.0,0.0,0.0,8,12,0.667,6.0,9.0,15.0,4,12.0,0.0,10.0,12,40,Shannon Brown</t>
  </si>
  <si>
    <t>77307,1964-65,00,1610612752,NYK,22.0,19,,231.0,27,86,0.314,,,,30,40,0.75,,,41.0,15,,,,31,84,Barry Kramer</t>
  </si>
  <si>
    <t>203090,2019-20,00,1610612752,NYK,27.0,12,10.0,286.0,30,66,0.455,7.0,25.0,0.28,15,24,0.625,8.0,32.0,40.0,20,9.0,3.0,7.0,28,82,Maurice Harkless</t>
  </si>
  <si>
    <t>76583,1991-92,00,1610612752,NYK,34.0,14,0.0,81.0,5,18,0.278,0.0,0.0,0.0,2,2,1.0,2.0,17.0,19.0,2,0.0,5.0,7.0,17,12,James Donaldson</t>
  </si>
  <si>
    <t>201974,2010-11,00,1610612752,NYK,23.0,8,0.0,88.0,12,18,0.667,3.0,4.0,0.75,7,13,0.538,9.0,6.0,15.0,4,4.0,2.0,7.0,11,34,Derrick Brown</t>
  </si>
  <si>
    <t>1628436,2017-18,00,1610612752,NYK,22.0,20,1.0,326.0,49,125,0.392,28.0,79.0,0.354,8,11,0.727,11.0,53.0,64.0,26,6.0,16.0,12.0,28,134,Luke Kornet</t>
  </si>
  <si>
    <t>1628436,2018-19,00,1610612752,NYK,23.0,46,18.0,784.0,107,283,0.378,70.0,193.0,0.363,38,46,0.826,28.0,107.0,135.0,54,27.0,42.0,25.0,41,322,Luke Kornet</t>
  </si>
  <si>
    <t>203501,2013-14,00,1610612752,NYK,22.0,81,1.0,1875.0,294,687,0.428,130.0,358.0,0.363,106,128,0.828,19.0,102.0,121.0,66,44.0,7.0,47.0,144,824,Tim Hardaway Jr.</t>
  </si>
  <si>
    <t>203501,2014-15,00,1610612752,NYK,23.0,70,30.0,1681.0,279,717,0.389,121.0,354.0,0.342,125,156,0.801,12.0,144.0,156.0,127,20.0,14.0,82.0,119,804,Tim Hardaway Jr.</t>
  </si>
  <si>
    <t>203501,2017-18,00,1610612752,NYK,26.0,57,54.0,1885.0,360,856,0.421,130.0,410.0,0.317,146,179,0.816,32.0,192.0,224.0,155,62.0,10.0,92.0,123,996,Tim Hardaway Jr.</t>
  </si>
  <si>
    <t>203501,2018-19,00,1610612752,NYK,27.0,46,46.0,1499.0,282,726,0.388,117.0,337.0,0.347,199,233,0.854,26.0,135.0,161.0,122,42.0,6.0,81.0,106,880,Tim Hardaway Jr.</t>
  </si>
  <si>
    <t>1720,2002-03,00,1610612752,NYK,26.0,75,0.0,1040.0,146,343,0.426,0.0,0.0,0.0,36,46,0.783,65.0,154.0,219.0,42,16.0,16.0,49.0,150,328,Michael Doleac</t>
  </si>
  <si>
    <t>1720,2003-04,00,1610612752,NYK,27.0,46,0.0,681.0,100,225,0.444,0.0,0.0,0.0,31,36,0.861,60.0,129.0,189.0,30,17.0,30.0,37.0,84,231,Michael Doleac</t>
  </si>
  <si>
    <t>418,1996-97,00,1610612752,NYK,31.0,38,0.0,247.0,19,39,0.487,5.0,12.0,0.417,14,15,0.933,6.0,12.0,18.0,29,21.0,0.0,17.0,35,57,Scott Brooks</t>
  </si>
  <si>
    <t>78260,1962-63,00,1610612752,NYK,24.0,25,,209.0,37,110,0.336,,,,3,10,0.3,,,39.0,18,,,,23,77,Tom Stith</t>
  </si>
  <si>
    <t>77297,1964-65,00,1610612752,NYK,24.0,80,,2378.0,381,1020,0.374,,,,212,254,0.835,,,195.0,265,,,,246,974,Howard Komives</t>
  </si>
  <si>
    <t>77297,1965-66,00,1610612752,NYK,25.0,80,,2612.0,436,1116,0.391,,,,241,280,0.861,,,281.0,425,,,,278,1113,Howard Komives</t>
  </si>
  <si>
    <t>77297,1966-67,00,1610612752,NYK,26.0,65,,2282.0,402,995,0.404,,,,217,253,0.858,,,183.0,401,,,,213,1021,Howard Komives</t>
  </si>
  <si>
    <t>77297,1967-68,00,1610612752,NYK,27.0,78,,1660.0,233,631,0.369,,,,132,161,0.82,,,168.0,246,,,,170,598,Howard Komives</t>
  </si>
  <si>
    <t>77297,1968-69,00,1610612752,NYK,28.0,32,,836.0,107,309,0.346,,,,73,86,0.849,,,95.0,137,,,,96,287,Howard Komives</t>
  </si>
  <si>
    <t>358,2003-04,00,1610612752,NYK,32.0,42,4.0,1219.0,159,408,0.39,16.0,44.0,0.364,69,89,0.775,42.0,147.0,189.0,79,42.0,12.0,65.0,81,403,Anfernee Hardaway</t>
  </si>
  <si>
    <t>358,2004-05,00,1610612752,NYK,33.0,37,0.0,895.0,110,260,0.423,15.0,50.0,0.3,34,46,0.739,19.0,70.0,89.0,74,28.0,3.0,50.0,79,269,Anfernee Hardaway</t>
  </si>
  <si>
    <t>358,2005-06,00,1610612752,NYK,34.0,4,0.0,72.0,4,14,0.286,0.0,1.0,0.0,2,2,1.0,0.0,10.0,10.0,8,2.0,0.0,6.0,7,10,Anfernee Hardaway</t>
  </si>
  <si>
    <t>1629603,2023-24,00,1610612752,NYK,27.0,3,0.0,8.0,0,1,0.0,0.0,1.0,0.0,0,0,0.0,0.0,1.0,1.0,0,1.0,0.0,1.0,1,0,Mamadi Diakite</t>
  </si>
  <si>
    <t>76255,1946-47,00,1610612752,NYK,23.0,12,,,14,49,0.286,,,,6,7,0.857,,,,1,,,,16,34,Audley Brindley</t>
  </si>
  <si>
    <t>76219,1967-68,00,1610612752,NYK,25.0,42,,272.0,52,134,0.388,,,,10,15,0.667,,,113.0,20,,,,69,114,Nate Bowman</t>
  </si>
  <si>
    <t>76219,1968-69,00,1610612752,NYK,26.0,67,,607.0,82,226,0.363,,,,29,61,0.475,,,220.0,53,,,,142,193,Nate Bowman</t>
  </si>
  <si>
    <t>76219,1969-70,00,1610612752,NYK,27.0,81,,744.0,98,235,0.417,,,,41,79,0.519,,,257.0,46,,,,189,237,Nate Bowman</t>
  </si>
  <si>
    <t>1628995,2018-19,00,1610612752,NYK,19.0,75,57.0,2158.0,338,914,0.37,125.0,364.0,0.343,162,226,0.717,61.0,274.0,335.0,82,43.0,24.0,114.0,175,963,Kevin Knox II</t>
  </si>
  <si>
    <t>1628995,2019-20,00,1610612752,NYK,20.0,65,4.0,1166.0,144,401,0.359,65.0,199.0,0.327,66,101,0.653,28.0,156.0,184.0,61,23.0,28.0,45.0,106,419,Kevin Knox II</t>
  </si>
  <si>
    <t>1628995,2020-21,00,1610612752,NYK,21.0,42,0.0,464.0,56,143,0.392,35.0,89.0,0.393,16,20,0.8,10.0,51.0,61.0,19,12.0,6.0,17.0,37,163,Kevin Knox II</t>
  </si>
  <si>
    <t>1628995,2021-22,00,1610612752,NYK,22.0,13,0.0,111.0,15,40,0.375,10.0,28.0,0.357,7,10,0.7,8.0,14.0,22.0,3,2.0,1.0,5.0,5,47,Kevin Knox II</t>
  </si>
  <si>
    <t>1629788,2021-22,00,1610612752,NYK,25.0,1,0.0,2.0,0,0,0.0,0.0,0.0,0.0,0,0,0.0,0.0,0.0,0.0,0,0.0,0.0,0.0,0,0,Tyler Hall</t>
  </si>
  <si>
    <t>1628978,2023-24,00,1610612752,NYK,27.0,81,63.0,2360.0,445,1004,0.443,283.0,705.0,0.401,86,114,0.754,63.0,234.0,297.0,216,107.0,36.0,113.0,166,1259,Donte DiVincenzo</t>
  </si>
  <si>
    <t>77291,1946-47,00,1610612752,NYK,25.0,22,,,62,219,0.283,,,,47,72,0.653,,,,21,,,,64,171,Lee Knorek</t>
  </si>
  <si>
    <t>77291,1947-48,00,1610612752,NYK,26.0,48,,,99,369,0.268,,,,61,120,0.508,,,,50,,,,171,259,Lee Knorek</t>
  </si>
  <si>
    <t>77291,1948-49,00,1610612752,NYK,27.0,60,,,156,457,0.341,,,,131,183,0.716,,,,135,,,,258,443,Lee Knorek</t>
  </si>
  <si>
    <t>200758,2012-13,00,1610612752,NYK,28.0,46,34.0,711.0,64,175,0.366,22.0,71.0,0.31,16,39,0.41,29.0,71.0,100.0,40,34.0,6.0,14.0,27,166,Ronnie Brewer</t>
  </si>
  <si>
    <t>76902,1956-57,00,1610612752,NYK,25.0,72,,1793.0,257,699,0.368,,,,181,292,0.62,,,334.0,182,,,,186,695,Richie Guerin</t>
  </si>
  <si>
    <t>76902,1957-58,00,1610612752,NYK,26.0,63,,2368.0,344,973,0.354,,,,353,511,0.691,,,489.0,317,,,,202,1041,Richie Guerin</t>
  </si>
  <si>
    <t>76902,1958-59,00,1610612752,NYK,27.0,71,,2558.0,443,1046,0.424,,,,405,505,0.802,,,518.0,364,,,,255,1291,Richie Guerin</t>
  </si>
  <si>
    <t>76902,1959-60,00,1610612752,NYK,28.0,74,,2429.0,579,1379,0.42,,,,457,591,0.773,,,505.0,468,,,,242,1615,Richie Guerin</t>
  </si>
  <si>
    <t>76902,1960-61,00,1610612752,NYK,29.0,79,,3023.0,612,1545,0.396,,,,496,626,0.792,,,628.0,503,,,,310,1720,Richie Guerin</t>
  </si>
  <si>
    <t>76902,1961-62,00,1610612752,NYK,30.0,78,,3348.0,839,1897,0.442,,,,625,762,0.82,,,501.0,539,,,,299,2303,Richie Guerin</t>
  </si>
  <si>
    <t>76902,1962-63,00,1610612752,NYK,31.0,79,,2712.0,596,1380,0.432,,,,509,600,0.848,,,331.0,348,,,,228,1701,Richie Guerin</t>
  </si>
  <si>
    <t>76560,1966-67,00,1610612752,NYK,22.0,19,,93.0,6,36,0.167,,,,9,20,0.45,,,21.0,15,,,,17,21,Dave Deutsch</t>
  </si>
  <si>
    <t>76018,1966-67,00,1610612752,NYK,22.0,50,,453.0,83,230,0.361,,,,26,37,0.703,,,120.0,25,,,,82,192,Henry Akin</t>
  </si>
  <si>
    <t>2249,2004-05,00,1610612752,NYK,24.0,18,0.0,184.0,11,37,0.297,3.0,15.0,0.2,6,13,0.462,6.0,16.0,22.0,12,8.0,1.0,13.0,11,31,Jamison Brewer</t>
  </si>
  <si>
    <t>969,2000-01,00,1610612752,NYK,26.0,45,0.0,255.0,10,53,0.189,0.0,1.0,0.0,9,18,0.5,19.0,34.0,53.0,5,5.0,11.0,10.0,47,29,Travis Knight</t>
  </si>
  <si>
    <t>969,2001-02,00,1610612752,NYK,27.0,49,0.0,430.0,41,113,0.363,0.0,0.0,0.0,16,21,0.762,48.0,56.0,104.0,8,11.0,10.0,27.0,95,98,Travis Knight</t>
  </si>
  <si>
    <t>969,2002-03,00,1610612752,NYK,28.0,32,0.0,287.0,25,65,0.385,0.0,1.0,0.0,10,13,0.769,18.0,44.0,62.0,14,8.0,9.0,10.0,44,60,Travis Knight</t>
  </si>
  <si>
    <t>76899,1982-83,00,1610612752,NYK,28.0,77,0.0,1422.0,167,377,0.443,0.0,4.0,0.0,81,98,0.827,42.0,121.0,163.0,136,40.0,10.0,84.0,172,415,Ernie Grunfeld</t>
  </si>
  <si>
    <t>76899,1983-84,00,1610612752,NYK,29.0,76,6.0,1119.0,166,362,0.459,2.0,9.0,0.222,64,83,0.771,24.0,97.0,121.0,108,43.0,7.0,71.0,151,398,Ernie Grunfeld</t>
  </si>
  <si>
    <t>76899,1984-85,00,1610612752,NYK,30.0,69,0.0,1061.0,188,384,0.49,2.0,8.0,0.25,77,104,0.74,41.0,110.0,151.0,105,50.0,7.0,40.0,129,455,Ernie Grunfeld</t>
  </si>
  <si>
    <t>76899,1985-86,00,1610612752,NYK,31.0,76,0.0,1402.0,148,355,0.417,26.0,61.0,0.426,90,108,0.833,42.0,164.0,206.0,119,39.0,13.0,50.0,192,412,Ernie Grunfeld</t>
  </si>
  <si>
    <t>76553,1979-80,00,1610612752,NYK,23.0,82,,1872.0,230,528,0.436,0.0,0.0,,110,183,0.601,195.0,288.0,483.0,64,56.0,30.0,168.0,306,570,Larry Demic</t>
  </si>
  <si>
    <t>76553,1980-81,00,1610612752,NYK,24.0,76,,964.0,128,254,0.504,0.0,2.0,0.0,58,92,0.63,114.0,129.0,243.0,28,12.0,13.0,58.0,153,314,Larry Demic</t>
  </si>
  <si>
    <t>76553,1981-82,00,1610612752,NYK,25.0,48,0.0,356.0,39,83,0.47,0.0,1.0,0.0,14,39,0.359,29.0,50.0,79.0,14,4.0,6.0,26.0,65,92,Larry Demic</t>
  </si>
  <si>
    <t>77929,1964-65,00,1610612752,NYK,23.0,80,,3042.0,629,1457,0.432,,,,302,407,0.742,,,1175.0,133,,,,339,1560,Willis Reed</t>
  </si>
  <si>
    <t>77929,1965-66,00,1610612752,NYK,24.0,76,,2537.0,438,1009,0.434,,,,302,399,0.757,,,883.0,91,,,,323,1178,Willis Reed</t>
  </si>
  <si>
    <t>77929,1966-67,00,1610612752,NYK,25.0,78,,2824.0,635,1298,0.489,,,,358,487,0.735,,,1136.0,126,,,,293,1628,Willis Reed</t>
  </si>
  <si>
    <t>77929,1967-68,00,1610612752,NYK,26.0,81,,2879.0,659,1346,0.49,,,,367,509,0.721,,,1073.0,159,,,,343,1685,Willis Reed</t>
  </si>
  <si>
    <t>77929,1968-69,00,1610612752,NYK,27.0,82,,3108.0,704,1351,0.521,,,,325,435,0.747,,,1191.0,190,,,,314,1733,Willis Reed</t>
  </si>
  <si>
    <t>77929,1969-70,00,1610612752,NYK,28.0,81,,3089.0,702,1385,0.507,,,,351,464,0.756,,,1126.0,161,,,,287,1755,Willis Reed</t>
  </si>
  <si>
    <t>77929,1970-71,00,1610612752,NYK,29.0,73,,2855.0,614,1330,0.462,,,,299,381,0.785,,,1003.0,148,,,,228,1527,Willis Reed</t>
  </si>
  <si>
    <t>77929,1971-72,00,1610612752,NYK,30.0,11,,363.0,60,137,0.438,,,,27,39,0.692,,,96.0,22,,,,30,147,Willis Reed</t>
  </si>
  <si>
    <t>77929,1972-73,00,1610612752,NYK,31.0,69,,1876.0,334,705,0.474,,,,92,124,0.742,,,590.0,126,,,,205,760,Willis Reed</t>
  </si>
  <si>
    <t>77929,1973-74,00,1610612752,NYK,32.0,19,,500.0,84,184,0.457,,,,42,53,0.792,47.0,94.0,141.0,30,12.0,21.0,,49,210,Willis Reed</t>
  </si>
  <si>
    <t>77289,1977-78,00,1610612752,NYK,23.0,80,,1169.0,222,465,0.477,,,,63,97,0.649,121.0,200.0,321.0,38,50.0,28.0,97.0,211,507,Toby Knight</t>
  </si>
  <si>
    <t>77289,1978-79,00,1610612752,NYK,24.0,82,,2667.0,609,1174,0.519,,,,145,206,0.704,201.0,347.0,548.0,124,61.0,60.0,163.0,309,1363,Toby Knight</t>
  </si>
  <si>
    <t>77289,1979-80,00,1610612752,NYK,25.0,81,,2945.0,669,1265,0.529,0.0,2.0,0.0,211,261,0.808,201.0,292.0,493.0,150,117.0,86.0,163.0,302,1549,Toby Knight</t>
  </si>
  <si>
    <t>77289,1981-82,00,1610612752,NYK,27.0,40,0.0,550.0,102,183,0.557,0.0,0.0,,17,25,0.68,33.0,49.0,82.0,23,14.0,11.0,21.0,74,221,Toby Knight</t>
  </si>
  <si>
    <t>1629656,2021-22,00,1610612752,NYK,22.0,46,6.0,786.0,95,235,0.404,72.0,189.0,0.381,13,19,0.684,24.0,70.0,94.0,44,31.0,11.0,28.0,72,275,Quentin Grimes</t>
  </si>
  <si>
    <t>1629656,2022-23,00,1610612752,NYK,23.0,71,66.0,2121.0,282,602,0.468,157.0,407.0,0.386,78,98,0.796,49.0,180.0,229.0,150,47.0,26.0,69.0,177,799,Quentin Grimes</t>
  </si>
  <si>
    <t>1629656,2023-24,00,1610612752,NYK,24.0,45,18.0,910.0,113,286,0.395,77.0,212.0,0.363,24,34,0.706,14.0,74.0,88.0,52,30.0,3.0,21.0,66,327,Quentin Grimes</t>
  </si>
  <si>
    <t>76545,1968-69,00,1610612752,NYK,28.0,47,,1851.0,317,717,0.442,,,,135,198,0.682,,,535.0,128,,,,179,769,Dave DeBusschere</t>
  </si>
  <si>
    <t>76545,1969-70,00,1610612752,NYK,29.0,79,,2627.0,488,1082,0.451,,,,176,256,0.688,,,790.0,194,,,,244,1152,Dave DeBusschere</t>
  </si>
  <si>
    <t>76545,1970-71,00,1610612752,NYK,30.0,81,,2891.0,523,1243,0.421,,,,217,312,0.696,,,901.0,220,,,,237,1263,Dave DeBusschere</t>
  </si>
  <si>
    <t>76545,1971-72,00,1610612752,NYK,31.0,80,,3072.0,520,1218,0.427,,,,193,265,0.728,,,901.0,291,,,,219,1233,Dave DeBusschere</t>
  </si>
  <si>
    <t>76545,1972-73,00,1610612752,NYK,32.0,77,,2827.0,532,1224,0.435,,,,194,260,0.746,,,787.0,259,,,,215,1258,Dave DeBusschere</t>
  </si>
  <si>
    <t>76545,1973-74,00,1610612752,NYK,33.0,71,,2699.0,559,1212,0.461,,,,164,217,0.756,134.0,623.0,757.0,253,67.0,39.0,,222,1282,Dave DeBusschere</t>
  </si>
  <si>
    <t>1000,2001-02,00,1610612752,NYK,28.0,82,6.0,1596.0,149,373,0.399,39.0,141.0,0.277,74,107,0.692,57.0,192.0,249.0,76,48.0,15.0,97.0,134,411,Shandon Anderson</t>
  </si>
  <si>
    <t>1000,2002-03,00,1610612752,NYK,29.0,82,9.0,1729.0,248,537,0.462,52.0,140.0,0.371,139,190,0.732,64.0,190.0,254.0,87,73.0,20.0,114.0,177,687,Shandon Anderson</t>
  </si>
  <si>
    <t>1000,2003-04,00,1610612752,NYK,30.0,80,37.0,1972.0,238,564,0.422,36.0,128.0,0.281,123,161,0.764,53.0,169.0,222.0,122,68.0,17.0,118.0,182,635,Shandon Anderson</t>
  </si>
  <si>
    <t>1000,2004-05,00,1610612752,NYK,31.0,1,0.0,20.0,0,2,0.0,0.0,1.0,0.0,0,0,0.0,1.0,0.0,1.0,0,0.0,0.0,1.0,2,0,Shandon Anderson</t>
  </si>
  <si>
    <t>76245,1958-59,00,1610612752,NYK,22.0,16,,136.0,13,43,0.302,,,,14,25,0.56,,,31.0,6,,,,15,40,Pete Brennan</t>
  </si>
  <si>
    <t>78216,1956-57,00,1610612752,NYK,22.0,71,,1378.0,166,442,0.376,,,,152,199,0.764,,,326.0,129,,,,158,484,Ron Sobie</t>
  </si>
  <si>
    <t>78216,1957-58,00,1610612752,NYK,23.0,55,,1399.0,217,539,0.403,,,,196,239,0.82,,,263.0,125,,,,147,630,Ron Sobie</t>
  </si>
  <si>
    <t>78216,1958-59,00,1610612752,NYK,24.0,50,,857.0,144,400,0.36,,,,112,133,0.842,,,154.0,78,,,,84,400,Ron Sobie</t>
  </si>
  <si>
    <t>78216,1959-60,00,1610612752,NYK,25.0,16,,234.0,37,108,0.343,,,,31,37,0.838,,,48.0,21,,,,32,105,Ron Sobie</t>
  </si>
  <si>
    <t>78136,1982-83,00,1610612752,NYK,23.0,64,37.0,1624.0,171,421,0.406,1.0,13.0,0.077,52,80,0.65,43.0,106.0,149.0,311,96.0,14.0,104.0,112,395,Edmund Sherod</t>
  </si>
  <si>
    <t>1629649,2019-20,00,1610612752,NYK,21.0,9,0.0,53.0,6,22,0.273,1.0,9.0,0.111,4,5,0.8,2.0,3.0,5.0,4,0.0,1.0,2.0,3,17,Ignas Brazdeikis</t>
  </si>
  <si>
    <t>1629649,2020-21,00,1610612752,NYK,22.0,4,0.0,7.0,0,1,0.0,0.0,0.0,0.0,2,2,1.0,1.0,1.0,2.0,1,0.0,0.0,1.0,0,2,Ignas Brazdeikis</t>
  </si>
  <si>
    <t>77789,1993-94,00,1610612752,NYK,29.0,3,0.0,8.0,2,5,0.4,0.0,0.0,0.0,0,0,0.0,0.0,0.0,0.0,0,0.0,0.0,0.0,3,4,Gerald Paddio</t>
  </si>
  <si>
    <t>77287,1954-55,00,1610612752,NYK,50.0,2,,29.0,3,7,0.429,,,,1,1,1.0,,,1.0,8,,,,6,7,Bob Knight</t>
  </si>
  <si>
    <t>76891,1954-55,00,1610612752,NYK,26.0,7,,45.0,7,19,0.368,,,,2,8,0.25,,,11.0,7,,,,9,16,Chuck Grigsby</t>
  </si>
  <si>
    <t>76530,1982-83,00,1610612752,NYK,26.0,8,0.0,28.0,4,10,0.4,0.0,0.0,0.0,6,10,0.6,3.0,7.0,10.0,0,0.0,4.0,0.0,4,14,Michael Davis</t>
  </si>
  <si>
    <t>77906,1959-60,00,1610612752,NYK,22.0,11,,195.0,39,96,0.406,,,,19,33,0.576,,,66.0,9,,,,25,97,Cal Ramsey</t>
  </si>
  <si>
    <t>77770,1982-83,00,1610612752,NYK,25.0,82,14.0,1666.0,274,593,0.462,0.0,2.0,0.0,140,175,0.8,94.0,134.0,228.0,94,64.0,24.0,93.0,134,688,Louis Orr</t>
  </si>
  <si>
    <t>77770,1983-84,00,1610612752,NYK,26.0,78,20.0,1640.0,262,572,0.458,0.0,0.0,0.0,173,211,0.82,101.0,127.0,228.0,61,66.0,17.0,95.0,142,697,Louis Orr</t>
  </si>
  <si>
    <t>77770,1984-85,00,1610612752,NYK,27.0,79,31.0,2452.0,372,766,0.486,1.0,10.0,0.1,262,334,0.784,171.0,220.0,391.0,134,100.0,27.0,138.0,195,1007,Louis Orr</t>
  </si>
  <si>
    <t>77770,1985-86,00,1610612752,NYK,28.0,74,64.0,2237.0,330,741,0.445,0.0,4.0,0.0,218,278,0.784,123.0,189.0,312.0,179,61.0,26.0,118.0,177,878,Louis Orr</t>
  </si>
  <si>
    <t>77770,1986-87,00,1610612752,NYK,29.0,65,8.0,1440.0,166,389,0.427,1.0,5.0,0.2,125,172,0.727,102.0,130.0,232.0,110,47.0,18.0,70.0,123,458,Louis Orr</t>
  </si>
  <si>
    <t>77770,1987-88,00,1610612752,NYK,30.0,29,0.0,180.0,16,50,0.32,0.0,1.0,0.0,8,16,0.5,13.0,21.0,34.0,9,6.0,0.0,14.0,27,40,Louis Orr</t>
  </si>
  <si>
    <t>293,1992-93,00,1610612752,NYK,27.0,81,68.0,2172.0,358,764,0.469,0.0,2.0,0.0,287,367,0.782,170.0,262.0,432.0,142,48.0,96.0,155.0,254,1003,Charles Smith</t>
  </si>
  <si>
    <t>293,1993-94,00,1610612752,NYK,28.0,43,21.0,1105.0,176,397,0.443,8.0,16.0,0.5,87,121,0.719,66.0,99.0,165.0,50,26.0,45.0,64.0,144,447,Charles Smith</t>
  </si>
  <si>
    <t>293,1994-95,00,1610612752,NYK,29.0,76,58.0,2150.0,352,747,0.471,7.0,31.0,0.226,255,322,0.792,144.0,180.0,324.0,120,49.0,95.0,147.0,286,966,Charles Smith</t>
  </si>
  <si>
    <t>293,1995-96,00,1610612752,NYK,30.0,41,4.0,890.0,114,294,0.388,2.0,15.0,0.133,73,103,0.709,59.0,101.0,160.0,29,18.0,51.0,61.0,124,303,Charles Smith</t>
  </si>
  <si>
    <t>1123,1994-95,00,1610612752,NYK,33.0,2,0.0,16.0,0,3,0.0,0.0,0.0,0.0,0,0,0.0,2.0,2.0,4.0,0,0.0,0.0,1.0,2,0,Greg Kite</t>
  </si>
  <si>
    <t>76876,1987-88,00,1610612752,NYK,27.0,82,65.0,2049.0,258,585,0.441,0.0,2.0,0.0,126,190,0.663,221.0,421.0,642.0,93,65.0,32.0,148.0,318,642,Sidney Green</t>
  </si>
  <si>
    <t>76876,1988-89,00,1610612752,NYK,28.0,82,0.0,1277.0,194,422,0.46,0.0,3.0,0.0,129,170,0.759,157.0,237.0,394.0,76,47.0,18.0,125.0,172,517,Sidney Green</t>
  </si>
  <si>
    <t>76529,1973-74,00,1610612752,NYK,23.0,30,,167.0,33,95,0.347,,,,12,16,0.75,17.0,37.0,54.0,8,3.0,4.0,,36,78,Mel Davis</t>
  </si>
  <si>
    <t>76529,1974-75,00,1610612752,NYK,24.0,62,,903.0,154,395,0.39,,,,48,70,0.686,70.0,251.0,321.0,54,16.0,8.0,,105,356,Mel Davis</t>
  </si>
  <si>
    <t>76529,1975-76,00,1610612752,NYK,25.0,42,,408.0,76,193,0.394,,,,22,29,0.759,43.0,105.0,148.0,31,16.0,5.0,,56,174,Mel Davis</t>
  </si>
  <si>
    <t>76529,1976-77,00,1610612752,NYK,26.0,22,,342.0,41,110,0.373,,,,22,31,0.71,30.0,70.0,100.0,24,9.0,1.0,,45,104,Mel Davis</t>
  </si>
  <si>
    <t>78141,1948-49,00,1610612752,NYK,26.0,4,,,0,0,,,,,1,3,0.333,,,,2,,,,2,1,Dick Shrider</t>
  </si>
  <si>
    <t>1627850,2016-17,00,1610612752,NYK,24.0,21,1.0,170.0,16,30,0.533,0.0,0.0,0.0,8,19,0.421,23.0,28.0,51.0,10,4.0,4.0,12.0,23,40,Marshall Plumlee</t>
  </si>
  <si>
    <t>77279,1961-62,00,1610612752,NYK,24.0,5,,13.0,3,6,0.5,,,,2,4,0.5,,,1.0,0,,,,2,8,Doug Kistler</t>
  </si>
  <si>
    <t>76868,1985-86,00,1610612752,NYK,26.0,7,0.0,72.0,13,27,0.481,0.0,0.0,,5,9,0.556,12.0,15.0,27.0,2,4.0,0.0,1.0,8,31,Ken Green</t>
  </si>
  <si>
    <t>93,1992-93,00,1610612752,NYK,23.0,50,2.0,815.0,110,251,0.438,6.0,19.0,0.316,43,54,0.796,13.0,43.0,56.0,83,22.0,4.0,45.0,71,269,Hubert Davis</t>
  </si>
  <si>
    <t>93,1993-94,00,1610612752,NYK,24.0,56,27.0,1333.0,238,505,0.471,53.0,132.0,0.402,85,103,0.825,23.0,44.0,67.0,165,40.0,4.0,76.0,118,614,Hubert Davis</t>
  </si>
  <si>
    <t>93,1994-95,00,1610612752,NYK,25.0,82,4.0,1697.0,296,617,0.48,131.0,288.0,0.455,97,120,0.808,30.0,80.0,110.0,150,35.0,11.0,87.0,146,820,Hubert Davis</t>
  </si>
  <si>
    <t>93,1995-96,00,1610612752,NYK,26.0,74,14.0,1773.0,275,566,0.486,127.0,267.0,0.476,112,129,0.868,35.0,88.0,123.0,103,31.0,8.0,63.0,120,789,Hubert Davis</t>
  </si>
  <si>
    <t>101194,2008-09,00,1610612752,NYK,26.0,23,0.0,253.0,39,103,0.379,24.0,71.0,0.338,5,5,1.0,4.0,11.0,15.0,19,10.0,1.0,7.0,18,107,Anthony Roberson</t>
  </si>
  <si>
    <t>600009,1982-83,00,1610612752,NYK,25.0,32,9.0,880.0,128,298,0.43,2.0,7.0,0.286,63,86,0.733,22.0,67.0,89.0,159,37.0,4.0,71.0,93,321,Rory Sparrow</t>
  </si>
  <si>
    <t>600009,1983-84,00,1610612752,NYK,26.0,79,74.0,2436.0,350,738,0.474,10.0,39.0,0.256,108,131,0.824,48.0,141.0,189.0,539,100.0,8.0,210.0,230,818,Rory Sparrow</t>
  </si>
  <si>
    <t>600009,1984-85,00,1610612752,NYK,27.0,79,41.0,2292.0,326,662,0.492,7.0,31.0,0.226,122,141,0.865,38.0,131.0,169.0,557,81.0,9.0,150.0,200,781,Rory Sparrow</t>
  </si>
  <si>
    <t>600009,1985-86,00,1610612752,NYK,28.0,74,74.0,2344.0,345,723,0.477,5.0,20.0,0.25,101,127,0.795,50.0,120.0,170.0,472,85.0,14.0,154.0,182,796,Rory Sparrow</t>
  </si>
  <si>
    <t>600009,1986-87,00,1610612752,NYK,29.0,80,30.0,1951.0,263,590,0.446,11.0,42.0,0.262,71,89,0.798,29.0,86.0,115.0,432,67.0,6.0,140.0,160,608,Rory Sparrow</t>
  </si>
  <si>
    <t>600009,1987-88,00,1610612752,NYK,30.0,3,0.0,52.0,5,19,0.263,0.0,1.0,0.0,0,0,0.0,1.0,1.0,2.0,5,4.0,0.0,6.0,7,10,Rory Sparrow</t>
  </si>
  <si>
    <t>77264,1982-83,00,1610612752,NYK,26.0,68,68.0,2207.0,603,1142,0.528,0.0,6.0,0.0,280,388,0.722,99.0,227.0,326.0,195,90.0,13.0,197.0,233,1486,Bernard King</t>
  </si>
  <si>
    <t>77264,1983-84,00,1610612752,NYK,27.0,77,76.0,2667.0,795,1391,0.572,0.0,4.0,0.0,437,561,0.779,123.0,271.0,394.0,164,75.0,17.0,197.0,273,2027,Bernard King</t>
  </si>
  <si>
    <t>77264,1984-85,00,1610612752,NYK,28.0,55,55.0,2063.0,691,1303,0.53,1.0,10.0,0.1,426,552,0.772,114.0,203.0,317.0,204,71.0,15.0,204.0,191,1809,Bernard King</t>
  </si>
  <si>
    <t>77264,1986-87,00,1610612752,NYK,30.0,6,4.0,214.0,52,105,0.495,0.0,0.0,0.0,32,43,0.744,13.0,19.0,32.0,19,2.0,0.0,15.0,14,136,Bernard King</t>
  </si>
  <si>
    <t>76867,1959-60,00,1610612752,NYK,26.0,69,,1232.0,209,468,0.447,,,,63,155,0.406,,,539.0,52,,,,195,481,Johnny Green</t>
  </si>
  <si>
    <t>76867,1960-61,00,1610612752,NYK,27.0,78,,1784.0,326,758,0.43,,,,145,278,0.522,,,838.0,97,,,,194,797,Johnny Green</t>
  </si>
  <si>
    <t>76867,1961-62,00,1610612752,NYK,28.0,80,,2789.0,507,1164,0.436,,,,261,434,0.601,,,1066.0,191,,,,265,1275,Johnny Green</t>
  </si>
  <si>
    <t>76867,1962-63,00,1610612752,NYK,29.0,80,,2553.0,582,1261,0.462,,,,280,439,0.638,,,964.0,152,,,,243,1444,Johnny Green</t>
  </si>
  <si>
    <t>76867,1963-64,00,1610612752,NYK,30.0,80,,2134.0,482,1026,0.47,,,,195,392,0.497,,,799.0,157,,,,246,1159,Johnny Green</t>
  </si>
  <si>
    <t>76867,1964-65,00,1610612752,NYK,31.0,78,,1720.0,346,737,0.469,,,,165,301,0.548,,,545.0,129,,,,194,857,Johnny Green</t>
  </si>
  <si>
    <t>76867,1965-66,00,1610612752,NYK,32.0,7,,208.0,43,79,0.544,,,,15,31,0.484,,,74.0,11,,,,21,101,Johnny Green</t>
  </si>
  <si>
    <t>989,1997-98,00,1610612752,NYK,25.0,7,0.0,13.0,2,10,0.2,0.0,0.0,0.0,0,0,0.0,6.0,0.0,6.0,0,1.0,0.0,0.0,3,4,Ben Davis</t>
  </si>
  <si>
    <t>989,1998-99,00,1610612752,NYK,26.0,8,0.0,21.0,7,17,0.412,0.0,0.0,0.0,3,6,0.5,9.0,2.0,11.0,3,0.0,0.0,1.0,4,17,Ben Davis</t>
  </si>
  <si>
    <t>77260,1992-93,00,1610612752,NYK,27.0,9,0.0,55.0,14,33,0.424,2.0,8.0,0.25,3,8,0.375,3.0,8.0,11.0,5,1.0,0.0,6.0,10,33,Bo Kimble</t>
  </si>
  <si>
    <t>76861,1989-90,00,1610612752,NYK,27.0,19,0.0,94.0,4,17,0.235,0.0,3.0,0.0,7,8,0.875,2.0,12.0,14.0,2,3.0,2.0,5.0,26,15,Stuart Gray</t>
  </si>
  <si>
    <t>76861,1990-91,00,1610612752,NYK,28.0,8,0.0,37.0,4,12,0.333,0.0,0.0,0.0,3,3,1.0,2.0,8.0,10.0,0,0.0,1.0,2.0,6,11,Stuart Gray</t>
  </si>
  <si>
    <t>1884,2011-12,00,1610612752,NYK,33.0,29,14.0,595.0,68,184,0.37,26.0,85.0,0.306,16,24,0.667,13.0,43.0,56.0,135,34.0,3.0,76.0,61,178,Baron Davis</t>
  </si>
  <si>
    <t>467,2012-13,00,1610612752,NYK,40.0,76,48.0,2043.0,152,409,0.372,114.0,325.0,0.351,40,48,0.833,50.0,273.0,323.0,249,125.0,25.0,76.0,125,458,Jason Kidd</t>
  </si>
  <si>
    <t>1626170,2015-16,00,1610612752,NYK,23.0,76,6.0,1265.0,154,391,0.394,22.0,100.0,0.22,96,123,0.78,23.0,120.0,143.0,177,50.0,10.0,87.0,97,426,Jerian Grant</t>
  </si>
  <si>
    <t>213,2005-06,00,1610612752,NYK,37.0,36,31.0,749.0,68,159,0.428,0.0,1.0,0.0,45,61,0.738,75.0,97.0,172.0,14,20.0,9.0,43.0,99,181,Antonio Davis</t>
  </si>
  <si>
    <t>990,2004-05,00,1610612752,NYK,30.0,26,4.0,612.0,74,174,0.425,1.0,6.0,0.167,68,87,0.782,34.0,80.0,114.0,18,15.0,7.0,46.0,84,217,Malik Rose</t>
  </si>
  <si>
    <t>990,2005-06,00,1610612752,NYK,31.0,72,35.0,1119.0,105,281,0.374,1.0,1.0,1.0,107,137,0.781,84.0,175.0,259.0,67,43.0,14.0,80.0,145,318,Malik Rose</t>
  </si>
  <si>
    <t>990,2006-07,00,1610612752,NYK,32.0,65,2.0,810.0,74,186,0.398,2.0,8.0,0.25,42,52,0.808,47.0,128.0,175.0,65,26.0,9.0,65.0,120,192,Malik Rose</t>
  </si>
  <si>
    <t>990,2007-08,00,1610612752,NYK,33.0,49,3.0,494.0,66,180,0.367,2.0,7.0,0.286,37,51,0.725,31.0,72.0,103.0,28,16.0,7.0,40.0,80,171,Malik Rose</t>
  </si>
  <si>
    <t>990,2008-09,00,1610612752,NYK,34.0,18,0.0,160.0,11,41,0.268,0.0,4.0,0.0,8,11,0.727,4.0,27.0,31.0,10,1.0,1.0,17.0,24,30,Malik Rose</t>
  </si>
  <si>
    <t>78128,1956-57,00,1610612752,NYK,23.0,7,,72.0,4,22,0.182,,,,2,5,0.4,,,22.0,0,,,,12,10,Ron Shavlik</t>
  </si>
  <si>
    <t>78128,1957-58,00,1610612752,NYK,24.0,1,,2.0,0,1,0.0,,,,0,0,,,,1.0,0,,,,0,0,Ron Shavlik</t>
  </si>
  <si>
    <t>1631211,2022-23,00,1610612752,NYK,19.0,3,0.0,8.0,1,4,0.25,1.0,4.0,0.25,0,0,0.0,0.0,2.0,2.0,0,0.0,0.0,0.0,0,3,Trevor Keels</t>
  </si>
  <si>
    <t>285,1990-91,00,1610612752,NYK,24.0,22,0.0,107.0,10,27,0.37,1.0,3.0,0.333,5,6,0.833,1.0,9.0,10.0,20,9.0,0.0,10.0,12,26,Greg Grant</t>
  </si>
  <si>
    <t>76509,1974-75,00,1610612752,NYK,23.0,47,,401.0,74,157,0.471,,,,22,40,0.55,15.0,22.0,37.0,30,3.0,1.0,,48,170,Jesse Dark</t>
  </si>
  <si>
    <t>78187,1953-54,00,1610612752,NYK,24.0,11,,104.0,11,45,0.244,,,,6,10,0.6,,,26.0,9,,,,15,28,Ed Smith</t>
  </si>
  <si>
    <t>77221,1946-47,00,1610612752,NYK,28.0,27,,0.0,71,274,0.259,,,,52,71,0.732,,,0.0,25,,,,57,194,Ralph Kaplowitz</t>
  </si>
  <si>
    <t>202,1995-96,00,1610612752,NYK,31.0,47,1.0,596.0,88,181,0.486,8.0,24.0,0.333,48,58,0.828,12.0,40.0,52.0,69,39.0,3.0,45.0,91,232,Gary Grant</t>
  </si>
  <si>
    <t>2223,2014-15,00,1610612752,NYK,35.0,32,21.0,544.0,57,130,0.438,0.0,0.0,0.0,14,20,0.7,53.0,115.0,168.0,29,14.0,41.0,39.0,70,128,Samuel Dalembert</t>
  </si>
  <si>
    <t>470,1992-93,00,1610612752,NYK,31.0,77,45.0,1886.0,216,494,0.437,39.0,123.0,0.317,133,162,0.821,26.0,166.0,192.0,405,123.0,9.0,114.0,215,604,Doc Rivers</t>
  </si>
  <si>
    <t>470,1993-94,00,1610612752,NYK,32.0,19,19.0,499.0,55,127,0.433,19.0,52.0,0.365,14,22,0.636,4.0,35.0,39.0,100,25.0,5.0,29.0,44,143,Doc Rivers</t>
  </si>
  <si>
    <t>470,1994-95,00,1610612752,NYK,33.0,3,0.0,47.0,4,13,0.308,3.0,5.0,0.6,8,11,0.727,2.0,7.0,9.0,8,4.0,0.0,4.0,8,19,Doc Rivers</t>
  </si>
  <si>
    <t>280,2000-01,00,1610612752,NYK,33.0,18,0.0,112.0,12,20,0.6,0.0,0.0,0.0,15,25,0.6,16.0,19.0,35.0,2,2.0,2.0,11.0,24,39,Felton Spencer</t>
  </si>
  <si>
    <t>280,2001-02,00,1610612752,NYK,34.0,32,8.0,248.0,6,26,0.231,0.0,0.0,0.0,17,33,0.515,16.0,34.0,50.0,3,7.0,8.0,12.0,73,29,Felton Spencer</t>
  </si>
  <si>
    <t>77218,1950-51,00,1610612752,NYK,23.0,61,,,111,286,0.388,,,,78,125,0.624,,,153.0,74,,,,102,300,George Kaftan</t>
  </si>
  <si>
    <t>77218,1951-52,00,1610612752,NYK,24.0,52,,955.0,115,307,0.375,,,,92,134,0.687,,,196.0,88,,,,107,322,George Kaftan</t>
  </si>
  <si>
    <t>76847,1986-87,00,1610612752,NYK,25.0,15,0.0,166.0,20,54,0.37,0.0,3.0,0.0,9,11,0.818,6.0,11.0,17.0,27,7.0,1.0,22.0,17,49,Stewart Granger</t>
  </si>
  <si>
    <t>2201,2005-06,00,1610612752,NYK,23.0,72,69.0,1866.0,336,597,0.563,0.0,0.0,0.0,307,486,0.632,145.0,287.0,432.0,19,28.0,56.0,179.0,239,979,Eddy Curry</t>
  </si>
  <si>
    <t>2201,2006-07,00,1610612752,NYK,24.0,81,81.0,2849.0,585,1016,0.576,1.0,1.0,1.0,405,659,0.615,195.0,376.0,571.0,68,34.0,40.0,295.0,265,1576,Eddy Curry</t>
  </si>
  <si>
    <t>2201,2007-08,00,1610612752,NYK,25.0,59,58.0,1530.0,297,544,0.546,0.0,0.0,0.0,187,300,0.623,111.0,164.0,275.0,32,14.0,29.0,126.0,157,781,Eddy Curry</t>
  </si>
  <si>
    <t>2201,2008-09,00,1610612752,NYK,26.0,3,0.0,12.0,2,2,1.0,0.0,0.0,0.0,1,3,0.333,0.0,4.0,4.0,0,0.0,0.0,2.0,5,5,Eddy Curry</t>
  </si>
  <si>
    <t>2201,2009-10,00,1610612752,NYK,27.0,7,0.0,62.0,8,21,0.381,0.0,0.0,0.0,10,17,0.588,4.0,9.0,13.0,0,0.0,1.0,13.0,13,26,Eddy Curry</t>
  </si>
  <si>
    <t>317,1990-91,00,1610612752,NYK,25.0,61,10.0,1173.0,180,410,0.439,27.0,93.0,0.29,79,105,0.752,30.0,101.0,131.0,204,59.0,17.0,74.0,137,466,John Starks</t>
  </si>
  <si>
    <t>317,1991-92,00,1610612752,NYK,26.0,82,0.0,2118.0,405,902,0.449,94.0,270.0,0.348,235,302,0.778,45.0,146.0,191.0,276,103.0,18.0,150.0,231,1139,John Starks</t>
  </si>
  <si>
    <t>317,1992-93,00,1610612752,NYK,27.0,80,51.0,2477.0,513,1199,0.428,108.0,336.0,0.321,263,331,0.795,54.0,150.0,204.0,404,91.0,12.0,173.0,234,1397,John Starks</t>
  </si>
  <si>
    <t>317,1993-94,00,1610612752,NYK,28.0,59,54.0,2057.0,410,977,0.42,113.0,337.0,0.335,187,248,0.754,37.0,148.0,185.0,348,95.0,6.0,184.0,191,1120,John Starks</t>
  </si>
  <si>
    <t>317,1994-95,00,1610612752,NYK,29.0,80,78.0,2725.0,419,1062,0.395,217.0,611.0,0.355,168,228,0.737,34.0,185.0,219.0,411,92.0,4.0,160.0,257,1223,John Starks</t>
  </si>
  <si>
    <t>317,1995-96,00,1610612752,NYK,30.0,81,71.0,2491.0,375,846,0.443,143.0,396.0,0.361,131,174,0.753,31.0,206.0,237.0,315,103.0,11.0,156.0,226,1024,John Starks</t>
  </si>
  <si>
    <t>317,1996-97,00,1610612752,NYK,31.0,77,1.0,2046.0,369,856,0.431,150.0,407.0,0.369,173,225,0.769,36.0,169.0,205.0,217,90.0,11.0,158.0,196,1061,John Starks</t>
  </si>
  <si>
    <t>317,1997-98,00,1610612752,NYK,32.0,82,10.0,2188.0,372,947,0.393,130.0,398.0,0.327,185,235,0.787,48.0,182.0,230.0,219,78.0,5.0,143.0,205,1059,John Starks</t>
  </si>
  <si>
    <t>1629629,2021-22,00,1610612752,NYK,22.0,15,0.0,216.0,27,65,0.415,8.0,31.0,0.258,29,32,0.906,5.0,16.0,21.0,10,12.0,4.0,13.0,15,91,Cam Reddish</t>
  </si>
  <si>
    <t>1629629,2022-23,00,1610612752,NYK,23.0,20,8.0,438.0,61,136,0.449,17.0,56.0,0.304,29,33,0.879,7.0,24.0,31.0,20,15.0,8.0,15.0,32,168,Cam Reddish</t>
  </si>
  <si>
    <t>77210,1956-57,00,1610612752,NYK,23.0,9,,91.0,18,49,0.367,,,,8,12,0.667,,,34.0,2,,,,15,44,Phil Jordon</t>
  </si>
  <si>
    <t>77210,1961-62,00,1610612752,NYK,28.0,76,,2195.0,403,1028,0.392,,,,96,168,0.571,,,482.0,156,,,,258,902,Phil Jordon</t>
  </si>
  <si>
    <t>97,1994-95,00,1610612752,NYK,30.0,2,0.0,8.0,1,4,0.25,0.0,0.0,0.0,0,0,0.0,3.0,2.0,5.0,2,0.0,0.0,0.0,2,2,Ronnie Grandison</t>
  </si>
  <si>
    <t>97,1995-96,00,1610612752,NYK,31.0,6,0.0,57.0,7,15,0.467,0.0,0.0,0.0,4,6,0.667,5.0,8.0,13.0,2,4.0,1.0,1.0,4,18,Ronnie Grandison</t>
  </si>
  <si>
    <t>187,1997-98,00,1610612752,NYK,37.0,30,1.0,529.0,103,216,0.477,0.0,0.0,0.0,28,40,0.7,42.0,93.0,135.0,26,16.0,5.0,34.0,79,234,Terry Cummings</t>
  </si>
  <si>
    <t>202366,2011-12,00,1610612752,NYK,25.0,21,0.0,108.0,17,33,0.515,0.0,0.0,0.0,8,10,0.8,14.0,13.0,27.0,4,1.0,6.0,2.0,15,42,Jerome Jordan</t>
  </si>
  <si>
    <t>76836,1946-47,00,1610612752,NYK,26.0,57,,,149,494,0.302,,,,36,55,0.655,,,,24,,,,71,334,Leo Gottlieb</t>
  </si>
  <si>
    <t>76836,1947-48,00,1610612752,NYK,27.0,27,,,59,228,0.259,,,,13,21,0.619,,,,12,,,,36,131,Leo Gottlieb</t>
  </si>
  <si>
    <t>76483,1984-85,00,1610612752,NYK,28.0,63,63.0,2069.0,410,797,0.514,0.0,4.0,0.0,177,227,0.78,139.0,379.0,518.0,109,50.0,17.0,166.0,247,997,Pat Cummings</t>
  </si>
  <si>
    <t>76483,1985-86,00,1610612752,NYK,29.0,31,30.0,1007.0,195,408,0.478,0.0,2.0,0.0,97,139,0.698,92.0,188.0,280.0,47,27.0,12.0,87.0,136,487,Pat Cummings</t>
  </si>
  <si>
    <t>76483,1986-87,00,1610612752,NYK,30.0,49,11.0,1056.0,172,382,0.45,0.0,0.0,0.0,79,110,0.718,123.0,189.0,312.0,38,26.0,7.0,85.0,145,423,Pat Cummings</t>
  </si>
  <si>
    <t>76483,1987-88,00,1610612752,NYK,31.0,62,9.0,946.0,140,307,0.456,0.0,1.0,0.0,59,80,0.738,82.0,153.0,235.0,37,20.0,10.0,65.0,143,339,Pat Cummings</t>
  </si>
  <si>
    <t>78133,1976-77,00,1610612752,NYK,21.0,82,,2104.0,398,836,0.476,,,,159,225,0.707,220.0,413.0,633.0,149,125.0,98.0,,363,955,Lonnie Shelton</t>
  </si>
  <si>
    <t>78133,1977-78,00,1610612752,NYK,22.0,82,,2319.0,508,988,0.514,,,,203,276,0.736,204.0,376.0,580.0,195,109.0,112.0,228.0,350,1219,Lonnie Shelton</t>
  </si>
  <si>
    <t>77903,1952-53,00,1610612752,NYK,24.0,6,,63.0,3,21,0.143,,,,3,8,0.375,,,8.0,6,,,,10,9,Sherwin Raiken</t>
  </si>
  <si>
    <t>77843,1954-55,00,1610612752,NYK,23.0,37,,503.0,62,169,0.367,,,,30,45,0.667,,,154.0,31,,,,80,154,Bob Peterson</t>
  </si>
  <si>
    <t>77843,1955-56,00,1610612752,NYK,24.0,58,,779.0,121,303,0.399,,,,68,104,0.654,,,223.0,44,,,,123,310,Bob Peterson</t>
  </si>
  <si>
    <t>78162,1986-87,00,1610612752,NYK,25.0,2,0.0,10.0,2,3,0.667,0.0,1.0,0.0,0,0,0.0,0.0,0.0,0.0,1,0.0,0.0,0.0,1,4,Mckinley Singleton</t>
  </si>
  <si>
    <t>201599,2018-19,00,1610612752,NYK,30.0,19,19.0,493.0,78,123,0.634,0.0,0.0,0.0,51,66,0.773,64.0,152.0,216.0,57,9.0,20.0,42.0,42,207,DeAndre Jordan</t>
  </si>
  <si>
    <t>76830,1977-78,00,1610612752,NYK,22.0,72,,1017.0,131,339,0.386,,,,83,121,0.686,92.0,158.0,250.0,83,56.0,18.0,82.0,181,345,Glen Gondrezick</t>
  </si>
  <si>
    <t>76830,1978-79,00,1610612752,NYK,23.0,75,,1602.0,161,326,0.494,,,,55,97,0.567,147.0,277.0,424.0,106,98.0,18.0,95.0,226,377,Glen Gondrezick</t>
  </si>
  <si>
    <t>201621,2008-09,00,1610612752,NYK,23.0,2,0.0,23.0,3,10,0.3,1.0,4.0,0.25,2,2,1.0,1.0,3.0,4.0,1,1.0,0.0,0.0,2,9,Joe Crawford</t>
  </si>
  <si>
    <t>76233,1967-68,00,1610612752,NYK,24.0,45,,874.0,142,341,0.416,,,,76,104,0.731,,,113.0,137,,,,138,360,Bill Bradley</t>
  </si>
  <si>
    <t>76233,1968-69,00,1610612752,NYK,25.0,82,,2413.0,407,948,0.429,,,,206,253,0.814,,,350.0,302,,,,295,1020,Bill Bradley</t>
  </si>
  <si>
    <t>76233,1969-70,00,1610612752,NYK,26.0,67,,2098.0,413,897,0.46,,,,145,176,0.824,,,239.0,268,,,,219,971,Bill Bradley</t>
  </si>
  <si>
    <t>76233,1970-71,00,1610612752,NYK,27.0,78,,2300.0,413,912,0.453,,,,144,175,0.823,,,260.0,280,,,,245,970,Bill Bradley</t>
  </si>
  <si>
    <t>76233,1971-72,00,1610612752,NYK,28.0,78,,2780.0,504,1085,0.465,,,,169,199,0.849,,,250.0,315,,,,254,1177,Bill Bradley</t>
  </si>
  <si>
    <t>76233,1972-73,00,1610612752,NYK,29.0,82,,2998.0,575,1252,0.459,,,,169,194,0.871,,,301.0,367,,,,273,1319,Bill Bradley</t>
  </si>
  <si>
    <t>76233,1973-74,00,1610612752,NYK,30.0,82,,2813.0,502,1112,0.451,,,,146,167,0.874,59.0,194.0,253.0,242,42.0,21.0,,278,1150,Bill Bradley</t>
  </si>
  <si>
    <t>76233,1974-75,00,1610612752,NYK,31.0,79,,2787.0,452,1036,0.436,,,,144,165,0.873,65.0,186.0,251.0,247,74.0,18.0,,283,1048,Bill Bradley</t>
  </si>
  <si>
    <t>76233,1975-76,00,1610612752,NYK,32.0,82,,2709.0,392,906,0.433,,,,130,148,0.878,47.0,187.0,234.0,247,68.0,18.0,,256,914,Bill Bradley</t>
  </si>
  <si>
    <t>76233,1976-77,00,1610612752,NYK,33.0,67,,1027.0,127,274,0.464,,,,34,42,0.81,27.0,76.0,103.0,128,25.0,8.0,,122,288,Bill Bradley</t>
  </si>
  <si>
    <t>76210,1949-50,00,1610612752,NYK,23.0,59,,,204,600,0.34,,,,204,267,0.764,,,,95,,,,203,612,Vince Boryla</t>
  </si>
  <si>
    <t>76210,1950-51,00,1610612752,NYK,24.0,66,,,352,867,0.406,,,,278,332,0.837,,,249.0,182,,,,244,982,Vince Boryla</t>
  </si>
  <si>
    <t>76210,1951-52,00,1610612752,NYK,25.0,42,,1440.0,202,522,0.387,,,,96,115,0.835,,,219.0,90,,,,121,500,Vince Boryla</t>
  </si>
  <si>
    <t>76210,1952-53,00,1610612752,NYK,26.0,66,,2200.0,254,686,0.37,,,,165,201,0.821,,,233.0,166,,,,226,673,Vince Boryla</t>
  </si>
  <si>
    <t>76210,1953-54,00,1610612752,NYK,27.0,52,,1522.0,175,525,0.333,,,,70,81,0.864,,,130.0,77,,,,128,420,Vince Boryla</t>
  </si>
  <si>
    <t>1626171,2019-20,00,1610612752,NYK,25.0,66,5.0,1394.0,265,589,0.45,67.0,187.0,0.358,71,93,0.763,80.0,258.0,338.0,98,32.0,18.0,73.0,110,668,Bobby Portis</t>
  </si>
  <si>
    <t>200780,2012-13,00,1610612752,NYK,28.0,2,1.0,26.0,0,1,0.0,0.0,0.0,0.0,0,0,0.0,1.0,2.0,3.0,0,0.0,1.0,3.0,3,0,Solomon Jones</t>
  </si>
  <si>
    <t>76828,1962-63,00,1610612752,NYK,30.0,73,,2670.0,363,791,0.459,,,,170,219,0.776,,,517.0,298,,,,295,896,Tom Gola</t>
  </si>
  <si>
    <t>76828,1963-64,00,1610612752,NYK,31.0,74,,2156.0,258,602,0.429,,,,154,212,0.726,,,469.0,257,,,,278,670,Tom Gola</t>
  </si>
  <si>
    <t>76828,1964-65,00,1610612752,NYK,32.0,77,,1727.0,204,455,0.448,,,,133,180,0.739,,,319.0,220,,,,269,541,Tom Gola</t>
  </si>
  <si>
    <t>76828,1965-66,00,1610612752,NYK,33.0,74,,1127.0,122,271,0.45,,,,82,105,0.781,,,289.0,191,,,,207,326,Tom Gola</t>
  </si>
  <si>
    <t>2037,2004-05,00,1610612752,NYK,25.0,70,67.0,2688.0,437,1097,0.398,185.0,512.0,0.361,182,216,0.843,33.0,170.0,203.0,302,92.0,19.0,148.0,135,1241,Jamal Crawford</t>
  </si>
  <si>
    <t>2037,2005-06,00,1610612752,NYK,26.0,79,27.0,2555.0,366,879,0.416,101.0,293.0,0.345,295,357,0.826,36.0,212.0,248.0,301,87.0,15.0,175.0,150,1128,Jamal Crawford</t>
  </si>
  <si>
    <t>2037,2006-07,00,1610612752,NYK,27.0,59,36.0,2198.0,354,886,0.4,103.0,322.0,0.32,228,272,0.838,44.0,145.0,189.0,259,57.0,8.0,162.0,114,1039,Jamal Crawford</t>
  </si>
  <si>
    <t>2037,2007-08,00,1610612752,NYK,28.0,80,80.0,3190.0,570,1391,0.41,176.0,494.0,0.356,329,381,0.864,37.0,170.0,207.0,398,81.0,17.0,192.0,144,1645,Jamal Crawford</t>
  </si>
  <si>
    <t>2037,2008-09,00,1610612752,NYK,29.0,11,11.0,392.0,73,169,0.432,35.0,77.0,0.455,35,46,0.761,2.0,15.0,17.0,48,9.0,0.0,26.0,13,216,Jamal Crawford</t>
  </si>
  <si>
    <t>76243,1947-48,00,1610612752,NYK,20.0,47,,,276,854,0.323,,,,119,183,0.65,,,,61,,,,102,671,Carl Braun</t>
  </si>
  <si>
    <t>76243,1948-49,00,1610612752,NYK,21.0,57,,,299,906,0.33,,,,212,279,0.76,,,,173,,,,144,810,Carl Braun</t>
  </si>
  <si>
    <t>76243,1949-50,00,1610612752,NYK,22.0,67,,,373,1024,0.364,,,,285,374,0.762,,,,247,,,,188,1031,Carl Braun</t>
  </si>
  <si>
    <t>76243,1952-53,00,1610612752,NYK,25.0,70,,2316.0,323,807,0.4,,,,331,401,0.825,,,233.0,243,,,,287,977,Carl Braun</t>
  </si>
  <si>
    <t>76243,1953-54,00,1610612752,NYK,26.0,72,,2373.0,354,884,0.4,,,,354,429,0.825,,,246.0,209,,,,259,1062,Carl Braun</t>
  </si>
  <si>
    <t>76243,1954-55,00,1610612752,NYK,27.0,71,,2479.0,400,1032,0.388,,,,274,342,0.801,,,295.0,274,,,,208,1074,Carl Braun</t>
  </si>
  <si>
    <t>76243,1955-56,00,1610612752,NYK,28.0,72,,2316.0,396,1064,0.372,,,,320,382,0.838,,,259.0,298,,,,215,1112,Carl Braun</t>
  </si>
  <si>
    <t>76243,1956-57,00,1610612752,NYK,29.0,72,,2345.0,378,993,0.381,,,,245,303,0.809,,,259.0,256,,,,195,1001,Carl Braun</t>
  </si>
  <si>
    <t>76243,1957-58,00,1610612752,NYK,30.0,71,,2475.0,426,1018,0.418,,,,321,378,0.849,,,330.0,393,,,,183,1173,Carl Braun</t>
  </si>
  <si>
    <t>76243,1958-59,00,1610612752,NYK,31.0,72,,1959.0,287,684,0.42,,,,180,218,0.826,,,251.0,349,,,,178,754,Carl Braun</t>
  </si>
  <si>
    <t>76243,1959-60,00,1610612752,NYK,32.0,54,,1514.0,285,659,0.432,,,,129,154,0.838,,,168.0,270,,,,127,699,Carl Braun</t>
  </si>
  <si>
    <t>76243,1960-61,00,1610612752,NYK,33.0,15,,218.0,37,79,0.468,,,,11,14,0.786,,,31.0,48,,,,29,85,Carl Braun</t>
  </si>
  <si>
    <t>78238,1965-66,00,1610612752,NYK,24.0,80,,1893.0,373,820,0.455,,,,258,376,0.686,,,492.0,186,,,,237,1004,Dave Stallworth</t>
  </si>
  <si>
    <t>78238,1966-67,00,1610612752,NYK,25.0,76,,1889.0,380,816,0.466,,,,229,320,0.716,,,472.0,144,,,,226,989,Dave Stallworth</t>
  </si>
  <si>
    <t>78238,1969-70,00,1610612752,NYK,28.0,82,,1375.0,239,557,0.429,,,,161,225,0.716,,,323.0,139,,,,194,639,Dave Stallworth</t>
  </si>
  <si>
    <t>78238,1970-71,00,1610612752,NYK,29.0,81,,1565.0,295,685,0.431,,,,169,230,0.735,,,352.0,106,,,,175,759,Dave Stallworth</t>
  </si>
  <si>
    <t>78238,1971-72,00,1610612752,NYK,30.0,14,,225.0,33,88,0.375,,,,29,35,0.829,,,35.0,25,,,,31,95,Dave Stallworth</t>
  </si>
  <si>
    <t>78238,1974-75,00,1610612752,NYK,33.0,7,,57.0,5,18,0.278,,,,0,0,,6.0,14.0,20.0,2,3.0,3.0,,10,10,Dave Stallworth</t>
  </si>
  <si>
    <t>2410,2007-08,00,1610612752,NYK,29.0,70,26.0,1757.0,182,432,0.421,74.0,192.0,0.385,94,126,0.746,30.0,140.0,170.0,166,48.0,18.0,78.0,140,532,Fred Jones</t>
  </si>
  <si>
    <t>76822,1978-79,00,1610612752,NYK,23.0,75,,1171.0,263,486,0.541,,,,57,63,0.905,28.0,54.0,82.0,136,37.0,6.0,64.0,113,583,Mike Glenn</t>
  </si>
  <si>
    <t>76822,1979-80,00,1610612752,NYK,24.0,75,,800.0,188,364,0.516,2.0,10.0,0.2,63,73,0.863,21.0,45.0,66.0,85,35.0,7.0,38.0,79,441,Mike Glenn</t>
  </si>
  <si>
    <t>76822,1980-81,00,1610612752,NYK,25.0,82,,1506.0,285,511,0.558,4.0,11.0,0.364,98,110,0.891,27.0,61.0,88.0,108,72.0,5.0,62.0,126,672,Mike Glenn</t>
  </si>
  <si>
    <t>76466,1966-67,00,1610612752,NYK,26.0,19,,192.0,44,116,0.379,,,,24,38,0.632,,,48.0,12,,,,39,112,Freddie Crawford</t>
  </si>
  <si>
    <t>76466,1967-68,00,1610612752,NYK,27.0,31,,426.0,65,177,0.367,,,,37,59,0.627,,,83.0,46,,,,67,167,Freddie Crawford</t>
  </si>
  <si>
    <t>203112,2014-15,00,1610612752,NYK,24.0,68,22.0,1287.0,152,331,0.459,18.0,60.0,0.3,76,97,0.784,79.0,222.0,301.0,68,27.0,22.0,60.0,147,398,Quincy Acy</t>
  </si>
  <si>
    <t>200754,2008-09,00,1610612752,NYK,23.0,1,0.0,6.0,1,2,0.5,0.0,0.0,0.0,1,1,1.0,2.0,3.0,5.0,0,0.0,1.0,1.0,0,3,Mouhamed Sene</t>
  </si>
  <si>
    <t>77757,1986-87,00,1610612752,NYK,29.0,44,9.0,776.0,71,174,0.408,0.0,1.0,0.0,31,57,0.544,51.0,128.0,179.0,19,22.0,71.0,48.0,95,173,Jawann Oldham</t>
  </si>
  <si>
    <t>77161,1966-67,00,1610612752,NYK,24.0,51,,522.0,59,171,0.345,,,,57,86,0.663,,,167.0,38,,,,102,175,Neil Johnson</t>
  </si>
  <si>
    <t>77161,1967-68,00,1610612752,NYK,25.0,43,,286.0,44,106,0.415,,,,23,48,0.479,,,75.0,33,,,,63,111,Neil Johnson</t>
  </si>
  <si>
    <t>201592,2009-10,00,1610612752,NYK,25.0,11,0.0,140.0,19,39,0.487,0.0,8.0,0.0,7,11,0.636,12.0,19.0,31.0,7,5.0,1.0,10.0,19,45,J.R. Giddens</t>
  </si>
  <si>
    <t>76447,1979-80,00,1610612752,NYK,24.0,75,,1142.0,182,368,0.495,0.0,2.0,0.0,63,86,0.733,70.0,86.0,156.0,80,61.0,25.0,84.0,154,427,Hollis Copeland</t>
  </si>
  <si>
    <t>76447,1981-82,00,1610612752,NYK,26.0,18,0.0,118.0,16,38,0.421,0.0,0.0,,5,6,0.833,3.0,2.0,5.0,9,4.0,2.0,4.0,19,37,Hollis Copeland</t>
  </si>
  <si>
    <t>913,1996-97,00,1610612752,NYK,28.0,76,76.0,2613.0,376,735,0.512,34.0,105.0,0.324,190,274,0.693,165.0,228.0,393.0,174,64.0,36.0,136.0,249,976,Larry Johnson</t>
  </si>
  <si>
    <t>913,1997-98,00,1610612752,NYK,29.0,70,70.0,2412.0,429,884,0.485,15.0,63.0,0.238,214,283,0.756,175.0,226.0,401.0,150,40.0,13.0,127.0,193,1087,Larry Johnson</t>
  </si>
  <si>
    <t>913,1998-99,00,1610612752,NYK,30.0,49,48.0,1639.0,210,458,0.459,33.0,92.0,0.359,134,164,0.817,91.0,193.0,284.0,119,34.0,10.0,89.0,147,587,Larry Johnson</t>
  </si>
  <si>
    <t>913,1999-00,00,1610612752,NYK,31.0,70,68.0,2281.0,282,652,0.433,58.0,174.0,0.333,128,167,0.766,87.0,293.0,380.0,175,42.0,7.0,94.0,205,750,Larry Johnson</t>
  </si>
  <si>
    <t>913,2000-01,00,1610612752,NYK,32.0,65,65.0,2108.0,246,598,0.411,51.0,163.0,0.313,102,128,0.797,90.0,273.0,363.0,127,39.0,29.0,97.0,209,645,Larry Johnson</t>
  </si>
  <si>
    <t>201959,2019-20,00,1610612752,NYK,35.0,62,56.0,1025.0,167,286,0.584,4.0,14.0,0.286,41,56,0.732,111.0,156.0,267.0,52,27.0,30.0,47.0,122,379,Taj Gibson</t>
  </si>
  <si>
    <t>201959,2020-21,00,1610612752,NYK,36.0,45,3.0,936.0,99,158,0.627,3.0,15.0,0.2,40,55,0.727,99.0,151.0,250.0,36,31.0,49.0,22.0,99,241,Taj Gibson</t>
  </si>
  <si>
    <t>201959,2021-22,00,1610612752,NYK,37.0,52,4.0,946.0,86,166,0.518,15.0,38.0,0.395,42,52,0.808,88.0,141.0,229.0,32,22.0,40.0,27.0,137,229,Taj Gibson</t>
  </si>
  <si>
    <t>201959,2023-24,00,1610612752,NYK,39.0,16,1.0,165.0,7,23,0.304,0.0,6.0,0.0,2,2,1.0,10.0,18.0,28.0,9,2.0,6.0,5.0,28,16,Taj Gibson</t>
  </si>
  <si>
    <t>203142,2012-13,00,1610612752,NYK,29.0,56,13.0,862.0,182,380,0.479,59.0,140.0,0.421,63,83,0.759,34.0,85.0,119.0,27,16.0,12.0,50.0,104,486,Chris Copeland</t>
  </si>
  <si>
    <t>2035,2003-04,00,1610612752,NYK,24.0,21,1.0,287.0,36,97,0.371,13.0,36.0,0.361,28,31,0.903,5.0,34.0,39.0,11,8.0,7.0,16.0,32,113,DerMarr Johnson</t>
  </si>
  <si>
    <t>76806,1972-73,00,1610612752,NYK,23.0,52,,516.0,79,175,0.451,,,,23,33,0.697,,,150.0,25,,,,72,181,John Gianelli</t>
  </si>
  <si>
    <t>76806,1973-74,00,1610612752,NYK,24.0,70,,1423.0,208,434,0.479,,,,92,121,0.76,110.0,233.0,343.0,77,23.0,42.0,,159,508,John Gianelli</t>
  </si>
  <si>
    <t>76806,1974-75,00,1610612752,NYK,25.0,80,,2797.0,343,726,0.472,,,,135,195,0.692,214.0,475.0,689.0,163,38.0,118.0,,263,821,John Gianelli</t>
  </si>
  <si>
    <t>76806,1975-76,00,1610612752,NYK,26.0,82,,2332.0,325,687,0.473,,,,114,160,0.713,187.0,365.0,552.0,115,25.0,62.0,,194,764,John Gianelli</t>
  </si>
  <si>
    <t>76806,1976-77,00,1610612752,NYK,27.0,19,,630.0,86,182,0.473,,,,35,48,0.729,60.0,118.0,178.0,26,14.0,28.0,,54,207,John Gianelli</t>
  </si>
  <si>
    <t>76434,1954-55,00,1610612752,NYK,26.0,37,,424.0,42,133,0.316,,,,34,50,0.68,,,72.0,33,,,,39,118,Bert Cook</t>
  </si>
  <si>
    <t>1746,1999-00,00,1610612752,NYK,24.0,5,0.0,37.0,3,9,0.333,0.0,0.0,0.0,0,0,0.0,3.0,4.0,7.0,0,1.0,0.0,3.0,5,6,DeMarco Johnson</t>
  </si>
  <si>
    <t>76800,1959-60,00,1610612752,NYK,31.0,69,,1604.0,250,650,0.385,,,,155,202,0.767,,,197.0,240,,,,148,655,Jack George</t>
  </si>
  <si>
    <t>76800,1960-61,00,1610612752,NYK,32.0,16,,268.0,31,93,0.333,,,,20,30,0.667,,,32.0,39,,,,37,82,Jack George</t>
  </si>
  <si>
    <t>76428,1962-63,00,1610612752,NYK,32.0,70,,1544.0,254,651,0.39,,,,122,186,0.656,,,469.0,70,,,,263,630,Gene Conley</t>
  </si>
  <si>
    <t>76428,1963-64,00,1610612752,NYK,33.0,46,,551.0,74,189,0.392,,,,44,65,0.677,,,156.0,21,,,,124,192,Gene Conley</t>
  </si>
  <si>
    <t>202697,2011-12,00,1610612752,NYK,22.0,59,35.0,1705.0,214,534,0.401,48.0,157.0,0.306,87,109,0.798,42.0,144.0,186.0,164,101.0,8.0,111.0,173,563,Iman Shumpert</t>
  </si>
  <si>
    <t>202697,2012-13,00,1610612752,NYK,23.0,45,45.0,996.0,109,275,0.396,51.0,127.0,0.402,36,47,0.766,31.0,105.0,136.0,75,43.0,7.0,37.0,99,305,Iman Shumpert</t>
  </si>
  <si>
    <t>202697,2013-14,00,1610612752,NYK,24.0,74,58.0,1962.0,183,484,0.378,76.0,228.0,0.333,53,71,0.746,81.0,227.0,308.0,129,92.0,13.0,79.0,209,495,Iman Shumpert</t>
  </si>
  <si>
    <t>202697,2014-15,00,1610612752,NYK,25.0,24,24.0,625.0,88,215,0.409,23.0,66.0,0.348,25,37,0.676,22.0,59.0,81.0,78,30.0,3.0,42.0,67,224,Iman Shumpert</t>
  </si>
  <si>
    <t>1137,1996-97,00,1610612752,NYK,27.0,3,0.0,9.0,2,6,0.333,2.0,3.0,0.667,0,0,0.0,1.0,0.0,1.0,1,0.0,0.0,0.0,2,6,Chris Jent</t>
  </si>
  <si>
    <t>76788,1973-74,00,1610612752,NYK,27.0,25,,239.0,32,91,0.352,,,,10,13,0.769,10.0,16.0,26.0,14,7.0,1.0,,41,74,Eldo Garrett</t>
  </si>
  <si>
    <t>76422,1948-49,00,1610612752,NYK,23.0,15,,,35,113,0.31,,,,13,19,0.684,,,,9,,,,25,83,Joe Colone</t>
  </si>
  <si>
    <t>78223,1957-58,00,1610612752,NYK,25.0,72,,1661.0,318,838,0.379,,,,165,257,0.642,,,461.0,69,,,,232,801,Guy Sparrow</t>
  </si>
  <si>
    <t>78223,1958-59,00,1610612752,NYK,26.0,67,,842.0,129,406,0.318,,,,78,138,0.565,,,244.0,67,,,,158,336,Guy Sparrow</t>
  </si>
  <si>
    <t>203147,2013-14,00,1610612752,NYK,26.0,2,0.0,2.0,0,0,0.0,0.0,0.0,0.0,0,0,0.0,0.0,0.0,0.0,0,0.0,0.0,0.0,0,0,Chris Smith</t>
  </si>
  <si>
    <t>202360,2010-11,00,1610612752,NYK,24.0,5,0.0,24.0,3,7,0.429,1.0,4.0,0.25,1,2,0.5,0.0,1.0,1.0,3,1.0,0.0,7.0,0,8,Andy Rautins</t>
  </si>
  <si>
    <t>201943,2016-17,00,1610612752,NYK,27.0,58,11.0,1428.0,163,429,0.38,68.0,200.0,0.34,102,135,0.756,21.0,131.0,152.0,287,55.0,4.0,106.0,84,496,Brandon Jennings</t>
  </si>
  <si>
    <t>1628656,2018-19,00,1610612752,NYK,24.0,4,0.0,63.0,11,27,0.407,0.0,8.0,0.0,4,4,1.0,0.0,3.0,3.0,7,1.0,1.0,2.0,3,26,Billy Garrett</t>
  </si>
  <si>
    <t>200776,2006-07,00,1610612752,NYK,22.0,52,9.0,777.0,87,228,0.382,13.0,47.0,0.277,48,82,0.585,28.0,76.0,104.0,83,32.0,3.0,57.0,75,235,Mardy Collins</t>
  </si>
  <si>
    <t>200776,2007-08,00,1610612752,NYK,23.0,46,8.0,634.0,57,175,0.326,8.0,32.0,0.25,23,38,0.605,19.0,56.0,75.0,89,24.0,8.0,56.0,56,145,Mardy Collins</t>
  </si>
  <si>
    <t>200776,2008-09,00,1610612752,NYK,24.0,9,0.0,75.0,8,23,0.348,0.0,3.0,0.0,4,9,0.444,2.0,6.0,8.0,10,2.0,0.0,5.0,7,20,Mardy Collins</t>
  </si>
  <si>
    <t>203098,2018-19,00,1610612752,NYK,28.0,22,0.0,319.0,40,103,0.388,20.0,56.0,0.357,15,18,0.833,6.0,30.0,36.0,21,0.0,2.0,9.0,10,115,John Jenkins</t>
  </si>
  <si>
    <t>76783,1960-61,00,1610612752,NYK,28.0,71,,2238.0,415,943,0.44,,,,275,358,0.768,,,277.0,220,,,,240,1105,Dick Garmaker</t>
  </si>
  <si>
    <t>76411,1985-86,00,1610612752,NYK,24.0,45,1.0,469.0,75,184,0.408,3.0,15.0,0.2,12,20,0.6,6.0,40.0,46.0,82,20.0,3.0,49.0,65,165,Fred Cofield</t>
  </si>
  <si>
    <t>77966,1968-69,00,1610612752,NYK,23.0,54,,397.0,49,144,0.34,,,,28,42,0.667,,,57.0,46,,,,93,126,Mike Riordan</t>
  </si>
  <si>
    <t>77966,1969-70,00,1610612752,NYK,24.0,81,,1677.0,255,549,0.464,,,,114,165,0.691,,,194.0,201,,,,192,624,Mike Riordan</t>
  </si>
  <si>
    <t>77966,1970-71,00,1610612752,NYK,25.0,82,,1320.0,162,388,0.418,,,,67,108,0.62,,,169.0,121,,,,151,391,Mike Riordan</t>
  </si>
  <si>
    <t>77966,1971-72,00,1610612752,NYK,26.0,4,,33.0,4,11,0.364,,,,0,1,0.0,,,1.0,2,,,,2,8,Mike Riordan</t>
  </si>
  <si>
    <t>77894,1971-72,00,1610612752,NYK,26.0,62,,618.0,92,215,0.428,,,,49,84,0.583,,,187.0,18,,,,104,233,Luke Rackley</t>
  </si>
  <si>
    <t>77894,1972-73,00,1610612752,NYK,27.0,1,,2.0,0,0,,,,,0,0,,,,1.0,0,,,,2,0,Luke Rackley</t>
  </si>
  <si>
    <t>203658,2020-21,00,1610612752,NYK,28.0,9,0.0,52.0,5,7,0.714,0.0,0.0,0.0,1,2,0.5,2.0,9.0,11.0,1,1.0,6.0,0.0,4,11,Norvel Pelle</t>
  </si>
  <si>
    <t>2407,2006-07,00,1610612752,NYK,25.0,55,43.0,1307.0,95,206,0.461,2.0,20.0,0.1,31,68,0.456,111.0,127.0,238.0,67,44.0,30.0,61.0,150,223,Jared Jeffries</t>
  </si>
  <si>
    <t>2407,2007-08,00,1610612752,NYK,26.0,73,19.0,1325.0,108,270,0.4,4.0,25.0,0.16,49,93,0.527,118.0,125.0,243.0,66,36.0,23.0,64.0,132,269,Jared Jeffries</t>
  </si>
  <si>
    <t>2407,2008-09,00,1610612752,NYK,27.0,56,36.0,1310.0,120,273,0.44,1.0,12.0,0.083,55,90,0.611,128.0,103.0,231.0,80,47.0,33.0,65.0,153,296,Jared Jeffries</t>
  </si>
  <si>
    <t>2407,2009-10,00,1610612752,NYK,28.0,52,37.0,1462.0,102,230,0.443,20.0,62.0,0.323,60,93,0.645,99.0,124.0,223.0,83,53.0,58.0,62.0,157,284,Jared Jeffries</t>
  </si>
  <si>
    <t>2407,2010-11,00,1610612752,NYK,29.0,24,9.0,463.0,19,50,0.38,1.0,3.0,0.333,8,19,0.421,42.0,39.0,81.0,25,24.0,14.0,17.0,54,47,Jared Jeffries</t>
  </si>
  <si>
    <t>2407,2011-12,00,1610612752,NYK,30.0,39,4.0,729.0,59,144,0.41,3.0,16.0,0.188,49,72,0.681,69.0,83.0,152.0,26,29.0,25.0,29.0,89,170,Jared Jeffries</t>
  </si>
  <si>
    <t>204038,2014-15,00,1610612752,NYK,23.0,45,41.0,1457.0,204,511,0.399,62.0,176.0,0.352,63,78,0.808,37.0,153.0,190.0,150,52.0,12.0,61.0,129,533,Langston Galloway</t>
  </si>
  <si>
    <t>204038,2015-16,00,1610612752,NYK,24.0,82,7.0,2033.0,231,588,0.393,77.0,224.0,0.344,86,114,0.754,43.0,245.0,288.0,207,77.0,22.0,61.0,177,625,Langston Galloway</t>
  </si>
  <si>
    <t>76408,1946-47,00,1610612752,NYK,29.0,54,,,93,356,0.261,,,,52,91,0.571,,,,22,,,,113,238,Marion Cluggish</t>
  </si>
  <si>
    <t>76228,1981-82,00,1610612752,NYK,22.0,39,0.0,331.0,54,103,0.524,0.0,1.0,0.0,29,48,0.604,31.0,34.0,65.0,11,12.0,5.0,28.0,37,137,Alex Bradley</t>
  </si>
  <si>
    <t>2405,2010-11,00,1610612752,NYK,28.0,78,78.0,2870.0,744,1482,0.502,10.0,23.0,0.435,473,597,0.792,198.0,438.0,636.0,202,71.0,150.0,250.0,274,1971,Amar'e Stoudemire</t>
  </si>
  <si>
    <t>2405,2011-12,00,1610612752,NYK,29.0,47,47.0,1543.0,316,654,0.483,5.0,21.0,0.238,186,243,0.765,106.0,261.0,367.0,52,38.0,45.0,112.0,138,823,Amar'e Stoudemire</t>
  </si>
  <si>
    <t>2405,2012-13,00,1610612752,NYK,30.0,29,0.0,682.0,154,267,0.577,0.0,0.0,0.0,105,130,0.808,60.0,85.0,145.0,13,10.0,21.0,50.0,89,413,Amar'e Stoudemire</t>
  </si>
  <si>
    <t>2405,2013-14,00,1610612752,NYK,31.0,65,21.0,1466.0,311,558,0.557,0.0,0.0,0.0,150,203,0.739,112.0,208.0,320.0,34,23.0,37.0,91.0,159,772,Amar'e Stoudemire</t>
  </si>
  <si>
    <t>2405,2014-15,00,1610612752,NYK,32.0,36,14.0,865.0,169,311,0.543,0.0,3.0,0.0,94,127,0.74,83.0,162.0,245.0,37,20.0,34.0,63.0,111,432,Amar'e Stoudemire</t>
  </si>
  <si>
    <t>76404,1950-51,00,1610612752,NYK,28.0,65,,,211,656,0.322,,,,140,263,0.532,,,491.0,162,,,,269,562,Nat Clifton</t>
  </si>
  <si>
    <t>76404,1951-52,00,1610612752,NYK,29.0,62,,2101.0,244,729,0.335,,,,170,256,0.664,,,731.0,209,,,,227,658,Nat Clifton</t>
  </si>
  <si>
    <t>76404,1952-53,00,1610612752,NYK,30.0,70,,2496.0,272,794,0.343,,,,200,343,0.583,,,761.0,231,,,,274,744,Nat Clifton</t>
  </si>
  <si>
    <t>76404,1953-54,00,1610612752,NYK,31.0,72,,2179.0,257,699,0.368,,,,174,277,0.628,,,528.0,176,,,,215,688,Nat Clifton</t>
  </si>
  <si>
    <t>76404,1954-55,00,1610612752,NYK,32.0,72,,2390.0,360,932,0.386,,,,224,328,0.683,,,612.0,198,,,,221,944,Nat Clifton</t>
  </si>
  <si>
    <t>76404,1955-56,00,1610612752,NYK,33.0,64,,1537.0,213,541,0.394,,,,135,191,0.707,,,386.0,151,,,,189,561,Nat Clifton</t>
  </si>
  <si>
    <t>76404,1956-57,00,1610612752,NYK,34.0,71,,2231.0,308,818,0.377,,,,146,217,0.673,,,557.0,164,,,,243,762,Nat Clifton</t>
  </si>
  <si>
    <t>201568,2008-09,00,1610612752,NYK,20.0,28,2.0,412.0,56,125,0.448,32.0,72.0,0.444,26,27,0.963,13.0,42.0,55.0,15,14.0,4.0,15.0,48,170,Danilo Gallinari</t>
  </si>
  <si>
    <t>201568,2009-10,00,1610612752,NYK,21.0,81,74.0,2747.0,392,927,0.423,186.0,488.0,0.381,251,307,0.818,65.0,333.0,398.0,135,75.0,58.0,110.0,191,1221,Danilo Gallinari</t>
  </si>
  <si>
    <t>201568,2010-11,00,1610612752,NYK,22.0,48,48.0,1671.0,211,509,0.415,83.0,239.0,0.347,259,290,0.893,48.0,181.0,229.0,82,38.0,18.0,58.0,117,764,Danilo Gallinari</t>
  </si>
  <si>
    <t>1629610,2023-24,00,1610612752,NYK,26.0,17,0.0,46.0,6,17,0.353,2.0,10.0,0.2,0,2,0.0,0.0,5.0,5.0,5,0.0,1.0,3.0,2,14,DaQuan Jeffries</t>
  </si>
  <si>
    <t>76182,1961-62,00,1610612752,NYK,22.0,36,,363.0,54,142,0.38,,,,9,17,0.529,,,36.0,45,,,,34,117,George Blaney</t>
  </si>
  <si>
    <t>1744,2005-06,00,1610612752,NYK,30.0,45,9.0,406.0,56,121,0.463,0.0,0.0,0.0,25,40,0.625,39.0,52.0,91.0,12,3.0,23.0,51.0,104,137,Jerome James</t>
  </si>
  <si>
    <t>1744,2006-07,00,1610612752,NYK,31.0,41,11.0,273.0,33,79,0.418,0.0,0.0,0.0,10,18,0.556,21.0,45.0,66.0,3,6.0,15.0,23.0,73,76,Jerome James</t>
  </si>
  <si>
    <t>1744,2007-08,00,1610612752,NYK,32.0,2,0.0,5.0,1,1,1.0,0.0,0.0,0.0,2,2,1.0,0.0,3.0,3.0,0,0.0,0.0,0.0,0,4,Jerome James</t>
  </si>
  <si>
    <t>1744,2008-09,00,1610612752,NYK,33.0,2,0.0,10.0,3,8,0.375,0.0,0.0,0.0,0,0,0.0,1.0,2.0,3.0,0,1.0,1.0,1.0,2,6,Jerome James</t>
  </si>
  <si>
    <t>76773,1948-49,00,1610612752,NYK,22.0,52,,,157,479,0.328,,,,120,169,0.71,,,,63,,,,127,434,Harry Gallatin</t>
  </si>
  <si>
    <t>76773,1949-50,00,1610612752,NYK,23.0,68,,,263,664,0.396,,,,277,366,0.757,,,,56,,,,215,803,Harry Gallatin</t>
  </si>
  <si>
    <t>76773,1950-51,00,1610612752,NYK,24.0,66,,,293,705,0.416,,,,259,354,0.732,,,800.0,180,,,,244,845,Harry Gallatin</t>
  </si>
  <si>
    <t>76773,1951-52,00,1610612752,NYK,25.0,66,,1931.0,233,527,0.442,,,,275,341,0.806,,,661.0,115,,,,223,741,Harry Gallatin</t>
  </si>
  <si>
    <t>76773,1952-53,00,1610612752,NYK,26.0,70,,2333.0,282,635,0.444,,,,301,430,0.7,,,916.0,126,,,,224,865,Harry Gallatin</t>
  </si>
  <si>
    <t>76773,1953-54,00,1610612752,NYK,27.0,72,,2690.0,258,639,0.404,,,,433,552,0.784,,,1098.0,153,,,,208,949,Harry Gallatin</t>
  </si>
  <si>
    <t>76773,1954-55,00,1610612752,NYK,28.0,72,,2548.0,330,859,0.384,,,,393,483,0.814,,,995.0,176,,,,206,1053,Harry Gallatin</t>
  </si>
  <si>
    <t>76773,1955-56,00,1610612752,NYK,29.0,72,,2378.0,322,834,0.386,,,,358,455,0.787,,,740.0,168,,,,220,1002,Harry Gallatin</t>
  </si>
  <si>
    <t>76773,1956-57,00,1610612752,NYK,30.0,72,,1943.0,332,817,0.406,,,,415,519,0.8,,,725.0,85,,,,202,1079,Harry Gallatin</t>
  </si>
  <si>
    <t>76403,1965-66,00,1610612752,NYK,23.0,70,,877.0,161,391,0.412,,,,54,78,0.692,,,183.0,67,,,,113,376,John Clemens</t>
  </si>
  <si>
    <t>76162,1972-73,00,1610612752,NYK,23.0,55,,475.0,78,205,0.38,,,,73,86,0.849,,,82.0,64,,,,67,229,Henry Bibby</t>
  </si>
  <si>
    <t>76162,1973-74,00,1610612752,NYK,24.0,66,,986.0,210,465,0.452,,,,73,88,0.83,48.0,85.0,133.0,91,65.0,2.0,,123,493,Henry Bibby</t>
  </si>
  <si>
    <t>76162,1974-75,00,1610612752,NYK,25.0,47,,876.0,179,400,0.448,,,,69,96,0.719,29.0,58.0,87.0,105,29.0,3.0,,96,427,Henry Bibby</t>
  </si>
  <si>
    <t>1564,1999-00,00,1610612752,NYK,27.0,2,0.0,5.0,0,0,0.0,0.0,0.0,0.0,3,4,0.75,1.0,0.0,1.0,0,0.0,0.0,2.0,1,3,Etdrick Bohannon</t>
  </si>
  <si>
    <t>77116,1948-49,00,1610612752,NYK,24.0,11,,,18,48,0.375,,,,6,12,0.5,,,,5,,,,20,42,Gene James</t>
  </si>
  <si>
    <t>77116,1949-50,00,1610612752,NYK,25.0,29,,,19,64,0.297,,,,14,31,0.452,,,,20,,,,53,52,Gene James</t>
  </si>
  <si>
    <t>76770,1993-94,00,1610612752,NYK,29.0,18,0.0,78.0,9,20,0.45,2.0,5.0,0.4,13,15,0.867,3.0,10.0,13.0,30,2.0,0.0,5.0,12,33,Corey Gaines</t>
  </si>
  <si>
    <t>76402,1977-78,00,1610612752,NYK,28.0,79,,2009.0,215,448,0.48,,,,81,103,0.786,69.0,143.0,212.0,283,68.0,17.0,113.0,142,511,Jim Cleamons</t>
  </si>
  <si>
    <t>76402,1978-79,00,1610612752,NYK,29.0,79,,2390.0,311,657,0.473,,,,130,171,0.76,65.0,160.0,225.0,376,73.0,11.0,142.0,147,752,Jim Cleamons</t>
  </si>
  <si>
    <t>76402,1979-80,00,1610612752,NYK,30.0,22,,254.0,30,69,0.435,3.0,8.0,0.375,12,15,0.8,10.0,9.0,19.0,40,13.0,2.0,17.0,13,75,Jim Cleamons</t>
  </si>
  <si>
    <t>76156,1956-57,00,1610612752,NYK,24.0,6,,40.0,3,11,0.273,,,,2,2,1.0,,,8.0,1,,,,4,8,Gary Bergen</t>
  </si>
  <si>
    <t>202711,2023-24,00,1610612752,NYK,35.0,29,0.0,557.0,110,256,0.43,47.0,127.0,0.37,36,45,0.8,9.0,49.0,58.0,26,7.0,1.0,38.0,38,303,Bojan Bogdanovic</t>
  </si>
  <si>
    <t>77106,1967-68,00,1610612752,NYK,22.0,75,,1093.0,182,455,0.4,,,,99,168,0.589,,,338.0,55,,,,212,463,Phil Jackson</t>
  </si>
  <si>
    <t>77106,1968-69,00,1610612752,NYK,23.0,47,,924.0,126,294,0.429,,,,80,119,0.672,,,246.0,43,,,,168,332,Phil Jackson</t>
  </si>
  <si>
    <t>77106,1970-71,00,1610612752,NYK,25.0,71,,771.0,118,263,0.449,,,,95,133,0.714,,,238.0,31,,,,169,331,Phil Jackson</t>
  </si>
  <si>
    <t>77106,1971-72,00,1610612752,NYK,26.0,80,,1273.0,205,466,0.44,,,,167,228,0.732,,,326.0,72,,,,224,577,Phil Jackson</t>
  </si>
  <si>
    <t>77106,1972-73,00,1610612752,NYK,27.0,80,,1393.0,245,553,0.443,,,,154,195,0.79,,,344.0,94,,,,218,644,Phil Jackson</t>
  </si>
  <si>
    <t>77106,1973-74,00,1610612752,NYK,28.0,82,,2050.0,361,757,0.477,,,,191,246,0.776,123.0,355.0,478.0,134,42.0,67.0,,277,913,Phil Jackson</t>
  </si>
  <si>
    <t>77106,1974-75,00,1610612752,NYK,29.0,78,,2285.0,324,712,0.455,,,,193,253,0.763,137.0,463.0,600.0,136,84.0,53.0,,330,841,Phil Jackson</t>
  </si>
  <si>
    <t>77106,1975-76,00,1610612752,NYK,30.0,80,,1461.0,185,387,0.478,,,,110,150,0.733,80.0,263.0,343.0,105,41.0,20.0,,275,480,Phil Jackson</t>
  </si>
  <si>
    <t>77106,1976-77,00,1610612752,NYK,31.0,76,,1033.0,102,232,0.44,,,,51,71,0.718,75.0,154.0,229.0,85,33.0,18.0,,184,255,Phil Jackson</t>
  </si>
  <si>
    <t>77106,1977-78,00,1610612752,NYK,32.0,63,,654.0,55,115,0.478,,,,43,56,0.768,29.0,81.0,110.0,46,31.0,15.0,47.0,106,153,Phil Jackson</t>
  </si>
  <si>
    <t>2429,2011-12,00,1610612752,NYK,34.0,2,0.0,13.0,0,2,0.0,0.0,0.0,0.0,0,2,0.0,1.0,4.0,5.0,0,1.0,1.0,1.0,4,0,Dan Gadzuric</t>
  </si>
  <si>
    <t>201947,2013-14,00,1610612752,NYK,26.0,9,0.0,70.0,7,21,0.333,1.0,6.0,0.167,8,10,0.8,2.0,14.0,16.0,2,1.0,6.0,1.0,6,23,Earl Clark</t>
  </si>
  <si>
    <t>41,1993-94,00,1610612752,NYK,26.0,73,38.0,1402.0,162,288,0.563,0.0,0.0,0.0,50,105,0.476,150.0,194.0,344.0,88,76.0,13.0,89.0,175,374,Anthony Bonner</t>
  </si>
  <si>
    <t>41,1994-95,00,1610612752,NYK,27.0,58,23.0,1126.0,88,193,0.456,1.0,5.0,0.2,44,67,0.657,113.0,149.0,262.0,80,48.0,23.0,79.0,159,221,Anthony Bonner</t>
  </si>
  <si>
    <t>349,1987-88,00,1610612752,NYK,23.0,82,80.0,3249.0,438,1013,0.432,32.0,126.0,0.254,206,266,0.774,120.0,276.0,396.0,868,205.0,6.0,258.0,244,1114,Mark Jackson</t>
  </si>
  <si>
    <t>349,1988-89,00,1610612752,NYK,24.0,72,72.0,2477.0,479,1025,0.467,81.0,240.0,0.338,180,258,0.698,106.0,235.0,341.0,619,139.0,7.0,226.0,163,1219,Mark Jackson</t>
  </si>
  <si>
    <t>349,1989-90,00,1610612752,NYK,25.0,82,69.0,2428.0,327,749,0.437,35.0,131.0,0.267,120,165,0.727,106.0,212.0,318.0,604,109.0,4.0,211.0,121,809,Mark Jackson</t>
  </si>
  <si>
    <t>349,1990-91,00,1610612752,NYK,26.0,72,21.0,1595.0,250,508,0.492,13.0,51.0,0.255,117,160,0.731,62.0,135.0,197.0,452,60.0,9.0,135.0,81,630,Mark Jackson</t>
  </si>
  <si>
    <t>349,1991-92,00,1610612752,NYK,27.0,81,81.0,2461.0,367,747,0.491,11.0,43.0,0.256,171,222,0.77,95.0,210.0,305.0,694,112.0,13.0,211.0,153,916,Mark Jackson</t>
  </si>
  <si>
    <t>349,2000-01,00,1610612752,NYK,36.0,29,28.0,786.0,74,180,0.411,13.0,42.0,0.31,9,17,0.529,21.0,99.0,120.0,163,21.0,0.0,58.0,56,170,Mark Jackson</t>
  </si>
  <si>
    <t>349,2001-02,00,1610612752,NYK,37.0,82,82.0,2367.0,260,592,0.439,79.0,195.0,0.405,87,110,0.791,56.0,253.0,309.0,605,74.0,1.0,150.0,162,686,Mark Jackson</t>
  </si>
  <si>
    <t>101112,2005-06,00,1610612752,NYK,23.0,65,14.0,1572.0,305,640,0.477,3.0,9.0,0.333,189,229,0.825,138.0,236.0,374.0,53,30.0,47.0,97.0,200,802,Channing Frye</t>
  </si>
  <si>
    <t>101112,2006-07,00,1610612752,NYK,24.0,72,59.0,1899.0,298,689,0.433,3.0,18.0,0.167,85,108,0.787,91.0,304.0,395.0,67,36.0,42.0,100.0,216,684,Channing Frye</t>
  </si>
  <si>
    <t>57,1994-95,00,1610612752,NYK,25.0,12,0.0,79.0,5,22,0.227,1.0,7.0,0.143,4,5,0.8,3.0,10.0,13.0,8,2.0,1.0,13.0,18,15,Doug Christie</t>
  </si>
  <si>
    <t>57,1995-96,00,1610612752,NYK,26.0,23,0.0,218.0,35,73,0.479,10.0,19.0,0.526,13,22,0.591,8.0,26.0,34.0,25,12.0,3.0,19.0,41,93,Doug Christie</t>
  </si>
  <si>
    <t>1886,2009-10,00,1610612752,NYK,29.0,25,1.0,292.0,40,100,0.4,14.0,39.0,0.359,24,26,0.923,15.0,37.0,52.0,16,2.0,17.0,28.0,33,118,Jonathan Bender</t>
  </si>
  <si>
    <t>76144,1965-66,00,1610612752,NYK,26.0,72,,3084.0,639,1249,0.512,,,,390,622,0.627,,,1152.0,217,,,,262,1668,Walt Bellamy</t>
  </si>
  <si>
    <t>76144,1966-67,00,1610612752,NYK,27.0,79,,3010.0,565,1084,0.521,,,,369,580,0.636,,,1064.0,206,,,,275,1499,Walt Bellamy</t>
  </si>
  <si>
    <t>76144,1967-68,00,1610612752,NYK,28.0,82,,2695.0,511,944,0.541,,,,350,529,0.662,,,961.0,164,,,,259,1372,Walt Bellamy</t>
  </si>
  <si>
    <t>76144,1968-69,00,1610612752,NYK,29.0,35,,1136.0,204,402,0.507,,,,125,202,0.619,,,385.0,77,,,,123,533,Walt Bellamy</t>
  </si>
  <si>
    <t>1630173,2023-24,00,1610612752,NYK,24.0,49,18.0,1187.0,157,299,0.525,13.0,50.0,0.26,45,70,0.643,141.0,210.0,351.0,53,30.0,56.0,54.0,103,372,Precious Achiuwa</t>
  </si>
  <si>
    <t>78259,1961-62,00,1610612752,NYK,24.0,32,,440.0,59,162,0.364,,,,23,38,0.605,,,51.0,60,,,,55,141,Sam Stith</t>
  </si>
  <si>
    <t>76142,1973-74,00,1610612752,NYK,23.0,1,,4.0,0,1,0.0,,,,0,0,,0.0,0.0,0.0,0,0.0,0.0,,0,0,Dennis Bell</t>
  </si>
  <si>
    <t>76142,1974-75,00,1610612752,NYK,24.0,52,,465.0,68,181,0.376,,,,20,36,0.556,48.0,57.0,105.0,25,22.0,9.0,,54,156,Dennis Bell</t>
  </si>
  <si>
    <t>76142,1975-76,00,1610612752,NYK,25.0,10,,76.0,8,21,0.381,,,,3,7,0.429,4.0,10.0,14.0,3,6.0,1.0,,11,19,Dennis Bell</t>
  </si>
  <si>
    <t>1983,2004-05,00,1610612752,NYK,29.0,21,0.0,230.0,17,33,0.515,0.0,2.0,0.0,8,13,0.615,3.0,20.0,23.0,24,7.0,1.0,10.0,26,42,Jermaine Jackson</t>
  </si>
  <si>
    <t>76758,1957-58,00,1610612752,NYK,23.0,44,,569.0,74,226,0.327,,,,27,41,0.659,,,106.0,47,,,,54,175,Larry Friend</t>
  </si>
  <si>
    <t>76393,1954-55,00,1610612752,NYK,24.0,6,,48.0,5,18,0.278,,,,10,11,0.909,,,8.0,7,,,,3,20,Fred Christ</t>
  </si>
  <si>
    <t>76143,1959-60,00,1610612752,NYK,27.0,31,,449.0,70,185,0.378,,,,28,43,0.651,,,87.0,55,,,,59,168,William Bell</t>
  </si>
  <si>
    <t>76143,1960-61,00,1610612752,NYK,28.0,5,,45.0,7,18,0.389,,,,1,3,0.333,,,7.0,1,,,,7,15,William Bell</t>
  </si>
  <si>
    <t>77101,1974-75,00,1610612752,NYK,22.0,5,,27.0,4,10,0.4,,,,0,0,0.0,2.0,0.0,2.0,3,0.0,0.0,,5,8,Greg Jackson</t>
  </si>
  <si>
    <t>76757,1946-47,00,1610612752,NYK,25.0,23,,,28,97,0.289,,,,32,56,0.571,,,,14,,,,37,88,Frido Frey</t>
  </si>
  <si>
    <t>164,1996-97,00,1610612752,NYK,29.0,65,61.0,2076.0,211,510,0.414,70.0,181.0,0.387,113,149,0.758,22.0,169.0,191.0,398,78.0,11.0,180.0,213,605,Chris Childs</t>
  </si>
  <si>
    <t>164,1997-98,00,1610612752,NYK,30.0,68,0.0,1599.0,149,354,0.421,27.0,87.0,0.31,104,126,0.825,29.0,133.0,162.0,268,56.0,6.0,103.0,179,429,Chris Childs</t>
  </si>
  <si>
    <t>164,1998-99,00,1610612752,NYK,31.0,48,0.0,1297.0,114,267,0.427,36.0,94.0,0.383,64,78,0.821,18.0,115.0,133.0,193,44.0,1.0,85.0,156,328,Chris Childs</t>
  </si>
  <si>
    <t>164,1999-00,00,1610612752,NYK,32.0,71,2.0,1675.0,146,357,0.409,37.0,104.0,0.356,47,59,0.797,17.0,130.0,147.0,285,36.0,4.0,105.0,240,376,Chris Childs</t>
  </si>
  <si>
    <t>164,2000-01,00,1610612752,NYK,33.0,51,5.0,1306.0,93,222,0.419,20.0,64.0,0.313,39,46,0.848,14.0,124.0,138.0,236,37.0,7.0,98.0,160,245,Chris Childs</t>
  </si>
  <si>
    <t>200811,2014-15,00,1610612752,NYK,32.0,41,35.0,858.0,105,243,0.432,0.0,1.0,0.0,38,82,0.463,89.0,159.0,248.0,65,21.0,52.0,57.0,115,248,Lou Amundson</t>
  </si>
  <si>
    <t>200811,2015-16,00,1610612752,NYK,33.0,29,0.0,204.0,19,53,0.358,0.0,0.0,0.0,14,27,0.519,23.0,26.0,49.0,12,6.0,7.0,15.0,44,52,Lou Amundson</t>
  </si>
  <si>
    <t>2047,2005-06,00,1610612752,NYK,26.0,55,43.0,1442.0,163,459,0.355,64.0,188.0,0.34,61,91,0.67,65.0,165.0,230.0,88,39.0,6.0,56.0,134,451,Quentin Richardson</t>
  </si>
  <si>
    <t>2047,2006-07,00,1610612752,NYK,27.0,49,47.0,1621.0,228,545,0.418,97.0,258.0,0.376,83,120,0.692,65.0,287.0,352.0,108,36.0,7.0,70.0,133,636,Quentin Richardson</t>
  </si>
  <si>
    <t>2047,2007-08,00,1610612752,NYK,28.0,65,65.0,1841.0,199,555,0.359,69.0,214.0,0.322,60,88,0.682,56.0,259.0,315.0,116,44.0,15.0,69.0,153,527,Quentin Richardson</t>
  </si>
  <si>
    <t>2047,2008-09,00,1610612752,NYK,29.0,72,51.0,1894.0,262,667,0.393,120.0,329.0,0.365,89,117,0.761,71.0,248.0,319.0,117,47.0,7.0,74.0,132,733,Quentin Richardson</t>
  </si>
  <si>
    <t>2047,2012-13,00,1610612752,NYK,33.0,1,0.0,29.0,1,11,0.091,1.0,4.0,0.25,2,2,1.0,5.0,5.0,10.0,1,0.0,0.0,2.0,1,5,Quentin Richardson</t>
  </si>
  <si>
    <t>2216,2007-08,00,1610612752,NYK,26.0,69,68.0,2244.0,486,1058,0.459,22.0,80.0,0.275,223,289,0.772,184.0,526.0,710.0,140,59.0,16.0,186.0,194,1217,Zach Randolph</t>
  </si>
  <si>
    <t>2216,2008-09,00,1610612752,NYK,27.0,11,11.0,388.0,82,189,0.434,7.0,24.0,0.292,55,67,0.821,40.0,97.0,137.0,15,13.0,3.0,23.0,28,226,Zach Randolph</t>
  </si>
  <si>
    <t>101127,2017-18,00,1610612752,NYK,34.0,62,56.0,1548.0,189,443,0.427,25.0,86.0,0.291,63,75,0.84,22.0,169.0,191.0,348,35.0,4.0,115.0,98,466,Jarrett Jack</t>
  </si>
  <si>
    <t>202683,2017-18,00,1610612752,NYK,26.0,71,71.0,1830.0,422,713,0.592,0.0,2.0,0.0,156,184,0.848,273.0,507.0,780.0,105,36.0,37.0,122.0,187,1000,Enes Freedom</t>
  </si>
  <si>
    <t>202683,2018-19,00,1610612752,NYK,27.0,44,23.0,1128.0,251,468,0.536,7.0,22.0,0.318,105,129,0.814,171.0,290.0,461.0,84,18.0,17.0,79.0,106,614,Enes Freedom</t>
  </si>
  <si>
    <t>76385,1989-90,00,1610612752,NYK,33.0,31,13.0,753.0,92,159,0.579,3.0,7.0,0.429,57,65,0.877,11.0,62.0,73.0,151,42.0,5.0,36.0,32,244,Maurice Cheeks</t>
  </si>
  <si>
    <t>76385,1990-91,00,1610612752,NYK,34.0,76,64.0,2147.0,241,483,0.499,5.0,20.0,0.25,105,129,0.814,22.0,151.0,173.0,435,128.0,10.0,108.0,138,592,Maurice Cheeks</t>
  </si>
  <si>
    <t>76206,1963-64,00,1610612752,NYK,27.0,49,,1652.0,329,762,0.432,,,,198,257,0.77,,,418.0,63,,,,148,856,Bob Boozer</t>
  </si>
  <si>
    <t>76206,1964-65,00,1610612752,NYK,28.0,80,,2139.0,424,963,0.44,,,,288,375,0.768,,,604.0,108,,,,183,1136,Bob Boozer</t>
  </si>
  <si>
    <t>202690,2015-16,00,1610612752,NYK,27.0,2,0.0,5.0,1,1,1.0,1.0,1.0,1.0,4,5,0.8,0.0,0.0,0.0,0,0.0,0.0,1.0,1,7,Jimmer Fredette</t>
  </si>
  <si>
    <t>76382,1963-64,00,1610612752,NYK,23.0,78,,2489.0,531,1183,0.449,,,,287,401,0.716,,,767.0,83,,,,212,1349,Len Chappell</t>
  </si>
  <si>
    <t>76382,1964-65,00,1610612752,NYK,24.0,43,,655.0,145,367,0.395,,,,68,100,0.68,,,140.0,15,,,,73,358,Len Chappell</t>
  </si>
  <si>
    <t>76382,1965-66,00,1610612752,NYK,25.0,46,,545.0,100,238,0.42,,,,46,78,0.59,,,127.0,26,,,,64,246,Len Chappell</t>
  </si>
  <si>
    <t>77093,1960-61,00,1610612752,NYK,22.0,62,,994.0,122,310,0.394,,,,49,96,0.51,,,296.0,51,,,,143,293,Darrall Imhoff</t>
  </si>
  <si>
    <t>77093,1961-62,00,1610612752,NYK,23.0,76,,1481.0,186,482,0.386,,,,80,139,0.576,,,470.0,82,,,,230,452,Darrall Imhoff</t>
  </si>
  <si>
    <t>393,1988-89,00,1610612752,NYK,22.0,81,10.0,1358.0,265,567,0.467,19.0,59.0,0.322,172,231,0.745,51.0,109.0,160.0,319,98.0,3.0,148.0,142,721,Rod Strickland</t>
  </si>
  <si>
    <t>393,1989-90,00,1610612752,NYK,23.0,51,0.0,1019.0,170,386,0.44,6.0,21.0,0.286,83,130,0.638,43.0,83.0,126.0,219,70.0,8.0,85.0,71,429,Rod Strickland</t>
  </si>
  <si>
    <t>78276,1946-47,00,1610612752,NYK,27.0,60,,,172,641,0.268,,,,133,170,0.782,,,,49,,,,127,477,Stan Stutz</t>
  </si>
  <si>
    <t>78276,1947-48,00,1610612752,NYK,28.0,47,,,109,501,0.218,,,,113,135,0.837,,,,57,,,,121,331,Stan Stutz</t>
  </si>
  <si>
    <t>1743,2003-04,00,1610612752,NYK,24.0,1,0.0,4.0,1,1,1.0,0.0,0.0,0.0,0,0,0.0,0.0,0.0,0.0,1,0.0,0.0,0.0,2,2,Bruno Sundov</t>
  </si>
  <si>
    <t>1743,2004-05,00,1610612752,NYK,25.0,21,0.0,73.0,11,37,0.297,1.0,3.0,0.333,2,2,1.0,6.0,7.0,13.0,2,2.0,2.0,6.0,16,25,Bruno Sundov</t>
  </si>
  <si>
    <t>78280,1952-53,00,1610612752,NYK,23.0,26,,187.0,13,61,0.213,,,,19,30,0.633,,,25.0,9,,,,36,45,Dick Surhoff</t>
  </si>
  <si>
    <t>2552,2003-04,00,1610612752,NYK,21.0,42,1.0,495.0,69,140,0.493,0.0,1.0,0.0,42,58,0.724,68.0,89.0,157.0,14,18.0,12.0,32.0,57,180,Michael Sweetney</t>
  </si>
  <si>
    <t>2552,2004-05,00,1610612752,NYK,22.0,77,28.0,1509.0,237,446,0.531,0.0,1.0,0.0,176,235,0.749,169.0,249.0,418.0,44,27.0,28.0,108.0,224,650,Michael Sweetney</t>
  </si>
  <si>
    <t>78291,1947-48,00,1610612752,NYK,22.0,24,,,90,360,0.25,,,,62,74,0.838,,,,37,,,,33,242,Sid Tannenbaum</t>
  </si>
  <si>
    <t>78291,1948-49,00,1610612752,NYK,23.0,32,,0.0,96,339,0.283,,,,65,77,0.844,,,0.0,71,,,,53,257,Sid Tannenbaum</t>
  </si>
  <si>
    <t>1508,2004-05,00,1610612752,NYK,28.0,27,0.0,431.0,76,154,0.494,0.0,1.0,0.0,24,43,0.558,26.0,67.0,93.0,14,11.0,8.0,31.0,57,176,Maurice Taylor</t>
  </si>
  <si>
    <t>1508,2005-06,00,1610612752,NYK,29.0,67,13.0,1210.0,182,389,0.468,0.0,1.0,0.0,58,83,0.699,65.0,164.0,229.0,53,21.0,14.0,103.0,177,422,Maurice Taylor</t>
  </si>
  <si>
    <t>78303,1982-83,00,1610612752,NYK,22.0,31,0.0,321.0,37,102,0.363,0.0,0.0,0.0,21,32,0.656,19.0,17.0,36.0,41,20.0,2.0,30.0,54,95,Vince Taylor</t>
  </si>
  <si>
    <t>703,1998-99,00,1610612752,NYK,26.0,50,44.0,1182.0,170,368,0.462,0.0,1.0,0.0,66,108,0.611,82.0,204.0,286.0,55,45.0,17.0,73.0,159,406,Kurt Thomas</t>
  </si>
  <si>
    <t>703,1999-00,00,1610612752,NYK,27.0,80,21.0,1971.0,270,535,0.505,1.0,3.0,0.333,100,128,0.781,144.0,361.0,505.0,82,51.0,42.0,105.0,278,641,Kurt Thomas</t>
  </si>
  <si>
    <t>703,2000-01,00,1610612752,NYK,28.0,77,29.0,2128.0,314,614,0.511,1.0,3.0,0.333,171,210,0.814,172.0,343.0,515.0,63,61.0,69.0,99.0,287,800,Kurt Thomas</t>
  </si>
  <si>
    <t>703,2001-02,00,1610612752,NYK,29.0,82,82.0,2769.0,463,938,0.494,1.0,6.0,0.167,216,265,0.815,214.0,533.0,747.0,87,71.0,79.0,153.0,341,1143,Kurt Thomas</t>
  </si>
  <si>
    <t>703,2002-03,00,1610612752,NYK,30.0,81,81.0,2575.0,497,1028,0.483,2.0,3.0,0.667,138,184,0.75,160.0,477.0,637.0,162,81.0,97.0,138.0,344,1134,Kurt Thomas</t>
  </si>
  <si>
    <t>703,2003-04,00,1610612752,NYK,31.0,80,75.0,2549.0,392,829,0.473,0.0,3.0,0.0,106,127,0.835,145.0,517.0,662.0,149,56.0,80.0,132.0,298,890,Kurt Thomas</t>
  </si>
  <si>
    <t>703,2004-05,00,1610612752,NYK,32.0,80,80.0,2855.0,424,901,0.471,2.0,4.0,0.5,66,84,0.786,170.0,661.0,831.0,160,70.0,79.0,99.0,310,916,Kurt Thomas</t>
  </si>
  <si>
    <t>703,2012-13,00,1610612752,NYK,40.0,39,17.0,392.0,45,83,0.542,1.0,1.0,1.0,6,13,0.462,24.0,65.0,89.0,21,10.0,16.0,8.0,52,97,Kurt Thomas</t>
  </si>
  <si>
    <t>202498,2014-15,00,1610612752,NYK,27.0,40,24.0,1040.0,137,316,0.434,7.0,21.0,0.333,49,66,0.742,37.0,83.0,120.0,49,26.0,8.0,57.0,63,330,Lance Thomas</t>
  </si>
  <si>
    <t>202498,2015-16,00,1610612752,NYK,28.0,59,5.0,1313.0,169,382,0.442,44.0,109.0,0.404,102,119,0.857,34.0,97.0,131.0,53,22.0,7.0,57.0,109,484,Lance Thomas</t>
  </si>
  <si>
    <t>202498,2016-17,00,1610612752,NYK,29.0,46,15.0,968.0,97,244,0.398,38.0,85.0,0.447,43,51,0.843,32.0,110.0,142.0,35,21.0,5.0,25.0,85,275,Lance Thomas</t>
  </si>
  <si>
    <t>202498,2017-18,00,1610612752,NYK,30.0,73,31.0,1353.0,102,267,0.382,50.0,124.0,0.403,44,53,0.83,44.0,131.0,175.0,44,30.0,14.0,41.0,134,298,Lance Thomas</t>
  </si>
  <si>
    <t>202498,2018-19,00,1610612752,NYK,31.0,46,17.0,783.0,78,197,0.396,22.0,79.0,0.278,27,36,0.75,21.0,96.0,117.0,27,17.0,7.0,24.0,83,205,Lance Thomas</t>
  </si>
  <si>
    <t>1501,2003-04,00,1610612752,NYK,27.0,24,23.0,746.0,137,303,0.452,26.0,64.0,0.406,78,96,0.813,26.0,89.0,115.0,34,24.0,5.0,43.0,69,378,Tim Thomas</t>
  </si>
  <si>
    <t>1501,2004-05,00,1610612752,NYK,28.0,71,68.0,1940.0,315,718,0.439,85.0,208.0,0.409,136,173,0.786,45.0,192.0,237.0,110,41.0,17.0,113.0,222,851,Tim Thomas</t>
  </si>
  <si>
    <t>1501,2008-09,00,1610612752,NYK,32.0,36,1.0,773.0,119,258,0.461,53.0,126.0,0.421,54,67,0.806,20.0,93.0,113.0,46,22.0,10.0,46.0,91,345,Tim Thomas</t>
  </si>
  <si>
    <t>240,1997-98,00,1610612752,NYK,27.0,17,0.0,121.0,13,29,0.448,4.0,14.0,0.286,3,5,0.6,0.0,10.0,10.0,24,6.0,1.0,11.0,16,33,Brooks Thompson</t>
  </si>
  <si>
    <t>738,1985-86,00,1610612752,NYK,23.0,71,23.0,1323.0,125,274,0.456,0.0,0.0,0.0,86,162,0.531,113.0,177.0,290.0,43,30.0,7.0,83.0,209,336,Bob Thornton</t>
  </si>
  <si>
    <t>738,1986-87,00,1610612752,NYK,24.0,33,4.0,282.0,29,67,0.433,0.0,1.0,0.0,13,20,0.65,18.0,38.0,56.0,8,4.0,3.0,24.0,48,71,Bob Thornton</t>
  </si>
  <si>
    <t>738,1987-88,00,1610612752,NYK,25.0,7,0.0,85.0,6,19,0.316,0.0,0.0,0.0,5,8,0.625,5.0,8.0,13.0,4,2.0,0.0,8.0,23,17,Bob Thornton</t>
  </si>
  <si>
    <t>78348,1987-88,00,1610612752,NYK,29.0,11,0.0,177.0,19,41,0.463,0.0,0.0,0.0,9,17,0.529,14.0,21.0,35.0,5,5.0,2.0,10.0,25,47,Ray Tolbert</t>
  </si>
  <si>
    <t>78352,1987-88,00,1610612752,NYK,26.0,21,0.0,139.0,21,48,0.438,5.0,14.0,0.357,10,11,0.909,3.0,5.0,8.0,24,9.0,1.0,12.0,20,57,Sedric Toney</t>
  </si>
  <si>
    <t>1631210,2023-24,00,1610612752,NYK,24.0,9,0.0,38.0,5,9,0.556,1.0,4.0,0.25,2,2,1.0,3.0,4.0,7.0,3,0.0,1.0,1.0,3,13,Jacob Toppin</t>
  </si>
  <si>
    <t>1630167,2020-21,00,1610612752,NYK,23.0,62,0.0,683.0,104,209,0.498,26.0,85.0,0.306,19,26,0.731,26.0,112.0,138.0,29,17.0,15.0,23.0,55,253,Obi Toppin</t>
  </si>
  <si>
    <t>1630167,2021-22,00,1610612752,NYK,24.0,72,10.0,1230.0,251,473,0.531,52.0,169.0,0.308,94,124,0.758,69.0,199.0,268.0,77,25.0,33.0,56.0,102,648,Obi Toppin</t>
  </si>
  <si>
    <t>1630167,2022-23,00,1610612752,NYK,25.0,67,5.0,1051.0,187,419,0.446,85.0,247.0,0.344,38,47,0.809,29.0,158.0,187.0,66,23.0,12.0,38.0,68,497,Obi Toppin</t>
  </si>
  <si>
    <t>1629019,2018-19,00,1610612752,NYK,23.0,64,3.0,1459.0,232,518,0.448,52.0,132.0,0.394,179,223,0.803,31.0,166.0,197.0,119,28.0,14.0,116.0,117,695,Allonzo Trier</t>
  </si>
  <si>
    <t>1629019,2019-20,00,1610612752,NYK,24.0,24,1.0,291.0,51,106,0.481,19.0,53.0,0.358,34,43,0.791,6.0,23.0,29.0,28,3.0,4.0,22.0,29,155,Allonzo Trier</t>
  </si>
  <si>
    <t>2456,2003-04,00,1610612752,NYK,24.0,3,0.0,5.0,0,2,0.0,0.0,0.0,0.0,1,2,0.5,0.0,0.0,0.0,0,1.0,0.0,0.0,2,1,Cezary Trybanski</t>
  </si>
  <si>
    <t>78375,1982-83,00,1610612752,NYK,23.0,78,59.0,1830.0,299,647,0.462,14.0,30.0,0.467,43,64,0.672,75.0,141.0,216.0,195,56.0,6.0,70.0,235,655,Trent Tucker</t>
  </si>
  <si>
    <t>78375,1983-84,00,1610612752,NYK,24.0,63,21.0,1228.0,225,450,0.5,6.0,16.0,0.375,25,33,0.758,43.0,87.0,130.0,138,63.0,8.0,54.0,124,481,Trent Tucker</t>
  </si>
  <si>
    <t>78375,1984-85,00,1610612752,NYK,25.0,77,46.0,1819.0,293,606,0.483,29.0,72.0,0.403,38,48,0.792,74.0,114.0,188.0,199,75.0,15.0,64.0,195,653,Trent Tucker</t>
  </si>
  <si>
    <t>78375,1985-86,00,1610612752,NYK,26.0,77,23.0,1788.0,349,740,0.472,41.0,91.0,0.451,79,100,0.79,70.0,99.0,169.0,192,65.0,8.0,70.0,167,818,Trent Tucker</t>
  </si>
  <si>
    <t>78375,1986-87,00,1610612752,NYK,27.0,70,15.0,1691.0,325,691,0.47,68.0,161.0,0.422,77,101,0.762,49.0,86.0,135.0,166,116.0,13.0,78.0,169,795,Trent Tucker</t>
  </si>
  <si>
    <t>78375,1987-88,00,1610612752,NYK,28.0,71,4.0,1248.0,193,455,0.424,69.0,167.0,0.413,51,71,0.718,32.0,87.0,119.0,117,53.0,6.0,47.0,158,506,Trent Tucker</t>
  </si>
  <si>
    <t>78375,1988-89,00,1610612752,NYK,29.0,81,24.0,1824.0,263,579,0.454,118.0,296.0,0.399,43,55,0.782,55.0,121.0,176.0,132,88.0,6.0,59.0,163,687,Trent Tucker</t>
  </si>
  <si>
    <t>78375,1989-90,00,1610612752,NYK,30.0,81,2.0,1725.0,253,606,0.417,95.0,245.0,0.388,66,86,0.767,57.0,117.0,174.0,173,74.0,8.0,73.0,159,667,Trent Tucker</t>
  </si>
  <si>
    <t>78375,1990-91,00,1610612752,NYK,31.0,65,13.0,1194.0,191,434,0.44,64.0,153.0,0.418,17,27,0.63,33.0,72.0,105.0,111,44.0,9.0,46.0,120,463,Trent Tucker</t>
  </si>
  <si>
    <t>101142,2010-11,00,1610612752,NYK,28.0,64,21.0,1141.0,103,163,0.632,0.0,0.0,0.0,61,98,0.622,64.0,143.0,207.0,92,35.0,73.0,41.0,160,267,Ronny Turiaf</t>
  </si>
  <si>
    <t>1726,1999-00,00,1610612752,NYK,24.0,7,0.0,25.0,2,10,0.2,0.0,2.0,0.0,0,0,0.0,2.0,8.0,10.0,1,2.0,0.0,1.0,4,4,Mirsad Turkcan</t>
  </si>
  <si>
    <t>78380,1954-55,00,1610612752,NYK,25.0,65,,922.0,111,308,0.36,,,,60,76,0.789,,,154.0,77,,,,76,282,Jack Turner</t>
  </si>
  <si>
    <t>202719,2013-14,00,1610612752,NYK,23.0,41,0.0,398.0,60,116,0.517,0.0,0.0,0.0,26,48,0.542,38.0,71.0,109.0,8,6.0,20.0,26.0,70,146,Jeremy Tyler</t>
  </si>
  <si>
    <t>2137,2005-06,00,1610612752,NYK,28.0,8,0.0,114.0,9,24,0.375,1.0,3.0,0.333,3,6,0.5,3.0,14.0,17.0,6,1.0,0.0,2.0,8,22,Ime Udoka</t>
  </si>
  <si>
    <t>1065,2000-01,00,1610612752,NYK,27.0,28,0.0,421.0,40,131,0.305,16.0,47.0,0.34,24,28,0.857,9.0,43.0,52.0,29,22.0,1.0,21.0,46,120,Erick Strickland</t>
  </si>
  <si>
    <t>78398,1965-66,00,1610612752,NYK,23.0,79,,2289.0,359,838,0.428,,,,251,351,0.715,,,376.0,184,,,,235,969,Dick Van Arsdale</t>
  </si>
  <si>
    <t>78398,1966-67,00,1610612752,NYK,24.0,79,,2892.0,410,913,0.449,,,,371,509,0.729,,,555.0,247,,,,264,1191,Dick Van Arsdale</t>
  </si>
  <si>
    <t>78398,1967-68,00,1610612752,NYK,25.0,78,,2348.0,316,725,0.436,,,,227,339,0.67,,,424.0,230,,,,225,859,Dick Van Arsdale</t>
  </si>
  <si>
    <t>78401,1946-47,00,1610612752,NYK,24.0,16,,,7,34,0.206,,,,11,17,0.647,,,,6,,,,10,25,Butch Van Breda Kolff</t>
  </si>
  <si>
    <t>78401,1947-48,00,1610612752,NYK,25.0,44,,,53,192,0.276,,,,74,120,0.617,,,,29,,,,81,180,Butch Van Breda Kolff</t>
  </si>
  <si>
    <t>78401,1948-49,00,1610612752,NYK,26.0,59,,,127,401,0.317,,,,161,240,0.671,,,,143,,,,148,415,Butch Van Breda Kolff</t>
  </si>
  <si>
    <t>78401,1949-50,00,1610612752,NYK,27.0,56,,,55,167,0.329,,,,96,134,0.716,,,,78,,,,111,206,Butch Van Breda Kolff</t>
  </si>
  <si>
    <t>1496,2003-04,00,1610612752,NYK,28.0,47,47.0,1578.0,273,613,0.445,60.0,161.0,0.373,163,199,0.819,98.0,245.0,343.0,83,52.0,18.0,119.0,151,769,Keith Van Horn</t>
  </si>
  <si>
    <t>78405,1949-50,00,1610612752,NYK,21.0,42,,,164,390,0.421,,,,93,140,0.664,,,,78,,,,126,421,Ernie Vandeweghe</t>
  </si>
  <si>
    <t>78405,1950-51,00,1610612752,NYK,22.0,44,,,135,336,0.402,,,,68,97,0.701,,,195.0,121,,,,144,338,Ernie Vandeweghe</t>
  </si>
  <si>
    <t>78405,1951-52,00,1610612752,NYK,23.0,57,,1507.0,200,457,0.438,,,,124,160,0.775,,,264.0,164,,,,188,524,Ernie Vandeweghe</t>
  </si>
  <si>
    <t>78405,1952-53,00,1610612752,NYK,24.0,61,,1745.0,272,625,0.435,,,,187,244,0.766,,,342.0,144,,,,242,731,Ernie Vandeweghe</t>
  </si>
  <si>
    <t>78405,1953-54,00,1610612752,NYK,25.0,15,,271.0,37,103,0.359,,,,25,31,0.806,,,39.0,29,,,,38,99,Ernie Vandeweghe</t>
  </si>
  <si>
    <t>78405,1955-56,00,1610612752,NYK,27.0,5,,77.0,10,31,0.323,,,,2,2,1.0,,,13.0,12,,,,15,22,Ernie Vandeweghe</t>
  </si>
  <si>
    <t>78391,1957-58,00,1610612752,NYK,22.0,68,,1182.0,175,490,0.357,,,,150,224,0.67,,,480.0,34,,,,175,500,Charlie Tyra</t>
  </si>
  <si>
    <t>78391,1958-59,00,1610612752,NYK,23.0,69,,1586.0,240,606,0.396,,,,129,190,0.679,,,485.0,33,,,,180,609,Charlie Tyra</t>
  </si>
  <si>
    <t>78391,1959-60,00,1610612752,NYK,24.0,74,,2033.0,406,952,0.426,,,,133,189,0.704,,,598.0,80,,,,258,945,Charlie Tyra</t>
  </si>
  <si>
    <t>78391,1960-61,00,1610612752,NYK,25.0,59,,1404.0,199,549,0.362,,,,120,173,0.694,,,394.0,82,,,,164,518,Charlie Tyra</t>
  </si>
  <si>
    <t>203943,2018-19,00,1610612752,NYK,23.0,68,57.0,1722.0,207,440,0.47,46.0,137.0,0.336,111,156,0.712,113.0,415.0,528.0,129,46.0,51.0,88.0,174,571,Noah Vonleh</t>
  </si>
  <si>
    <t>2756,2015-16,00,1610612752,NYK,32.0,61,25.0,908.0,106,277,0.383,52.0,143.0,0.364,32,39,0.821,26.0,123.0,149.0,84,34.0,5.0,44.0,83,296,Sasha Vujacic</t>
  </si>
  <si>
    <t>2756,2016-17,00,1610612752,NYK,33.0,42,4.0,408.0,42,136,0.309,23.0,74.0,0.311,17,24,0.708,12.0,47.0,59.0,52,13.0,2.0,16.0,38,124,Sasha Vujacic</t>
  </si>
  <si>
    <t>78432,1974-75,00,1610612752,NYK,26.0,30,,274.0,47,115,0.409,,,,22,25,0.88,18.0,59.0,77.0,22,7.0,3.0,,55,116,Neal Walk</t>
  </si>
  <si>
    <t>78432,1975-76,00,1610612752,NYK,27.0,82,,1340.0,262,607,0.432,,,,79,99,0.798,98.0,291.0,389.0,119,26.0,22.0,,209,603,Neal Walk</t>
  </si>
  <si>
    <t>78432,1976-77,00,1610612752,NYK,28.0,11,,135.0,28,57,0.491,,,,6,7,0.857,5.0,22.0,27.0,6,4.0,3.0,,22,62,Neal Walk</t>
  </si>
  <si>
    <t>78404,1988-89,00,1610612752,NYK,30.0,27,0.0,502.0,97,209,0.464,3.0,10.0,0.3,51,56,0.911,15.0,21.0,36.0,35,12.0,7.0,23.0,38,248,Kiki Vandeweghe</t>
  </si>
  <si>
    <t>78404,1989-90,00,1610612752,NYK,31.0,22,13.0,563.0,102,231,0.442,10.0,19.0,0.526,44,48,0.917,15.0,38.0,53.0,41,15.0,3.0,26.0,28,258,Kiki Vandeweghe</t>
  </si>
  <si>
    <t>78404,1990-91,00,1610612752,NYK,32.0,75,72.0,2420.0,458,927,0.494,51.0,141.0,0.362,259,288,0.899,78.0,102.0,180.0,110,42.0,10.0,108.0,122,1226,Kiki Vandeweghe</t>
  </si>
  <si>
    <t>78404,1991-92,00,1610612752,NYK,33.0,67,0.0,956.0,188,383,0.491,26.0,66.0,0.394,65,81,0.802,31.0,57.0,88.0,57,15.0,8.0,27.0,87,467,Kiki Vandeweghe</t>
  </si>
  <si>
    <t>201611,2009-10,00,1610612752,NYK,22.0,27,13.0,739.0,117,226,0.518,50.0,116.0,0.431,37,47,0.787,15.0,68.0,83.0,37,23.0,3.0,26.0,79,321,Henry Walker</t>
  </si>
  <si>
    <t>201611,2010-11,00,1610612752,NYK,23.0,61,1.0,784.0,104,236,0.441,59.0,153.0,0.386,31,44,0.705,16.0,106.0,122.0,34,21.0,6.0,37.0,81,298,Henry Walker</t>
  </si>
  <si>
    <t>201611,2011-12,00,1610612752,NYK,24.0,32,8.0,620.0,68,171,0.398,36.0,113.0,0.319,17,20,0.85,9.0,71.0,80.0,37,19.0,7.0,35.0,84,189,Henry Walker</t>
  </si>
  <si>
    <t>202689,2021-22,00,1610612752,NYK,32.0,37,37.0,948.0,149,370,0.403,73.0,199.0,0.367,60,71,0.845,14.0,97.0,111.0,131,26.0,7.0,48.0,37,431,Kemba Walker</t>
  </si>
  <si>
    <t>78440,1986-87,00,1610612752,NYK,22.0,68,64.0,1719.0,285,581,0.491,0.0,4.0,0.0,140,185,0.757,118.0,220.0,338.0,75,49.0,49.0,75.0,236,710,Kenny Walker</t>
  </si>
  <si>
    <t>78440,1987-88,00,1610612752,NYK,23.0,82,61.0,2139.0,344,728,0.473,0.0,1.0,0.0,138,178,0.775,192.0,197.0,389.0,86,63.0,59.0,83.0,290,826,Kenny Walker</t>
  </si>
  <si>
    <t>78440,1988-89,00,1610612752,NYK,24.0,79,2.0,1163.0,174,356,0.489,5.0,20.0,0.25,66,85,0.776,101.0,129.0,230.0,36,41.0,45.0,44.0,190,419,Kenny Walker</t>
  </si>
  <si>
    <t>78440,1989-90,00,1610612752,NYK,25.0,68,21.0,1595.0,204,384,0.531,2.0,5.0,0.4,125,173,0.723,131.0,212.0,343.0,49,33.0,52.0,60.0,178,535,Kenny Walker</t>
  </si>
  <si>
    <t>78440,1990-91,00,1610612752,NYK,26.0,54,8.0,771.0,83,191,0.435,0.0,1.0,0.0,64,82,0.78,63.0,94.0,157.0,13,18.0,30.0,30.0,92,230,Kenny Walker</t>
  </si>
  <si>
    <t>961,1996-97,00,1610612752,NYK,23.0,68,6.0,787.0,122,236,0.517,2.0,4.0,0.5,79,110,0.718,51.0,104.0,155.0,37,21.0,25.0,76.0,102,325,John Wallace</t>
  </si>
  <si>
    <t>961,1999-00,00,1610612752,NYK,26.0,60,0.0,798.0,155,332,0.467,0.0,3.0,0.0,82,102,0.804,42.0,93.0,135.0,22,10.0,14.0,63.0,103,392,John Wallace</t>
  </si>
  <si>
    <t>739,2012-13,00,1610612752,NYK,38.0,21,0.0,296.0,55,142,0.387,22.0,69.0,0.319,14,20,0.7,11.0,72.0,83.0,6,13.0,15.0,10.0,40,146,Rasheed Wallace</t>
  </si>
  <si>
    <t>369,1994-95,00,1610612752,NYK,24.0,10,0.0,44.0,4,19,0.211,1.0,10.0,0.1,7,10,0.7,1.0,5.0,6.0,4,2.0,0.0,8.0,7,16,Charlie Ward</t>
  </si>
  <si>
    <t>369,1995-96,00,1610612752,NYK,25.0,62,1.0,787.0,87,218,0.399,33.0,99.0,0.333,37,54,0.685,29.0,73.0,102.0,132,54.0,6.0,79.0,98,244,Charlie Ward</t>
  </si>
  <si>
    <t>369,1996-97,00,1610612752,NYK,26.0,79,21.0,1765.0,133,337,0.395,48.0,154.0,0.312,95,125,0.76,45.0,175.0,220.0,326,83.0,15.0,147.0,188,409,Charlie Ward</t>
  </si>
  <si>
    <t>369,1997-98,00,1610612752,NYK,27.0,82,82.0,2317.0,235,516,0.455,81.0,215.0,0.377,91,113,0.805,32.0,242.0,274.0,466,144.0,37.0,175.0,195,642,Charlie Ward</t>
  </si>
  <si>
    <t>369,1998-99,00,1610612752,NYK,28.0,50,50.0,1556.0,135,334,0.404,53.0,149.0,0.356,55,78,0.705,23.0,149.0,172.0,271,103.0,8.0,131.0,105,378,Charlie Ward</t>
  </si>
  <si>
    <t>369,1999-00,00,1610612752,NYK,29.0,72,69.0,1986.0,189,447,0.423,102.0,264.0,0.386,48,58,0.828,22.0,206.0,228.0,300,95.0,16.0,102.0,176,528,Charlie Ward</t>
  </si>
  <si>
    <t>369,2000-01,00,1610612752,NYK,30.0,61,33.0,1495.0,155,373,0.416,67.0,175.0,0.383,56,70,0.8,32.0,127.0,159.0,273,70.0,10.0,112.0,132,433,Charlie Ward</t>
  </si>
  <si>
    <t>369,2001-02,00,1610612752,NYK,31.0,63,0.0,1058.0,113,303,0.373,53.0,164.0,0.323,47,58,0.81,15.0,112.0,127.0,203,68.0,14.0,75.0,100,326,Charlie Ward</t>
  </si>
  <si>
    <t>369,2002-03,00,1610612752,NYK,32.0,66,6.0,1467.0,165,414,0.399,101.0,267.0,0.378,41,53,0.774,25.0,152.0,177.0,306,78.0,11.0,95.0,146,472,Charlie Ward</t>
  </si>
  <si>
    <t>369,2003-04,00,1610612752,NYK,33.0,35,10.0,828.0,115,260,0.442,59.0,138.0,0.428,16,21,0.762,10.0,86.0,96.0,170,47.0,8.0,69.0,74,305,Charlie Ward</t>
  </si>
  <si>
    <t>78461,1969-70,00,1610612752,NYK,22.0,44,,272.0,44,108,0.407,,,,24,35,0.686,,,40.0,30,,,,53,112,Johnny Warren</t>
  </si>
  <si>
    <t>204037,2014-15,00,1610612752,NYK,24.0,51,1.0,672.0,84,209,0.402,11.0,30.0,0.367,20,26,0.769,31.0,75.0,106.0,40,15.0,11.0,35.0,55,199,Travis Wear</t>
  </si>
  <si>
    <t>2757,2013-14,00,1610612752,NYK,31.0,31,12.0,588.0,68,160,0.425,17.0,40.0,0.425,20,24,0.833,10.0,47.0,57.0,110,22.0,3.0,42.0,46,173,Beno Udrih</t>
  </si>
  <si>
    <t>78479,1946-47,00,1610612752,NYK,29.0,11,,0.0,7,24,0.292,,,,6,8,0.75,,,0.0,1,,,,20,20,Forest Weber</t>
  </si>
  <si>
    <t>78481,1978-79,00,1610612752,NYK,27.0,60,,2027.0,264,558,0.473,,,,150,262,0.573,198.0,457.0,655.0,172,24.0,112.0,170.0,183,678,Marvin Webster</t>
  </si>
  <si>
    <t>78481,1979-80,00,1610612752,NYK,28.0,20,,298.0,38,79,0.481,0.0,0.0,,12,16,0.75,28.0,52.0,80.0,9,3.0,11.0,20.0,39,88,Marvin Webster</t>
  </si>
  <si>
    <t>78481,1980-81,00,1610612752,NYK,29.0,82,,1708.0,159,341,0.466,1.0,4.0,0.25,104,163,0.638,162.0,303.0,465.0,72,27.0,97.0,103.0,187,423,Marvin Webster</t>
  </si>
  <si>
    <t>78481,1981-82,00,1610612752,NYK,30.0,82,32.0,1883.0,199,405,0.491,0.0,0.0,,108,170,0.635,184.0,306.0,490.0,99,22.0,90.0,90.0,211,506,Marvin Webster</t>
  </si>
  <si>
    <t>78481,1982-83,00,1610612752,NYK,31.0,82,0.0,1472.0,168,331,0.508,0.0,1.0,0.0,106,180,0.589,176.0,267.0,443.0,49,35.0,131.0,102.0,210,442,Marvin Webster</t>
  </si>
  <si>
    <t>78481,1983-84,00,1610612752,NYK,32.0,76,5.0,1290.0,112,239,0.469,0.0,0.0,0.0,66,117,0.564,146.0,220.0,366.0,53,34.0,100.0,85.0,187,290,Marvin Webster</t>
  </si>
  <si>
    <t>78500,1981-82,00,1610612752,NYK,31.0,18,12.0,451.0,86,194,0.443,2.0,8.0,0.25,36,47,0.766,9.0,13.0,22.0,100,19.0,8.0,47.0,61,210,Paul Westphal</t>
  </si>
  <si>
    <t>78500,1982-83,00,1610612752,NYK,32.0,80,59.0,1978.0,318,693,0.459,14.0,48.0,0.292,148,184,0.804,19.0,96.0,115.0,439,87.0,16.0,196.0,180,798,Paul Westphal</t>
  </si>
  <si>
    <t>200778,2012-13,00,1610612752,NYK,30.0,57,16.0,435.0,50,116,0.431,14.0,41.0,0.341,11,19,0.579,5.0,43.0,48.0,29,13.0,4.0,17.0,44,125,James White</t>
  </si>
  <si>
    <t>78514,1987-88,00,1610612752,NYK,23.0,12,0.0,117.0,17,46,0.37,0.0,1.0,0.0,9,13,0.692,1.0,2.0,3.0,10,1.0,0.0,13.0,14,43,Tony White</t>
  </si>
  <si>
    <t>2404,2008-09,00,1610612752,NYK,26.0,25,0.0,330.0,54,102,0.529,0.0,1.0,0.0,27,53,0.509,31.0,51.0,82.0,14,8.0,5.0,20.0,48,135,Chris Wilcox</t>
  </si>
  <si>
    <t>78534,1984-85,00,1610612752,NYK,23.0,54,16.0,917.0,116,233,0.498,0.0,2.0,0.0,66,122,0.541,86.0,176.0,262.0,16,21.0,16.0,64.0,155,298,Eddielee Wilkins</t>
  </si>
  <si>
    <t>78534,1986-87,00,1610612752,NYK,25.0,24,10.0,454.0,56,127,0.441,0.0,1.0,0.0,27,58,0.466,45.0,62.0,107.0,6,9.0,2.0,28.0,67,139,Eddielee Wilkins</t>
  </si>
  <si>
    <t>78534,1988-89,00,1610612752,NYK,27.0,71,2.0,584.0,114,245,0.465,0.0,1.0,0.0,61,111,0.55,72.0,76.0,148.0,7,10.0,16.0,56.0,110,289,Eddielee Wilkins</t>
  </si>
  <si>
    <t>78534,1989-90,00,1610612752,NYK,28.0,79,0.0,972.0,141,310,0.455,0.0,2.0,0.0,89,147,0.605,114.0,151.0,265.0,16,18.0,18.0,73.0,152,371,Eddielee Wilkins</t>
  </si>
  <si>
    <t>78534,1990-91,00,1610612752,NYK,29.0,68,1.0,668.0,114,255,0.447,0.0,1.0,0.0,51,90,0.567,69.0,111.0,180.0,15,17.0,7.0,50.0,91,279,Eddielee Wilkins</t>
  </si>
  <si>
    <t>202682,2015-16,00,1610612752,NYK,25.0,80,9.0,1435.0,254,565,0.45,44.0,150.0,0.293,194,256,0.758,47.0,249.0,296.0,75,29.0,9.0,61.0,69,746,Derrick Williams</t>
  </si>
  <si>
    <t>2421,2002-03,00,1610612752,NYK,23.0,21,0.0,167.0,9,33,0.273,6.0,16.0,0.375,4,6,0.667,3.0,15.0,18.0,34,7.0,2.0,17.0,20,28,Frank Williams</t>
  </si>
  <si>
    <t>2421,2003-04,00,1610612752,NYK,24.0,56,3.0,711.0,80,208,0.385,18.0,60.0,0.3,41,48,0.854,8.0,45.0,53.0,121,25.0,6.0,63.0,58,219,Frank Williams</t>
  </si>
  <si>
    <t>1006,1992-93,00,1610612752,NYK,35.0,55,0.0,571.0,72,175,0.411,0.0,0.0,0.0,14,21,0.667,44.0,102.0,146.0,19,21.0,28.0,22.0,78,158,Herb Williams</t>
  </si>
  <si>
    <t>1006,1993-94,00,1610612752,NYK,36.0,70,3.0,774.0,103,233,0.442,0.0,1.0,0.0,27,42,0.643,56.0,126.0,182.0,28,18.0,43.0,39.0,108,233,Herb Williams</t>
  </si>
  <si>
    <t>1006,1994-95,00,1610612752,NYK,37.0,56,3.0,743.0,82,180,0.456,0.0,0.0,0.0,23,37,0.622,23.0,109.0,132.0,27,13.0,45.0,40.0,108,187,Herb Williams</t>
  </si>
  <si>
    <t>1006,1995-96,00,1610612752,NYK,38.0,43,2.0,540.0,59,144,0.41,1.0,4.0,0.25,13,20,0.65,14.0,68.0,82.0,27,13.0,31.0,22.0,75,132,Herb Williams</t>
  </si>
  <si>
    <t>1006,1996-97,00,1610612752,NYK,39.0,21,2.0,184.0,18,46,0.391,0.0,1.0,0.0,3,4,0.75,9.0,22.0,31.0,5,4.0,5.0,5.0,18,39,Herb Williams</t>
  </si>
  <si>
    <t>1006,1997-98,00,1610612752,NYK,40.0,27,0.0,178.0,18,43,0.419,0.0,0.0,0.0,1,8,0.125,6.0,23.0,29.0,4,6.0,9.0,5.0,34,37,Herb Williams</t>
  </si>
  <si>
    <t>1006,1998-99,00,1610612752,NYK,41.0,6,0.0,34.0,4,8,0.5,0.0,0.0,0.0,2,2,1.0,3.0,3.0,6.0,0,0.0,2.0,2.0,2,10,Herb Williams</t>
  </si>
  <si>
    <t>786,1985-86,00,1610612752,NYK,22.0,81,53.0,2025.0,437,934,0.468,7.0,25.0,0.28,132,237,0.557,92.0,116.0,208.0,161,68.0,9.0,157.0,155,1013,Gerald Wilkins</t>
  </si>
  <si>
    <t>786,1986-87,00,1610612752,NYK,23.0,80,73.0,2758.0,633,1302,0.486,26.0,74.0,0.351,235,335,0.701,120.0,174.0,294.0,354,88.0,18.0,214.0,165,1527,Gerald Wilkins</t>
  </si>
  <si>
    <t>786,1987-88,00,1610612752,NYK,24.0,81,78.0,2703.0,591,1324,0.446,39.0,129.0,0.302,191,243,0.786,106.0,164.0,270.0,326,90.0,22.0,212.0,183,1412,Gerald Wilkins</t>
  </si>
  <si>
    <t>786,1988-89,00,1610612752,NYK,25.0,81,58.0,2414.0,462,1025,0.451,51.0,172.0,0.297,186,246,0.756,95.0,149.0,244.0,274,115.0,22.0,169.0,166,1161,Gerald Wilkins</t>
  </si>
  <si>
    <t>786,1989-90,00,1610612752,NYK,26.0,82,80.0,2609.0,472,1032,0.457,39.0,125.0,0.312,208,259,0.803,133.0,238.0,371.0,330,95.0,21.0,194.0,188,1191,Gerald Wilkins</t>
  </si>
  <si>
    <t>786,1990-91,00,1610612752,NYK,27.0,68,56.0,2164.0,380,804,0.473,9.0,43.0,0.209,169,206,0.82,78.0,129.0,207.0,275,82.0,23.0,161.0,181,938,Gerald Wilkins</t>
  </si>
  <si>
    <t>786,1991-92,00,1610612752,NYK,28.0,82,82.0,2344.0,431,964,0.447,38.0,108.0,0.352,116,159,0.73,74.0,132.0,206.0,219,76.0,17.0,113.0,195,1016,Gerald Wilkins</t>
  </si>
  <si>
    <t>78560,1970-71,00,1610612752,NYK,25.0,5,,13.0,1,1,1.0,,,,2,3,0.667,,,0.0,2,,,,3,4,Milt Williams</t>
  </si>
  <si>
    <t>42,1994-95,00,1610612752,NYK,23.0,41,23.0,503.0,60,133,0.451,0.0,8.0,0.0,17,38,0.447,42.0,56.0,98.0,49,20.0,4.0,41.0,87,137,Monty Williams</t>
  </si>
  <si>
    <t>42,1995-96,00,1610612752,NYK,24.0,14,0.0,62.0,7,22,0.318,0.0,0.0,0.0,5,8,0.625,9.0,8.0,17.0,4,2.0,0.0,5.0,9,19,Monty Williams</t>
  </si>
  <si>
    <t>78571,1977-78,00,1610612752,NYK,23.0,81,,1550.0,305,689,0.443,,,,146,207,0.705,85.0,124.0,209.0,363,108.0,15.0,242.0,211,756,Ray Williams</t>
  </si>
  <si>
    <t>78571,1978-79,00,1610612752,NYK,24.0,81,,2370.0,575,1257,0.457,,,,251,313,0.802,104.0,187.0,291.0,504,128.0,19.0,285.0,274,1401,Ray Williams</t>
  </si>
  <si>
    <t>78571,1979-80,00,1610612752,NYK,25.0,82,,2582.0,687,1384,0.496,7.0,37.0,0.189,333,423,0.787,149.0,263.0,412.0,512,167.0,24.0,256.0,295,1714,Ray Williams</t>
  </si>
  <si>
    <t>78571,1980-81,00,1610612752,NYK,26.0,79,,2742.0,616,1335,0.461,16.0,68.0,0.235,312,382,0.817,122.0,199.0,321.0,432,185.0,37.0,235.0,270,1560,Ray Williams</t>
  </si>
  <si>
    <t>78571,1983-84,00,1610612752,NYK,29.0,76,63.0,2230.0,418,939,0.445,25.0,81.0,0.309,263,318,0.827,67.0,200.0,267.0,449,162.0,26.0,219.0,274,1124,Ray Williams</t>
  </si>
  <si>
    <t>200761,2010-11,00,1610612752,NYK,25.0,64,11.0,1323.0,164,385,0.426,85.0,212.0,0.401,41,49,0.837,60.0,179.0,239.0,47,39.0,51.0,46.0,164,454,Shawne Williams</t>
  </si>
  <si>
    <t>200749,2010-11,00,1610612752,NYK,27.0,17,6.0,198.0,21,39,0.538,0.0,0.0,0.0,24,29,0.828,19.0,31.0,50.0,13,5.0,4.0,6.0,34,66,Shelden Williams</t>
  </si>
  <si>
    <t>78570,1979-80,00,1610612752,NYK,22.0,57,,556.0,104,267,0.39,0.0,4.0,0.0,58,90,0.644,65.0,56.0,121.0,36,19.0,8.0,49.0,73,266,Sly Williams</t>
  </si>
  <si>
    <t>78570,1980-81,00,1610612752,NYK,23.0,67,,1976.0,349,708,0.493,2.0,8.0,0.25,185,268,0.69,159.0,257.0,416.0,180,116.0,18.0,141.0,199,885,Sly Williams</t>
  </si>
  <si>
    <t>78570,1981-82,00,1610612752,NYK,24.0,60,27.0,1521.0,349,628,0.556,2.0,9.0,0.222,131,173,0.757,100.0,127.0,227.0,142,77.0,16.0,114.0,153,831,Sly Williams</t>
  </si>
  <si>
    <t>78570,1982-83,00,1610612752,NYK,25.0,68,6.0,1385.0,314,647,0.485,2.0,19.0,0.105,176,259,0.68,94.0,196.0,290.0,133,73.0,3.0,133.0,166,806,Sly Williams</t>
  </si>
  <si>
    <t>1627786,2017-18,00,1610612752,NYK,23.0,17,1.0,290.0,49,100,0.49,11.0,33.0,0.333,19,27,0.704,21.0,38.0,59.0,15,19.0,4.0,18.0,32,128,Troy Williams</t>
  </si>
  <si>
    <t>78589,1991-92,00,1610612752,NYK,25.0,15,0.0,64.0,12,27,0.444,1.0,2.0,0.5,8,10,0.8,6.0,9.0,15.0,8,2.0,2.0,2.0,4,33,Kennard Winchester</t>
  </si>
  <si>
    <t>1629685,2023-24,00,1610612752,NYK,27.0,3,0.0,7.0,1,2,0.5,1.0,2.0,0.5,0,0,0.0,0.0,1.0,1.0,1,0.0,0.0,0.0,1,3,Dylan Windler</t>
  </si>
  <si>
    <t>766,1998-99,00,1610612752,NYK,35.0,20,0.0,92.0,7,16,0.438,0.0,0.0,0.0,0,0,0.0,3.0,5.0,8.0,5,4.0,0.0,6.0,10,14,David Wingate</t>
  </si>
  <si>
    <t>766,1999-00,00,1610612752,NYK,36.0,7,0.0,32.0,1,9,0.111,0.0,0.0,0.0,0,0,0.0,1.0,1.0,2.0,3,1.0,2.0,2.0,7,2,David Wingate</t>
  </si>
  <si>
    <t>78596,1972-73,00,1610612752,NYK,25.0,13,,59.0,9,22,0.409,,,,2,6,0.333,,,16.0,1,,,,9,20,Harthorne Wingo</t>
  </si>
  <si>
    <t>78596,1973-74,00,1610612752,NYK,26.0,60,,536.0,82,172,0.477,,,,48,76,0.632,72.0,94.0,166.0,25,7.0,14.0,,85,212,Harthorne Wingo</t>
  </si>
  <si>
    <t>78596,1974-75,00,1610612752,NYK,27.0,82,,1686.0,233,506,0.46,,,,141,187,0.754,163.0,293.0,456.0,84,48.0,35.0,,215,607,Harthorne Wingo</t>
  </si>
  <si>
    <t>78596,1975-76,00,1610612752,NYK,28.0,57,,533.0,72,163,0.442,,,,40,60,0.667,46.0,61.0,107.0,18,19.0,8.0,,59,184,Harthorne Wingo</t>
  </si>
  <si>
    <t>2417,2005-06,00,1610612752,NYK,25.0,49,16.0,1013.0,129,254,0.508,22.0,60.0,0.367,49,76,0.645,44.0,146.0,190.0,47,32.0,13.0,61.0,96,329,Qyntel Woods</t>
  </si>
  <si>
    <t>78614,1980-81,00,1610612752,NYK,23.0,81,,949.0,165,373,0.442,1.0,5.0,0.2,49,64,0.766,33.0,64.0,97.0,75,36.0,12.0,54.0,95,380,Mike Woodson</t>
  </si>
  <si>
    <t>1897,2013-14,00,1610612752,NYK,34.0,29,1.0,388.0,56,141,0.397,17.0,54.0,0.315,10,16,0.625,18.0,41.0,59.0,17,24.0,8.0,19.0,44,139,Metta World Peace</t>
  </si>
  <si>
    <t>78620,1986-87,00,1610612752,NYK,25.0,14,0.0,138.0,20,46,0.435,0.0,1.0,0.0,12,28,0.429,25.0,28.0,53.0,1,3.0,6.0,13.0,20,52,Brad Wright</t>
  </si>
  <si>
    <t>78638,1950-51,00,1610612752,NYK,25.0,66,,,302,853,0.354,,,,231,298,0.775,,,228.0,136,,,,150,835,Max Zaslofsky</t>
  </si>
  <si>
    <t>78638,1951-52,00,1610612752,NYK,26.0,66,,2113.0,322,958,0.336,,,,287,380,0.755,,,194.0,156,,,,183,931,Max Zaslofsky</t>
  </si>
  <si>
    <t>78638,1952-53,00,1610612752,NYK,27.0,29,,722.0,123,320,0.384,,,,98,142,0.69,,,75.0,55,,,,81,344,Max Zaslofsky</t>
  </si>
  <si>
    <t>221,2001-02,00,1610612752,NYK,31.0,56,41.0,1726.0,189,452,0.418,0.0,0.0,0.0,116,146,0.795,149.0,311.0,460.0,60,37.0,48.0,47.0,132,494,Clar. Weatherspoon</t>
  </si>
  <si>
    <t>221,2002-03,00,1610612752,NYK,32.0,79,19.0,2026.0,186,414,0.449,0.0,0.0,0.0,149,194,0.768,214.0,385.0,599.0,68,69.0,36.0,63.0,174,521,Clar. Weatherspoon</t>
  </si>
  <si>
    <t>221,2003-04,00,1610612752,NYK,33.0,15,1.0,218.0,18,40,0.45,0.0,0.0,0.0,18,19,0.947,14.0,36.0,50.0,13,8.0,2.0,9.0,19,54,Clar. Weatherspoon</t>
  </si>
  <si>
    <t>78437,1983-84,00,1610612752,NYK,23.0,82,0.0,1324.0,216,518,0.417,4.0,15.0,0.267,208,263,0.791,74.0,93.0,167.0,284,127.0,15.0,194.0,202,644,Darrell Walker</t>
  </si>
  <si>
    <t>78437,1984-85,00,1610612752,NYK,24.0,82,66.0,2489.0,430,989,0.435,0.0,17.0,0.0,243,347,0.7,128.0,150.0,278.0,408,167.0,21.0,204.0,244,1103,Darrell Walker</t>
  </si>
  <si>
    <t>78437,1985-86,00,1610612752,NYK,25.0,81,35.0,2023.0,324,753,0.43,0.0,10.0,0.0,190,277,0.686,100.0,120.0,220.0,337,146.0,36.0,192.0,216,838,Darrell Walker</t>
  </si>
  <si>
    <t>966,2004-05,00,1610612752,NYK,32.0,79,4.0,1211.0,122,243,0.502,0.0,5.0,0.0,115,172,0.669,115.0,168.0,283.0,41,55.0,10.0,65.0,155,359,Jerome Williams</t>
  </si>
  <si>
    <t>433,1996-97,00,1610612752,NYK,37.0,74,4.0,1502.0,175,326,0.537,0.0,1.0,0.0,115,179,0.642,166.0,231.0,397.0,53,40.0,38.0,79.0,204,465,Buck Williams</t>
  </si>
  <si>
    <t>433,1997-98,00,1610612752,NYK,38.0,41,6.0,738.0,75,149,0.503,0.0,0.0,0.0,52,71,0.732,78.0,105.0,183.0,21,17.0,15.0,38.0,93,202,Buck Williams</t>
  </si>
  <si>
    <t>PLAYER_ID</t>
  </si>
  <si>
    <t>SEASON_ID</t>
  </si>
  <si>
    <t>LEAGUE_ID</t>
  </si>
  <si>
    <t>TEAM_ID</t>
  </si>
  <si>
    <t>TEAM_ABBREVIATION</t>
  </si>
  <si>
    <t>PLAYER_AGE</t>
  </si>
  <si>
    <t>GP</t>
  </si>
  <si>
    <t>GS</t>
  </si>
  <si>
    <t>MIN</t>
  </si>
  <si>
    <t>FGM</t>
  </si>
  <si>
    <t>FGA</t>
  </si>
  <si>
    <t>FG_PCT</t>
  </si>
  <si>
    <t>FG3M</t>
  </si>
  <si>
    <t>FG3A</t>
  </si>
  <si>
    <t>FG3_PCT</t>
  </si>
  <si>
    <t>FTM</t>
  </si>
  <si>
    <t>FTA</t>
  </si>
  <si>
    <t>FT_PCT</t>
  </si>
  <si>
    <t>OREB</t>
  </si>
  <si>
    <t>DREB</t>
  </si>
  <si>
    <t>REB</t>
  </si>
  <si>
    <t>AST</t>
  </si>
  <si>
    <t>STL</t>
  </si>
  <si>
    <t>BLK</t>
  </si>
  <si>
    <t>TOV</t>
  </si>
  <si>
    <t>PF</t>
  </si>
  <si>
    <t>PTS</t>
  </si>
  <si>
    <t>PLAYER_NAME</t>
  </si>
  <si>
    <t>1951-52</t>
  </si>
  <si>
    <t>NYK</t>
  </si>
  <si>
    <t>Herb Scherer</t>
  </si>
  <si>
    <t>1958-59</t>
  </si>
  <si>
    <t>Jerry Bird</t>
  </si>
  <si>
    <t>Frank Selvy</t>
  </si>
  <si>
    <t>1987-88</t>
  </si>
  <si>
    <t>Carey Scurry</t>
  </si>
  <si>
    <t>1962-63</t>
  </si>
  <si>
    <t>John Rudometkin</t>
  </si>
  <si>
    <t>1963-64</t>
  </si>
  <si>
    <t>1964-65</t>
  </si>
  <si>
    <t>2017-18</t>
  </si>
  <si>
    <t>Michael Beasley</t>
  </si>
  <si>
    <t>1975-76</t>
  </si>
  <si>
    <t>Butch Beard</t>
  </si>
  <si>
    <t>1976-77</t>
  </si>
  <si>
    <t>1977-78</t>
  </si>
  <si>
    <t>1978-79</t>
  </si>
  <si>
    <t>1949-50</t>
  </si>
  <si>
    <t>Ed Bartels</t>
  </si>
  <si>
    <t>1988-89</t>
  </si>
  <si>
    <t>Charles Oakley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</si>
  <si>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</si>
  <si>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</si>
  <si>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</si>
  <si>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</si>
  <si>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</si>
  <si>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</si>
  <si>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</si>
  <si>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</si>
  <si>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</si>
  <si>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2015-16</t>
  </si>
  <si>
    <t>Kyle O'Quinn</t>
  </si>
  <si>
    <t>2016-17</t>
  </si>
  <si>
    <t>1980-81</t>
  </si>
  <si>
    <t>Dewayne Scales</t>
  </si>
  <si>
    <t>1981-82</t>
  </si>
  <si>
    <t>Anthony Bowie</t>
  </si>
  <si>
    <t>Frank Ntilikina</t>
  </si>
  <si>
    <t>2018-19</t>
  </si>
  <si>
    <t>2019-20</t>
  </si>
  <si>
    <t>2020-21</t>
  </si>
  <si>
    <t>2011-12</t>
  </si>
  <si>
    <t>Steve Novak</t>
  </si>
  <si>
    <t>2012-13</t>
  </si>
  <si>
    <t>2003-04</t>
  </si>
  <si>
    <t>Moochie Norris</t>
  </si>
  <si>
    <t>2004-05</t>
  </si>
  <si>
    <t>Eric Anderson</t>
  </si>
  <si>
    <t>1947-48</t>
  </si>
  <si>
    <t>Paul Noel</t>
  </si>
  <si>
    <t>1948-49</t>
  </si>
  <si>
    <t>2005-06</t>
  </si>
  <si>
    <t>Nate Robinson</t>
  </si>
  <si>
    <t>2006-07</t>
  </si>
  <si>
    <t>2007-08</t>
  </si>
  <si>
    <t>2008-09</t>
  </si>
  <si>
    <t>2009-10</t>
  </si>
  <si>
    <t>Kristaps Porzingis</t>
  </si>
  <si>
    <t>Nerlens Noel</t>
  </si>
  <si>
    <t>2021-22</t>
  </si>
  <si>
    <t>Joakim Noah</t>
  </si>
  <si>
    <t>Demetris Nichols</t>
  </si>
  <si>
    <t>Renaldo Balkman</t>
  </si>
  <si>
    <t>2010-11</t>
  </si>
  <si>
    <t>Johnny Newman</t>
  </si>
  <si>
    <t>Mike Newlin</t>
  </si>
  <si>
    <t>1955-56</t>
  </si>
  <si>
    <t>Richard Atha</t>
  </si>
  <si>
    <t>Maurice Ndour</t>
  </si>
  <si>
    <t>1956-57</t>
  </si>
  <si>
    <t>Willie Naulls</t>
  </si>
  <si>
    <t>1957-58</t>
  </si>
  <si>
    <t>1959-60</t>
  </si>
  <si>
    <t>1960-61</t>
  </si>
  <si>
    <t>1961-62</t>
  </si>
  <si>
    <t>Earl Barron</t>
  </si>
  <si>
    <t>2002-03</t>
  </si>
  <si>
    <t>Lee Nailon</t>
  </si>
  <si>
    <t>2022-23</t>
  </si>
  <si>
    <t>Svi Mykhailiuk</t>
  </si>
  <si>
    <t>Jalen Rose</t>
  </si>
  <si>
    <t>2001-02</t>
  </si>
  <si>
    <t>Larry Robinson</t>
  </si>
  <si>
    <t>Pete Myers</t>
  </si>
  <si>
    <t>Randy Smith</t>
  </si>
  <si>
    <t>Dikembe Mutombo</t>
  </si>
  <si>
    <t>Mike Bibby</t>
  </si>
  <si>
    <t>Jerrod Mustaf</t>
  </si>
  <si>
    <t>2013-14</t>
  </si>
  <si>
    <t>Toure' Murry</t>
  </si>
  <si>
    <t>1946-47</t>
  </si>
  <si>
    <t>John Murphy</t>
  </si>
  <si>
    <t>Dick Murphy</t>
  </si>
  <si>
    <t>Andrea Bargnani</t>
  </si>
  <si>
    <t>2014-15</t>
  </si>
  <si>
    <t>Bob Mullens</t>
  </si>
  <si>
    <t>Emmanuel Mudiay</t>
  </si>
  <si>
    <t>Timofey Mozgov</t>
  </si>
  <si>
    <t>Austin Rivers</t>
  </si>
  <si>
    <t>Marcus Morris Sr.</t>
  </si>
  <si>
    <t>1953-54</t>
  </si>
  <si>
    <t>Fred Schaus</t>
  </si>
  <si>
    <t>Randolph Morris</t>
  </si>
  <si>
    <t>Courtney Sims</t>
  </si>
  <si>
    <t>Matt Mooney</t>
  </si>
  <si>
    <t>1971-72</t>
  </si>
  <si>
    <t>Earl Monroe</t>
  </si>
  <si>
    <t>1972-73</t>
  </si>
  <si>
    <t>1973-74</t>
  </si>
  <si>
    <t>1974-75</t>
  </si>
  <si>
    <t>1979-80</t>
  </si>
  <si>
    <t>1966-67</t>
  </si>
  <si>
    <t>Wayne Molis</t>
  </si>
  <si>
    <t>1954-55</t>
  </si>
  <si>
    <t>Don Anielak</t>
  </si>
  <si>
    <t>Nazr Mohammed</t>
  </si>
  <si>
    <t>John Rudd</t>
  </si>
  <si>
    <t>Wat Misaka</t>
  </si>
  <si>
    <t>Ossie Schectman</t>
  </si>
  <si>
    <t>Trevor Ariza</t>
  </si>
  <si>
    <t>2023-24</t>
  </si>
  <si>
    <t>Shake Milton</t>
  </si>
  <si>
    <t>Rolando Blackman</t>
  </si>
  <si>
    <t>Alexey Shved</t>
  </si>
  <si>
    <t>Chris Mills</t>
  </si>
  <si>
    <t>Arron Afflalo</t>
  </si>
  <si>
    <t>Ramon Sessions</t>
  </si>
  <si>
    <t>Nat Militzok</t>
  </si>
  <si>
    <t>Goebel Ritter</t>
  </si>
  <si>
    <t>1950-51</t>
  </si>
  <si>
    <t>Darko Milicic</t>
  </si>
  <si>
    <t>Irv Rothenberg</t>
  </si>
  <si>
    <t>Hank Rosenstein</t>
  </si>
  <si>
    <t>Eddie Miles</t>
  </si>
  <si>
    <t>Joe Meriweather</t>
  </si>
  <si>
    <t>Matt Barnes</t>
  </si>
  <si>
    <t>Phil Rollins</t>
  </si>
  <si>
    <t>Dean Meminger</t>
  </si>
  <si>
    <t>Bob McNeill</t>
  </si>
  <si>
    <t>Vin Baker</t>
  </si>
  <si>
    <t>Connie Simmons</t>
  </si>
  <si>
    <t>1952-53</t>
  </si>
  <si>
    <t>Sergio Rodriguez</t>
  </si>
  <si>
    <t>1985-86</t>
  </si>
  <si>
    <t>Chris McNealy</t>
  </si>
  <si>
    <t>1986-87</t>
  </si>
  <si>
    <t>RJ Barrett</t>
  </si>
  <si>
    <t>Jim McMillian</t>
  </si>
  <si>
    <t>Ron Behagen</t>
  </si>
  <si>
    <t>Ken Sears</t>
  </si>
  <si>
    <t>Jim Barnett</t>
  </si>
  <si>
    <t>Tom McMillen</t>
  </si>
  <si>
    <t>Kevin Seraphin</t>
  </si>
  <si>
    <t>Carlton McKinney</t>
  </si>
  <si>
    <t>Tom Riker</t>
  </si>
  <si>
    <t>Pablo Prigioni</t>
  </si>
  <si>
    <t>Dick McGuire</t>
  </si>
  <si>
    <t>1984-85</t>
  </si>
  <si>
    <t>Ken Bannister</t>
  </si>
  <si>
    <t>Derrick Rose</t>
  </si>
  <si>
    <t>Allie McGuire</t>
  </si>
  <si>
    <t>Jim Baechtold</t>
  </si>
  <si>
    <t>Al McGuire</t>
  </si>
  <si>
    <t>1965-66</t>
  </si>
  <si>
    <t>Dick Barnett</t>
  </si>
  <si>
    <t>1967-68</t>
  </si>
  <si>
    <t>1968-69</t>
  </si>
  <si>
    <t>1969-70</t>
  </si>
  <si>
    <t>1970-71</t>
  </si>
  <si>
    <t>Tracy McGrady</t>
  </si>
  <si>
    <t>Carmelo Anthony</t>
  </si>
  <si>
    <t>Bill McGill</t>
  </si>
  <si>
    <t>Cole Aldrich</t>
  </si>
  <si>
    <t>Tom Barker</t>
  </si>
  <si>
    <t>Mel McGaha</t>
  </si>
  <si>
    <t>Ryan Arcidiacono</t>
  </si>
  <si>
    <t>Chauncey Billups</t>
  </si>
  <si>
    <t>Antonio McDyess</t>
  </si>
  <si>
    <t>Doug McDermott</t>
  </si>
  <si>
    <t>Bob Santini</t>
  </si>
  <si>
    <t>1998-99</t>
  </si>
  <si>
    <t>Dennis Scott</t>
  </si>
  <si>
    <t>Xavier McDaniel</t>
  </si>
  <si>
    <t>Bob Anderegg</t>
  </si>
  <si>
    <t>Wayne Selden</t>
  </si>
  <si>
    <t>Tim McCormick</t>
  </si>
  <si>
    <t>Walter McCarty</t>
  </si>
  <si>
    <t>Thanasis Antetokounmpo</t>
  </si>
  <si>
    <t>Brendan McCann</t>
  </si>
  <si>
    <t>Miles McBride</t>
  </si>
  <si>
    <t>Brian Quinnett</t>
  </si>
  <si>
    <t>Elfrid Payton</t>
  </si>
  <si>
    <t>Bill Smith</t>
  </si>
  <si>
    <t>Campy Russell</t>
  </si>
  <si>
    <t>Bob McAdoo</t>
  </si>
  <si>
    <t>Mel Hutchins</t>
  </si>
  <si>
    <t>Walt Frazier</t>
  </si>
  <si>
    <t>Wilson Chandler</t>
  </si>
  <si>
    <t>Ken Mayfield</t>
  </si>
  <si>
    <t>Geoff Huston</t>
  </si>
  <si>
    <t>Steve Francis</t>
  </si>
  <si>
    <t>Tyson Chandler</t>
  </si>
  <si>
    <t>JR Smith</t>
  </si>
  <si>
    <t>Cazzie Russell</t>
  </si>
  <si>
    <t>Don May</t>
  </si>
  <si>
    <t>Feron Hunt</t>
  </si>
  <si>
    <t>Evan Fournier</t>
  </si>
  <si>
    <t>Ron Cavenall</t>
  </si>
  <si>
    <t>Ron Baker</t>
  </si>
  <si>
    <t>Wesley Matthews</t>
  </si>
  <si>
    <t>Larry Hughes</t>
  </si>
  <si>
    <t>Jack Foley</t>
  </si>
  <si>
    <t>Kelvin Cato</t>
  </si>
  <si>
    <t>Eddie Mast</t>
  </si>
  <si>
    <t>Allan Houston</t>
  </si>
  <si>
    <t>1999-00</t>
  </si>
  <si>
    <t>2000-01</t>
  </si>
  <si>
    <t>Larry Fogle</t>
  </si>
  <si>
    <t>Bill Cartwright</t>
  </si>
  <si>
    <t>1982-83</t>
  </si>
  <si>
    <t>1983-84</t>
  </si>
  <si>
    <t>Cheikh Samb</t>
  </si>
  <si>
    <t>Roger Mason Jr.</t>
  </si>
  <si>
    <t>Danuel House Jr.</t>
  </si>
  <si>
    <t>Malachi Flynn</t>
  </si>
  <si>
    <t>Reggie Carter</t>
  </si>
  <si>
    <t>Micheal Ray Richardson</t>
  </si>
  <si>
    <t>Anthony Mason</t>
  </si>
  <si>
    <t>Eddie House</t>
  </si>
  <si>
    <t>Bob Fitzgerald</t>
  </si>
  <si>
    <t>Butch Carter</t>
  </si>
  <si>
    <t>Ronald Martin</t>
  </si>
  <si>
    <t>Wilmer Hosket</t>
  </si>
  <si>
    <t>Matt Fish</t>
  </si>
  <si>
    <t>Anthony Carter</t>
  </si>
  <si>
    <t>Anthony Randolph</t>
  </si>
  <si>
    <t>Theo Pinson</t>
  </si>
  <si>
    <t>Kenyon Martin</t>
  </si>
  <si>
    <t>Tom Hoover</t>
  </si>
  <si>
    <t>Greg Fillmore</t>
  </si>
  <si>
    <t>Rick Carlisle</t>
  </si>
  <si>
    <t>OG Anunoby</t>
  </si>
  <si>
    <t>Dennis Smith Jr.</t>
  </si>
  <si>
    <t>Bill Martin</t>
  </si>
  <si>
    <t>Dick Holub</t>
  </si>
  <si>
    <t>Landry Fields</t>
  </si>
  <si>
    <t>Tony Campbell</t>
  </si>
  <si>
    <t>Immanuel Quickley</t>
  </si>
  <si>
    <t>Charlie Paulk</t>
  </si>
  <si>
    <t>Stephon Marbury</t>
  </si>
  <si>
    <t>Justin Holiday</t>
  </si>
  <si>
    <t>Eric Fernsten</t>
  </si>
  <si>
    <t>Marcus Camby</t>
  </si>
  <si>
    <t>Jim Barnes</t>
  </si>
  <si>
    <t>Frank Mangiapane</t>
  </si>
  <si>
    <t>Paul Hogue</t>
  </si>
  <si>
    <t>Raymond Felton</t>
  </si>
  <si>
    <t>Jim Caldwell</t>
  </si>
  <si>
    <t>Rudy Macklin</t>
  </si>
  <si>
    <t>Jordan Hill</t>
  </si>
  <si>
    <t>Ray Felix</t>
  </si>
  <si>
    <t>Jose Calderon</t>
  </si>
  <si>
    <t>Ray Lumpp</t>
  </si>
  <si>
    <t>Isaiah Hicks</t>
  </si>
  <si>
    <t>Mike Farmer</t>
  </si>
  <si>
    <t>Tommy Byrnes</t>
  </si>
  <si>
    <t>Willie Anderson</t>
  </si>
  <si>
    <t>Maurice Lucas</t>
  </si>
  <si>
    <t>Mario Hezonja</t>
  </si>
  <si>
    <t>Patrick Ewing</t>
  </si>
  <si>
    <t>Jackie Butler</t>
  </si>
  <si>
    <t>Jerry Lucas</t>
  </si>
  <si>
    <t>Art Heyman</t>
  </si>
  <si>
    <t>Len Elmore</t>
  </si>
  <si>
    <t>Greg Butler</t>
  </si>
  <si>
    <t>Glen Rice</t>
  </si>
  <si>
    <t>Robin Lopez</t>
  </si>
  <si>
    <t>Sidney Hertzberg</t>
  </si>
  <si>
    <t>Wayne Ellington</t>
  </si>
  <si>
    <t>Al Butler</t>
  </si>
  <si>
    <t>Luc Longley</t>
  </si>
  <si>
    <t>Willy Hernangomez</t>
  </si>
  <si>
    <t>Henry Ellenson</t>
  </si>
  <si>
    <t>Donnie Butcher</t>
  </si>
  <si>
    <t>Jason Smith</t>
  </si>
  <si>
    <t>Mitchell Robinson</t>
  </si>
  <si>
    <t>Julius Randle</t>
  </si>
  <si>
    <t>Brad Lohaus</t>
  </si>
  <si>
    <t>Gerald Henderson</t>
  </si>
  <si>
    <t>Ray Ellefson</t>
  </si>
  <si>
    <t>Ed Burton</t>
  </si>
  <si>
    <t>Mike Price</t>
  </si>
  <si>
    <t>Jeremy Lin</t>
  </si>
  <si>
    <t>Greg Anthony</t>
  </si>
  <si>
    <t>Herm Hedderick</t>
  </si>
  <si>
    <t>Howard Eisley</t>
  </si>
  <si>
    <t>Alec Burks</t>
  </si>
  <si>
    <t>John Palmer</t>
  </si>
  <si>
    <t>David Lee</t>
  </si>
  <si>
    <t>Donald Ackerman</t>
  </si>
  <si>
    <t>Spencer Haywood</t>
  </si>
  <si>
    <t>Johnny Egan</t>
  </si>
  <si>
    <t>Trey Burke</t>
  </si>
  <si>
    <t>Jericho Sims</t>
  </si>
  <si>
    <t>Courtney Lee</t>
  </si>
  <si>
    <t>Scott Hastings</t>
  </si>
  <si>
    <t>Patrick Eddie</t>
  </si>
  <si>
    <t>Luther Burden</t>
  </si>
  <si>
    <t>Ricky Ledo</t>
  </si>
  <si>
    <t>Isaiah Hartenstein</t>
  </si>
  <si>
    <t>Cleanthony Early</t>
  </si>
  <si>
    <t>Greg Bunch</t>
  </si>
  <si>
    <t>Dennis Layton</t>
  </si>
  <si>
    <t>Josh Hart</t>
  </si>
  <si>
    <t>Walter Dukes</t>
  </si>
  <si>
    <t>Reggie Bullock Jr.</t>
  </si>
  <si>
    <t>Tony Lavelli</t>
  </si>
  <si>
    <t>Othella Harrington</t>
  </si>
  <si>
    <t>Chris Duhon</t>
  </si>
  <si>
    <t>Dave Budd</t>
  </si>
  <si>
    <t>James Bailey</t>
  </si>
  <si>
    <t>Shane Larkin</t>
  </si>
  <si>
    <t>Al Harrington</t>
  </si>
  <si>
    <t>Chris Dudley</t>
  </si>
  <si>
    <t>Cleveland Buckner</t>
  </si>
  <si>
    <t>J.R. Reid</t>
  </si>
  <si>
    <t>Andrew Lang</t>
  </si>
  <si>
    <t>Josh Harrellson</t>
  </si>
  <si>
    <t>Toney Douglas</t>
  </si>
  <si>
    <t>Emmette Bryant</t>
  </si>
  <si>
    <t>Dmytro Skapintsev</t>
  </si>
  <si>
    <t>Gene Shue</t>
  </si>
  <si>
    <t>Marcus Landry</t>
  </si>
  <si>
    <t>Jared Harper</t>
  </si>
  <si>
    <t>Damyean Dotson</t>
  </si>
  <si>
    <t>Rick Brunson</t>
  </si>
  <si>
    <t>Kadeem Allen</t>
  </si>
  <si>
    <t>Chasson Randle</t>
  </si>
  <si>
    <t>Gene Short</t>
  </si>
  <si>
    <t>Mindaugas Kuzminskas</t>
  </si>
  <si>
    <t>Derek Harper</t>
  </si>
  <si>
    <t>Harry Donovan</t>
  </si>
  <si>
    <t>Jalen Brunson</t>
  </si>
  <si>
    <t>Lavor Postell</t>
  </si>
  <si>
    <t>Howard Porter</t>
  </si>
  <si>
    <t>Ray Kuka</t>
  </si>
  <si>
    <t>Jerry Harkness</t>
  </si>
  <si>
    <t>Billy Donovan</t>
  </si>
  <si>
    <t>Charlie Brown Jr.</t>
  </si>
  <si>
    <t>Jim Palmer</t>
  </si>
  <si>
    <t>Truck Robinson</t>
  </si>
  <si>
    <t>Latrell Sprewell</t>
  </si>
  <si>
    <t>Shannon Brown</t>
  </si>
  <si>
    <t>Barry Kramer</t>
  </si>
  <si>
    <t>Maurice Harkless</t>
  </si>
  <si>
    <t>James Donaldson</t>
  </si>
  <si>
    <t>Derrick Brown</t>
  </si>
  <si>
    <t>Luke Kornet</t>
  </si>
  <si>
    <t>Tim Hardaway Jr.</t>
  </si>
  <si>
    <t>Michael Doleac</t>
  </si>
  <si>
    <t>Scott Brooks</t>
  </si>
  <si>
    <t>Tom Stith</t>
  </si>
  <si>
    <t>Howard Komives</t>
  </si>
  <si>
    <t>Anfernee Hardaway</t>
  </si>
  <si>
    <t>Mamadi Diakite</t>
  </si>
  <si>
    <t>Audley Brindley</t>
  </si>
  <si>
    <t>Nate Bowman</t>
  </si>
  <si>
    <t>Kevin Knox II</t>
  </si>
  <si>
    <t>Tyler Hall</t>
  </si>
  <si>
    <t>Donte DiVincenzo</t>
  </si>
  <si>
    <t>Lee Knorek</t>
  </si>
  <si>
    <t>Ronnie Brewer</t>
  </si>
  <si>
    <t>Richie Guerin</t>
  </si>
  <si>
    <t>Dave Deutsch</t>
  </si>
  <si>
    <t>Henry Akin</t>
  </si>
  <si>
    <t>Jamison Brewer</t>
  </si>
  <si>
    <t>Travis Knight</t>
  </si>
  <si>
    <t>Ernie Grunfeld</t>
  </si>
  <si>
    <t>Larry Demic</t>
  </si>
  <si>
    <t>Willis Reed</t>
  </si>
  <si>
    <t>Toby Knight</t>
  </si>
  <si>
    <t>Quentin Grimes</t>
  </si>
  <si>
    <t>Dave DeBusschere</t>
  </si>
  <si>
    <t>Shandon Anderson</t>
  </si>
  <si>
    <t>Pete Brennan</t>
  </si>
  <si>
    <t>Ron Sobie</t>
  </si>
  <si>
    <t>Edmund Sherod</t>
  </si>
  <si>
    <t>Ignas Brazdeikis</t>
  </si>
  <si>
    <t>Gerald Paddio</t>
  </si>
  <si>
    <t>Bob Knight</t>
  </si>
  <si>
    <t>Chuck Grigsby</t>
  </si>
  <si>
    <t>Michael Davis</t>
  </si>
  <si>
    <t>Cal Ramsey</t>
  </si>
  <si>
    <t>Louis Orr</t>
  </si>
  <si>
    <t>Charles Smith</t>
  </si>
  <si>
    <t>Greg Kite</t>
  </si>
  <si>
    <t>Sidney Green</t>
  </si>
  <si>
    <t>Mel Davis</t>
  </si>
  <si>
    <t>Dick Shrider</t>
  </si>
  <si>
    <t>Marshall Plumlee</t>
  </si>
  <si>
    <t>Doug Kistler</t>
  </si>
  <si>
    <t>Ken Green</t>
  </si>
  <si>
    <t>Hubert Davis</t>
  </si>
  <si>
    <t>Anthony Roberson</t>
  </si>
  <si>
    <t>Rory Sparrow</t>
  </si>
  <si>
    <t>Bernard King</t>
  </si>
  <si>
    <t>Johnny Green</t>
  </si>
  <si>
    <t>Ben Davis</t>
  </si>
  <si>
    <t>Bo Kimble</t>
  </si>
  <si>
    <t>Stuart Gray</t>
  </si>
  <si>
    <t>Baron Davis</t>
  </si>
  <si>
    <t>Jason Kidd</t>
  </si>
  <si>
    <t>Jerian Grant</t>
  </si>
  <si>
    <t>Antonio Davis</t>
  </si>
  <si>
    <t>Malik Rose</t>
  </si>
  <si>
    <t>Ron Shavlik</t>
  </si>
  <si>
    <t>Trevor Keels</t>
  </si>
  <si>
    <t>Greg Grant</t>
  </si>
  <si>
    <t>Jesse Dark</t>
  </si>
  <si>
    <t>Ed Smith</t>
  </si>
  <si>
    <t>Ralph Kaplowitz</t>
  </si>
  <si>
    <t>Gary Grant</t>
  </si>
  <si>
    <t>Samuel Dalembert</t>
  </si>
  <si>
    <t>Doc Rivers</t>
  </si>
  <si>
    <t>Felton Spencer</t>
  </si>
  <si>
    <t>George Kaftan</t>
  </si>
  <si>
    <t>Stewart Granger</t>
  </si>
  <si>
    <t>Eddy Curry</t>
  </si>
  <si>
    <t>John Starks</t>
  </si>
  <si>
    <t>Cam Reddish</t>
  </si>
  <si>
    <t>Phil Jordon</t>
  </si>
  <si>
    <t>Ronnie Grandison</t>
  </si>
  <si>
    <t>Terry Cummings</t>
  </si>
  <si>
    <t>Jerome Jordan</t>
  </si>
  <si>
    <t>Leo Gottlieb</t>
  </si>
  <si>
    <t>Pat Cummings</t>
  </si>
  <si>
    <t>Lonnie Shelton</t>
  </si>
  <si>
    <t>Sherwin Raiken</t>
  </si>
  <si>
    <t>Bob Peterson</t>
  </si>
  <si>
    <t>Mckinley Singleton</t>
  </si>
  <si>
    <t>DeAndre Jordan</t>
  </si>
  <si>
    <t>Glen Gondrezick</t>
  </si>
  <si>
    <t>Joe Crawford</t>
  </si>
  <si>
    <t>Bill Bradley</t>
  </si>
  <si>
    <t>Vince Boryla</t>
  </si>
  <si>
    <t>Bobby Portis</t>
  </si>
  <si>
    <t>Solomon Jones</t>
  </si>
  <si>
    <t>Tom Gola</t>
  </si>
  <si>
    <t>Jamal Crawford</t>
  </si>
  <si>
    <t>Carl Braun</t>
  </si>
  <si>
    <t>Dave Stallworth</t>
  </si>
  <si>
    <t>Fred Jones</t>
  </si>
  <si>
    <t>Mike Glenn</t>
  </si>
  <si>
    <t>Freddie Crawford</t>
  </si>
  <si>
    <t>Quincy Acy</t>
  </si>
  <si>
    <t>Mouhamed Sene</t>
  </si>
  <si>
    <t>Jawann Oldham</t>
  </si>
  <si>
    <t>Neil Johnson</t>
  </si>
  <si>
    <t>J.R. Giddens</t>
  </si>
  <si>
    <t>Hollis Copeland</t>
  </si>
  <si>
    <t>Larry Johnson</t>
  </si>
  <si>
    <t>Taj Gibson</t>
  </si>
  <si>
    <t>Chris Copeland</t>
  </si>
  <si>
    <t>DerMarr Johnson</t>
  </si>
  <si>
    <t>John Gianelli</t>
  </si>
  <si>
    <t>Bert Cook</t>
  </si>
  <si>
    <t>DeMarco Johnson</t>
  </si>
  <si>
    <t>Jack George</t>
  </si>
  <si>
    <t>Gene Conley</t>
  </si>
  <si>
    <t>Iman Shumpert</t>
  </si>
  <si>
    <t>Chris Jent</t>
  </si>
  <si>
    <t>Eldo Garrett</t>
  </si>
  <si>
    <t>Joe Colone</t>
  </si>
  <si>
    <t>Guy Sparrow</t>
  </si>
  <si>
    <t>Chris Smith</t>
  </si>
  <si>
    <t>Andy Rautins</t>
  </si>
  <si>
    <t>Brandon Jennings</t>
  </si>
  <si>
    <t>Billy Garrett</t>
  </si>
  <si>
    <t>Mardy Collins</t>
  </si>
  <si>
    <t>John Jenkins</t>
  </si>
  <si>
    <t>Dick Garmaker</t>
  </si>
  <si>
    <t>Fred Cofield</t>
  </si>
  <si>
    <t>Mike Riordan</t>
  </si>
  <si>
    <t>Luke Rackley</t>
  </si>
  <si>
    <t>Norvel Pelle</t>
  </si>
  <si>
    <t>Jared Jeffries</t>
  </si>
  <si>
    <t>Langston Galloway</t>
  </si>
  <si>
    <t>Marion Cluggish</t>
  </si>
  <si>
    <t>Alex Bradley</t>
  </si>
  <si>
    <t>Amar'e Stoudemire</t>
  </si>
  <si>
    <t>Nat Clifton</t>
  </si>
  <si>
    <t>Danilo Gallinari</t>
  </si>
  <si>
    <t>DaQuan Jeffries</t>
  </si>
  <si>
    <t>George Blaney</t>
  </si>
  <si>
    <t>Jerome James</t>
  </si>
  <si>
    <t>Harry Gallatin</t>
  </si>
  <si>
    <t>John Clemens</t>
  </si>
  <si>
    <t>Henry Bibby</t>
  </si>
  <si>
    <t>Etdrick Bohannon</t>
  </si>
  <si>
    <t>Gene James</t>
  </si>
  <si>
    <t>Corey Gaines</t>
  </si>
  <si>
    <t>Jim Cleamons</t>
  </si>
  <si>
    <t>Gary Bergen</t>
  </si>
  <si>
    <t>Bojan Bogdanovic</t>
  </si>
  <si>
    <t>Phil Jackson</t>
  </si>
  <si>
    <t>Dan Gadzuric</t>
  </si>
  <si>
    <t>Earl Clark</t>
  </si>
  <si>
    <t>Anthony Bonner</t>
  </si>
  <si>
    <t>Mark Jackson</t>
  </si>
  <si>
    <t>Channing Frye</t>
  </si>
  <si>
    <t>Doug Christie</t>
  </si>
  <si>
    <t>Jonathan Bender</t>
  </si>
  <si>
    <t>Walt Bellamy</t>
  </si>
  <si>
    <t>Precious Achiuwa</t>
  </si>
  <si>
    <t>Sam Stith</t>
  </si>
  <si>
    <t>Dennis Bell</t>
  </si>
  <si>
    <t>Jermaine Jackson</t>
  </si>
  <si>
    <t>Larry Friend</t>
  </si>
  <si>
    <t>Fred Christ</t>
  </si>
  <si>
    <t>William Bell</t>
  </si>
  <si>
    <t>Greg Jackson</t>
  </si>
  <si>
    <t>Frido Frey</t>
  </si>
  <si>
    <t>Chris Childs</t>
  </si>
  <si>
    <t>Lou Amundson</t>
  </si>
  <si>
    <t>Quentin Richardson</t>
  </si>
  <si>
    <t>Zach Randolph</t>
  </si>
  <si>
    <t>Jarrett Jack</t>
  </si>
  <si>
    <t>Enes Freedom</t>
  </si>
  <si>
    <t>Maurice Cheeks</t>
  </si>
  <si>
    <t>Bob Boozer</t>
  </si>
  <si>
    <t>Jimmer Fredette</t>
  </si>
  <si>
    <t>Len Chappell</t>
  </si>
  <si>
    <t>Darrall Imhoff</t>
  </si>
  <si>
    <t>Rod Strickland</t>
  </si>
  <si>
    <t>Stan Stutz</t>
  </si>
  <si>
    <t>Bruno Sundov</t>
  </si>
  <si>
    <t>Dick Surhoff</t>
  </si>
  <si>
    <t>Michael Sweetney</t>
  </si>
  <si>
    <t>Sid Tannenbaum</t>
  </si>
  <si>
    <t>Maurice Taylor</t>
  </si>
  <si>
    <t>Vince Taylor</t>
  </si>
  <si>
    <t>Kurt Thomas</t>
  </si>
  <si>
    <t>Lance Thomas</t>
  </si>
  <si>
    <t>Tim Thomas</t>
  </si>
  <si>
    <t>Brooks Thompson</t>
  </si>
  <si>
    <t>Bob Thornton</t>
  </si>
  <si>
    <t>Ray Tolbert</t>
  </si>
  <si>
    <t>Sedric Toney</t>
  </si>
  <si>
    <t>Jacob Toppin</t>
  </si>
  <si>
    <t>Obi Toppin</t>
  </si>
  <si>
    <t>Allonzo Trier</t>
  </si>
  <si>
    <t>Cezary Trybanski</t>
  </si>
  <si>
    <t>Trent Tucker</t>
  </si>
  <si>
    <t>Ronny Turiaf</t>
  </si>
  <si>
    <t>Mirsad Turkcan</t>
  </si>
  <si>
    <t>Jack Turner</t>
  </si>
  <si>
    <t>Jeremy Tyler</t>
  </si>
  <si>
    <t>Ime Udoka</t>
  </si>
  <si>
    <t>Erick Strickland</t>
  </si>
  <si>
    <t>Dick Van Arsdale</t>
  </si>
  <si>
    <t>Butch Van Breda Kolff</t>
  </si>
  <si>
    <t>Keith Van Horn</t>
  </si>
  <si>
    <t>Ernie Vandeweghe</t>
  </si>
  <si>
    <t>Charlie Tyra</t>
  </si>
  <si>
    <t>Noah Vonleh</t>
  </si>
  <si>
    <t>Sasha Vujacic</t>
  </si>
  <si>
    <t>Neal Walk</t>
  </si>
  <si>
    <t>Kiki Vandeweghe</t>
  </si>
  <si>
    <t>Henry Walker</t>
  </si>
  <si>
    <t>Kemba Walker</t>
  </si>
  <si>
    <t>Kenny Walker</t>
  </si>
  <si>
    <t>John Wallace</t>
  </si>
  <si>
    <t>Rasheed Wallace</t>
  </si>
  <si>
    <t>Charlie Ward</t>
  </si>
  <si>
    <t>Johnny Warren</t>
  </si>
  <si>
    <t>Travis Wear</t>
  </si>
  <si>
    <t>Beno Udrih</t>
  </si>
  <si>
    <t>Forest Weber</t>
  </si>
  <si>
    <t>Marvin Webster</t>
  </si>
  <si>
    <t>Paul Westphal</t>
  </si>
  <si>
    <t>James White</t>
  </si>
  <si>
    <t>Tony White</t>
  </si>
  <si>
    <t>Chris Wilcox</t>
  </si>
  <si>
    <t>Eddielee Wilkins</t>
  </si>
  <si>
    <t>Derrick Williams</t>
  </si>
  <si>
    <t>Frank Williams</t>
  </si>
  <si>
    <t>Herb Williams</t>
  </si>
  <si>
    <t>Gerald Wilkins</t>
  </si>
  <si>
    <t>Milt Williams</t>
  </si>
  <si>
    <t>Monty Williams</t>
  </si>
  <si>
    <t>Ray Williams</t>
  </si>
  <si>
    <t>Shawne Williams</t>
  </si>
  <si>
    <t>Shelden Williams</t>
  </si>
  <si>
    <t>Sly Williams</t>
  </si>
  <si>
    <t>Troy Williams</t>
  </si>
  <si>
    <t>Kennard Winchester</t>
  </si>
  <si>
    <t>Dylan Windler</t>
  </si>
  <si>
    <t>David Wingate</t>
  </si>
  <si>
    <t>Harthorne Wingo</t>
  </si>
  <si>
    <t>Qyntel Woods</t>
  </si>
  <si>
    <t>Mike Woodson</t>
  </si>
  <si>
    <t>Metta World Peace</t>
  </si>
  <si>
    <t>Brad Wright</t>
  </si>
  <si>
    <t>Max Zaslofsky</t>
  </si>
  <si>
    <t>Clar. Weatherspoon</t>
  </si>
  <si>
    <t>Darrell Walker</t>
  </si>
  <si>
    <t>Jerome Williams</t>
  </si>
  <si>
    <t>Buck Williams</t>
  </si>
  <si>
    <t>SEASON</t>
  </si>
  <si>
    <t>NAME</t>
  </si>
  <si>
    <t>AGE</t>
  </si>
  <si>
    <t>OREB22</t>
  </si>
  <si>
    <t>DREB33</t>
  </si>
  <si>
    <t>REB44</t>
  </si>
  <si>
    <t>PTSPG</t>
  </si>
  <si>
    <t>ASTPG</t>
  </si>
  <si>
    <t>STLPG</t>
  </si>
  <si>
    <t>BLK2</t>
  </si>
  <si>
    <t>BLKPG</t>
  </si>
  <si>
    <t>TOV2</t>
  </si>
  <si>
    <t>TOVPG</t>
  </si>
  <si>
    <t>PFPG</t>
  </si>
  <si>
    <t>VALORATION</t>
  </si>
  <si>
    <t>STL2</t>
  </si>
  <si>
    <t>VALORATIONPG</t>
  </si>
  <si>
    <t>Etiquetas de fila</t>
  </si>
  <si>
    <t>Total general</t>
  </si>
  <si>
    <t>Suma de VALORATIONPG</t>
  </si>
  <si>
    <t>Carmelo Anthony (2013-14)</t>
  </si>
  <si>
    <t>David Lee (2009-10)</t>
  </si>
  <si>
    <t>Earl Barron (2012-13)</t>
  </si>
  <si>
    <t>Jalen Brunson (2023-24)</t>
  </si>
  <si>
    <t>Julius Randle (2020-21)</t>
  </si>
  <si>
    <t>Julius Randle (2022-23)</t>
  </si>
  <si>
    <t>Marcus Camby (2000-01)</t>
  </si>
  <si>
    <t>Marcus Camby (2001-02)</t>
  </si>
  <si>
    <t>Zach Randolph (2008-09)</t>
  </si>
  <si>
    <t>PLAYER_SEASON</t>
  </si>
  <si>
    <t>Suma de GP</t>
  </si>
  <si>
    <t>MEJORES ANOTADORES 2000 AL 2024</t>
  </si>
  <si>
    <t>Suma de PTS</t>
  </si>
  <si>
    <t>MEJORES TEMPORADAS DEL 2000 AL 2024</t>
  </si>
  <si>
    <t>MEJORES TEMPORADAS DEFENSIVAS DEL 2000 AL 2024</t>
  </si>
  <si>
    <t>REBPG</t>
  </si>
  <si>
    <t>DEFRTNGPG</t>
  </si>
  <si>
    <t>Suma de DEFRTNGPG</t>
  </si>
  <si>
    <t>JUGADORES QUE HAN PASADO POR LOS KNICKS DEL 2000 AL 2024</t>
  </si>
  <si>
    <t>Cuenta de NAME</t>
  </si>
  <si>
    <t>JUGADORES CON MÁS PARTIDOS DEL 2000 AL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</si>
</sst>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70" formatCode="0.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33" borderId="0" xfId="0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9" fillId="0" borderId="0" xfId="0" applyFont="1"/>
    <xf numFmtId="3" fontId="0" fillId="0" borderId="0" xfId="0" applyNumberFormat="1"/>
    <xf numFmtId="170" fontId="0" fillId="0" borderId="0" xfId="0" applyNumberFormat="1"/>
    <xf numFmtId="0" fontId="0" fillId="0" borderId="0" xfId="0" applyNumberFormat="1" applyFill="1"/>
    <xf numFmtId="0" fontId="0" fillId="0" borderId="0" xfId="0" applyFill="1"/>
    <xf numFmtId="164" fontId="0" fillId="0" borderId="0" xfId="1" applyNumberFormat="1" applyFont="1" applyFill="1"/>
    <xf numFmtId="10" fontId="0" fillId="0" borderId="0" xfId="1" applyNumberFormat="1" applyFont="1" applyFill="1"/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2" fontId="0" fillId="0" borderId="0" xfId="0" applyNumberFormat="1"/>
    <xf numFmtId="0" fontId="0" fillId="0" borderId="0" xfId="0" applyFill="1" applyAlignment="1"/>
    <xf numFmtId="2" fontId="0" fillId="0" borderId="0" xfId="0" applyNumberFormat="1" applyFill="1"/>
    <xf numFmtId="0" fontId="20" fillId="33" borderId="0" xfId="0" applyFont="1" applyFill="1" applyAlignment="1">
      <alignment horizontal="center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4">
    <dxf>
      <numFmt numFmtId="2" formatCode="0.00"/>
    </dxf>
    <dxf>
      <numFmt numFmtId="169" formatCode="0.000"/>
    </dxf>
    <dxf>
      <numFmt numFmtId="2" formatCode="0.00"/>
    </dxf>
    <dxf>
      <numFmt numFmtId="169" formatCode="0.000"/>
    </dxf>
    <dxf>
      <numFmt numFmtId="168" formatCode="0.0000"/>
    </dxf>
    <dxf>
      <numFmt numFmtId="168" formatCode="0.0000"/>
    </dxf>
    <dxf>
      <numFmt numFmtId="167" formatCode="0.00000"/>
    </dxf>
    <dxf>
      <numFmt numFmtId="167" formatCode="0.00000"/>
    </dxf>
    <dxf>
      <numFmt numFmtId="166" formatCode="0.000000"/>
    </dxf>
    <dxf>
      <numFmt numFmtId="166" formatCode="0.000000"/>
    </dxf>
    <dxf>
      <numFmt numFmtId="165" formatCode="0.0000000"/>
    </dxf>
    <dxf>
      <numFmt numFmtId="165" formatCode="0.000000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2" formatCode="0.00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64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[KNICKS_LIMPIO.xlsx]TABLAS_DINÁMICAS!TablaDinámica6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6125444912821684E-2"/>
          <c:y val="0.14628668856375904"/>
          <c:w val="0.86499013127320246"/>
          <c:h val="0.660850478041411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TABLAS_DINÁMICAS!$G$5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TABLAS_DINÁMICAS!$F$6:$F$11</c:f>
              <c:strCache>
                <c:ptCount val="5"/>
                <c:pt idx="0">
                  <c:v>Carmelo Anthony</c:v>
                </c:pt>
                <c:pt idx="1">
                  <c:v>Julius Randle</c:v>
                </c:pt>
                <c:pt idx="2">
                  <c:v>Allan Houston</c:v>
                </c:pt>
                <c:pt idx="3">
                  <c:v>Jamal Crawford</c:v>
                </c:pt>
                <c:pt idx="4">
                  <c:v>Stephon Marbury</c:v>
                </c:pt>
              </c:strCache>
            </c:strRef>
          </c:cat>
          <c:val>
            <c:numRef>
              <c:f>TABLAS_DINÁMICAS!$G$6:$G$11</c:f>
              <c:numCache>
                <c:formatCode>General</c:formatCode>
                <c:ptCount val="5"/>
                <c:pt idx="0">
                  <c:v>10186</c:v>
                </c:pt>
                <c:pt idx="1">
                  <c:v>6197</c:v>
                </c:pt>
                <c:pt idx="2">
                  <c:v>6032</c:v>
                </c:pt>
                <c:pt idx="3">
                  <c:v>5269</c:v>
                </c:pt>
                <c:pt idx="4">
                  <c:v>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F9-4380-B7F3-81930729C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7370992"/>
        <c:axId val="1197371952"/>
      </c:barChart>
      <c:catAx>
        <c:axId val="119737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7371952"/>
        <c:crosses val="autoZero"/>
        <c:auto val="1"/>
        <c:lblAlgn val="ctr"/>
        <c:lblOffset val="100"/>
        <c:noMultiLvlLbl val="0"/>
      </c:catAx>
      <c:valAx>
        <c:axId val="119737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7370992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420676</xdr:colOff>
      <xdr:row>3</xdr:row>
      <xdr:rowOff>150428</xdr:rowOff>
    </xdr:from>
    <xdr:to>
      <xdr:col>16</xdr:col>
      <xdr:colOff>263546</xdr:colOff>
      <xdr:row>18</xdr:row>
      <xdr:rowOff>150428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E8DF5-FE3A-6FEE-5FCF-86C665DCF2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" refreshedDate="46182.622123842593" createdVersion="8" refreshedVersion="8" minRefreshableVersion="3" recordCount="408" xr:uid="{B5036E66-B306-424D-810B-5E30E54E955C}">
  <cacheSource type="worksheet">
    <worksheetSource ref="A1:AO409" sheet="KNICKS_TABLA_LIMPIA_20_to_24"/>
  </cacheSource>
  <cacheFields count="39">
    <cacheField name="NAME" numFmtId="0">
      <sharedItems count="219">
        <s v="Marcus Camby"/>
        <s v="Latrell Sprewell"/>
        <s v="Allan Houston"/>
        <s v="Kurt Thomas"/>
        <s v="Mark Jackson"/>
        <s v="Glen Rice"/>
        <s v="Larry Johnson"/>
        <s v="Charlie Ward"/>
        <s v="Chris Childs"/>
        <s v="Othella Harrington"/>
        <s v="Erick Strickland"/>
        <s v="Felton Spencer"/>
        <s v="Rick Brunson"/>
        <s v="Lavor Postell"/>
        <s v="Luc Longley"/>
        <s v="Travis Knight"/>
        <s v="Clar. Weatherspoon"/>
        <s v="Shandon Anderson"/>
        <s v="Howard Eisley"/>
        <s v="Larry Robinson"/>
        <s v="Lee Nailon"/>
        <s v="Michael Doleac"/>
        <s v="Frank Williams"/>
        <s v="Stephon Marbury"/>
        <s v="Keith Van Horn"/>
        <s v="Nazr Mohammed"/>
        <s v="Tim Thomas"/>
        <s v="Dikembe Mutombo"/>
        <s v="Antonio McDyess"/>
        <s v="Anfernee Hardaway"/>
        <s v="Michael Sweetney"/>
        <s v="Moochie Norris"/>
        <s v="DerMarr Johnson"/>
        <s v="Vin Baker"/>
        <s v="Bruno Sundov"/>
        <s v="Cezary Trybanski"/>
        <s v="Jamal Crawford"/>
        <s v="Trevor Ariza"/>
        <s v="Malik Rose"/>
        <s v="Jerome Williams"/>
        <s v="Maurice Taylor"/>
        <s v="Jackie Butler"/>
        <s v="Jermaine Jackson"/>
        <s v="Jamison Brewer"/>
        <s v="Channing Frye"/>
        <s v="Jalen Rose"/>
        <s v="Eddy Curry"/>
        <s v="Steve Francis"/>
        <s v="David Lee"/>
        <s v="Qyntel Woods"/>
        <s v="Quentin Richardson"/>
        <s v="Nate Robinson"/>
        <s v="Matt Barnes"/>
        <s v="Antonio Davis"/>
        <s v="Ime Udoka"/>
        <s v="Jerome James"/>
        <s v="Renaldo Balkman"/>
        <s v="Jared Jeffries"/>
        <s v="Mardy Collins"/>
        <s v="Kelvin Cato"/>
        <s v="Randolph Morris"/>
        <s v="Zach Randolph"/>
        <s v="Fred Jones"/>
        <s v="Wilson Chandler"/>
        <s v="Al Harrington"/>
        <s v="Chris Duhon"/>
        <s v="Larry Hughes"/>
        <s v="Mouhamed Sene"/>
        <s v="Courtney Sims"/>
        <s v="Danilo Gallinari"/>
        <s v="Chris Wilcox"/>
        <s v="Joe Crawford"/>
        <s v="Anthony Roberson"/>
        <s v="Demetris Nichols"/>
        <s v="Cheikh Samb"/>
        <s v="Earl Barron"/>
        <s v="Henry Walker"/>
        <s v="Tracy McGrady"/>
        <s v="Sergio Rodriguez"/>
        <s v="Toney Douglas"/>
        <s v="Eddie House"/>
        <s v="Jonathan Bender"/>
        <s v="J.R. Giddens"/>
        <s v="Jordan Hill"/>
        <s v="Darko Milicic"/>
        <s v="Marcus Landry"/>
        <s v="Amar'e Stoudemire"/>
        <s v="Carmelo Anthony"/>
        <s v="Raymond Felton"/>
        <s v="Chauncey Billups"/>
        <s v="Landry Fields"/>
        <s v="Shawne Williams"/>
        <s v="Ronny Turiaf"/>
        <s v="Anthony Carter"/>
        <s v="Shelden Williams"/>
        <s v="Derrick Brown"/>
        <s v="Timofey Mozgov"/>
        <s v="Roger Mason Jr."/>
        <s v="Anthony Randolph"/>
        <s v="Andy Rautins"/>
        <s v="Tyson Chandler"/>
        <s v="Jeremy Lin"/>
        <s v="JR Smith"/>
        <s v="Iman Shumpert"/>
        <s v="Steve Novak"/>
        <s v="Josh Harrellson"/>
        <s v="Baron Davis"/>
        <s v="Mike Bibby"/>
        <s v="Jerome Jordan"/>
        <s v="Dan Gadzuric"/>
        <s v="Jason Kidd"/>
        <s v="Kenyon Martin"/>
        <s v="Rasheed Wallace"/>
        <s v="Chris Copeland"/>
        <s v="Pablo Prigioni"/>
        <s v="Ronnie Brewer"/>
        <s v="James White"/>
        <s v="Solomon Jones"/>
        <s v="Andrea Bargnani"/>
        <s v="Beno Udrih"/>
        <s v="Tim Hardaway Jr."/>
        <s v="Cole Aldrich"/>
        <s v="Metta World Peace"/>
        <s v="Jeremy Tyler"/>
        <s v="Earl Clark"/>
        <s v="Toure' Murry"/>
        <s v="Shannon Brown"/>
        <s v="Chris Smith"/>
        <s v="Alexey Shved"/>
        <s v="Langston Galloway"/>
        <s v="Jose Calderon"/>
        <s v="Lou Amundson"/>
        <s v="Jason Smith"/>
        <s v="Shane Larkin"/>
        <s v="Quincy Acy"/>
        <s v="Samuel Dalembert"/>
        <s v="Lance Thomas"/>
        <s v="Ricky Ledo"/>
        <s v="Cleanthony Early"/>
        <s v="Travis Wear"/>
        <s v="Kristaps Porzingis"/>
        <s v="Robin Lopez"/>
        <s v="Arron Afflalo"/>
        <s v="Derrick Williams"/>
        <s v="Kyle O'Quinn"/>
        <s v="Jerian Grant"/>
        <s v="Sasha Vujacic"/>
        <s v="Kevin Seraphin"/>
        <s v="Thanasis Antetokounmpo"/>
        <s v="Jimmer Fredette"/>
        <s v="Derrick Rose"/>
        <s v="Willy Hernangomez"/>
        <s v="Joakim Noah"/>
        <s v="Courtney Lee"/>
        <s v="Brandon Jennings"/>
        <s v="Justin Holiday"/>
        <s v="Mindaugas Kuzminskas"/>
        <s v="Chasson Randle"/>
        <s v="Ron Baker"/>
        <s v="Maurice Ndour"/>
        <s v="Marshall Plumlee"/>
        <s v="Enes Freedom"/>
        <s v="Trey Burke"/>
        <s v="Michael Beasley"/>
        <s v="Jarrett Jack"/>
        <s v="Troy Williams"/>
        <s v="Emmanuel Mudiay"/>
        <s v="Luke Kornet"/>
        <s v="Doug McDermott"/>
        <s v="Frank Ntilikina"/>
        <s v="Damyean Dotson"/>
        <s v="Ramon Sessions"/>
        <s v="Isaiah Hicks"/>
        <s v="Julius Randle"/>
        <s v="RJ Barrett"/>
        <s v="Mitchell Robinson"/>
        <s v="Alec Burks"/>
        <s v="Nerlens Noel"/>
        <s v="Taj Gibson"/>
        <s v="Reggie Bullock Jr."/>
        <s v="Elfrid Payton"/>
        <s v="Immanuel Quickley"/>
        <s v="Austin Rivers"/>
        <s v="Obi Toppin"/>
        <s v="Kevin Knox II"/>
        <s v="Norvel Pelle"/>
        <s v="Dennis Smith Jr."/>
        <s v="Ignas Brazdeikis"/>
        <s v="Theo Pinson"/>
        <s v="Jared Harper"/>
        <s v="Kemba Walker"/>
        <s v="Evan Fournier"/>
        <s v="Jericho Sims"/>
        <s v="Cam Reddish"/>
        <s v="Quentin Grimes"/>
        <s v="Ryan Arcidiacono"/>
        <s v="Miles McBride"/>
        <s v="Wayne Selden"/>
        <s v="Tyler Hall"/>
        <s v="Feron Hunt"/>
        <s v="Matt Mooney"/>
        <s v="Danuel House Jr."/>
        <s v="Jalen Brunson"/>
        <s v="Josh Hart"/>
        <s v="Isaiah Hartenstein"/>
        <s v="Svi Mykhailiuk"/>
        <s v="Trevor Keels"/>
        <s v="Donte DiVincenzo"/>
        <s v="OG Anunoby"/>
        <s v="Precious Achiuwa"/>
        <s v="Bojan Bogdanovic"/>
        <s v="Jacob Toppin"/>
        <s v="Shake Milton"/>
        <s v="Malachi Flynn"/>
        <s v="Dylan Windler"/>
        <s v="DaQuan Jeffries"/>
        <s v="Mamadi Diakite"/>
        <s v="Dmytro Skapintsev"/>
        <s v="Charlie Brown Jr."/>
      </sharedItems>
    </cacheField>
    <cacheField name="SEASON" numFmtId="0">
      <sharedItems/>
    </cacheField>
    <cacheField name="PLAYER_SEASON" numFmtId="0">
      <sharedItems count="408">
        <s v="Marcus Camby (2000-01)"/>
        <s v="Latrell Sprewell (2000-01)"/>
        <s v="Allan Houston (2000-01)"/>
        <s v="Kurt Thomas (2000-01)"/>
        <s v="Mark Jackson (2000-01)"/>
        <s v="Glen Rice (2000-01)"/>
        <s v="Larry Johnson (2000-01)"/>
        <s v="Charlie Ward (2000-01)"/>
        <s v="Chris Childs (2000-01)"/>
        <s v="Othella Harrington (2000-01)"/>
        <s v="Erick Strickland (2000-01)"/>
        <s v="Felton Spencer (2000-01)"/>
        <s v="Rick Brunson (2000-01)"/>
        <s v="Lavor Postell (2000-01)"/>
        <s v="Luc Longley (2000-01)"/>
        <s v="Travis Knight (2000-01)"/>
        <s v="Marcus Camby (2001-02)"/>
        <s v="Kurt Thomas (2001-02)"/>
        <s v="Latrell Sprewell (2001-02)"/>
        <s v="Mark Jackson (2001-02)"/>
        <s v="Allan Houston (2001-02)"/>
        <s v="Clar. Weatherspoon (2001-02)"/>
        <s v="Charlie Ward (2001-02)"/>
        <s v="Othella Harrington (2001-02)"/>
        <s v="Shandon Anderson (2001-02)"/>
        <s v="Howard Eisley (2001-02)"/>
        <s v="Lavor Postell (2001-02)"/>
        <s v="Travis Knight (2001-02)"/>
        <s v="Larry Robinson (2001-02)"/>
        <s v="Felton Spencer (2001-02)"/>
        <s v="Allan Houston (2002-03)"/>
        <s v="Kurt Thomas (2002-03)"/>
        <s v="Latrell Sprewell (2002-03)"/>
        <s v="Clar. Weatherspoon (2002-03)"/>
        <s v="Howard Eisley (2002-03)"/>
        <s v="Charlie Ward (2002-03)"/>
        <s v="Othella Harrington (2002-03)"/>
        <s v="Shandon Anderson (2002-03)"/>
        <s v="Lee Nailon (2002-03)"/>
        <s v="Michael Doleac (2002-03)"/>
        <s v="Travis Knight (2002-03)"/>
        <s v="Frank Williams (2002-03)"/>
        <s v="Lavor Postell (2002-03)"/>
        <s v="Stephon Marbury (2003-04)"/>
        <s v="Keith Van Horn (2003-04)"/>
        <s v="Kurt Thomas (2003-04)"/>
        <s v="Nazr Mohammed (2003-04)"/>
        <s v="Tim Thomas (2003-04)"/>
        <s v="Allan Houston (2003-04)"/>
        <s v="Charlie Ward (2003-04)"/>
        <s v="Dikembe Mutombo (2003-04)"/>
        <s v="Antonio McDyess (2003-04)"/>
        <s v="Anfernee Hardaway (2003-04)"/>
        <s v="Howard Eisley (2003-04)"/>
        <s v="Michael Doleac (2003-04)"/>
        <s v="Clar. Weatherspoon (2003-04)"/>
        <s v="Shandon Anderson (2003-04)"/>
        <s v="Michael Sweetney (2003-04)"/>
        <s v="Moochie Norris (2003-04)"/>
        <s v="DerMarr Johnson (2003-04)"/>
        <s v="Vin Baker (2003-04)"/>
        <s v="Othella Harrington (2003-04)"/>
        <s v="Frank Williams (2003-04)"/>
        <s v="Bruno Sundov (2003-04)"/>
        <s v="Cezary Trybanski (2003-04)"/>
        <s v="Stephon Marbury (2004-05)"/>
        <s v="Kurt Thomas (2004-05)"/>
        <s v="Jamal Crawford (2004-05)"/>
        <s v="Nazr Mohammed (2004-05)"/>
        <s v="Michael Sweetney (2004-05)"/>
        <s v="Tim Thomas (2004-05)"/>
        <s v="Allan Houston (2004-05)"/>
        <s v="Trevor Ariza (2004-05)"/>
        <s v="Malik Rose (2004-05)"/>
        <s v="Anfernee Hardaway (2004-05)"/>
        <s v="Jerome Williams (2004-05)"/>
        <s v="Maurice Taylor (2004-05)"/>
        <s v="Jackie Butler (2004-05)"/>
        <s v="Jermaine Jackson (2004-05)"/>
        <s v="Moochie Norris (2004-05)"/>
        <s v="Jamison Brewer (2004-05)"/>
        <s v="Vin Baker (2004-05)"/>
        <s v="Bruno Sundov (2004-05)"/>
        <s v="Shandon Anderson (2004-05)"/>
        <s v="Stephon Marbury (2005-06)"/>
        <s v="Jamal Crawford (2005-06)"/>
        <s v="Channing Frye (2005-06)"/>
        <s v="Jalen Rose (2005-06)"/>
        <s v="Eddy Curry (2005-06)"/>
        <s v="Steve Francis (2005-06)"/>
        <s v="David Lee (2005-06)"/>
        <s v="Qyntel Woods (2005-06)"/>
        <s v="Quentin Richardson (2005-06)"/>
        <s v="Nate Robinson (2005-06)"/>
        <s v="Jackie Butler (2005-06)"/>
        <s v="Trevor Ariza (2005-06)"/>
        <s v="Matt Barnes (2005-06)"/>
        <s v="Antonio Davis (2005-06)"/>
        <s v="Malik Rose (2005-06)"/>
        <s v="Maurice Taylor (2005-06)"/>
        <s v="Ime Udoka (2005-06)"/>
        <s v="Anfernee Hardaway (2005-06)"/>
        <s v="Jerome James (2005-06)"/>
        <s v="David Lee (2006-07)"/>
        <s v="Eddy Curry (2006-07)"/>
        <s v="Stephon Marbury (2006-07)"/>
        <s v="Quentin Richardson (2006-07)"/>
        <s v="Jamal Crawford (2006-07)"/>
        <s v="Steve Francis (2006-07)"/>
        <s v="Channing Frye (2006-07)"/>
        <s v="Nate Robinson (2006-07)"/>
        <s v="Renaldo Balkman (2006-07)"/>
        <s v="Jared Jeffries (2006-07)"/>
        <s v="Mardy Collins (2006-07)"/>
        <s v="Malik Rose (2006-07)"/>
        <s v="Kelvin Cato (2006-07)"/>
        <s v="Randolph Morris (2006-07)"/>
        <s v="Jerome James (2006-07)"/>
        <s v="Zach Randolph (2007-08)"/>
        <s v="Jamal Crawford (2007-08)"/>
        <s v="David Lee (2007-08)"/>
        <s v="Stephon Marbury (2007-08)"/>
        <s v="Nate Robinson (2007-08)"/>
        <s v="Eddy Curry (2007-08)"/>
        <s v="Quentin Richardson (2007-08)"/>
        <s v="Fred Jones (2007-08)"/>
        <s v="Wilson Chandler (2007-08)"/>
        <s v="Renaldo Balkman (2007-08)"/>
        <s v="Jerome James (2007-08)"/>
        <s v="Jared Jeffries (2007-08)"/>
        <s v="Mardy Collins (2007-08)"/>
        <s v="Malik Rose (2007-08)"/>
        <s v="Randolph Morris (2007-08)"/>
        <s v="Zach Randolph (2008-09)"/>
        <s v="David Lee (2008-09)"/>
        <s v="Al Harrington (2008-09)"/>
        <s v="Nate Robinson (2008-09)"/>
        <s v="Jamal Crawford (2008-09)"/>
        <s v="Chris Duhon (2008-09)"/>
        <s v="Wilson Chandler (2008-09)"/>
        <s v="Quentin Richardson (2008-09)"/>
        <s v="Larry Hughes (2008-09)"/>
        <s v="Mouhamed Sene (2008-09)"/>
        <s v="Tim Thomas (2008-09)"/>
        <s v="Courtney Sims (2008-09)"/>
        <s v="Jared Jeffries (2008-09)"/>
        <s v="Danilo Gallinari (2008-09)"/>
        <s v="Chris Wilcox (2008-09)"/>
        <s v="Joe Crawford (2008-09)"/>
        <s v="Anthony Roberson (2008-09)"/>
        <s v="Demetris Nichols (2008-09)"/>
        <s v="Jerome James (2008-09)"/>
        <s v="Mardy Collins (2008-09)"/>
        <s v="Eddy Curry (2008-09)"/>
        <s v="Malik Rose (2008-09)"/>
        <s v="Cheikh Samb (2008-09)"/>
        <s v="David Lee (2009-10)"/>
        <s v="Earl Barron (2009-10)"/>
        <s v="Wilson Chandler (2009-10)"/>
        <s v="Danilo Gallinari (2009-10)"/>
        <s v="Al Harrington (2009-10)"/>
        <s v="Nate Robinson (2009-10)"/>
        <s v="Chris Duhon (2009-10)"/>
        <s v="Henry Walker (2009-10)"/>
        <s v="Tracy McGrady (2009-10)"/>
        <s v="Larry Hughes (2009-10)"/>
        <s v="Sergio Rodriguez (2009-10)"/>
        <s v="Toney Douglas (2009-10)"/>
        <s v="Jared Jeffries (2009-10)"/>
        <s v="Eddie House (2009-10)"/>
        <s v="Jonathan Bender (2009-10)"/>
        <s v="J.R. Giddens (2009-10)"/>
        <s v="Jordan Hill (2009-10)"/>
        <s v="Darko Milicic (2009-10)"/>
        <s v="Marcus Landry (2009-10)"/>
        <s v="Eddy Curry (2009-10)"/>
        <s v="Amar'e Stoudemire (2010-11)"/>
        <s v="Carmelo Anthony (2010-11)"/>
        <s v="Raymond Felton (2010-11)"/>
        <s v="Chauncey Billups (2010-11)"/>
        <s v="Wilson Chandler (2010-11)"/>
        <s v="Danilo Gallinari (2010-11)"/>
        <s v="Landry Fields (2010-11)"/>
        <s v="Toney Douglas (2010-11)"/>
        <s v="Shawne Williams (2010-11)"/>
        <s v="Ronny Turiaf (2010-11)"/>
        <s v="Anthony Carter (2010-11)"/>
        <s v="Shelden Williams (2010-11)"/>
        <s v="Derrick Brown (2010-11)"/>
        <s v="Henry Walker (2010-11)"/>
        <s v="Jared Jeffries (2010-11)"/>
        <s v="Timofey Mozgov (2010-11)"/>
        <s v="Roger Mason Jr. (2010-11)"/>
        <s v="Anthony Randolph (2010-11)"/>
        <s v="Andy Rautins (2010-11)"/>
        <s v="Renaldo Balkman (2010-11)"/>
        <s v="Carmelo Anthony (2011-12)"/>
        <s v="Tyson Chandler (2011-12)"/>
        <s v="Amar'e Stoudemire (2011-12)"/>
        <s v="Jeremy Lin (2011-12)"/>
        <s v="JR Smith (2011-12)"/>
        <s v="Landry Fields (2011-12)"/>
        <s v="Iman Shumpert (2011-12)"/>
        <s v="Steve Novak (2011-12)"/>
        <s v="Josh Harrellson (2011-12)"/>
        <s v="Baron Davis (2011-12)"/>
        <s v="Jared Jeffries (2011-12)"/>
        <s v="Henry Walker (2011-12)"/>
        <s v="Renaldo Balkman (2011-12)"/>
        <s v="Mike Bibby (2011-12)"/>
        <s v="Toney Douglas (2011-12)"/>
        <s v="Jerome Jordan (2011-12)"/>
        <s v="Dan Gadzuric (2011-12)"/>
        <s v="Carmelo Anthony (2012-13)"/>
        <s v="Earl Barron (2012-13)"/>
        <s v="Tyson Chandler (2012-13)"/>
        <s v="JR Smith (2012-13)"/>
        <s v="Raymond Felton (2012-13)"/>
        <s v="Amar'e Stoudemire (2012-13)"/>
        <s v="Jason Kidd (2012-13)"/>
        <s v="Kenyon Martin (2012-13)"/>
        <s v="Rasheed Wallace (2012-13)"/>
        <s v="Iman Shumpert (2012-13)"/>
        <s v="Chris Copeland (2012-13)"/>
        <s v="Pablo Prigioni (2012-13)"/>
        <s v="Steve Novak (2012-13)"/>
        <s v="Ronnie Brewer (2012-13)"/>
        <s v="Kurt Thomas (2012-13)"/>
        <s v="Quentin Richardson (2012-13)"/>
        <s v="Marcus Camby (2012-13)"/>
        <s v="James White (2012-13)"/>
        <s v="Solomon Jones (2012-13)"/>
        <s v="Carmelo Anthony (2013-14)"/>
        <s v="Tyson Chandler (2013-14)"/>
        <s v="Andrea Bargnani (2013-14)"/>
        <s v="JR Smith (2013-14)"/>
        <s v="Amar'e Stoudemire (2013-14)"/>
        <s v="Raymond Felton (2013-14)"/>
        <s v="Kenyon Martin (2013-14)"/>
        <s v="Beno Udrih (2013-14)"/>
        <s v="Iman Shumpert (2013-14)"/>
        <s v="Pablo Prigioni (2013-14)"/>
        <s v="Tim Hardaway Jr. (2013-14)"/>
        <s v="Cole Aldrich (2013-14)"/>
        <s v="Metta World Peace (2013-14)"/>
        <s v="Jeremy Tyler (2013-14)"/>
        <s v="Earl Clark (2013-14)"/>
        <s v="Toure' Murry (2013-14)"/>
        <s v="Shannon Brown (2013-14)"/>
        <s v="Chris Smith (2013-14)"/>
        <s v="Carmelo Anthony (2014-15)"/>
        <s v="Alexey Shved (2014-15)"/>
        <s v="Amar'e Stoudemire (2014-15)"/>
        <s v="Andrea Bargnani (2014-15)"/>
        <s v="Langston Galloway (2014-15)"/>
        <s v="Jose Calderon (2014-15)"/>
        <s v="Cole Aldrich (2014-15)"/>
        <s v="JR Smith (2014-15)"/>
        <s v="Iman Shumpert (2014-15)"/>
        <s v="Lou Amundson (2014-15)"/>
        <s v="Tim Hardaway Jr. (2014-15)"/>
        <s v="Jason Smith (2014-15)"/>
        <s v="Shane Larkin (2014-15)"/>
        <s v="Quincy Acy (2014-15)"/>
        <s v="Samuel Dalembert (2014-15)"/>
        <s v="Pablo Prigioni (2014-15)"/>
        <s v="Lance Thomas (2014-15)"/>
        <s v="Ricky Ledo (2014-15)"/>
        <s v="Cleanthony Early (2014-15)"/>
        <s v="Travis Wear (2014-15)"/>
        <s v="Carmelo Anthony (2015-16)"/>
        <s v="Kristaps Porzingis (2015-16)"/>
        <s v="Robin Lopez (2015-16)"/>
        <s v="Arron Afflalo (2015-16)"/>
        <s v="Jose Calderon (2015-16)"/>
        <s v="Derrick Williams (2015-16)"/>
        <s v="Langston Galloway (2015-16)"/>
        <s v="Kyle O'Quinn (2015-16)"/>
        <s v="Lance Thomas (2015-16)"/>
        <s v="Jerian Grant (2015-16)"/>
        <s v="Sasha Vujacic (2015-16)"/>
        <s v="Kevin Seraphin (2015-16)"/>
        <s v="Thanasis Antetokounmpo (2015-16)"/>
        <s v="Jimmer Fredette (2015-16)"/>
        <s v="Cleanthony Early (2015-16)"/>
        <s v="Lou Amundson (2015-16)"/>
        <s v="Carmelo Anthony (2016-17)"/>
        <s v="Derrick Rose (2016-17)"/>
        <s v="Kristaps Porzingis (2016-17)"/>
        <s v="Willy Hernangomez (2016-17)"/>
        <s v="Joakim Noah (2016-17)"/>
        <s v="Courtney Lee (2016-17)"/>
        <s v="Kyle O'Quinn (2016-17)"/>
        <s v="Brandon Jennings (2016-17)"/>
        <s v="Justin Holiday (2016-17)"/>
        <s v="Lance Thomas (2016-17)"/>
        <s v="Mindaugas Kuzminskas (2016-17)"/>
        <s v="Chasson Randle (2016-17)"/>
        <s v="Ron Baker (2016-17)"/>
        <s v="Maurice Ndour (2016-17)"/>
        <s v="Marshall Plumlee (2016-17)"/>
        <s v="Sasha Vujacic (2016-17)"/>
        <s v="Enes Freedom (2017-18)"/>
        <s v="Kristaps Porzingis (2017-18)"/>
        <s v="Tim Hardaway Jr. (2017-18)"/>
        <s v="Trey Burke (2017-18)"/>
        <s v="Michael Beasley (2017-18)"/>
        <s v="Kyle O'Quinn (2017-18)"/>
        <s v="Courtney Lee (2017-18)"/>
        <s v="Jarrett Jack (2017-18)"/>
        <s v="Troy Williams (2017-18)"/>
        <s v="Emmanuel Mudiay (2017-18)"/>
        <s v="Luke Kornet (2017-18)"/>
        <s v="Doug McDermott (2017-18)"/>
        <s v="Frank Ntilikina (2017-18)"/>
        <s v="Willy Hernangomez (2017-18)"/>
        <s v="Damyean Dotson (2017-18)"/>
        <s v="Lance Thomas (2017-18)"/>
        <s v="Ron Baker (2017-18)"/>
        <s v="Joakim Noah (2017-18)"/>
        <s v="Ramon Sessions (2017-18)"/>
        <s v="Isaiah Hicks (2017-18)"/>
        <s v="Mindaugas Kuzminskas (2017-18)"/>
        <s v="Julius Randle (2020-21)"/>
        <s v="Derrick Rose (2020-21)"/>
        <s v="RJ Barrett (2020-21)"/>
        <s v="Mitchell Robinson (2020-21)"/>
        <s v="Alec Burks (2020-21)"/>
        <s v="Nerlens Noel (2020-21)"/>
        <s v="Taj Gibson (2020-21)"/>
        <s v="Reggie Bullock Jr. (2020-21)"/>
        <s v="Elfrid Payton (2020-21)"/>
        <s v="Immanuel Quickley (2020-21)"/>
        <s v="Austin Rivers (2020-21)"/>
        <s v="Obi Toppin (2020-21)"/>
        <s v="Kevin Knox II (2020-21)"/>
        <s v="Norvel Pelle (2020-21)"/>
        <s v="Frank Ntilikina (2020-21)"/>
        <s v="Dennis Smith Jr. (2020-21)"/>
        <s v="Ignas Brazdeikis (2020-21)"/>
        <s v="Theo Pinson (2020-21)"/>
        <s v="Jared Harper (2020-21)"/>
        <s v="Julius Randle (2021-22)"/>
        <s v="Mitchell Robinson (2021-22)"/>
        <s v="RJ Barrett (2021-22)"/>
        <s v="Derrick Rose (2021-22)"/>
        <s v="Alec Burks (2021-22)"/>
        <s v="Kemba Walker (2021-22)"/>
        <s v="Immanuel Quickley (2021-22)"/>
        <s v="Evan Fournier (2021-22)"/>
        <s v="Obi Toppin (2021-22)"/>
        <s v="Nerlens Noel (2021-22)"/>
        <s v="Taj Gibson (2021-22)"/>
        <s v="Jericho Sims (2021-22)"/>
        <s v="Cam Reddish (2021-22)"/>
        <s v="Quentin Grimes (2021-22)"/>
        <s v="Kevin Knox II (2021-22)"/>
        <s v="Damyean Dotson (2021-22)"/>
        <s v="Ryan Arcidiacono (2021-22)"/>
        <s v="Miles McBride (2021-22)"/>
        <s v="Wayne Selden (2021-22)"/>
        <s v="Tyler Hall (2021-22)"/>
        <s v="Feron Hunt (2021-22)"/>
        <s v="Matt Mooney (2021-22)"/>
        <s v="Danuel House Jr. (2021-22)"/>
        <s v="Julius Randle (2022-23)"/>
        <s v="Jalen Brunson (2022-23)"/>
        <s v="Josh Hart (2022-23)"/>
        <s v="Mitchell Robinson (2022-23)"/>
        <s v="Immanuel Quickley (2022-23)"/>
        <s v="RJ Barrett (2022-23)"/>
        <s v="Quentin Grimes (2022-23)"/>
        <s v="Isaiah Hartenstein (2022-23)"/>
        <s v="Obi Toppin (2022-23)"/>
        <s v="Jericho Sims (2022-23)"/>
        <s v="Cam Reddish (2022-23)"/>
        <s v="Derrick Rose (2022-23)"/>
        <s v="Evan Fournier (2022-23)"/>
        <s v="Miles McBride (2022-23)"/>
        <s v="Svi Mykhailiuk (2022-23)"/>
        <s v="Trevor Keels (2022-23)"/>
        <s v="Ryan Arcidiacono (2022-23)"/>
        <s v="Jalen Brunson (2023-24)"/>
        <s v="Julius Randle (2023-24)"/>
        <s v="Isaiah Hartenstein (2023-24)"/>
        <s v="Josh Hart (2023-24)"/>
        <s v="Donte DiVincenzo (2023-24)"/>
        <s v="RJ Barrett (2023-24)"/>
        <s v="OG Anunoby (2023-24)"/>
        <s v="Immanuel Quickley (2023-24)"/>
        <s v="Mitchell Robinson (2023-24)"/>
        <s v="Precious Achiuwa (2023-24)"/>
        <s v="Miles McBride (2023-24)"/>
        <s v="Bojan Bogdanovic (2023-24)"/>
        <s v="Quentin Grimes (2023-24)"/>
        <s v="Jericho Sims (2023-24)"/>
        <s v="Alec Burks (2023-24)"/>
        <s v="Jacob Toppin (2023-24)"/>
        <s v="Shake Milton (2023-24)"/>
        <s v="Malachi Flynn (2023-24)"/>
        <s v="Dylan Windler (2023-24)"/>
        <s v="Taj Gibson (2023-24)"/>
        <s v="Evan Fournier (2023-24)"/>
        <s v="DaQuan Jeffries (2023-24)"/>
        <s v="Ryan Arcidiacono (2023-24)"/>
        <s v="Mamadi Diakite (2023-24)"/>
        <s v="Dmytro Skapintsev (2023-24)"/>
        <s v="Charlie Brown Jr. (2023-24)"/>
      </sharedItems>
    </cacheField>
    <cacheField name="AGE" numFmtId="0">
      <sharedItems containsSemiMixedTypes="0" containsString="0" containsNumber="1" containsInteger="1" minValue="19" maxValue="40"/>
    </cacheField>
    <cacheField name="PLAYER_AGE" numFmtId="0">
      <sharedItems containsSemiMixedTypes="0" containsString="0" containsNumber="1" containsInteger="1" minValue="190" maxValue="400"/>
    </cacheField>
    <cacheField name="GP" numFmtId="0">
      <sharedItems containsSemiMixedTypes="0" containsString="0" containsNumber="1" containsInteger="1" minValue="1" maxValue="82" count="81">
        <n v="63"/>
        <n v="77"/>
        <n v="78"/>
        <n v="29"/>
        <n v="75"/>
        <n v="65"/>
        <n v="61"/>
        <n v="51"/>
        <n v="30"/>
        <n v="28"/>
        <n v="18"/>
        <n v="15"/>
        <n v="26"/>
        <n v="25"/>
        <n v="45"/>
        <n v="82"/>
        <n v="81"/>
        <n v="56"/>
        <n v="39"/>
        <n v="23"/>
        <n v="49"/>
        <n v="2"/>
        <n v="32"/>
        <n v="74"/>
        <n v="79"/>
        <n v="66"/>
        <n v="38"/>
        <n v="21"/>
        <n v="12"/>
        <n v="47"/>
        <n v="80"/>
        <n v="27"/>
        <n v="24"/>
        <n v="50"/>
        <n v="35"/>
        <n v="42"/>
        <n v="33"/>
        <n v="46"/>
        <n v="36"/>
        <n v="17"/>
        <n v="1"/>
        <n v="3"/>
        <n v="70"/>
        <n v="54"/>
        <n v="71"/>
        <n v="20"/>
        <n v="37"/>
        <n v="60"/>
        <n v="72"/>
        <n v="67"/>
        <n v="55"/>
        <n v="6"/>
        <n v="8"/>
        <n v="4"/>
        <n v="58"/>
        <n v="59"/>
        <n v="44"/>
        <n v="64"/>
        <n v="68"/>
        <n v="52"/>
        <n v="5"/>
        <n v="41"/>
        <n v="69"/>
        <n v="73"/>
        <n v="11"/>
        <n v="9"/>
        <n v="7"/>
        <n v="31"/>
        <n v="48"/>
        <n v="19"/>
        <n v="34"/>
        <n v="62"/>
        <n v="14"/>
        <n v="76"/>
        <n v="57"/>
        <n v="40"/>
        <n v="16"/>
        <n v="43"/>
        <n v="22"/>
        <n v="13"/>
        <n v="10"/>
      </sharedItems>
    </cacheField>
    <cacheField name="MIN" numFmtId="0">
      <sharedItems containsSemiMixedTypes="0" containsString="0" containsNumber="1" containsInteger="1" minValue="20" maxValue="33280"/>
    </cacheField>
    <cacheField name="VALORATION" numFmtId="0">
      <sharedItems containsSemiMixedTypes="0" containsString="0" containsNumber="1" containsInteger="1" minValue="-24" maxValue="1929"/>
    </cacheField>
    <cacheField name="VALORATIONPG" numFmtId="2">
      <sharedItems containsSemiMixedTypes="0" containsString="0" containsNumber="1" minValue="-4" maxValue="23.814814814814813"/>
    </cacheField>
    <cacheField name="FGM" numFmtId="0">
      <sharedItems containsSemiMixedTypes="0" containsString="0" containsNumber="1" containsInteger="1" minValue="0" maxValue="790"/>
    </cacheField>
    <cacheField name="FGA" numFmtId="0">
      <sharedItems containsSemiMixedTypes="0" containsString="0" containsNumber="1" containsInteger="1" minValue="0" maxValue="1648"/>
    </cacheField>
    <cacheField name="FG_PCT" numFmtId="0">
      <sharedItems containsMixedTypes="1" containsNumber="1" minValue="0" maxValue="714"/>
    </cacheField>
    <cacheField name="FG3M" numFmtId="0">
      <sharedItems containsSemiMixedTypes="0" containsString="0" containsNumber="1" containsInteger="1" minValue="0" maxValue="2830"/>
    </cacheField>
    <cacheField name="FG3A" numFmtId="0">
      <sharedItems containsSemiMixedTypes="0" containsString="0" containsNumber="1" containsInteger="1" minValue="0" maxValue="7050"/>
    </cacheField>
    <cacheField name="FG3_PCT" numFmtId="164">
      <sharedItems containsMixedTypes="1" containsNumber="1" minValue="0" maxValue="1"/>
    </cacheField>
    <cacheField name="FTM" numFmtId="0">
      <sharedItems containsSemiMixedTypes="0" containsString="0" containsNumber="1" containsInteger="1" minValue="0" maxValue="473"/>
    </cacheField>
    <cacheField name="FTA" numFmtId="0">
      <sharedItems containsSemiMixedTypes="0" containsString="0" containsNumber="1" containsInteger="1" minValue="0" maxValue="659"/>
    </cacheField>
    <cacheField name="FT_PCT" numFmtId="10">
      <sharedItems containsMixedTypes="1" containsNumber="1" minValue="0" maxValue="1"/>
    </cacheField>
    <cacheField name="OREB" numFmtId="0">
      <sharedItems containsSemiMixedTypes="0" containsString="0" containsNumber="1" containsInteger="1" minValue="0" maxValue="295"/>
    </cacheField>
    <cacheField name="DREB" numFmtId="0">
      <sharedItems containsSemiMixedTypes="0" containsString="0" containsNumber="1" containsInteger="1" minValue="0" maxValue="721"/>
    </cacheField>
    <cacheField name="REB" numFmtId="0">
      <sharedItems containsSemiMixedTypes="0" containsString="0" containsNumber="1" containsInteger="1" minValue="0" maxValue="951"/>
    </cacheField>
    <cacheField name="OREB22" numFmtId="0">
      <sharedItems containsSemiMixedTypes="0" containsString="0" containsNumber="1" containsInteger="1" minValue="0" maxValue="2950"/>
    </cacheField>
    <cacheField name="DREB33" numFmtId="0">
      <sharedItems containsSemiMixedTypes="0" containsString="0" containsNumber="1" containsInteger="1" minValue="0" maxValue="7210"/>
    </cacheField>
    <cacheField name="REB44" numFmtId="0">
      <sharedItems containsSemiMixedTypes="0" containsString="0" containsNumber="1" containsInteger="1" minValue="0" maxValue="9510"/>
    </cacheField>
    <cacheField name="AST" numFmtId="0">
      <sharedItems containsSemiMixedTypes="0" containsString="0" containsNumber="1" containsInteger="1" minValue="0" maxValue="668"/>
    </cacheField>
    <cacheField name="ASTPG" numFmtId="0">
      <sharedItems containsSemiMixedTypes="0" containsString="0" containsNumber="1" minValue="0" maxValue="9.3191489361702136"/>
    </cacheField>
    <cacheField name="STL" numFmtId="0">
      <sharedItems containsSemiMixedTypes="0" containsString="0" containsNumber="1" containsInteger="1" minValue="0" maxValue="125"/>
    </cacheField>
    <cacheField name="STL2" numFmtId="0">
      <sharedItems containsSemiMixedTypes="0" containsString="0" containsNumber="1" containsInteger="1" minValue="0" maxValue="1250"/>
    </cacheField>
    <cacheField name="STLPG" numFmtId="0">
      <sharedItems containsSemiMixedTypes="0" containsString="0" containsNumber="1" minValue="0" maxValue="1.7962962962962963"/>
    </cacheField>
    <cacheField name="BLK2" numFmtId="0">
      <sharedItems containsSemiMixedTypes="0" containsString="0" containsNumber="1" containsInteger="1" minValue="0" maxValue="1500"/>
    </cacheField>
    <cacheField name="BLK" numFmtId="0">
      <sharedItems containsSemiMixedTypes="0" containsString="0" containsNumber="1" containsInteger="1" minValue="0" maxValue="150"/>
    </cacheField>
    <cacheField name="BLKPG" numFmtId="0">
      <sharedItems containsSemiMixedTypes="0" containsString="0" containsNumber="1" minValue="0" maxValue="2.3958333333333335"/>
    </cacheField>
    <cacheField name="TOV2" numFmtId="0">
      <sharedItems containsSemiMixedTypes="0" containsString="0" containsNumber="1" containsInteger="1" minValue="0" maxValue="2950"/>
    </cacheField>
    <cacheField name="TOV" numFmtId="0">
      <sharedItems containsSemiMixedTypes="0" containsString="0" containsNumber="1" containsInteger="1" minValue="0" maxValue="295"/>
    </cacheField>
    <cacheField name="TOVPG" numFmtId="0">
      <sharedItems containsSemiMixedTypes="0" containsString="0" containsNumber="1" minValue="0" maxValue="3.6419753086419755"/>
    </cacheField>
    <cacheField name="PF" numFmtId="0">
      <sharedItems containsSemiMixedTypes="0" containsString="0" containsNumber="1" containsInteger="1" minValue="0" maxValue="344"/>
    </cacheField>
    <cacheField name="PFPG" numFmtId="0">
      <sharedItems containsSemiMixedTypes="0" containsString="0" containsNumber="1" minValue="0" maxValue="4.2469135802469138"/>
    </cacheField>
    <cacheField name="PTS" numFmtId="0">
      <sharedItems containsSemiMixedTypes="0" containsString="0" containsNumber="1" containsInteger="1" minValue="0" maxValue="2212"/>
    </cacheField>
    <cacheField name="PTSPG" numFmtId="0">
      <sharedItems containsSemiMixedTypes="0" containsString="0" containsNumber="1" minValue="0" maxValue="28.7272727272727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" refreshedDate="46182.645875347225" createdVersion="8" refreshedVersion="8" minRefreshableVersion="3" recordCount="1219" xr:uid="{1B1F6236-0A73-4D3F-A057-A147F56669CC}">
  <cacheSource type="worksheet">
    <worksheetSource ref="A1:AO1048576" sheet="KNICKS_TABLA_LIMPIA_20_to_24"/>
  </cacheSource>
  <cacheFields count="41">
    <cacheField name="NAME" numFmtId="0">
      <sharedItems containsBlank="1"/>
    </cacheField>
    <cacheField name="SEASON" numFmtId="0">
      <sharedItems containsBlank="1"/>
    </cacheField>
    <cacheField name="PLAYER_SEASON" numFmtId="0">
      <sharedItems containsBlank="1" count="409">
        <s v="Marcus Camby (2000-01)"/>
        <s v="Latrell Sprewell (2000-01)"/>
        <s v="Allan Houston (2000-01)"/>
        <s v="Kurt Thomas (2000-01)"/>
        <s v="Mark Jackson (2000-01)"/>
        <s v="Glen Rice (2000-01)"/>
        <s v="Larry Johnson (2000-01)"/>
        <s v="Charlie Ward (2000-01)"/>
        <s v="Chris Childs (2000-01)"/>
        <s v="Othella Harrington (2000-01)"/>
        <s v="Erick Strickland (2000-01)"/>
        <s v="Felton Spencer (2000-01)"/>
        <s v="Rick Brunson (2000-01)"/>
        <s v="Lavor Postell (2000-01)"/>
        <s v="Luc Longley (2000-01)"/>
        <s v="Travis Knight (2000-01)"/>
        <s v="Marcus Camby (2001-02)"/>
        <s v="Kurt Thomas (2001-02)"/>
        <s v="Latrell Sprewell (2001-02)"/>
        <s v="Mark Jackson (2001-02)"/>
        <s v="Allan Houston (2001-02)"/>
        <s v="Clar. Weatherspoon (2001-02)"/>
        <s v="Charlie Ward (2001-02)"/>
        <s v="Othella Harrington (2001-02)"/>
        <s v="Shandon Anderson (2001-02)"/>
        <s v="Howard Eisley (2001-02)"/>
        <s v="Lavor Postell (2001-02)"/>
        <s v="Travis Knight (2001-02)"/>
        <s v="Larry Robinson (2001-02)"/>
        <s v="Felton Spencer (2001-02)"/>
        <s v="Allan Houston (2002-03)"/>
        <s v="Kurt Thomas (2002-03)"/>
        <s v="Latrell Sprewell (2002-03)"/>
        <s v="Clar. Weatherspoon (2002-03)"/>
        <s v="Howard Eisley (2002-03)"/>
        <s v="Charlie Ward (2002-03)"/>
        <s v="Othella Harrington (2002-03)"/>
        <s v="Shandon Anderson (2002-03)"/>
        <s v="Lee Nailon (2002-03)"/>
        <s v="Michael Doleac (2002-03)"/>
        <s v="Travis Knight (2002-03)"/>
        <s v="Frank Williams (2002-03)"/>
        <s v="Lavor Postell (2002-03)"/>
        <s v="Stephon Marbury (2003-04)"/>
        <s v="Keith Van Horn (2003-04)"/>
        <s v="Kurt Thomas (2003-04)"/>
        <s v="Nazr Mohammed (2003-04)"/>
        <s v="Tim Thomas (2003-04)"/>
        <s v="Allan Houston (2003-04)"/>
        <s v="Charlie Ward (2003-04)"/>
        <s v="Dikembe Mutombo (2003-04)"/>
        <s v="Antonio McDyess (2003-04)"/>
        <s v="Anfernee Hardaway (2003-04)"/>
        <s v="Howard Eisley (2003-04)"/>
        <s v="Michael Doleac (2003-04)"/>
        <s v="Clar. Weatherspoon (2003-04)"/>
        <s v="Shandon Anderson (2003-04)"/>
        <s v="Michael Sweetney (2003-04)"/>
        <s v="Moochie Norris (2003-04)"/>
        <s v="DerMarr Johnson (2003-04)"/>
        <s v="Vin Baker (2003-04)"/>
        <s v="Othella Harrington (2003-04)"/>
        <s v="Frank Williams (2003-04)"/>
        <s v="Bruno Sundov (2003-04)"/>
        <s v="Cezary Trybanski (2003-04)"/>
        <s v="Stephon Marbury (2004-05)"/>
        <s v="Kurt Thomas (2004-05)"/>
        <s v="Jamal Crawford (2004-05)"/>
        <s v="Nazr Mohammed (2004-05)"/>
        <s v="Michael Sweetney (2004-05)"/>
        <s v="Tim Thomas (2004-05)"/>
        <s v="Allan Houston (2004-05)"/>
        <s v="Trevor Ariza (2004-05)"/>
        <s v="Malik Rose (2004-05)"/>
        <s v="Anfernee Hardaway (2004-05)"/>
        <s v="Jerome Williams (2004-05)"/>
        <s v="Maurice Taylor (2004-05)"/>
        <s v="Jackie Butler (2004-05)"/>
        <s v="Jermaine Jackson (2004-05)"/>
        <s v="Moochie Norris (2004-05)"/>
        <s v="Jamison Brewer (2004-05)"/>
        <s v="Vin Baker (2004-05)"/>
        <s v="Bruno Sundov (2004-05)"/>
        <s v="Shandon Anderson (2004-05)"/>
        <s v="Stephon Marbury (2005-06)"/>
        <s v="Jamal Crawford (2005-06)"/>
        <s v="Channing Frye (2005-06)"/>
        <s v="Jalen Rose (2005-06)"/>
        <s v="Eddy Curry (2005-06)"/>
        <s v="Steve Francis (2005-06)"/>
        <s v="David Lee (2005-06)"/>
        <s v="Qyntel Woods (2005-06)"/>
        <s v="Quentin Richardson (2005-06)"/>
        <s v="Nate Robinson (2005-06)"/>
        <s v="Jackie Butler (2005-06)"/>
        <s v="Trevor Ariza (2005-06)"/>
        <s v="Matt Barnes (2005-06)"/>
        <s v="Antonio Davis (2005-06)"/>
        <s v="Malik Rose (2005-06)"/>
        <s v="Maurice Taylor (2005-06)"/>
        <s v="Ime Udoka (2005-06)"/>
        <s v="Anfernee Hardaway (2005-06)"/>
        <s v="Jerome James (2005-06)"/>
        <s v="David Lee (2006-07)"/>
        <s v="Eddy Curry (2006-07)"/>
        <s v="Stephon Marbury (2006-07)"/>
        <s v="Quentin Richardson (2006-07)"/>
        <s v="Jamal Crawford (2006-07)"/>
        <s v="Steve Francis (2006-07)"/>
        <s v="Channing Frye (2006-07)"/>
        <s v="Nate Robinson (2006-07)"/>
        <s v="Renaldo Balkman (2006-07)"/>
        <s v="Jared Jeffries (2006-07)"/>
        <s v="Mardy Collins (2006-07)"/>
        <s v="Malik Rose (2006-07)"/>
        <s v="Kelvin Cato (2006-07)"/>
        <s v="Randolph Morris (2006-07)"/>
        <s v="Jerome James (2006-07)"/>
        <s v="Zach Randolph (2007-08)"/>
        <s v="Jamal Crawford (2007-08)"/>
        <s v="David Lee (2007-08)"/>
        <s v="Stephon Marbury (2007-08)"/>
        <s v="Nate Robinson (2007-08)"/>
        <s v="Eddy Curry (2007-08)"/>
        <s v="Quentin Richardson (2007-08)"/>
        <s v="Fred Jones (2007-08)"/>
        <s v="Wilson Chandler (2007-08)"/>
        <s v="Renaldo Balkman (2007-08)"/>
        <s v="Jerome James (2007-08)"/>
        <s v="Jared Jeffries (2007-08)"/>
        <s v="Mardy Collins (2007-08)"/>
        <s v="Malik Rose (2007-08)"/>
        <s v="Randolph Morris (2007-08)"/>
        <s v="Zach Randolph (2008-09)"/>
        <s v="David Lee (2008-09)"/>
        <s v="Al Harrington (2008-09)"/>
        <s v="Nate Robinson (2008-09)"/>
        <s v="Jamal Crawford (2008-09)"/>
        <s v="Chris Duhon (2008-09)"/>
        <s v="Wilson Chandler (2008-09)"/>
        <s v="Quentin Richardson (2008-09)"/>
        <s v="Larry Hughes (2008-09)"/>
        <s v="Mouhamed Sene (2008-09)"/>
        <s v="Tim Thomas (2008-09)"/>
        <s v="Courtney Sims (2008-09)"/>
        <s v="Jared Jeffries (2008-09)"/>
        <s v="Danilo Gallinari (2008-09)"/>
        <s v="Chris Wilcox (2008-09)"/>
        <s v="Joe Crawford (2008-09)"/>
        <s v="Anthony Roberson (2008-09)"/>
        <s v="Demetris Nichols (2008-09)"/>
        <s v="Jerome James (2008-09)"/>
        <s v="Mardy Collins (2008-09)"/>
        <s v="Eddy Curry (2008-09)"/>
        <s v="Malik Rose (2008-09)"/>
        <s v="Cheikh Samb (2008-09)"/>
        <s v="David Lee (2009-10)"/>
        <s v="Earl Barron (2009-10)"/>
        <s v="Wilson Chandler (2009-10)"/>
        <s v="Danilo Gallinari (2009-10)"/>
        <s v="Al Harrington (2009-10)"/>
        <s v="Nate Robinson (2009-10)"/>
        <s v="Chris Duhon (2009-10)"/>
        <s v="Henry Walker (2009-10)"/>
        <s v="Tracy McGrady (2009-10)"/>
        <s v="Larry Hughes (2009-10)"/>
        <s v="Sergio Rodriguez (2009-10)"/>
        <s v="Toney Douglas (2009-10)"/>
        <s v="Jared Jeffries (2009-10)"/>
        <s v="Eddie House (2009-10)"/>
        <s v="Jonathan Bender (2009-10)"/>
        <s v="J.R. Giddens (2009-10)"/>
        <s v="Jordan Hill (2009-10)"/>
        <s v="Darko Milicic (2009-10)"/>
        <s v="Marcus Landry (2009-10)"/>
        <s v="Eddy Curry (2009-10)"/>
        <s v="Amar'e Stoudemire (2010-11)"/>
        <s v="Carmelo Anthony (2010-11)"/>
        <s v="Raymond Felton (2010-11)"/>
        <s v="Chauncey Billups (2010-11)"/>
        <s v="Wilson Chandler (2010-11)"/>
        <s v="Danilo Gallinari (2010-11)"/>
        <s v="Landry Fields (2010-11)"/>
        <s v="Toney Douglas (2010-11)"/>
        <s v="Shawne Williams (2010-11)"/>
        <s v="Ronny Turiaf (2010-11)"/>
        <s v="Anthony Carter (2010-11)"/>
        <s v="Shelden Williams (2010-11)"/>
        <s v="Derrick Brown (2010-11)"/>
        <s v="Henry Walker (2010-11)"/>
        <s v="Jared Jeffries (2010-11)"/>
        <s v="Timofey Mozgov (2010-11)"/>
        <s v="Roger Mason Jr. (2010-11)"/>
        <s v="Anthony Randolph (2010-11)"/>
        <s v="Andy Rautins (2010-11)"/>
        <s v="Renaldo Balkman (2010-11)"/>
        <s v="Carmelo Anthony (2011-12)"/>
        <s v="Tyson Chandler (2011-12)"/>
        <s v="Amar'e Stoudemire (2011-12)"/>
        <s v="Jeremy Lin (2011-12)"/>
        <s v="JR Smith (2011-12)"/>
        <s v="Landry Fields (2011-12)"/>
        <s v="Iman Shumpert (2011-12)"/>
        <s v="Steve Novak (2011-12)"/>
        <s v="Josh Harrellson (2011-12)"/>
        <s v="Baron Davis (2011-12)"/>
        <s v="Jared Jeffries (2011-12)"/>
        <s v="Henry Walker (2011-12)"/>
        <s v="Renaldo Balkman (2011-12)"/>
        <s v="Mike Bibby (2011-12)"/>
        <s v="Toney Douglas (2011-12)"/>
        <s v="Jerome Jordan (2011-12)"/>
        <s v="Dan Gadzuric (2011-12)"/>
        <s v="Carmelo Anthony (2012-13)"/>
        <s v="Earl Barron (2012-13)"/>
        <s v="Tyson Chandler (2012-13)"/>
        <s v="JR Smith (2012-13)"/>
        <s v="Raymond Felton (2012-13)"/>
        <s v="Amar'e Stoudemire (2012-13)"/>
        <s v="Jason Kidd (2012-13)"/>
        <s v="Kenyon Martin (2012-13)"/>
        <s v="Rasheed Wallace (2012-13)"/>
        <s v="Iman Shumpert (2012-13)"/>
        <s v="Chris Copeland (2012-13)"/>
        <s v="Pablo Prigioni (2012-13)"/>
        <s v="Steve Novak (2012-13)"/>
        <s v="Ronnie Brewer (2012-13)"/>
        <s v="Kurt Thomas (2012-13)"/>
        <s v="Quentin Richardson (2012-13)"/>
        <s v="Marcus Camby (2012-13)"/>
        <s v="James White (2012-13)"/>
        <s v="Solomon Jones (2012-13)"/>
        <s v="Carmelo Anthony (2013-14)"/>
        <s v="Tyson Chandler (2013-14)"/>
        <s v="Andrea Bargnani (2013-14)"/>
        <s v="JR Smith (2013-14)"/>
        <s v="Amar'e Stoudemire (2013-14)"/>
        <s v="Raymond Felton (2013-14)"/>
        <s v="Kenyon Martin (2013-14)"/>
        <s v="Beno Udrih (2013-14)"/>
        <s v="Iman Shumpert (2013-14)"/>
        <s v="Pablo Prigioni (2013-14)"/>
        <s v="Tim Hardaway Jr. (2013-14)"/>
        <s v="Cole Aldrich (2013-14)"/>
        <s v="Metta World Peace (2013-14)"/>
        <s v="Jeremy Tyler (2013-14)"/>
        <s v="Earl Clark (2013-14)"/>
        <s v="Toure' Murry (2013-14)"/>
        <s v="Shannon Brown (2013-14)"/>
        <s v="Chris Smith (2013-14)"/>
        <s v="Carmelo Anthony (2014-15)"/>
        <s v="Alexey Shved (2014-15)"/>
        <s v="Amar'e Stoudemire (2014-15)"/>
        <s v="Andrea Bargnani (2014-15)"/>
        <s v="Langston Galloway (2014-15)"/>
        <s v="Jose Calderon (2014-15)"/>
        <s v="Cole Aldrich (2014-15)"/>
        <s v="JR Smith (2014-15)"/>
        <s v="Iman Shumpert (2014-15)"/>
        <s v="Lou Amundson (2014-15)"/>
        <s v="Tim Hardaway Jr. (2014-15)"/>
        <s v="Jason Smith (2014-15)"/>
        <s v="Shane Larkin (2014-15)"/>
        <s v="Quincy Acy (2014-15)"/>
        <s v="Samuel Dalembert (2014-15)"/>
        <s v="Pablo Prigioni (2014-15)"/>
        <s v="Lance Thomas (2014-15)"/>
        <s v="Ricky Ledo (2014-15)"/>
        <s v="Cleanthony Early (2014-15)"/>
        <s v="Travis Wear (2014-15)"/>
        <s v="Carmelo Anthony (2015-16)"/>
        <s v="Kristaps Porzingis (2015-16)"/>
        <s v="Robin Lopez (2015-16)"/>
        <s v="Arron Afflalo (2015-16)"/>
        <s v="Jose Calderon (2015-16)"/>
        <s v="Derrick Williams (2015-16)"/>
        <s v="Langston Galloway (2015-16)"/>
        <s v="Kyle O'Quinn (2015-16)"/>
        <s v="Lance Thomas (2015-16)"/>
        <s v="Jerian Grant (2015-16)"/>
        <s v="Sasha Vujacic (2015-16)"/>
        <s v="Kevin Seraphin (2015-16)"/>
        <s v="Thanasis Antetokounmpo (2015-16)"/>
        <s v="Jimmer Fredette (2015-16)"/>
        <s v="Cleanthony Early (2015-16)"/>
        <s v="Lou Amundson (2015-16)"/>
        <s v="Carmelo Anthony (2016-17)"/>
        <s v="Derrick Rose (2016-17)"/>
        <s v="Kristaps Porzingis (2016-17)"/>
        <s v="Willy Hernangomez (2016-17)"/>
        <s v="Joakim Noah (2016-17)"/>
        <s v="Courtney Lee (2016-17)"/>
        <s v="Kyle O'Quinn (2016-17)"/>
        <s v="Brandon Jennings (2016-17)"/>
        <s v="Justin Holiday (2016-17)"/>
        <s v="Lance Thomas (2016-17)"/>
        <s v="Mindaugas Kuzminskas (2016-17)"/>
        <s v="Chasson Randle (2016-17)"/>
        <s v="Ron Baker (2016-17)"/>
        <s v="Maurice Ndour (2016-17)"/>
        <s v="Marshall Plumlee (2016-17)"/>
        <s v="Sasha Vujacic (2016-17)"/>
        <s v="Enes Freedom (2017-18)"/>
        <s v="Kristaps Porzingis (2017-18)"/>
        <s v="Tim Hardaway Jr. (2017-18)"/>
        <s v="Trey Burke (2017-18)"/>
        <s v="Michael Beasley (2017-18)"/>
        <s v="Kyle O'Quinn (2017-18)"/>
        <s v="Courtney Lee (2017-18)"/>
        <s v="Jarrett Jack (2017-18)"/>
        <s v="Troy Williams (2017-18)"/>
        <s v="Emmanuel Mudiay (2017-18)"/>
        <s v="Luke Kornet (2017-18)"/>
        <s v="Doug McDermott (2017-18)"/>
        <s v="Frank Ntilikina (2017-18)"/>
        <s v="Willy Hernangomez (2017-18)"/>
        <s v="Damyean Dotson (2017-18)"/>
        <s v="Lance Thomas (2017-18)"/>
        <s v="Ron Baker (2017-18)"/>
        <s v="Joakim Noah (2017-18)"/>
        <s v="Ramon Sessions (2017-18)"/>
        <s v="Isaiah Hicks (2017-18)"/>
        <s v="Mindaugas Kuzminskas (2017-18)"/>
        <s v="Julius Randle (2020-21)"/>
        <s v="Derrick Rose (2020-21)"/>
        <s v="RJ Barrett (2020-21)"/>
        <s v="Mitchell Robinson (2020-21)"/>
        <s v="Alec Burks (2020-21)"/>
        <s v="Nerlens Noel (2020-21)"/>
        <s v="Taj Gibson (2020-21)"/>
        <s v="Reggie Bullock Jr. (2020-21)"/>
        <s v="Elfrid Payton (2020-21)"/>
        <s v="Immanuel Quickley (2020-21)"/>
        <s v="Austin Rivers (2020-21)"/>
        <s v="Obi Toppin (2020-21)"/>
        <s v="Kevin Knox II (2020-21)"/>
        <s v="Norvel Pelle (2020-21)"/>
        <s v="Frank Ntilikina (2020-21)"/>
        <s v="Dennis Smith Jr. (2020-21)"/>
        <s v="Ignas Brazdeikis (2020-21)"/>
        <s v="Theo Pinson (2020-21)"/>
        <s v="Jared Harper (2020-21)"/>
        <s v="Julius Randle (2021-22)"/>
        <s v="Mitchell Robinson (2021-22)"/>
        <s v="RJ Barrett (2021-22)"/>
        <s v="Derrick Rose (2021-22)"/>
        <s v="Alec Burks (2021-22)"/>
        <s v="Kemba Walker (2021-22)"/>
        <s v="Immanuel Quickley (2021-22)"/>
        <s v="Evan Fournier (2021-22)"/>
        <s v="Obi Toppin (2021-22)"/>
        <s v="Nerlens Noel (2021-22)"/>
        <s v="Taj Gibson (2021-22)"/>
        <s v="Jericho Sims (2021-22)"/>
        <s v="Cam Reddish (2021-22)"/>
        <s v="Quentin Grimes (2021-22)"/>
        <s v="Kevin Knox II (2021-22)"/>
        <s v="Damyean Dotson (2021-22)"/>
        <s v="Ryan Arcidiacono (2021-22)"/>
        <s v="Miles McBride (2021-22)"/>
        <s v="Wayne Selden (2021-22)"/>
        <s v="Tyler Hall (2021-22)"/>
        <s v="Feron Hunt (2021-22)"/>
        <s v="Matt Mooney (2021-22)"/>
        <s v="Danuel House Jr. (2021-22)"/>
        <s v="Julius Randle (2022-23)"/>
        <s v="Jalen Brunson (2022-23)"/>
        <s v="Josh Hart (2022-23)"/>
        <s v="Mitchell Robinson (2022-23)"/>
        <s v="Immanuel Quickley (2022-23)"/>
        <s v="RJ Barrett (2022-23)"/>
        <s v="Quentin Grimes (2022-23)"/>
        <s v="Isaiah Hartenstein (2022-23)"/>
        <s v="Obi Toppin (2022-23)"/>
        <s v="Jericho Sims (2022-23)"/>
        <s v="Cam Reddish (2022-23)"/>
        <s v="Derrick Rose (2022-23)"/>
        <s v="Evan Fournier (2022-23)"/>
        <s v="Miles McBride (2022-23)"/>
        <s v="Svi Mykhailiuk (2022-23)"/>
        <s v="Trevor Keels (2022-23)"/>
        <s v="Ryan Arcidiacono (2022-23)"/>
        <s v="Jalen Brunson (2023-24)"/>
        <s v="Julius Randle (2023-24)"/>
        <s v="Isaiah Hartenstein (2023-24)"/>
        <s v="Josh Hart (2023-24)"/>
        <s v="Donte DiVincenzo (2023-24)"/>
        <s v="RJ Barrett (2023-24)"/>
        <s v="OG Anunoby (2023-24)"/>
        <s v="Immanuel Quickley (2023-24)"/>
        <s v="Mitchell Robinson (2023-24)"/>
        <s v="Precious Achiuwa (2023-24)"/>
        <s v="Miles McBride (2023-24)"/>
        <s v="Bojan Bogdanovic (2023-24)"/>
        <s v="Quentin Grimes (2023-24)"/>
        <s v="Jericho Sims (2023-24)"/>
        <s v="Alec Burks (2023-24)"/>
        <s v="Jacob Toppin (2023-24)"/>
        <s v="Shake Milton (2023-24)"/>
        <s v="Malachi Flynn (2023-24)"/>
        <s v="Dylan Windler (2023-24)"/>
        <s v="Taj Gibson (2023-24)"/>
        <s v="Evan Fournier (2023-24)"/>
        <s v="DaQuan Jeffries (2023-24)"/>
        <s v="Ryan Arcidiacono (2023-24)"/>
        <s v="Mamadi Diakite (2023-24)"/>
        <s v="Dmytro Skapintsev (2023-24)"/>
        <s v="Charlie Brown Jr. (2023-24)"/>
        <m/>
      </sharedItems>
    </cacheField>
    <cacheField name="AGE" numFmtId="0">
      <sharedItems containsString="0" containsBlank="1" containsNumber="1" containsInteger="1" minValue="19" maxValue="40"/>
    </cacheField>
    <cacheField name="PLAYER_AGE" numFmtId="0">
      <sharedItems containsString="0" containsBlank="1" containsNumber="1" containsInteger="1" minValue="190" maxValue="500"/>
    </cacheField>
    <cacheField name="GP" numFmtId="0">
      <sharedItems containsString="0" containsBlank="1" containsNumber="1" containsInteger="1" minValue="1" maxValue="82"/>
    </cacheField>
    <cacheField name="MIN" numFmtId="0">
      <sharedItems containsString="0" containsBlank="1" containsNumber="1" containsInteger="1" minValue="20" maxValue="33280"/>
    </cacheField>
    <cacheField name="VALORATION" numFmtId="0">
      <sharedItems containsString="0" containsBlank="1" containsNumber="1" containsInteger="1" minValue="-24" maxValue="1929"/>
    </cacheField>
    <cacheField name="VALORATIONPG" numFmtId="0">
      <sharedItems containsString="0" containsBlank="1" containsNumber="1" minValue="-4" maxValue="23.814814814814813"/>
    </cacheField>
    <cacheField name="FGM" numFmtId="0">
      <sharedItems containsString="0" containsBlank="1" containsNumber="1" containsInteger="1" minValue="0" maxValue="790"/>
    </cacheField>
    <cacheField name="FGA" numFmtId="0">
      <sharedItems containsString="0" containsBlank="1" containsNumber="1" containsInteger="1" minValue="0" maxValue="1648"/>
    </cacheField>
    <cacheField name="FG_PCT" numFmtId="0">
      <sharedItems containsBlank="1" containsMixedTypes="1" containsNumber="1" minValue="0" maxValue="714"/>
    </cacheField>
    <cacheField name="FG3M" numFmtId="0">
      <sharedItems containsString="0" containsBlank="1" containsNumber="1" containsInteger="1" minValue="0" maxValue="2830"/>
    </cacheField>
    <cacheField name="FG3A" numFmtId="0">
      <sharedItems containsString="0" containsBlank="1" containsNumber="1" containsInteger="1" minValue="0" maxValue="7050"/>
    </cacheField>
    <cacheField name="FG3_PCT" numFmtId="0">
      <sharedItems containsBlank="1" containsMixedTypes="1" containsNumber="1" minValue="0" maxValue="1"/>
    </cacheField>
    <cacheField name="FTM" numFmtId="0">
      <sharedItems containsString="0" containsBlank="1" containsNumber="1" containsInteger="1" minValue="0" maxValue="473"/>
    </cacheField>
    <cacheField name="FTA" numFmtId="0">
      <sharedItems containsString="0" containsBlank="1" containsNumber="1" containsInteger="1" minValue="0" maxValue="659"/>
    </cacheField>
    <cacheField name="FT_PCT" numFmtId="0">
      <sharedItems containsBlank="1" containsMixedTypes="1" containsNumber="1" minValue="0" maxValue="1"/>
    </cacheField>
    <cacheField name="OREB" numFmtId="0">
      <sharedItems containsString="0" containsBlank="1" containsNumber="1" containsInteger="1" minValue="0" maxValue="295"/>
    </cacheField>
    <cacheField name="DREB" numFmtId="0">
      <sharedItems containsString="0" containsBlank="1" containsNumber="1" containsInteger="1" minValue="0" maxValue="721"/>
    </cacheField>
    <cacheField name="REB" numFmtId="0">
      <sharedItems containsString="0" containsBlank="1" containsNumber="1" containsInteger="1" minValue="0" maxValue="951"/>
    </cacheField>
    <cacheField name="OREB22" numFmtId="0">
      <sharedItems containsString="0" containsBlank="1" containsNumber="1" containsInteger="1" minValue="0" maxValue="3490"/>
    </cacheField>
    <cacheField name="DREB33" numFmtId="0">
      <sharedItems containsString="0" containsBlank="1" containsNumber="1" containsInteger="1" minValue="0" maxValue="7890"/>
    </cacheField>
    <cacheField name="REB44" numFmtId="0">
      <sharedItems containsString="0" containsBlank="1" containsNumber="1" containsInteger="1" minValue="0" maxValue="11910"/>
    </cacheField>
    <cacheField name="REBPG" numFmtId="0">
      <sharedItems containsBlank="1" containsMixedTypes="1" containsNumber="1" minValue="0" maxValue="18"/>
    </cacheField>
    <cacheField name="AST" numFmtId="0">
      <sharedItems containsString="0" containsBlank="1" containsNumber="1" containsInteger="1" minValue="0" maxValue="668"/>
    </cacheField>
    <cacheField name="ASTPG" numFmtId="0">
      <sharedItems containsString="0" containsBlank="1" containsNumber="1" minValue="0" maxValue="9.3191489361702136"/>
    </cacheField>
    <cacheField name="STL" numFmtId="0">
      <sharedItems containsString="0" containsBlank="1" containsNumber="1" containsInteger="1" minValue="0" maxValue="125"/>
    </cacheField>
    <cacheField name="STL2" numFmtId="0">
      <sharedItems containsString="0" containsBlank="1" containsNumber="1" containsInteger="1" minValue="0" maxValue="2650"/>
    </cacheField>
    <cacheField name="STLPG" numFmtId="0">
      <sharedItems containsString="0" containsBlank="1" containsNumber="1" minValue="0" maxValue="1.7962962962962963"/>
    </cacheField>
    <cacheField name="BLK2" numFmtId="0">
      <sharedItems containsString="0" containsBlank="1" containsNumber="1" containsInteger="1" minValue="0" maxValue="3270"/>
    </cacheField>
    <cacheField name="BLK" numFmtId="0">
      <sharedItems containsString="0" containsBlank="1" containsNumber="1" containsInteger="1" minValue="0" maxValue="150"/>
    </cacheField>
    <cacheField name="BLKPG" numFmtId="0">
      <sharedItems containsString="0" containsBlank="1" containsNumber="1" minValue="0" maxValue="2.3958333333333335"/>
    </cacheField>
    <cacheField name="TOV2" numFmtId="0">
      <sharedItems containsString="0" containsBlank="1" containsNumber="1" containsInteger="1" minValue="0" maxValue="3590"/>
    </cacheField>
    <cacheField name="DEFRTNGPG" numFmtId="0">
      <sharedItems containsBlank="1" containsMixedTypes="1" containsNumber="1" minValue="0" maxValue="19" count="362">
        <n v="14.682539682539684"/>
        <n v="6.2467532467532472"/>
        <n v="4.4230769230769234"/>
        <n v="8.3766233766233764"/>
        <n v="4.862068965517242"/>
        <n v="4.8133333333333335"/>
        <n v="6.6307692307692303"/>
        <n v="3.918032786885246"/>
        <n v="3.5686274509803924"/>
        <n v="4.4333333333333336"/>
        <n v="2.6785714285714288"/>
        <n v="2.1666666666666665"/>
        <n v="0.8666666666666667"/>
        <n v="1.1923076923076923"/>
        <n v="3.12"/>
        <n v="1.5333333333333332"/>
        <n v="14"/>
        <n v="10.939024390243901"/>
        <n v="5.0123456790123457"/>
        <n v="4.6829268292682924"/>
        <n v="4.1038961038961039"/>
        <n v="9.7321428571428559"/>
        <n v="3.3174603174603172"/>
        <n v="5.3896103896103895"/>
        <n v="3.8048780487804876"/>
        <n v="1.9487179487179487"/>
        <n v="0.95652173913043481"/>
        <n v="2.5510204081632653"/>
        <n v="1"/>
        <n v="2.03125"/>
        <n v="3.5609756097560972"/>
        <n v="10.061728395061728"/>
        <n v="5.5270270270270272"/>
        <n v="8.9113924050632924"/>
        <n v="3.24390243902439"/>
        <n v="4.0303030303030303"/>
        <n v="6.9054054054054053"/>
        <n v="4.2317073170731714"/>
        <n v="2.0789473684210527"/>
        <n v="3.3466666666666667"/>
        <n v="2.46875"/>
        <n v="1.2857142857142856"/>
        <n v="0.5"/>
        <n v="4.5744680851063828"/>
        <n v="8.787234042553191"/>
        <n v="9.9749999999999996"/>
        <n v="9.8148148148148149"/>
        <n v="6"/>
        <n v="3.2199999999999998"/>
        <n v="4.3142857142857141"/>
        <n v="8.8769230769230774"/>
        <n v="7.8888888888888884"/>
        <n v="5.7857142857142856"/>
        <n v="3"/>
        <n v="5.1304347826086953"/>
        <n v="4"/>
        <n v="3.8374999999999999"/>
        <n v="4.4523809523809526"/>
        <n v="1.8333333333333335"/>
        <n v="2.5714285714285712"/>
        <n v="5.0588235294117645"/>
        <n v="3.625"/>
        <n v="1.5"/>
        <n v="0"/>
        <n v="0.33333333333333331"/>
        <n v="4.5853658536585371"/>
        <n v="12.25"/>
        <n v="4.4857142857142858"/>
        <n v="10.092592592592593"/>
        <n v="6.1428571428571432"/>
        <n v="4.154929577464789"/>
        <n v="1.65"/>
        <n v="4.125"/>
        <n v="5.2307692307692308"/>
        <n v="3.243243243243243"/>
        <n v="4.4050632911392409"/>
        <n v="4.1481481481481488"/>
        <n v="1.4761904761904763"/>
        <n v="1.90625"/>
        <n v="1.7222222222222223"/>
        <n v="1.7916666666666667"/>
        <n v="0.80952380952380953"/>
        <n v="4.0333333333333332"/>
        <n v="4.4303797468354436"/>
        <n v="6.9384615384615387"/>
        <n v="3.6538461538461537"/>
        <n v="7.166666666666667"/>
        <n v="4.166666666666667"/>
        <n v="5.2686567164179108"/>
        <n v="4.795918367346939"/>
        <n v="5"/>
        <n v="3.1527777777777777"/>
        <n v="4.2"/>
        <n v="5.25"/>
        <n v="4.666666666666667"/>
        <n v="5.583333333333333"/>
        <n v="4.3888888888888893"/>
        <n v="3.9402985074626864"/>
        <n v="2.25"/>
        <n v="2.5999999999999996"/>
        <n v="11.603448275862068"/>
        <n v="7.9629629629629628"/>
        <n v="3.9729729729729728"/>
        <n v="8.0612244897959187"/>
        <n v="4.3050847457627119"/>
        <n v="4.7727272727272734"/>
        <n v="6.5694444444444446"/>
        <n v="3.25"/>
        <n v="5.8088235294117645"/>
        <n v="5.6727272727272728"/>
        <n v="2.6730769230769234"/>
        <n v="3.2307692307692308"/>
        <n v="2.4444444444444446"/>
        <n v="2.4000000000000004"/>
        <n v="2.1219512195121952"/>
        <n v="11.376811594202898"/>
        <n v="3.8125"/>
        <n v="9.9753086419753085"/>
        <n v="3.416666666666667"/>
        <n v="3.9305555555555558"/>
        <n v="5.3898305084745761"/>
        <n v="5.7538461538461538"/>
        <n v="3.371428571428571"/>
        <n v="4.5142857142857142"/>
        <n v="4.4615384615384617"/>
        <n v="4.1369863013698627"/>
        <n v="2.3260869565217392"/>
        <n v="2.3888888888888888"/>
        <n v="13.90909090909091"/>
        <n v="13"/>
        <n v="7.7941176470588234"/>
        <n v="5.2837837837837842"/>
        <n v="2.3636363636363638"/>
        <n v="4.113924050632912"/>
        <n v="7.2073170731707314"/>
        <n v="5.1805555555555554"/>
        <n v="4.24"/>
        <n v="4.0277777777777777"/>
        <n v="5.5535714285714288"/>
        <n v="2.6071428571428568"/>
        <n v="3.8"/>
        <n v="2.5"/>
        <n v="1.1304347826086958"/>
        <n v="1.1111111111111112"/>
        <n v="1.3333333333333333"/>
        <n v="13.25925925925926"/>
        <n v="12.142857142857142"/>
        <n v="6.8153846153846152"/>
        <n v="6.5555555555555554"/>
        <n v="6.8472222222222223"/>
        <n v="3.4666666666666668"/>
        <n v="3.5820895522388061"/>
        <n v="4.0370370370370372"/>
        <n v="4.8333333333333339"/>
        <n v="5.193548387096774"/>
        <n v="2.2962962962962963"/>
        <n v="2.7321428571428572"/>
        <n v="6.4230769230769234"/>
        <n v="2.8888888888888888"/>
        <n v="2.84"/>
        <n v="3.3636363636363638"/>
        <n v="3.333333333333333"/>
        <n v="2.875"/>
        <n v="1.2941176470588236"/>
        <n v="2"/>
        <n v="10.987179487179487"/>
        <n v="8.1851851851851851"/>
        <n v="5.5925925925925926"/>
        <n v="4.0952380952380949"/>
        <n v="7.9803921568627452"/>
        <n v="5.9375"/>
        <n v="7.5365853658536581"/>
        <n v="4.1604938271604937"/>
        <n v="5.140625"/>
        <n v="4.921875"/>
        <n v="3.2631578947368425"/>
        <n v="3.4705882352941178"/>
        <n v="2.625"/>
        <n v="2.442622950819672"/>
        <n v="4.9583333333333339"/>
        <n v="4.1470588235294112"/>
        <n v="1.9615384615384615"/>
        <n v="3.0588235294117645"/>
        <n v="0.4"/>
        <n v="7.8181818181818183"/>
        <n v="12.20967741935484"/>
        <n v="9.5744680851063837"/>
        <n v="4.8857142857142852"/>
        <n v="5.6"/>
        <n v="5.6666666666666661"/>
        <n v="5.0540540540540544"/>
        <n v="3.2068965517241379"/>
        <n v="5.2820512820512819"/>
        <n v="3.3125"/>
        <n v="2.3571428571428572"/>
        <n v="2.1282051282051282"/>
        <n v="2.6842105263157894"/>
        <n v="1.6190476190476191"/>
        <n v="3.5"/>
        <n v="8.1194029850746272"/>
        <n v="19"/>
        <n v="12.424242424242426"/>
        <n v="6.8624999999999998"/>
        <n v="4.4411764705882355"/>
        <n v="6.068965517241379"/>
        <n v="6.2236842105263159"/>
        <n v="7.1111111111111107"/>
        <n v="5.2857142857142865"/>
        <n v="4.1333333333333329"/>
        <n v="2.7435897435897436"/>
        <n v="2.3209876543209873"/>
        <n v="3.043478260869565"/>
        <n v="2.9487179487179485"/>
        <n v="10"/>
        <n v="4.2083333333333339"/>
        <n v="1.1403508771929824"/>
        <n v="9.9740259740259738"/>
        <n v="11.41818181818182"/>
        <n v="6.8571428571428568"/>
        <n v="5.1486486486486491"/>
        <n v="5.8461538461538467"/>
        <n v="4.6461538461538456"/>
        <n v="5.8125"/>
        <n v="2.6451612903225805"/>
        <n v="5.5810810810810807"/>
        <n v="2.1234567901234565"/>
        <n v="3.6304347826086958"/>
        <n v="3.1379310344827585"/>
        <n v="3.2926829268292686"/>
        <n v="2.5555555555555554"/>
        <n v="1.2549019607843137"/>
        <n v="1.4210526315789473"/>
        <n v="8.0250000000000004"/>
        <n v="8.3055555555555554"/>
        <n v="5.3793103448275863"/>
        <n v="5.6444444444444439"/>
        <n v="3.6904761904761907"/>
        <n v="7.2131147540983616"/>
        <n v="4.75"/>
        <n v="7.8292682926829267"/>
        <n v="2.7142857142857144"/>
        <n v="4.8780487804878048"/>
        <n v="3.6578947368421053"/>
        <n v="5.1470588235294121"/>
        <n v="6.96875"/>
        <n v="3.0930232558139537"/>
        <n v="3.85"/>
        <n v="3.4102564102564106"/>
        <n v="2.5882352941176472"/>
        <n v="9.1111111111111107"/>
        <n v="9.9027777777777786"/>
        <n v="9.1097560975609753"/>
        <n v="4.23943661971831"/>
        <n v="4.1527777777777777"/>
        <n v="4.1749999999999998"/>
        <n v="4.7195121951219514"/>
        <n v="4.907692307692308"/>
        <n v="2.7118644067796609"/>
        <n v="2.6710526315789473"/>
        <n v="3.081967213114754"/>
        <n v="3.5416666666666665"/>
        <n v="1.8235294117647058"/>
        <n v="2.1379310344827589"/>
        <n v="7.1891891891891895"/>
        <n v="4.796875"/>
        <n v="9.8636363636363633"/>
        <n v="8.0416666666666661"/>
        <n v="10.217391304347826"/>
        <n v="4.7272727272727275"/>
        <n v="7.3291139240506329"/>
        <n v="3.6379310344827585"/>
        <n v="3.9146341463414638"/>
        <n v="3.652173913043478"/>
        <n v="2.4411764705882355"/>
        <n v="1.8888888888888888"/>
        <n v="2.6923076923076925"/>
        <n v="2.71875"/>
        <n v="2.8095238095238093"/>
        <n v="1.7619047619047619"/>
        <n v="12.014084507042252"/>
        <n v="9.7291666666666661"/>
        <n v="5.192982456140351"/>
        <n v="2.75"/>
        <n v="6.6621621621621623"/>
        <n v="7.8441558441558445"/>
        <n v="4.223684210526315"/>
        <n v="3.709677419354839"/>
        <n v="4.8235294117647065"/>
        <n v="3.8636363636363633"/>
        <n v="4.3000000000000007"/>
        <n v="2.8363636363636364"/>
        <n v="3.1538461538461542"/>
        <n v="2.2272727272727275"/>
        <n v="2.6111111111111112"/>
        <n v="11.352112676056338"/>
        <n v="6.7638888888888893"/>
        <n v="10.70967741935484"/>
        <n v="5.5510204081632653"/>
        <n v="9.65625"/>
        <n v="7.333333333333333"/>
        <n v="4.4000000000000004"/>
        <n v="4.3174603174603172"/>
        <n v="2.796875"/>
        <n v="2.7419354838709675"/>
        <n v="1.8809523809523809"/>
        <n v="1.606060606060606"/>
        <n v="1.6666666666666665"/>
        <n v="0.29411764705882354"/>
        <n v="0.25"/>
        <n v="11.222222222222221"/>
        <n v="6.6714285714285708"/>
        <n v="4.3076923076923075"/>
        <n v="6.2716049382716044"/>
        <n v="3.8918918918918921"/>
        <n v="3.8974358974358974"/>
        <n v="3.8624999999999998"/>
        <n v="4.5277777777777777"/>
        <n v="8.08"/>
        <n v="5.5961538461538467"/>
        <n v="4.9268292682926829"/>
        <n v="2.4666666666666668"/>
        <n v="2.956521739130435"/>
        <n v="1.9230769230769231"/>
        <n v="0.9"/>
        <n v="1.425"/>
        <n v="10.870129870129869"/>
        <n v="4.6617647058823533"/>
        <n v="8.8800000000000008"/>
        <n v="12.203389830508476"/>
        <n v="5.3209876543209873"/>
        <n v="5.6712328767123283"/>
        <n v="4.2535211267605639"/>
        <n v="7.963414634146341"/>
        <n v="3.3134328358208953"/>
        <n v="5.4807692307692308"/>
        <n v="2.7"/>
        <n v="1.9259259259259258"/>
        <n v="2.5185185185185186"/>
        <n v="1.484375"/>
        <n v="0.61538461538461542"/>
        <n v="0.66666666666666663"/>
        <n v="0.54545454545454541"/>
        <n v="4.6883116883116882"/>
        <n v="10.639999999999999"/>
        <n v="9.5432098765432105"/>
        <n v="5.4320987654320989"/>
        <n v="5.0769230769230766"/>
        <n v="7.1739130434782608"/>
        <n v="3.2"/>
        <n v="10.806451612903226"/>
        <n v="8.9183673469387763"/>
        <n v="2.3088235294117649"/>
        <n v="2.2758620689655173"/>
        <n v="2.6888888888888887"/>
        <n v="3.8666666666666667"/>
        <n v="2.0869565217391304"/>
        <n v="0.88888888888888884"/>
        <n v="1.1666666666666667"/>
        <n v="2.6666666666666665"/>
        <n v="0.35294117647058826"/>
        <e v="#DIV/0!"/>
        <m/>
      </sharedItems>
    </cacheField>
    <cacheField name="TOV" numFmtId="0">
      <sharedItems containsString="0" containsBlank="1" containsNumber="1" containsInteger="1" minValue="0" maxValue="295"/>
    </cacheField>
    <cacheField name="TOVPG" numFmtId="0">
      <sharedItems containsString="0" containsBlank="1" containsNumber="1" minValue="0" maxValue="3.6419753086419755"/>
    </cacheField>
    <cacheField name="PF" numFmtId="0">
      <sharedItems containsString="0" containsBlank="1" containsNumber="1" containsInteger="1" minValue="0" maxValue="344"/>
    </cacheField>
    <cacheField name="PFPG" numFmtId="0">
      <sharedItems containsString="0" containsBlank="1" containsNumber="1" minValue="0" maxValue="4.2469135802469138"/>
    </cacheField>
    <cacheField name="PTS" numFmtId="0">
      <sharedItems containsString="0" containsBlank="1" containsNumber="1" containsInteger="1" minValue="0" maxValue="2212"/>
    </cacheField>
    <cacheField name="PTSPG" numFmtId="0">
      <sharedItems containsString="0" containsBlank="1" containsNumber="1" minValue="0" maxValue="28.7272727272727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8">
  <r>
    <x v="0"/>
    <s v="2000-01"/>
    <x v="0"/>
    <n v="27"/>
    <n v="270"/>
    <x v="0"/>
    <n v="21270"/>
    <n v="1117"/>
    <n v="17.730158730158731"/>
    <n v="304"/>
    <n v="580"/>
    <n v="0.52413793103448281"/>
    <n v="10"/>
    <n v="80"/>
    <n v="0.125"/>
    <n v="150"/>
    <n v="225"/>
    <n v="0.66666666666666663"/>
    <n v="196"/>
    <n v="527"/>
    <n v="723"/>
    <n v="1960"/>
    <n v="5270"/>
    <n v="7230"/>
    <n v="52"/>
    <n v="0.82539682539682535"/>
    <n v="66"/>
    <n v="660"/>
    <n v="1.0476190476190477"/>
    <n v="1360"/>
    <n v="136"/>
    <n v="2.1587301587301586"/>
    <n v="630"/>
    <n v="63"/>
    <n v="1"/>
    <n v="205"/>
    <n v="3.253968253968254"/>
    <n v="759"/>
    <n v="12.047619047619047"/>
  </r>
  <r>
    <x v="1"/>
    <s v="2000-01"/>
    <x v="1"/>
    <n v="30"/>
    <n v="300"/>
    <x v="1"/>
    <n v="30130"/>
    <n v="966"/>
    <n v="12.545454545454545"/>
    <n v="524"/>
    <n v="1219"/>
    <n v="0.42986054142739949"/>
    <n v="410"/>
    <n v="1350"/>
    <n v="0.3037037037037037"/>
    <n v="275"/>
    <n v="351"/>
    <n v="0.7834757834757835"/>
    <n v="49"/>
    <n v="298"/>
    <n v="347"/>
    <n v="490"/>
    <n v="2980"/>
    <n v="3470"/>
    <n v="269"/>
    <n v="3.4935064935064934"/>
    <n v="106"/>
    <n v="1060"/>
    <n v="1.3766233766233766"/>
    <n v="280"/>
    <n v="28"/>
    <n v="0.36363636363636365"/>
    <n v="2180"/>
    <n v="218"/>
    <n v="2.831168831168831"/>
    <n v="159"/>
    <n v="2.0649350649350651"/>
    <n v="1364"/>
    <n v="17.714285714285715"/>
  </r>
  <r>
    <x v="2"/>
    <s v="2000-01"/>
    <x v="2"/>
    <n v="30"/>
    <n v="300"/>
    <x v="2"/>
    <n v="28580"/>
    <n v="932"/>
    <n v="11.948717948717949"/>
    <n v="542"/>
    <n v="1208"/>
    <n v="0.44867549668874174"/>
    <n v="960"/>
    <n v="2520"/>
    <n v="0.38095238095238093"/>
    <n v="279"/>
    <n v="307"/>
    <n v="0.90879478827361559"/>
    <n v="20"/>
    <n v="263"/>
    <n v="283"/>
    <n v="200"/>
    <n v="2630"/>
    <n v="2830"/>
    <n v="173"/>
    <n v="2.2179487179487181"/>
    <n v="52"/>
    <n v="520"/>
    <n v="0.66666666666666663"/>
    <n v="100"/>
    <n v="10"/>
    <n v="0.12820512820512819"/>
    <n v="1610"/>
    <n v="161"/>
    <n v="2.0641025641025643"/>
    <n v="190"/>
    <n v="2.4358974358974357"/>
    <n v="1459"/>
    <n v="18.705128205128204"/>
  </r>
  <r>
    <x v="3"/>
    <s v="2000-01"/>
    <x v="3"/>
    <n v="28"/>
    <n v="280"/>
    <x v="1"/>
    <n v="21280"/>
    <n v="783"/>
    <n v="10.168831168831169"/>
    <n v="314"/>
    <n v="614"/>
    <n v="511"/>
    <n v="10"/>
    <n v="30"/>
    <n v="0.33333333333333331"/>
    <n v="171"/>
    <n v="210"/>
    <n v="0.81428571428571428"/>
    <n v="172"/>
    <n v="343"/>
    <n v="515"/>
    <n v="1720"/>
    <n v="3430"/>
    <n v="5150"/>
    <n v="63"/>
    <n v="0.81818181818181823"/>
    <n v="61"/>
    <n v="610"/>
    <n v="0.79220779220779225"/>
    <n v="690"/>
    <n v="69"/>
    <n v="0.89610389610389607"/>
    <n v="990"/>
    <n v="99"/>
    <n v="1.2857142857142858"/>
    <n v="287"/>
    <n v="3.7272727272727271"/>
    <n v="800"/>
    <n v="10.38961038961039"/>
  </r>
  <r>
    <x v="4"/>
    <s v="2000-01"/>
    <x v="4"/>
    <n v="36"/>
    <n v="360"/>
    <x v="3"/>
    <n v="7860"/>
    <n v="246"/>
    <n v="8.4827586206896548"/>
    <n v="74"/>
    <n v="180"/>
    <n v="411"/>
    <n v="130"/>
    <n v="420"/>
    <n v="0.30952380952380953"/>
    <n v="9"/>
    <n v="17"/>
    <n v="0.52941176470588236"/>
    <n v="21"/>
    <n v="99"/>
    <n v="120"/>
    <n v="210"/>
    <n v="990"/>
    <n v="1200"/>
    <n v="163"/>
    <n v="5.6206896551724137"/>
    <n v="21"/>
    <n v="210"/>
    <n v="0.72413793103448276"/>
    <n v="0"/>
    <n v="0"/>
    <n v="0"/>
    <n v="580"/>
    <n v="58"/>
    <n v="2"/>
    <n v="56"/>
    <n v="1.9310344827586208"/>
    <n v="170"/>
    <n v="5.8620689655172411"/>
  </r>
  <r>
    <x v="5"/>
    <s v="2000-01"/>
    <x v="5"/>
    <n v="34"/>
    <n v="340"/>
    <x v="4"/>
    <n v="22120"/>
    <n v="626"/>
    <n v="8.3466666666666658"/>
    <n v="331"/>
    <n v="752"/>
    <n v="0.44015957446808512"/>
    <n v="820"/>
    <n v="2110"/>
    <n v="0.38862559241706163"/>
    <n v="155"/>
    <n v="182"/>
    <n v="0.85164835164835162"/>
    <n v="61"/>
    <n v="246"/>
    <n v="307"/>
    <n v="610"/>
    <n v="2460"/>
    <n v="3070"/>
    <n v="89"/>
    <n v="1.1866666666666668"/>
    <n v="41"/>
    <n v="410"/>
    <n v="0.54666666666666663"/>
    <n v="130"/>
    <n v="13"/>
    <n v="0.17333333333333334"/>
    <n v="960"/>
    <n v="96"/>
    <n v="1.28"/>
    <n v="179"/>
    <n v="2.3866666666666667"/>
    <n v="899"/>
    <n v="11.986666666666666"/>
  </r>
  <r>
    <x v="6"/>
    <s v="2000-01"/>
    <x v="6"/>
    <n v="32"/>
    <n v="320"/>
    <x v="5"/>
    <n v="21080"/>
    <n v="519"/>
    <n v="7.9846153846153847"/>
    <n v="246"/>
    <n v="598"/>
    <n v="411"/>
    <n v="510"/>
    <n v="1630"/>
    <n v="0.31288343558282211"/>
    <n v="102"/>
    <n v="128"/>
    <n v="0.796875"/>
    <n v="90"/>
    <n v="273"/>
    <n v="363"/>
    <n v="900"/>
    <n v="2730"/>
    <n v="3630"/>
    <n v="127"/>
    <n v="1.9538461538461538"/>
    <n v="39"/>
    <n v="390"/>
    <n v="0.6"/>
    <n v="290"/>
    <n v="29"/>
    <n v="0.44615384615384618"/>
    <n v="970"/>
    <n v="97"/>
    <n v="1.4923076923076923"/>
    <n v="209"/>
    <n v="3.2153846153846155"/>
    <n v="645"/>
    <n v="9.9230769230769234"/>
  </r>
  <r>
    <x v="7"/>
    <s v="2000-01"/>
    <x v="7"/>
    <n v="30"/>
    <n v="300"/>
    <x v="6"/>
    <n v="14950"/>
    <n v="469"/>
    <n v="7.6885245901639347"/>
    <n v="155"/>
    <n v="373"/>
    <n v="416"/>
    <n v="670"/>
    <n v="1750"/>
    <n v="0.38285714285714284"/>
    <n v="56"/>
    <n v="70"/>
    <n v="0.8"/>
    <n v="32"/>
    <n v="127"/>
    <n v="159"/>
    <n v="320"/>
    <n v="1270"/>
    <n v="1590"/>
    <n v="273"/>
    <n v="4.4754098360655741"/>
    <n v="70"/>
    <n v="700"/>
    <n v="1.1475409836065573"/>
    <n v="100"/>
    <n v="10"/>
    <n v="0.16393442622950818"/>
    <n v="1120"/>
    <n v="112"/>
    <n v="1.8360655737704918"/>
    <n v="132"/>
    <n v="2.1639344262295084"/>
    <n v="433"/>
    <n v="7.0983606557377046"/>
  </r>
  <r>
    <x v="8"/>
    <s v="2000-01"/>
    <x v="8"/>
    <n v="33"/>
    <n v="330"/>
    <x v="7"/>
    <n v="13060"/>
    <n v="269"/>
    <n v="5.2745098039215685"/>
    <n v="93"/>
    <n v="222"/>
    <n v="419"/>
    <n v="200"/>
    <n v="640"/>
    <n v="0.3125"/>
    <n v="39"/>
    <n v="46"/>
    <n v="0.84782608695652173"/>
    <n v="14"/>
    <n v="124"/>
    <n v="138"/>
    <n v="140"/>
    <n v="1240"/>
    <n v="1380"/>
    <n v="236"/>
    <n v="4.6274509803921573"/>
    <n v="37"/>
    <n v="370"/>
    <n v="0.72549019607843135"/>
    <n v="70"/>
    <n v="7"/>
    <n v="0.13725490196078433"/>
    <n v="980"/>
    <n v="98"/>
    <n v="1.9215686274509804"/>
    <n v="160"/>
    <n v="3.1372549019607843"/>
    <n v="245"/>
    <n v="4.8039215686274508"/>
  </r>
  <r>
    <x v="9"/>
    <s v="2000-01"/>
    <x v="9"/>
    <n v="27"/>
    <n v="270"/>
    <x v="8"/>
    <n v="5480"/>
    <n v="123"/>
    <n v="4.0999999999999996"/>
    <n v="67"/>
    <n v="121"/>
    <n v="0.55371900826446285"/>
    <n v="0"/>
    <n v="0"/>
    <e v="#DIV/0!"/>
    <n v="51"/>
    <n v="70"/>
    <n v="0.72857142857142854"/>
    <n v="37"/>
    <n v="62"/>
    <n v="99"/>
    <n v="370"/>
    <n v="620"/>
    <n v="990"/>
    <n v="20"/>
    <n v="0.66666666666666663"/>
    <n v="15"/>
    <n v="150"/>
    <n v="0.5"/>
    <n v="190"/>
    <n v="19"/>
    <n v="0.6333333333333333"/>
    <n v="410"/>
    <n v="41"/>
    <n v="1.3666666666666667"/>
    <n v="101"/>
    <n v="3.3666666666666667"/>
    <n v="185"/>
    <n v="6.166666666666667"/>
  </r>
  <r>
    <x v="10"/>
    <s v="2000-01"/>
    <x v="10"/>
    <n v="27"/>
    <n v="270"/>
    <x v="9"/>
    <n v="4210"/>
    <n v="62"/>
    <n v="2.2142857142857144"/>
    <n v="40"/>
    <n v="131"/>
    <n v="305"/>
    <n v="160"/>
    <n v="470"/>
    <n v="0.34042553191489361"/>
    <n v="24"/>
    <n v="28"/>
    <n v="0.8571428571428571"/>
    <n v="9"/>
    <n v="43"/>
    <n v="52"/>
    <n v="90"/>
    <n v="430"/>
    <n v="520"/>
    <n v="29"/>
    <n v="1.0357142857142858"/>
    <n v="22"/>
    <n v="220"/>
    <n v="0.7857142857142857"/>
    <n v="10"/>
    <n v="1"/>
    <n v="3.5714285714285712E-2"/>
    <n v="210"/>
    <n v="21"/>
    <n v="0.75"/>
    <n v="46"/>
    <n v="1.6428571428571428"/>
    <n v="120"/>
    <n v="4.2857142857142856"/>
  </r>
  <r>
    <x v="11"/>
    <s v="2000-01"/>
    <x v="11"/>
    <n v="33"/>
    <n v="330"/>
    <x v="10"/>
    <n v="1120"/>
    <n v="27"/>
    <n v="1.5"/>
    <n v="12"/>
    <n v="20"/>
    <n v="6"/>
    <n v="0"/>
    <n v="0"/>
    <e v="#DIV/0!"/>
    <n v="15"/>
    <n v="25"/>
    <n v="0.6"/>
    <n v="16"/>
    <n v="19"/>
    <n v="35"/>
    <n v="160"/>
    <n v="190"/>
    <n v="350"/>
    <n v="2"/>
    <n v="0.1111111111111111"/>
    <n v="2"/>
    <n v="20"/>
    <n v="0.1111111111111111"/>
    <n v="20"/>
    <n v="2"/>
    <n v="0.1111111111111111"/>
    <n v="110"/>
    <n v="11"/>
    <n v="0.61111111111111116"/>
    <n v="24"/>
    <n v="1.3333333333333333"/>
    <n v="39"/>
    <n v="2.1666666666666665"/>
  </r>
  <r>
    <x v="12"/>
    <s v="2000-01"/>
    <x v="12"/>
    <n v="29"/>
    <n v="290"/>
    <x v="11"/>
    <n v="660"/>
    <n v="14"/>
    <n v="0.93333333333333335"/>
    <n v="8"/>
    <n v="19"/>
    <n v="0.42105263157894735"/>
    <n v="0"/>
    <n v="30"/>
    <n v="0"/>
    <n v="4"/>
    <n v="6"/>
    <n v="0.66666666666666663"/>
    <n v="3"/>
    <n v="9"/>
    <n v="12"/>
    <n v="30"/>
    <n v="90"/>
    <n v="120"/>
    <n v="7"/>
    <n v="0.46666666666666667"/>
    <n v="1"/>
    <n v="10"/>
    <n v="6.6666666666666666E-2"/>
    <n v="0"/>
    <n v="0"/>
    <n v="0"/>
    <n v="80"/>
    <n v="8"/>
    <n v="0.53333333333333333"/>
    <n v="5"/>
    <n v="0.33333333333333331"/>
    <n v="20"/>
    <n v="1.3333333333333333"/>
  </r>
  <r>
    <x v="13"/>
    <s v="2000-01"/>
    <x v="13"/>
    <n v="23"/>
    <n v="230"/>
    <x v="12"/>
    <n v="1680"/>
    <n v="24"/>
    <n v="0.92307692307692313"/>
    <n v="17"/>
    <n v="54"/>
    <n v="0.31481481481481483"/>
    <n v="30"/>
    <n v="110"/>
    <n v="0.27272727272727271"/>
    <n v="22"/>
    <n v="27"/>
    <n v="0.81481481481481477"/>
    <n v="8"/>
    <n v="17"/>
    <n v="25"/>
    <n v="80"/>
    <n v="170"/>
    <n v="250"/>
    <n v="5"/>
    <n v="0.19230769230769232"/>
    <n v="4"/>
    <n v="40"/>
    <n v="0.15384615384615385"/>
    <n v="20"/>
    <n v="2"/>
    <n v="7.6923076923076927E-2"/>
    <n v="170"/>
    <n v="17"/>
    <n v="0.65384615384615385"/>
    <n v="12"/>
    <n v="0.46153846153846156"/>
    <n v="59"/>
    <n v="2.2692307692307692"/>
  </r>
  <r>
    <x v="14"/>
    <s v="2000-01"/>
    <x v="14"/>
    <n v="32"/>
    <n v="320"/>
    <x v="13"/>
    <n v="2990"/>
    <n v="21"/>
    <n v="0.84"/>
    <n v="18"/>
    <n v="54"/>
    <n v="0.33333333333333331"/>
    <n v="0"/>
    <n v="0"/>
    <e v="#DIV/0!"/>
    <n v="13"/>
    <n v="17"/>
    <n v="0.76470588235294112"/>
    <n v="26"/>
    <n v="40"/>
    <n v="66"/>
    <n v="260"/>
    <n v="400"/>
    <n v="660"/>
    <n v="7"/>
    <n v="0.28000000000000003"/>
    <n v="3"/>
    <n v="30"/>
    <n v="0.12"/>
    <n v="90"/>
    <n v="9"/>
    <n v="0.36"/>
    <n v="220"/>
    <n v="22"/>
    <n v="0.88"/>
    <n v="51"/>
    <n v="2.04"/>
    <n v="49"/>
    <n v="1.96"/>
  </r>
  <r>
    <x v="15"/>
    <s v="2000-01"/>
    <x v="15"/>
    <n v="26"/>
    <n v="260"/>
    <x v="14"/>
    <n v="2550"/>
    <n v="-6"/>
    <n v="-0.13333333333333333"/>
    <n v="10"/>
    <n v="53"/>
    <n v="0.18867924528301888"/>
    <n v="0"/>
    <n v="10"/>
    <n v="0"/>
    <n v="9"/>
    <n v="18"/>
    <n v="0.5"/>
    <n v="19"/>
    <n v="34"/>
    <n v="53"/>
    <n v="190"/>
    <n v="340"/>
    <n v="530"/>
    <n v="5"/>
    <n v="0.1111111111111111"/>
    <n v="5"/>
    <n v="50"/>
    <n v="0.1111111111111111"/>
    <n v="110"/>
    <n v="11"/>
    <n v="0.24444444444444444"/>
    <n v="100"/>
    <n v="10"/>
    <n v="0.22222222222222221"/>
    <n v="47"/>
    <n v="1.0444444444444445"/>
    <n v="29"/>
    <n v="0.64444444444444449"/>
  </r>
  <r>
    <x v="0"/>
    <s v="2001-02"/>
    <x v="16"/>
    <n v="28"/>
    <n v="280"/>
    <x v="3"/>
    <n v="10070"/>
    <n v="415"/>
    <n v="14.310344827586206"/>
    <n v="130"/>
    <n v="290"/>
    <n v="0.44827586206896552"/>
    <n v="0"/>
    <n v="10"/>
    <n v="0"/>
    <n v="62"/>
    <n v="99"/>
    <n v="0.6262626262626263"/>
    <n v="89"/>
    <n v="233"/>
    <n v="322"/>
    <n v="890"/>
    <n v="2330"/>
    <n v="3220"/>
    <n v="33"/>
    <n v="1.1379310344827587"/>
    <n v="34"/>
    <n v="340"/>
    <n v="1.1724137931034482"/>
    <n v="500"/>
    <n v="50"/>
    <n v="1.7241379310344827"/>
    <n v="420"/>
    <n v="42"/>
    <n v="1.4482758620689655"/>
    <n v="107"/>
    <n v="3.6896551724137931"/>
    <n v="322"/>
    <n v="11.103448275862069"/>
  </r>
  <r>
    <x v="3"/>
    <s v="2001-02"/>
    <x v="17"/>
    <n v="29"/>
    <n v="290"/>
    <x v="15"/>
    <n v="27690"/>
    <n v="1109"/>
    <n v="13.524390243902438"/>
    <n v="463"/>
    <n v="938"/>
    <n v="494"/>
    <n v="10"/>
    <n v="60"/>
    <n v="0.16666666666666666"/>
    <n v="216"/>
    <n v="265"/>
    <n v="0.81509433962264155"/>
    <n v="214"/>
    <n v="533"/>
    <n v="747"/>
    <n v="2140"/>
    <n v="5330"/>
    <n v="7470"/>
    <n v="87"/>
    <n v="1.0609756097560976"/>
    <n v="71"/>
    <n v="710"/>
    <n v="0.86585365853658536"/>
    <n v="790"/>
    <n v="79"/>
    <n v="0.96341463414634143"/>
    <n v="1530"/>
    <n v="153"/>
    <n v="1.8658536585365855"/>
    <n v="341"/>
    <n v="4.1585365853658534"/>
    <n v="1143"/>
    <n v="13.939024390243903"/>
  </r>
  <r>
    <x v="1"/>
    <s v="2001-02"/>
    <x v="18"/>
    <n v="31"/>
    <n v="310"/>
    <x v="16"/>
    <n v="33280"/>
    <n v="1002"/>
    <n v="12.37037037037037"/>
    <n v="573"/>
    <n v="1419"/>
    <n v="0.40380549682875266"/>
    <n v="1450"/>
    <n v="4030"/>
    <n v="0.35980148883374691"/>
    <n v="284"/>
    <n v="346"/>
    <n v="0.82080924855491333"/>
    <n v="59"/>
    <n v="239"/>
    <n v="298"/>
    <n v="590"/>
    <n v="2390"/>
    <n v="2980"/>
    <n v="313"/>
    <n v="3.8641975308641974"/>
    <n v="94"/>
    <n v="940"/>
    <n v="1.1604938271604939"/>
    <n v="140"/>
    <n v="14"/>
    <n v="0.1728395061728395"/>
    <n v="2230"/>
    <n v="223"/>
    <n v="2.7530864197530862"/>
    <n v="161"/>
    <n v="1.9876543209876543"/>
    <n v="1575"/>
    <n v="19.444444444444443"/>
  </r>
  <r>
    <x v="4"/>
    <s v="2001-02"/>
    <x v="19"/>
    <n v="37"/>
    <n v="370"/>
    <x v="15"/>
    <n v="23670"/>
    <n v="1008"/>
    <n v="12.292682926829269"/>
    <n v="260"/>
    <n v="592"/>
    <n v="439"/>
    <n v="790"/>
    <n v="1950"/>
    <n v="0.40512820512820513"/>
    <n v="87"/>
    <n v="110"/>
    <n v="0.79090909090909089"/>
    <n v="56"/>
    <n v="253"/>
    <n v="309"/>
    <n v="560"/>
    <n v="2530"/>
    <n v="3090"/>
    <n v="605"/>
    <n v="7.3780487804878048"/>
    <n v="74"/>
    <n v="740"/>
    <n v="0.90243902439024393"/>
    <n v="10"/>
    <n v="1"/>
    <n v="1.2195121951219513E-2"/>
    <n v="1500"/>
    <n v="150"/>
    <n v="1.8292682926829269"/>
    <n v="162"/>
    <n v="1.975609756097561"/>
    <n v="686"/>
    <n v="8.3658536585365848"/>
  </r>
  <r>
    <x v="2"/>
    <s v="2001-02"/>
    <x v="20"/>
    <n v="31"/>
    <n v="310"/>
    <x v="1"/>
    <n v="29150"/>
    <n v="944"/>
    <n v="12.25974025974026"/>
    <n v="568"/>
    <n v="1301"/>
    <n v="0.43658724058416604"/>
    <n v="1360"/>
    <n v="3460"/>
    <n v="0.39306358381502893"/>
    <n v="295"/>
    <n v="339"/>
    <n v="0.87020648967551617"/>
    <n v="37"/>
    <n v="215"/>
    <n v="252"/>
    <n v="370"/>
    <n v="2150"/>
    <n v="2520"/>
    <n v="190"/>
    <n v="2.4675324675324677"/>
    <n v="54"/>
    <n v="540"/>
    <n v="0.70129870129870131"/>
    <n v="100"/>
    <n v="10"/>
    <n v="0.12987012987012986"/>
    <n v="1700"/>
    <n v="170"/>
    <n v="2.2077922077922079"/>
    <n v="182"/>
    <n v="2.3636363636363638"/>
    <n v="1567"/>
    <n v="20.350649350649352"/>
  </r>
  <r>
    <x v="16"/>
    <s v="2001-02"/>
    <x v="21"/>
    <n v="31"/>
    <n v="310"/>
    <x v="17"/>
    <n v="17260"/>
    <n v="627"/>
    <n v="11.196428571428571"/>
    <n v="189"/>
    <n v="452"/>
    <n v="418"/>
    <n v="0"/>
    <n v="0"/>
    <e v="#DIV/0!"/>
    <n v="116"/>
    <n v="146"/>
    <n v="0.79452054794520544"/>
    <n v="149"/>
    <n v="311"/>
    <n v="460"/>
    <n v="1490"/>
    <n v="3110"/>
    <n v="4600"/>
    <n v="60"/>
    <n v="1.0714285714285714"/>
    <n v="37"/>
    <n v="370"/>
    <n v="0.6607142857142857"/>
    <n v="480"/>
    <n v="48"/>
    <n v="0.8571428571428571"/>
    <n v="470"/>
    <n v="47"/>
    <n v="0.8392857142857143"/>
    <n v="132"/>
    <n v="2.3571428571428572"/>
    <n v="494"/>
    <n v="8.8214285714285712"/>
  </r>
  <r>
    <x v="7"/>
    <s v="2001-02"/>
    <x v="22"/>
    <n v="31"/>
    <n v="310"/>
    <x v="0"/>
    <n v="10580"/>
    <n v="362"/>
    <n v="5.746031746031746"/>
    <n v="113"/>
    <n v="303"/>
    <n v="373"/>
    <n v="530"/>
    <n v="1640"/>
    <n v="0.32317073170731708"/>
    <n v="47"/>
    <n v="58"/>
    <n v="0.81034482758620685"/>
    <n v="15"/>
    <n v="112"/>
    <n v="127"/>
    <n v="150"/>
    <n v="1120"/>
    <n v="1270"/>
    <n v="203"/>
    <n v="3.2222222222222223"/>
    <n v="68"/>
    <n v="680"/>
    <n v="1.0793650793650793"/>
    <n v="140"/>
    <n v="14"/>
    <n v="0.22222222222222221"/>
    <n v="750"/>
    <n v="75"/>
    <n v="1.1904761904761905"/>
    <n v="100"/>
    <n v="1.5873015873015872"/>
    <n v="326"/>
    <n v="5.1746031746031749"/>
  </r>
  <r>
    <x v="9"/>
    <s v="2001-02"/>
    <x v="23"/>
    <n v="28"/>
    <n v="280"/>
    <x v="1"/>
    <n v="15640"/>
    <n v="440"/>
    <n v="5.7142857142857144"/>
    <n v="237"/>
    <n v="450"/>
    <n v="0.52666666666666662"/>
    <n v="0"/>
    <n v="20"/>
    <n v="0"/>
    <n v="122"/>
    <n v="172"/>
    <n v="0.70930232558139539"/>
    <n v="125"/>
    <n v="224"/>
    <n v="349"/>
    <n v="1250"/>
    <n v="2240"/>
    <n v="3490"/>
    <n v="37"/>
    <n v="0.48051948051948051"/>
    <n v="30"/>
    <n v="300"/>
    <n v="0.38961038961038963"/>
    <n v="360"/>
    <n v="36"/>
    <n v="0.46753246753246752"/>
    <n v="950"/>
    <n v="95"/>
    <n v="1.2337662337662338"/>
    <n v="250"/>
    <n v="3.2467532467532467"/>
    <n v="596"/>
    <n v="7.7402597402597406"/>
  </r>
  <r>
    <x v="17"/>
    <s v="2001-02"/>
    <x v="24"/>
    <n v="28"/>
    <n v="280"/>
    <x v="15"/>
    <n v="15960"/>
    <n v="311"/>
    <n v="3.7926829268292681"/>
    <n v="149"/>
    <n v="373"/>
    <n v="0.39946380697050937"/>
    <n v="390"/>
    <n v="1410"/>
    <n v="0.27659574468085107"/>
    <n v="74"/>
    <n v="107"/>
    <n v="0.69158878504672894"/>
    <n v="57"/>
    <n v="192"/>
    <n v="249"/>
    <n v="570"/>
    <n v="1920"/>
    <n v="2490"/>
    <n v="76"/>
    <n v="0.92682926829268297"/>
    <n v="48"/>
    <n v="480"/>
    <n v="0.58536585365853655"/>
    <n v="150"/>
    <n v="15"/>
    <n v="0.18292682926829268"/>
    <n v="970"/>
    <n v="97"/>
    <n v="1.1829268292682926"/>
    <n v="134"/>
    <n v="1.6341463414634145"/>
    <n v="411"/>
    <n v="5.0121951219512191"/>
  </r>
  <r>
    <x v="18"/>
    <s v="2001-02"/>
    <x v="25"/>
    <n v="29"/>
    <n v="290"/>
    <x v="18"/>
    <n v="6100"/>
    <n v="113"/>
    <n v="2.8974358974358974"/>
    <n v="59"/>
    <n v="175"/>
    <n v="0.33714285714285713"/>
    <n v="140"/>
    <n v="580"/>
    <n v="0.2413793103448276"/>
    <n v="39"/>
    <n v="49"/>
    <n v="0.79591836734693877"/>
    <n v="9"/>
    <n v="40"/>
    <n v="49"/>
    <n v="90"/>
    <n v="400"/>
    <n v="490"/>
    <n v="100"/>
    <n v="2.5641025641025643"/>
    <n v="24"/>
    <n v="240"/>
    <n v="0.61538461538461542"/>
    <n v="30"/>
    <n v="3"/>
    <n v="7.6923076923076927E-2"/>
    <n v="530"/>
    <n v="53"/>
    <n v="1.358974358974359"/>
    <n v="55"/>
    <n v="1.4102564102564104"/>
    <n v="171"/>
    <n v="4.384615384615385"/>
  </r>
  <r>
    <x v="13"/>
    <s v="2001-02"/>
    <x v="26"/>
    <n v="24"/>
    <n v="240"/>
    <x v="19"/>
    <n v="1780"/>
    <n v="36"/>
    <n v="1.5652173913043479"/>
    <n v="28"/>
    <n v="84"/>
    <n v="0.33333333333333331"/>
    <n v="60"/>
    <n v="260"/>
    <n v="0.23076923076923078"/>
    <n v="31"/>
    <n v="41"/>
    <n v="0.75609756097560976"/>
    <n v="2"/>
    <n v="14"/>
    <n v="16"/>
    <n v="20"/>
    <n v="140"/>
    <n v="160"/>
    <n v="5"/>
    <n v="0.21739130434782608"/>
    <n v="6"/>
    <n v="60"/>
    <n v="0.2608695652173913"/>
    <n v="0"/>
    <n v="0"/>
    <n v="0"/>
    <n v="110"/>
    <n v="11"/>
    <n v="0.47826086956521741"/>
    <n v="7"/>
    <n v="0.30434782608695654"/>
    <n v="93"/>
    <n v="4.0434782608695654"/>
  </r>
  <r>
    <x v="15"/>
    <s v="2001-02"/>
    <x v="27"/>
    <n v="27"/>
    <n v="270"/>
    <x v="20"/>
    <n v="4300"/>
    <n v="32"/>
    <n v="0.65306122448979587"/>
    <n v="41"/>
    <n v="113"/>
    <n v="0.36283185840707965"/>
    <n v="0"/>
    <n v="0"/>
    <e v="#DIV/0!"/>
    <n v="16"/>
    <n v="21"/>
    <n v="0.76190476190476186"/>
    <n v="48"/>
    <n v="56"/>
    <n v="104"/>
    <n v="480"/>
    <n v="560"/>
    <n v="1040"/>
    <n v="8"/>
    <n v="0.16326530612244897"/>
    <n v="11"/>
    <n v="110"/>
    <n v="0.22448979591836735"/>
    <n v="100"/>
    <n v="10"/>
    <n v="0.20408163265306123"/>
    <n v="270"/>
    <n v="27"/>
    <n v="0.55102040816326525"/>
    <n v="95"/>
    <n v="1.9387755102040816"/>
    <n v="98"/>
    <n v="2"/>
  </r>
  <r>
    <x v="19"/>
    <s v="2001-02"/>
    <x v="28"/>
    <n v="34"/>
    <n v="340"/>
    <x v="21"/>
    <n v="110"/>
    <n v="1"/>
    <n v="0.5"/>
    <n v="1"/>
    <n v="4"/>
    <n v="0.25"/>
    <n v="10"/>
    <n v="20"/>
    <n v="0.5"/>
    <n v="0"/>
    <n v="0"/>
    <e v="#DIV/0!"/>
    <n v="0"/>
    <n v="2"/>
    <n v="2"/>
    <n v="0"/>
    <n v="20"/>
    <n v="20"/>
    <n v="0"/>
    <n v="0"/>
    <n v="0"/>
    <n v="0"/>
    <n v="0"/>
    <n v="0"/>
    <n v="0"/>
    <n v="0"/>
    <n v="0"/>
    <n v="0"/>
    <n v="0"/>
    <n v="1"/>
    <n v="0.5"/>
    <n v="3"/>
    <n v="1.5"/>
  </r>
  <r>
    <x v="11"/>
    <s v="2001-02"/>
    <x v="29"/>
    <n v="34"/>
    <n v="340"/>
    <x v="22"/>
    <n v="2480"/>
    <n v="-24"/>
    <n v="-0.75"/>
    <n v="6"/>
    <n v="26"/>
    <n v="231"/>
    <n v="0"/>
    <n v="0"/>
    <e v="#DIV/0!"/>
    <n v="17"/>
    <n v="33"/>
    <n v="0.51515151515151514"/>
    <n v="16"/>
    <n v="34"/>
    <n v="50"/>
    <n v="160"/>
    <n v="340"/>
    <n v="500"/>
    <n v="3"/>
    <n v="9.375E-2"/>
    <n v="7"/>
    <n v="70"/>
    <n v="0.21875"/>
    <n v="80"/>
    <n v="8"/>
    <n v="0.25"/>
    <n v="120"/>
    <n v="12"/>
    <n v="0.375"/>
    <n v="73"/>
    <n v="2.28125"/>
    <n v="29"/>
    <n v="0.90625"/>
  </r>
  <r>
    <x v="2"/>
    <s v="2002-03"/>
    <x v="30"/>
    <n v="32"/>
    <n v="320"/>
    <x v="15"/>
    <n v="31100"/>
    <n v="1143"/>
    <n v="13.939024390243903"/>
    <n v="652"/>
    <n v="1465"/>
    <n v="0.44505119453924913"/>
    <n v="1780"/>
    <n v="4500"/>
    <n v="0.39555555555555555"/>
    <n v="363"/>
    <n v="395"/>
    <n v="0.91898734177215191"/>
    <n v="26"/>
    <n v="205"/>
    <n v="231"/>
    <n v="260"/>
    <n v="2050"/>
    <n v="2310"/>
    <n v="220"/>
    <n v="2.6829268292682928"/>
    <n v="54"/>
    <n v="540"/>
    <n v="0.65853658536585369"/>
    <n v="70"/>
    <n v="7"/>
    <n v="8.5365853658536592E-2"/>
    <n v="1780"/>
    <n v="178"/>
    <n v="2.1707317073170733"/>
    <n v="191"/>
    <n v="2.3292682926829267"/>
    <n v="1845"/>
    <n v="22.5"/>
  </r>
  <r>
    <x v="3"/>
    <s v="2002-03"/>
    <x v="31"/>
    <n v="30"/>
    <n v="300"/>
    <x v="16"/>
    <n v="25750"/>
    <n v="1052"/>
    <n v="12.987654320987655"/>
    <n v="497"/>
    <n v="1028"/>
    <n v="483"/>
    <n v="20"/>
    <n v="30"/>
    <n v="0.66666666666666663"/>
    <n v="138"/>
    <n v="184"/>
    <n v="0.75"/>
    <n v="160"/>
    <n v="477"/>
    <n v="637"/>
    <n v="1600"/>
    <n v="4770"/>
    <n v="6370"/>
    <n v="162"/>
    <n v="2"/>
    <n v="81"/>
    <n v="810"/>
    <n v="1"/>
    <n v="970"/>
    <n v="97"/>
    <n v="1.1975308641975309"/>
    <n v="1380"/>
    <n v="138"/>
    <n v="1.7037037037037037"/>
    <n v="344"/>
    <n v="4.2469135802469138"/>
    <n v="1134"/>
    <n v="14"/>
  </r>
  <r>
    <x v="1"/>
    <s v="2002-03"/>
    <x v="32"/>
    <n v="32"/>
    <n v="320"/>
    <x v="23"/>
    <n v="28580"/>
    <n v="932"/>
    <n v="12.594594594594595"/>
    <n v="454"/>
    <n v="1127"/>
    <n v="0.4028393966282165"/>
    <n v="1340"/>
    <n v="3600"/>
    <n v="0.37222222222222223"/>
    <n v="173"/>
    <n v="218"/>
    <n v="0.79357798165137616"/>
    <n v="45"/>
    <n v="240"/>
    <n v="285"/>
    <n v="450"/>
    <n v="2400"/>
    <n v="2850"/>
    <n v="332"/>
    <n v="4.4864864864864868"/>
    <n v="102"/>
    <n v="1020"/>
    <n v="1.3783783783783783"/>
    <n v="220"/>
    <n v="22"/>
    <n v="0.29729729729729731"/>
    <n v="1720"/>
    <n v="172"/>
    <n v="2.3243243243243241"/>
    <n v="134"/>
    <n v="1.8108108108108107"/>
    <n v="1215"/>
    <n v="16.418918918918919"/>
  </r>
  <r>
    <x v="16"/>
    <s v="2002-03"/>
    <x v="33"/>
    <n v="32"/>
    <n v="320"/>
    <x v="24"/>
    <n v="20260"/>
    <n v="783"/>
    <n v="9.9113924050632907"/>
    <n v="186"/>
    <n v="414"/>
    <n v="449"/>
    <n v="0"/>
    <n v="0"/>
    <e v="#DIV/0!"/>
    <n v="149"/>
    <n v="194"/>
    <n v="0.76804123711340211"/>
    <n v="214"/>
    <n v="385"/>
    <n v="599"/>
    <n v="2140"/>
    <n v="3850"/>
    <n v="5990"/>
    <n v="68"/>
    <n v="0.86075949367088611"/>
    <n v="69"/>
    <n v="690"/>
    <n v="0.87341772151898733"/>
    <n v="360"/>
    <n v="36"/>
    <n v="0.45569620253164556"/>
    <n v="630"/>
    <n v="63"/>
    <n v="0.79746835443037978"/>
    <n v="174"/>
    <n v="2.2025316455696204"/>
    <n v="521"/>
    <n v="6.5949367088607591"/>
  </r>
  <r>
    <x v="18"/>
    <s v="2002-03"/>
    <x v="34"/>
    <n v="30"/>
    <n v="300"/>
    <x v="15"/>
    <n v="22430"/>
    <n v="701"/>
    <n v="8.5487804878048781"/>
    <n v="262"/>
    <n v="628"/>
    <n v="0.41719745222929938"/>
    <n v="1310"/>
    <n v="3370"/>
    <n v="0.38872403560830859"/>
    <n v="89"/>
    <n v="105"/>
    <n v="0.84761904761904761"/>
    <n v="24"/>
    <n v="162"/>
    <n v="186"/>
    <n v="240"/>
    <n v="1620"/>
    <n v="1860"/>
    <n v="444"/>
    <n v="5.4146341463414638"/>
    <n v="71"/>
    <n v="710"/>
    <n v="0.86585365853658536"/>
    <n v="90"/>
    <n v="9"/>
    <n v="0.10975609756097561"/>
    <n v="1490"/>
    <n v="149"/>
    <n v="1.8170731707317074"/>
    <n v="222"/>
    <n v="2.7073170731707319"/>
    <n v="744"/>
    <n v="9.0731707317073162"/>
  </r>
  <r>
    <x v="7"/>
    <s v="2002-03"/>
    <x v="35"/>
    <n v="32"/>
    <n v="320"/>
    <x v="25"/>
    <n v="14670"/>
    <n v="542"/>
    <n v="8.2121212121212128"/>
    <n v="165"/>
    <n v="414"/>
    <n v="399"/>
    <n v="1010"/>
    <n v="2670"/>
    <n v="0.37827715355805241"/>
    <n v="41"/>
    <n v="53"/>
    <n v="0.77358490566037741"/>
    <n v="25"/>
    <n v="152"/>
    <n v="177"/>
    <n v="250"/>
    <n v="1520"/>
    <n v="1770"/>
    <n v="306"/>
    <n v="4.6363636363636367"/>
    <n v="78"/>
    <n v="780"/>
    <n v="1.1818181818181819"/>
    <n v="110"/>
    <n v="11"/>
    <n v="0.16666666666666666"/>
    <n v="950"/>
    <n v="95"/>
    <n v="1.4393939393939394"/>
    <n v="146"/>
    <n v="2.2121212121212119"/>
    <n v="472"/>
    <n v="7.1515151515151514"/>
  </r>
  <r>
    <x v="9"/>
    <s v="2002-03"/>
    <x v="36"/>
    <n v="29"/>
    <n v="290"/>
    <x v="23"/>
    <n v="18460"/>
    <n v="580"/>
    <n v="7.8378378378378377"/>
    <n v="225"/>
    <n v="443"/>
    <n v="0.50790067720090293"/>
    <n v="0"/>
    <n v="0"/>
    <e v="#DIV/0!"/>
    <n v="123"/>
    <n v="150"/>
    <n v="0.82"/>
    <n v="165"/>
    <n v="311"/>
    <n v="476"/>
    <n v="1650"/>
    <n v="3110"/>
    <n v="4760"/>
    <n v="62"/>
    <n v="0.83783783783783783"/>
    <n v="12"/>
    <n v="120"/>
    <n v="0.16216216216216217"/>
    <n v="230"/>
    <n v="23"/>
    <n v="0.3108108108108108"/>
    <n v="900"/>
    <n v="90"/>
    <n v="1.2162162162162162"/>
    <n v="231"/>
    <n v="3.1216216216216215"/>
    <n v="573"/>
    <n v="7.743243243243243"/>
  </r>
  <r>
    <x v="17"/>
    <s v="2002-03"/>
    <x v="37"/>
    <n v="29"/>
    <n v="290"/>
    <x v="15"/>
    <n v="17290"/>
    <n v="490"/>
    <n v="5.975609756097561"/>
    <n v="248"/>
    <n v="537"/>
    <n v="0.46182495344506519"/>
    <n v="520"/>
    <n v="1400"/>
    <n v="0.37142857142857144"/>
    <n v="139"/>
    <n v="190"/>
    <n v="0.73157894736842111"/>
    <n v="64"/>
    <n v="190"/>
    <n v="254"/>
    <n v="640"/>
    <n v="1900"/>
    <n v="2540"/>
    <n v="87"/>
    <n v="1.0609756097560976"/>
    <n v="73"/>
    <n v="730"/>
    <n v="0.8902439024390244"/>
    <n v="200"/>
    <n v="20"/>
    <n v="0.24390243902439024"/>
    <n v="1140"/>
    <n v="114"/>
    <n v="1.3902439024390243"/>
    <n v="177"/>
    <n v="2.1585365853658538"/>
    <n v="687"/>
    <n v="8.3780487804878057"/>
  </r>
  <r>
    <x v="20"/>
    <s v="2002-03"/>
    <x v="38"/>
    <n v="28"/>
    <n v="280"/>
    <x v="26"/>
    <n v="4060"/>
    <n v="122"/>
    <n v="3.2105263157894739"/>
    <n v="84"/>
    <n v="190"/>
    <n v="0.44210526315789472"/>
    <n v="0"/>
    <n v="10"/>
    <n v="0"/>
    <n v="42"/>
    <n v="51"/>
    <n v="0.82352941176470584"/>
    <n v="32"/>
    <n v="38"/>
    <n v="70"/>
    <n v="320"/>
    <n v="380"/>
    <n v="700"/>
    <n v="26"/>
    <n v="0.68421052631578949"/>
    <n v="6"/>
    <n v="60"/>
    <n v="0.15789473684210525"/>
    <n v="30"/>
    <n v="3"/>
    <n v="7.8947368421052627E-2"/>
    <n v="320"/>
    <n v="32"/>
    <n v="0.84210526315789469"/>
    <n v="46"/>
    <n v="1.2105263157894737"/>
    <n v="210"/>
    <n v="5.5263157894736841"/>
  </r>
  <r>
    <x v="21"/>
    <s v="2002-03"/>
    <x v="39"/>
    <n v="26"/>
    <n v="260"/>
    <x v="4"/>
    <n v="10400"/>
    <n v="215"/>
    <n v="2.8666666666666667"/>
    <n v="146"/>
    <n v="343"/>
    <n v="0.42565597667638483"/>
    <n v="0"/>
    <n v="0"/>
    <e v="#DIV/0!"/>
    <n v="36"/>
    <n v="46"/>
    <n v="0.78260869565217395"/>
    <n v="65"/>
    <n v="154"/>
    <n v="219"/>
    <n v="650"/>
    <n v="1540"/>
    <n v="2190"/>
    <n v="42"/>
    <n v="0.56000000000000005"/>
    <n v="16"/>
    <n v="160"/>
    <n v="0.21333333333333335"/>
    <n v="160"/>
    <n v="16"/>
    <n v="0.21333333333333335"/>
    <n v="490"/>
    <n v="49"/>
    <n v="0.65333333333333332"/>
    <n v="150"/>
    <n v="2"/>
    <n v="328"/>
    <n v="4.3733333333333331"/>
  </r>
  <r>
    <x v="15"/>
    <s v="2002-03"/>
    <x v="40"/>
    <n v="28"/>
    <n v="280"/>
    <x v="22"/>
    <n v="2870"/>
    <n v="56"/>
    <n v="1.75"/>
    <n v="25"/>
    <n v="65"/>
    <n v="0.38461538461538464"/>
    <n v="0"/>
    <n v="10"/>
    <n v="0"/>
    <n v="10"/>
    <n v="13"/>
    <n v="0.76923076923076927"/>
    <n v="18"/>
    <n v="44"/>
    <n v="62"/>
    <n v="180"/>
    <n v="440"/>
    <n v="620"/>
    <n v="14"/>
    <n v="0.4375"/>
    <n v="8"/>
    <n v="80"/>
    <n v="0.25"/>
    <n v="90"/>
    <n v="9"/>
    <n v="0.28125"/>
    <n v="100"/>
    <n v="10"/>
    <n v="0.3125"/>
    <n v="44"/>
    <n v="1.375"/>
    <n v="60"/>
    <n v="1.875"/>
  </r>
  <r>
    <x v="22"/>
    <s v="2002-03"/>
    <x v="41"/>
    <n v="23"/>
    <n v="230"/>
    <x v="27"/>
    <n v="1670"/>
    <n v="26"/>
    <n v="1.2380952380952381"/>
    <n v="9"/>
    <n v="33"/>
    <n v="273"/>
    <n v="60"/>
    <n v="160"/>
    <n v="0.375"/>
    <n v="4"/>
    <n v="6"/>
    <n v="0.66666666666666663"/>
    <n v="3"/>
    <n v="15"/>
    <n v="18"/>
    <n v="30"/>
    <n v="150"/>
    <n v="180"/>
    <n v="34"/>
    <n v="1.6190476190476191"/>
    <n v="7"/>
    <n v="70"/>
    <n v="0.33333333333333331"/>
    <n v="20"/>
    <n v="2"/>
    <n v="9.5238095238095233E-2"/>
    <n v="170"/>
    <n v="17"/>
    <n v="0.80952380952380953"/>
    <n v="20"/>
    <n v="0.95238095238095233"/>
    <n v="28"/>
    <n v="1.3333333333333333"/>
  </r>
  <r>
    <x v="13"/>
    <s v="2002-03"/>
    <x v="42"/>
    <n v="25"/>
    <n v="250"/>
    <x v="28"/>
    <n v="990"/>
    <n v="10"/>
    <n v="0.83333333333333337"/>
    <n v="14"/>
    <n v="38"/>
    <n v="0.36842105263157893"/>
    <n v="20"/>
    <n v="70"/>
    <n v="0.2857142857142857"/>
    <n v="13"/>
    <n v="15"/>
    <n v="0.8666666666666667"/>
    <n v="1"/>
    <n v="3"/>
    <n v="4"/>
    <n v="10"/>
    <n v="30"/>
    <n v="40"/>
    <n v="3"/>
    <n v="0.25"/>
    <n v="2"/>
    <n v="20"/>
    <n v="0.16666666666666666"/>
    <n v="0"/>
    <n v="0"/>
    <n v="0"/>
    <n v="70"/>
    <n v="7"/>
    <n v="0.58333333333333337"/>
    <n v="9"/>
    <n v="0.75"/>
    <n v="43"/>
    <n v="3.5833333333333335"/>
  </r>
  <r>
    <x v="23"/>
    <s v="2003-04"/>
    <x v="43"/>
    <n v="27"/>
    <n v="270"/>
    <x v="29"/>
    <n v="18390"/>
    <n v="848"/>
    <n v="18.042553191489361"/>
    <n v="336"/>
    <n v="780"/>
    <n v="0.43076923076923079"/>
    <n v="500"/>
    <n v="1560"/>
    <n v="0.32051282051282054"/>
    <n v="209"/>
    <n v="251"/>
    <n v="0.83266932270916338"/>
    <n v="39"/>
    <n v="107"/>
    <n v="146"/>
    <n v="390"/>
    <n v="1070"/>
    <n v="1460"/>
    <n v="438"/>
    <n v="9.3191489361702136"/>
    <n v="65"/>
    <n v="650"/>
    <n v="1.3829787234042554"/>
    <n v="40"/>
    <n v="4"/>
    <n v="8.5106382978723402E-2"/>
    <n v="1520"/>
    <n v="152"/>
    <n v="3.2340425531914891"/>
    <n v="98"/>
    <n v="2.0851063829787235"/>
    <n v="931"/>
    <n v="19.808510638297872"/>
  </r>
  <r>
    <x v="24"/>
    <s v="2003-04"/>
    <x v="44"/>
    <n v="28"/>
    <n v="280"/>
    <x v="29"/>
    <n v="15780"/>
    <n v="619"/>
    <n v="13.170212765957446"/>
    <n v="273"/>
    <n v="613"/>
    <n v="445"/>
    <n v="600"/>
    <n v="1610"/>
    <n v="0.37267080745341613"/>
    <n v="163"/>
    <n v="199"/>
    <n v="0.81909547738693467"/>
    <n v="98"/>
    <n v="245"/>
    <n v="343"/>
    <n v="980"/>
    <n v="2450"/>
    <n v="3430"/>
    <n v="83"/>
    <n v="1.7659574468085106"/>
    <n v="52"/>
    <n v="520"/>
    <n v="1.1063829787234043"/>
    <n v="180"/>
    <n v="18"/>
    <n v="0.38297872340425532"/>
    <n v="1190"/>
    <n v="119"/>
    <n v="2.5319148936170213"/>
    <n v="151"/>
    <n v="3.2127659574468086"/>
    <n v="769"/>
    <n v="16.361702127659573"/>
  </r>
  <r>
    <x v="3"/>
    <s v="2003-04"/>
    <x v="45"/>
    <n v="31"/>
    <n v="310"/>
    <x v="30"/>
    <n v="25490"/>
    <n v="949"/>
    <n v="11.862500000000001"/>
    <n v="392"/>
    <n v="829"/>
    <n v="473"/>
    <n v="0"/>
    <n v="30"/>
    <n v="0"/>
    <n v="106"/>
    <n v="127"/>
    <n v="0.83464566929133854"/>
    <n v="145"/>
    <n v="517"/>
    <n v="662"/>
    <n v="1450"/>
    <n v="5170"/>
    <n v="6620"/>
    <n v="149"/>
    <n v="1.8625"/>
    <n v="56"/>
    <n v="560"/>
    <n v="0.7"/>
    <n v="800"/>
    <n v="80"/>
    <n v="1"/>
    <n v="1320"/>
    <n v="132"/>
    <n v="1.65"/>
    <n v="298"/>
    <n v="3.7250000000000001"/>
    <n v="890"/>
    <n v="11.125"/>
  </r>
  <r>
    <x v="25"/>
    <s v="2003-04"/>
    <x v="46"/>
    <n v="26"/>
    <n v="260"/>
    <x v="31"/>
    <n v="6730"/>
    <n v="293"/>
    <n v="10.851851851851851"/>
    <n v="108"/>
    <n v="192"/>
    <n v="0.5625"/>
    <n v="0"/>
    <n v="0"/>
    <e v="#DIV/0!"/>
    <n v="31"/>
    <n v="59"/>
    <n v="0.52542372881355937"/>
    <n v="77"/>
    <n v="130"/>
    <n v="207"/>
    <n v="770"/>
    <n v="1300"/>
    <n v="2070"/>
    <n v="16"/>
    <n v="0.59259259259259256"/>
    <n v="33"/>
    <n v="330"/>
    <n v="1.2222222222222223"/>
    <n v="250"/>
    <n v="25"/>
    <n v="0.92592592592592593"/>
    <n v="410"/>
    <n v="41"/>
    <n v="1.5185185185185186"/>
    <n v="82"/>
    <n v="3.0370370370370372"/>
    <n v="247"/>
    <n v="9.1481481481481488"/>
  </r>
  <r>
    <x v="26"/>
    <s v="2003-04"/>
    <x v="47"/>
    <n v="27"/>
    <n v="270"/>
    <x v="32"/>
    <n v="7460"/>
    <n v="260"/>
    <n v="10.833333333333334"/>
    <n v="137"/>
    <n v="303"/>
    <n v="452"/>
    <n v="260"/>
    <n v="640"/>
    <n v="0.40625"/>
    <n v="78"/>
    <n v="96"/>
    <n v="0.8125"/>
    <n v="26"/>
    <n v="89"/>
    <n v="115"/>
    <n v="260"/>
    <n v="890"/>
    <n v="1150"/>
    <n v="34"/>
    <n v="1.4166666666666667"/>
    <n v="24"/>
    <n v="240"/>
    <n v="1"/>
    <n v="50"/>
    <n v="5"/>
    <n v="0.20833333333333334"/>
    <n v="430"/>
    <n v="43"/>
    <n v="1.7916666666666667"/>
    <n v="69"/>
    <n v="2.875"/>
    <n v="378"/>
    <n v="15.75"/>
  </r>
  <r>
    <x v="2"/>
    <s v="2003-04"/>
    <x v="48"/>
    <n v="33"/>
    <n v="330"/>
    <x v="33"/>
    <n v="17970"/>
    <n v="521"/>
    <n v="10.42"/>
    <n v="340"/>
    <n v="781"/>
    <n v="0.4353393085787452"/>
    <n v="870"/>
    <n v="2020"/>
    <n v="0.43069306930693069"/>
    <n v="157"/>
    <n v="172"/>
    <n v="0.91279069767441856"/>
    <n v="20"/>
    <n v="101"/>
    <n v="121"/>
    <n v="200"/>
    <n v="1010"/>
    <n v="1210"/>
    <n v="99"/>
    <n v="1.98"/>
    <n v="38"/>
    <n v="380"/>
    <n v="0.76"/>
    <n v="20"/>
    <n v="2"/>
    <n v="0.04"/>
    <n v="1020"/>
    <n v="102"/>
    <n v="2.04"/>
    <n v="105"/>
    <n v="2.1"/>
    <n v="924"/>
    <n v="18.48"/>
  </r>
  <r>
    <x v="7"/>
    <s v="2003-04"/>
    <x v="49"/>
    <n v="33"/>
    <n v="330"/>
    <x v="34"/>
    <n v="8280"/>
    <n v="333"/>
    <n v="9.5142857142857142"/>
    <n v="115"/>
    <n v="260"/>
    <n v="442"/>
    <n v="590"/>
    <n v="1380"/>
    <n v="0.42753623188405798"/>
    <n v="16"/>
    <n v="21"/>
    <n v="0.76190476190476186"/>
    <n v="10"/>
    <n v="86"/>
    <n v="96"/>
    <n v="100"/>
    <n v="860"/>
    <n v="960"/>
    <n v="170"/>
    <n v="4.8571428571428568"/>
    <n v="47"/>
    <n v="470"/>
    <n v="1.3428571428571427"/>
    <n v="80"/>
    <n v="8"/>
    <n v="0.22857142857142856"/>
    <n v="690"/>
    <n v="69"/>
    <n v="1.9714285714285715"/>
    <n v="74"/>
    <n v="2.1142857142857143"/>
    <n v="305"/>
    <n v="8.7142857142857135"/>
  </r>
  <r>
    <x v="27"/>
    <s v="2003-04"/>
    <x v="50"/>
    <n v="38"/>
    <n v="380"/>
    <x v="5"/>
    <n v="14970"/>
    <n v="578"/>
    <n v="8.8923076923076927"/>
    <n v="141"/>
    <n v="295"/>
    <n v="0.47796610169491527"/>
    <n v="0"/>
    <n v="0"/>
    <e v="#DIV/0!"/>
    <n v="81"/>
    <n v="119"/>
    <n v="0.68067226890756305"/>
    <n v="145"/>
    <n v="292"/>
    <n v="437"/>
    <n v="1450"/>
    <n v="2920"/>
    <n v="4370"/>
    <n v="25"/>
    <n v="0.38461538461538464"/>
    <n v="17"/>
    <n v="170"/>
    <n v="0.26153846153846155"/>
    <n v="1230"/>
    <n v="123"/>
    <n v="1.8923076923076922"/>
    <n v="540"/>
    <n v="54"/>
    <n v="0.83076923076923082"/>
    <n v="141"/>
    <n v="2.1692307692307691"/>
    <n v="363"/>
    <n v="5.5846153846153843"/>
  </r>
  <r>
    <x v="28"/>
    <s v="2003-04"/>
    <x v="51"/>
    <n v="29"/>
    <n v="290"/>
    <x v="10"/>
    <n v="4220"/>
    <n v="148"/>
    <n v="8.2222222222222214"/>
    <n v="65"/>
    <n v="142"/>
    <n v="0.45774647887323944"/>
    <n v="0"/>
    <n v="0"/>
    <e v="#DIV/0!"/>
    <n v="22"/>
    <n v="38"/>
    <n v="0.57894736842105265"/>
    <n v="31"/>
    <n v="88"/>
    <n v="119"/>
    <n v="310"/>
    <n v="880"/>
    <n v="1190"/>
    <n v="20"/>
    <n v="1.1111111111111112"/>
    <n v="12"/>
    <n v="120"/>
    <n v="0.66666666666666663"/>
    <n v="110"/>
    <n v="11"/>
    <n v="0.61111111111111116"/>
    <n v="270"/>
    <n v="27"/>
    <n v="1.5"/>
    <n v="46"/>
    <n v="2.5555555555555554"/>
    <n v="152"/>
    <n v="8.4444444444444446"/>
  </r>
  <r>
    <x v="29"/>
    <s v="2003-04"/>
    <x v="52"/>
    <n v="32"/>
    <n v="320"/>
    <x v="35"/>
    <n v="12190"/>
    <n v="310"/>
    <n v="7.3809523809523814"/>
    <n v="159"/>
    <n v="408"/>
    <n v="0.38970588235294118"/>
    <n v="160"/>
    <n v="440"/>
    <n v="0.36363636363636365"/>
    <n v="69"/>
    <n v="89"/>
    <n v="0.7752808988764045"/>
    <n v="42"/>
    <n v="147"/>
    <n v="189"/>
    <n v="420"/>
    <n v="1470"/>
    <n v="1890"/>
    <n v="79"/>
    <n v="1.8809523809523809"/>
    <n v="42"/>
    <n v="420"/>
    <n v="1"/>
    <n v="120"/>
    <n v="12"/>
    <n v="0.2857142857142857"/>
    <n v="650"/>
    <n v="65"/>
    <n v="1.5476190476190477"/>
    <n v="81"/>
    <n v="1.9285714285714286"/>
    <n v="403"/>
    <n v="9.5952380952380949"/>
  </r>
  <r>
    <x v="18"/>
    <s v="2003-04"/>
    <x v="53"/>
    <n v="31"/>
    <n v="310"/>
    <x v="36"/>
    <n v="7300"/>
    <n v="214"/>
    <n v="6.4848484848484844"/>
    <n v="80"/>
    <n v="202"/>
    <n v="0.39603960396039606"/>
    <n v="280"/>
    <n v="850"/>
    <n v="0.32941176470588235"/>
    <n v="32"/>
    <n v="36"/>
    <n v="0.88888888888888884"/>
    <n v="7"/>
    <n v="59"/>
    <n v="66"/>
    <n v="70"/>
    <n v="590"/>
    <n v="660"/>
    <n v="156"/>
    <n v="4.7272727272727275"/>
    <n v="30"/>
    <n v="300"/>
    <n v="0.90909090909090906"/>
    <n v="30"/>
    <n v="3"/>
    <n v="9.0909090909090912E-2"/>
    <n v="500"/>
    <n v="50"/>
    <n v="1.5151515151515151"/>
    <n v="85"/>
    <n v="2.5757575757575757"/>
    <n v="220"/>
    <n v="6.666666666666667"/>
  </r>
  <r>
    <x v="21"/>
    <s v="2003-04"/>
    <x v="54"/>
    <n v="27"/>
    <n v="270"/>
    <x v="37"/>
    <n v="6810"/>
    <n v="246"/>
    <n v="5.3478260869565215"/>
    <n v="100"/>
    <n v="225"/>
    <n v="0.44444444444444442"/>
    <n v="0"/>
    <n v="0"/>
    <e v="#DIV/0!"/>
    <n v="31"/>
    <n v="36"/>
    <n v="0.86111111111111116"/>
    <n v="60"/>
    <n v="129"/>
    <n v="189"/>
    <n v="600"/>
    <n v="1290"/>
    <n v="1890"/>
    <n v="30"/>
    <n v="0.65217391304347827"/>
    <n v="17"/>
    <n v="170"/>
    <n v="0.36956521739130432"/>
    <n v="300"/>
    <n v="30"/>
    <n v="0.65217391304347827"/>
    <n v="370"/>
    <n v="37"/>
    <n v="0.80434782608695654"/>
    <n v="84"/>
    <n v="1.826086956521739"/>
    <n v="231"/>
    <n v="5.0217391304347823"/>
  </r>
  <r>
    <x v="16"/>
    <s v="2003-04"/>
    <x v="55"/>
    <n v="33"/>
    <n v="330"/>
    <x v="11"/>
    <n v="2180"/>
    <n v="76"/>
    <n v="5.0666666666666664"/>
    <n v="18"/>
    <n v="40"/>
    <n v="45"/>
    <n v="0"/>
    <n v="0"/>
    <e v="#DIV/0!"/>
    <n v="18"/>
    <n v="19"/>
    <n v="0.94736842105263153"/>
    <n v="14"/>
    <n v="36"/>
    <n v="50"/>
    <n v="140"/>
    <n v="360"/>
    <n v="500"/>
    <n v="13"/>
    <n v="0.8666666666666667"/>
    <n v="8"/>
    <n v="80"/>
    <n v="0.53333333333333333"/>
    <n v="20"/>
    <n v="2"/>
    <n v="0.13333333333333333"/>
    <n v="90"/>
    <n v="9"/>
    <n v="0.6"/>
    <n v="19"/>
    <n v="1.2666666666666666"/>
    <n v="54"/>
    <n v="3.6"/>
  </r>
  <r>
    <x v="17"/>
    <s v="2003-04"/>
    <x v="56"/>
    <n v="30"/>
    <n v="300"/>
    <x v="30"/>
    <n v="19720"/>
    <n v="400"/>
    <n v="5"/>
    <n v="238"/>
    <n v="564"/>
    <n v="0.42198581560283688"/>
    <n v="360"/>
    <n v="1280"/>
    <n v="0.28125"/>
    <n v="123"/>
    <n v="161"/>
    <n v="0.7639751552795031"/>
    <n v="53"/>
    <n v="169"/>
    <n v="222"/>
    <n v="530"/>
    <n v="1690"/>
    <n v="2220"/>
    <n v="122"/>
    <n v="1.5249999999999999"/>
    <n v="68"/>
    <n v="680"/>
    <n v="0.85"/>
    <n v="170"/>
    <n v="17"/>
    <n v="0.21249999999999999"/>
    <n v="1180"/>
    <n v="118"/>
    <n v="1.4750000000000001"/>
    <n v="182"/>
    <n v="2.2749999999999999"/>
    <n v="635"/>
    <n v="7.9375"/>
  </r>
  <r>
    <x v="30"/>
    <s v="2003-04"/>
    <x v="57"/>
    <n v="21"/>
    <n v="210"/>
    <x v="35"/>
    <n v="4950"/>
    <n v="205"/>
    <n v="4.8809523809523814"/>
    <n v="69"/>
    <n v="140"/>
    <n v="493"/>
    <n v="0"/>
    <n v="10"/>
    <n v="0"/>
    <n v="42"/>
    <n v="58"/>
    <n v="0.72413793103448276"/>
    <n v="68"/>
    <n v="89"/>
    <n v="157"/>
    <n v="680"/>
    <n v="890"/>
    <n v="1570"/>
    <n v="14"/>
    <n v="0.33333333333333331"/>
    <n v="18"/>
    <n v="180"/>
    <n v="0.42857142857142855"/>
    <n v="120"/>
    <n v="12"/>
    <n v="0.2857142857142857"/>
    <n v="320"/>
    <n v="32"/>
    <n v="0.76190476190476186"/>
    <n v="57"/>
    <n v="1.3571428571428572"/>
    <n v="180"/>
    <n v="4.2857142857142856"/>
  </r>
  <r>
    <x v="31"/>
    <s v="2003-04"/>
    <x v="58"/>
    <n v="30"/>
    <n v="300"/>
    <x v="38"/>
    <n v="4460"/>
    <n v="136"/>
    <n v="3.7777777777777777"/>
    <n v="53"/>
    <n v="130"/>
    <n v="0.40769230769230769"/>
    <n v="120"/>
    <n v="350"/>
    <n v="0.34285714285714286"/>
    <n v="36"/>
    <n v="47"/>
    <n v="0.76595744680851063"/>
    <n v="8"/>
    <n v="27"/>
    <n v="35"/>
    <n v="80"/>
    <n v="270"/>
    <n v="350"/>
    <n v="73"/>
    <n v="2.0277777777777777"/>
    <n v="28"/>
    <n v="280"/>
    <n v="0.77777777777777779"/>
    <n v="30"/>
    <n v="3"/>
    <n v="8.3333333333333329E-2"/>
    <n v="340"/>
    <n v="34"/>
    <n v="0.94444444444444442"/>
    <n v="35"/>
    <n v="0.97222222222222221"/>
    <n v="154"/>
    <n v="4.2777777777777777"/>
  </r>
  <r>
    <x v="32"/>
    <s v="2003-04"/>
    <x v="59"/>
    <n v="24"/>
    <n v="240"/>
    <x v="27"/>
    <n v="2870"/>
    <n v="66"/>
    <n v="3.1428571428571428"/>
    <n v="36"/>
    <n v="97"/>
    <n v="371"/>
    <n v="130"/>
    <n v="360"/>
    <n v="0.3611111111111111"/>
    <n v="28"/>
    <n v="31"/>
    <n v="0.90322580645161288"/>
    <n v="5"/>
    <n v="34"/>
    <n v="39"/>
    <n v="50"/>
    <n v="340"/>
    <n v="390"/>
    <n v="11"/>
    <n v="0.52380952380952384"/>
    <n v="8"/>
    <n v="80"/>
    <n v="0.38095238095238093"/>
    <n v="70"/>
    <n v="7"/>
    <n v="0.33333333333333331"/>
    <n v="160"/>
    <n v="16"/>
    <n v="0.76190476190476186"/>
    <n v="32"/>
    <n v="1.5238095238095237"/>
    <n v="113"/>
    <n v="5.3809523809523814"/>
  </r>
  <r>
    <x v="33"/>
    <s v="2003-04"/>
    <x v="60"/>
    <n v="32"/>
    <n v="320"/>
    <x v="39"/>
    <n v="3130"/>
    <n v="52"/>
    <n v="3.0588235294117645"/>
    <n v="40"/>
    <n v="99"/>
    <n v="0.40404040404040403"/>
    <n v="10"/>
    <n v="20"/>
    <n v="0.5"/>
    <n v="32"/>
    <n v="45"/>
    <n v="0.71111111111111114"/>
    <n v="36"/>
    <n v="34"/>
    <n v="70"/>
    <n v="360"/>
    <n v="340"/>
    <n v="700"/>
    <n v="12"/>
    <n v="0.70588235294117652"/>
    <n v="7"/>
    <n v="70"/>
    <n v="0.41176470588235292"/>
    <n v="90"/>
    <n v="9"/>
    <n v="0.52941176470588236"/>
    <n v="250"/>
    <n v="25"/>
    <n v="1.4705882352941178"/>
    <n v="62"/>
    <n v="3.6470588235294117"/>
    <n v="113"/>
    <n v="6.6470588235294121"/>
  </r>
  <r>
    <x v="9"/>
    <s v="2003-04"/>
    <x v="61"/>
    <n v="30"/>
    <n v="300"/>
    <x v="17"/>
    <n v="8710"/>
    <n v="169"/>
    <n v="3.0178571428571428"/>
    <n v="100"/>
    <n v="202"/>
    <n v="0.49504950495049505"/>
    <n v="0"/>
    <n v="0"/>
    <e v="#DIV/0!"/>
    <n v="58"/>
    <n v="78"/>
    <n v="0.74358974358974361"/>
    <n v="58"/>
    <n v="119"/>
    <n v="177"/>
    <n v="580"/>
    <n v="1190"/>
    <n v="1770"/>
    <n v="29"/>
    <n v="0.5178571428571429"/>
    <n v="12"/>
    <n v="120"/>
    <n v="0.21428571428571427"/>
    <n v="140"/>
    <n v="14"/>
    <n v="0.25"/>
    <n v="650"/>
    <n v="65"/>
    <n v="1.1607142857142858"/>
    <n v="134"/>
    <n v="2.3928571428571428"/>
    <n v="258"/>
    <n v="4.6071428571428568"/>
  </r>
  <r>
    <x v="22"/>
    <s v="2003-04"/>
    <x v="62"/>
    <n v="24"/>
    <n v="240"/>
    <x v="17"/>
    <n v="7110"/>
    <n v="168"/>
    <n v="3"/>
    <n v="80"/>
    <n v="208"/>
    <n v="385"/>
    <n v="180"/>
    <n v="600"/>
    <n v="0.3"/>
    <n v="41"/>
    <n v="48"/>
    <n v="0.85416666666666663"/>
    <n v="8"/>
    <n v="45"/>
    <n v="53"/>
    <n v="80"/>
    <n v="450"/>
    <n v="530"/>
    <n v="121"/>
    <n v="2.1607142857142856"/>
    <n v="25"/>
    <n v="250"/>
    <n v="0.44642857142857145"/>
    <n v="60"/>
    <n v="6"/>
    <n v="0.10714285714285714"/>
    <n v="630"/>
    <n v="63"/>
    <n v="1.125"/>
    <n v="58"/>
    <n v="1.0357142857142858"/>
    <n v="219"/>
    <n v="3.9107142857142856"/>
  </r>
  <r>
    <x v="34"/>
    <s v="2003-04"/>
    <x v="63"/>
    <n v="24"/>
    <n v="240"/>
    <x v="40"/>
    <n v="40"/>
    <n v="1"/>
    <n v="1"/>
    <n v="1"/>
    <n v="1"/>
    <n v="10"/>
    <n v="0"/>
    <n v="0"/>
    <e v="#DIV/0!"/>
    <n v="0"/>
    <n v="0"/>
    <e v="#DIV/0!"/>
    <n v="0"/>
    <n v="0"/>
    <n v="0"/>
    <n v="0"/>
    <n v="0"/>
    <n v="0"/>
    <n v="1"/>
    <n v="1"/>
    <n v="0"/>
    <n v="0"/>
    <n v="0"/>
    <n v="0"/>
    <n v="0"/>
    <n v="0"/>
    <n v="0"/>
    <n v="0"/>
    <n v="0"/>
    <n v="2"/>
    <n v="2"/>
    <n v="2"/>
    <n v="2"/>
  </r>
  <r>
    <x v="35"/>
    <s v="2003-04"/>
    <x v="64"/>
    <n v="24"/>
    <n v="240"/>
    <x v="41"/>
    <n v="50"/>
    <n v="-3"/>
    <n v="-1"/>
    <n v="0"/>
    <n v="2"/>
    <n v="0"/>
    <n v="0"/>
    <n v="0"/>
    <e v="#DIV/0!"/>
    <n v="1"/>
    <n v="2"/>
    <n v="0.5"/>
    <n v="0"/>
    <n v="0"/>
    <n v="0"/>
    <n v="0"/>
    <n v="0"/>
    <n v="0"/>
    <n v="0"/>
    <n v="0"/>
    <n v="1"/>
    <n v="10"/>
    <n v="0.33333333333333331"/>
    <n v="0"/>
    <n v="0"/>
    <n v="0"/>
    <n v="0"/>
    <n v="0"/>
    <n v="0"/>
    <n v="2"/>
    <n v="0.66666666666666663"/>
    <n v="1"/>
    <n v="0.33333333333333331"/>
  </r>
  <r>
    <x v="23"/>
    <s v="2004-05"/>
    <x v="65"/>
    <n v="28"/>
    <n v="280"/>
    <x v="15"/>
    <n v="32810"/>
    <n v="1611"/>
    <n v="19.646341463414632"/>
    <n v="604"/>
    <n v="1308"/>
    <n v="0.46177370030581039"/>
    <n v="1150"/>
    <n v="3250"/>
    <n v="0.35384615384615387"/>
    <n v="458"/>
    <n v="549"/>
    <n v="0.83424408014571949"/>
    <n v="50"/>
    <n v="198"/>
    <n v="248"/>
    <n v="500"/>
    <n v="1980"/>
    <n v="2480"/>
    <n v="668"/>
    <n v="8.1463414634146343"/>
    <n v="122"/>
    <n v="1220"/>
    <n v="1.4878048780487805"/>
    <n v="60"/>
    <n v="6"/>
    <n v="7.3170731707317069E-2"/>
    <n v="2330"/>
    <n v="233"/>
    <n v="2.8414634146341462"/>
    <n v="186"/>
    <n v="2.2682926829268291"/>
    <n v="1781"/>
    <n v="21.719512195121951"/>
  </r>
  <r>
    <x v="3"/>
    <s v="2004-05"/>
    <x v="66"/>
    <n v="32"/>
    <n v="320"/>
    <x v="30"/>
    <n v="28550"/>
    <n v="1152"/>
    <n v="14.4"/>
    <n v="424"/>
    <n v="901"/>
    <n v="471"/>
    <n v="20"/>
    <n v="40"/>
    <n v="0.5"/>
    <n v="66"/>
    <n v="84"/>
    <n v="0.7857142857142857"/>
    <n v="170"/>
    <n v="661"/>
    <n v="831"/>
    <n v="1700"/>
    <n v="6610"/>
    <n v="8310"/>
    <n v="160"/>
    <n v="2"/>
    <n v="70"/>
    <n v="700"/>
    <n v="0.875"/>
    <n v="790"/>
    <n v="79"/>
    <n v="0.98750000000000004"/>
    <n v="990"/>
    <n v="99"/>
    <n v="1.2375"/>
    <n v="310"/>
    <n v="3.875"/>
    <n v="916"/>
    <n v="11.45"/>
  </r>
  <r>
    <x v="36"/>
    <s v="2004-05"/>
    <x v="67"/>
    <n v="25"/>
    <n v="250"/>
    <x v="42"/>
    <n v="26880"/>
    <n v="880"/>
    <n v="12.571428571428571"/>
    <n v="437"/>
    <n v="1097"/>
    <n v="398"/>
    <n v="1850"/>
    <n v="5120"/>
    <n v="0.361328125"/>
    <n v="182"/>
    <n v="216"/>
    <n v="0.84259259259259256"/>
    <n v="33"/>
    <n v="170"/>
    <n v="203"/>
    <n v="330"/>
    <n v="1700"/>
    <n v="2030"/>
    <n v="302"/>
    <n v="4.3142857142857141"/>
    <n v="92"/>
    <n v="920"/>
    <n v="1.3142857142857143"/>
    <n v="190"/>
    <n v="19"/>
    <n v="0.27142857142857141"/>
    <n v="1480"/>
    <n v="148"/>
    <n v="2.1142857142857143"/>
    <n v="135"/>
    <n v="1.9285714285714286"/>
    <n v="1241"/>
    <n v="17.728571428571428"/>
  </r>
  <r>
    <x v="25"/>
    <s v="2004-05"/>
    <x v="68"/>
    <n v="27"/>
    <n v="270"/>
    <x v="43"/>
    <n v="15190"/>
    <n v="631"/>
    <n v="11.685185185185185"/>
    <n v="234"/>
    <n v="460"/>
    <n v="0.50869565217391299"/>
    <n v="0"/>
    <n v="10"/>
    <n v="0"/>
    <n v="121"/>
    <n v="171"/>
    <n v="0.70760233918128657"/>
    <n v="169"/>
    <n v="270"/>
    <n v="439"/>
    <n v="1690"/>
    <n v="2700"/>
    <n v="4390"/>
    <n v="26"/>
    <n v="0.48148148148148145"/>
    <n v="53"/>
    <n v="530"/>
    <n v="0.98148148148148151"/>
    <n v="530"/>
    <n v="53"/>
    <n v="0.98148148148148151"/>
    <n v="810"/>
    <n v="81"/>
    <n v="1.5"/>
    <n v="172"/>
    <n v="3.1851851851851851"/>
    <n v="589"/>
    <n v="10.907407407407407"/>
  </r>
  <r>
    <x v="30"/>
    <s v="2004-05"/>
    <x v="69"/>
    <n v="22"/>
    <n v="220"/>
    <x v="1"/>
    <n v="15090"/>
    <n v="567"/>
    <n v="7.3636363636363633"/>
    <n v="237"/>
    <n v="446"/>
    <n v="531"/>
    <n v="0"/>
    <n v="10"/>
    <n v="0"/>
    <n v="176"/>
    <n v="235"/>
    <n v="0.74893617021276593"/>
    <n v="169"/>
    <n v="249"/>
    <n v="418"/>
    <n v="1690"/>
    <n v="2490"/>
    <n v="4180"/>
    <n v="44"/>
    <n v="0.5714285714285714"/>
    <n v="27"/>
    <n v="270"/>
    <n v="0.35064935064935066"/>
    <n v="280"/>
    <n v="28"/>
    <n v="0.36363636363636365"/>
    <n v="1080"/>
    <n v="108"/>
    <n v="1.4025974025974026"/>
    <n v="224"/>
    <n v="2.9090909090909092"/>
    <n v="650"/>
    <n v="8.4415584415584419"/>
  </r>
  <r>
    <x v="26"/>
    <s v="2004-05"/>
    <x v="70"/>
    <n v="28"/>
    <n v="280"/>
    <x v="44"/>
    <n v="19400"/>
    <n v="481"/>
    <n v="6.774647887323944"/>
    <n v="315"/>
    <n v="718"/>
    <n v="439"/>
    <n v="850"/>
    <n v="2080"/>
    <n v="0.40865384615384615"/>
    <n v="136"/>
    <n v="173"/>
    <n v="0.78612716763005785"/>
    <n v="45"/>
    <n v="192"/>
    <n v="237"/>
    <n v="450"/>
    <n v="1920"/>
    <n v="2370"/>
    <n v="110"/>
    <n v="1.5492957746478873"/>
    <n v="41"/>
    <n v="410"/>
    <n v="0.57746478873239437"/>
    <n v="170"/>
    <n v="17"/>
    <n v="0.23943661971830985"/>
    <n v="1130"/>
    <n v="113"/>
    <n v="1.591549295774648"/>
    <n v="222"/>
    <n v="3.1267605633802815"/>
    <n v="851"/>
    <n v="11.985915492957746"/>
  </r>
  <r>
    <x v="2"/>
    <s v="2004-05"/>
    <x v="71"/>
    <n v="34"/>
    <n v="340"/>
    <x v="45"/>
    <n v="5320"/>
    <n v="124"/>
    <n v="6.2"/>
    <n v="85"/>
    <n v="205"/>
    <n v="0.41463414634146339"/>
    <n v="310"/>
    <n v="800"/>
    <n v="0.38750000000000001"/>
    <n v="36"/>
    <n v="43"/>
    <n v="0.83720930232558144"/>
    <n v="4"/>
    <n v="19"/>
    <n v="23"/>
    <n v="40"/>
    <n v="190"/>
    <n v="230"/>
    <n v="42"/>
    <n v="2.1"/>
    <n v="8"/>
    <n v="80"/>
    <n v="0.4"/>
    <n v="20"/>
    <n v="2"/>
    <n v="0.1"/>
    <n v="210"/>
    <n v="21"/>
    <n v="1.05"/>
    <n v="40"/>
    <n v="2"/>
    <n v="237"/>
    <n v="11.85"/>
  </r>
  <r>
    <x v="37"/>
    <s v="2004-05"/>
    <x v="72"/>
    <n v="20"/>
    <n v="200"/>
    <x v="30"/>
    <n v="13850"/>
    <n v="390"/>
    <n v="4.875"/>
    <n v="172"/>
    <n v="389"/>
    <n v="0.44215938303341901"/>
    <n v="30"/>
    <n v="130"/>
    <n v="0.23076923076923078"/>
    <n v="121"/>
    <n v="174"/>
    <n v="0.6954022988505747"/>
    <n v="89"/>
    <n v="153"/>
    <n v="242"/>
    <n v="890"/>
    <n v="1530"/>
    <n v="2420"/>
    <n v="85"/>
    <n v="1.0625"/>
    <n v="70"/>
    <n v="700"/>
    <n v="0.875"/>
    <n v="180"/>
    <n v="18"/>
    <n v="0.22500000000000001"/>
    <n v="730"/>
    <n v="73"/>
    <n v="0.91249999999999998"/>
    <n v="150"/>
    <n v="1.875"/>
    <n v="468"/>
    <n v="5.85"/>
  </r>
  <r>
    <x v="38"/>
    <s v="2004-05"/>
    <x v="73"/>
    <n v="30"/>
    <n v="300"/>
    <x v="12"/>
    <n v="6120"/>
    <n v="122"/>
    <n v="4.6923076923076925"/>
    <n v="74"/>
    <n v="174"/>
    <n v="425"/>
    <n v="10"/>
    <n v="60"/>
    <n v="0.16666666666666666"/>
    <n v="68"/>
    <n v="87"/>
    <n v="0.7816091954022989"/>
    <n v="34"/>
    <n v="80"/>
    <n v="114"/>
    <n v="340"/>
    <n v="800"/>
    <n v="1140"/>
    <n v="18"/>
    <n v="0.69230769230769229"/>
    <n v="15"/>
    <n v="150"/>
    <n v="0.57692307692307687"/>
    <n v="70"/>
    <n v="7"/>
    <n v="0.26923076923076922"/>
    <n v="460"/>
    <n v="46"/>
    <n v="1.7692307692307692"/>
    <n v="84"/>
    <n v="3.2307692307692308"/>
    <n v="217"/>
    <n v="8.3461538461538467"/>
  </r>
  <r>
    <x v="29"/>
    <s v="2004-05"/>
    <x v="74"/>
    <n v="33"/>
    <n v="330"/>
    <x v="46"/>
    <n v="8950"/>
    <n v="172"/>
    <n v="4.6486486486486482"/>
    <n v="110"/>
    <n v="260"/>
    <n v="0.42307692307692307"/>
    <n v="150"/>
    <n v="500"/>
    <n v="0.3"/>
    <n v="34"/>
    <n v="46"/>
    <n v="0.73913043478260865"/>
    <n v="19"/>
    <n v="70"/>
    <n v="89"/>
    <n v="190"/>
    <n v="700"/>
    <n v="890"/>
    <n v="74"/>
    <n v="2"/>
    <n v="28"/>
    <n v="280"/>
    <n v="0.7567567567567568"/>
    <n v="30"/>
    <n v="3"/>
    <n v="8.1081081081081086E-2"/>
    <n v="500"/>
    <n v="50"/>
    <n v="1.3513513513513513"/>
    <n v="79"/>
    <n v="2.1351351351351351"/>
    <n v="269"/>
    <n v="7.2702702702702702"/>
  </r>
  <r>
    <x v="39"/>
    <s v="2004-05"/>
    <x v="75"/>
    <n v="32"/>
    <n v="320"/>
    <x v="24"/>
    <n v="12110"/>
    <n v="350"/>
    <n v="4.4303797468354427"/>
    <n v="122"/>
    <n v="243"/>
    <n v="502"/>
    <n v="0"/>
    <n v="50"/>
    <n v="0"/>
    <n v="115"/>
    <n v="172"/>
    <n v="0.66860465116279066"/>
    <n v="115"/>
    <n v="168"/>
    <n v="283"/>
    <n v="1150"/>
    <n v="1680"/>
    <n v="2830"/>
    <n v="41"/>
    <n v="0.51898734177215189"/>
    <n v="55"/>
    <n v="550"/>
    <n v="0.69620253164556967"/>
    <n v="100"/>
    <n v="10"/>
    <n v="0.12658227848101267"/>
    <n v="650"/>
    <n v="65"/>
    <n v="0.82278481012658233"/>
    <n v="155"/>
    <n v="1.9620253164556962"/>
    <n v="359"/>
    <n v="4.5443037974683547"/>
  </r>
  <r>
    <x v="40"/>
    <s v="2004-05"/>
    <x v="76"/>
    <n v="28"/>
    <n v="280"/>
    <x v="31"/>
    <n v="4310"/>
    <n v="117"/>
    <n v="4.333333333333333"/>
    <n v="76"/>
    <n v="154"/>
    <n v="494"/>
    <n v="0"/>
    <n v="10"/>
    <n v="0"/>
    <n v="24"/>
    <n v="43"/>
    <n v="0.55813953488372092"/>
    <n v="26"/>
    <n v="67"/>
    <n v="93"/>
    <n v="260"/>
    <n v="670"/>
    <n v="930"/>
    <n v="14"/>
    <n v="0.51851851851851849"/>
    <n v="11"/>
    <n v="110"/>
    <n v="0.40740740740740738"/>
    <n v="80"/>
    <n v="8"/>
    <n v="0.29629629629629628"/>
    <n v="310"/>
    <n v="31"/>
    <n v="1.1481481481481481"/>
    <n v="57"/>
    <n v="2.1111111111111112"/>
    <n v="176"/>
    <n v="6.5185185185185182"/>
  </r>
  <r>
    <x v="41"/>
    <s v="2004-05"/>
    <x v="77"/>
    <n v="20"/>
    <n v="200"/>
    <x v="41"/>
    <n v="50"/>
    <n v="10"/>
    <n v="3.3333333333333335"/>
    <n v="4"/>
    <n v="4"/>
    <n v="1"/>
    <n v="0"/>
    <n v="0"/>
    <e v="#DIV/0!"/>
    <n v="2"/>
    <n v="2"/>
    <n v="1"/>
    <n v="0"/>
    <n v="0"/>
    <n v="0"/>
    <n v="0"/>
    <n v="0"/>
    <n v="0"/>
    <n v="0"/>
    <n v="0"/>
    <n v="1"/>
    <n v="10"/>
    <n v="0.33333333333333331"/>
    <n v="0"/>
    <n v="0"/>
    <n v="0"/>
    <n v="10"/>
    <n v="1"/>
    <n v="0.33333333333333331"/>
    <n v="0"/>
    <n v="0"/>
    <n v="10"/>
    <n v="3.3333333333333335"/>
  </r>
  <r>
    <x v="42"/>
    <s v="2004-05"/>
    <x v="78"/>
    <n v="29"/>
    <n v="290"/>
    <x v="27"/>
    <n v="2300"/>
    <n v="40"/>
    <n v="1.9047619047619047"/>
    <n v="17"/>
    <n v="33"/>
    <n v="515"/>
    <n v="0"/>
    <n v="20"/>
    <n v="0"/>
    <n v="8"/>
    <n v="13"/>
    <n v="0.61538461538461542"/>
    <n v="3"/>
    <n v="20"/>
    <n v="23"/>
    <n v="30"/>
    <n v="200"/>
    <n v="230"/>
    <n v="24"/>
    <n v="1.1428571428571428"/>
    <n v="7"/>
    <n v="70"/>
    <n v="0.33333333333333331"/>
    <n v="10"/>
    <n v="1"/>
    <n v="4.7619047619047616E-2"/>
    <n v="100"/>
    <n v="10"/>
    <n v="0.47619047619047616"/>
    <n v="26"/>
    <n v="1.2380952380952381"/>
    <n v="42"/>
    <n v="2"/>
  </r>
  <r>
    <x v="31"/>
    <s v="2004-05"/>
    <x v="79"/>
    <n v="31"/>
    <n v="310"/>
    <x v="22"/>
    <n v="3210"/>
    <n v="45"/>
    <n v="1.40625"/>
    <n v="32"/>
    <n v="93"/>
    <n v="0.34408602150537637"/>
    <n v="0"/>
    <n v="120"/>
    <n v="0"/>
    <n v="18"/>
    <n v="22"/>
    <n v="0.81818181818181823"/>
    <n v="9"/>
    <n v="33"/>
    <n v="42"/>
    <n v="90"/>
    <n v="330"/>
    <n v="420"/>
    <n v="34"/>
    <n v="1.0625"/>
    <n v="17"/>
    <n v="170"/>
    <n v="0.53125"/>
    <n v="20"/>
    <n v="2"/>
    <n v="6.25E-2"/>
    <n v="250"/>
    <n v="25"/>
    <n v="0.78125"/>
    <n v="42"/>
    <n v="1.3125"/>
    <n v="82"/>
    <n v="2.5625"/>
  </r>
  <r>
    <x v="43"/>
    <s v="2004-05"/>
    <x v="80"/>
    <n v="24"/>
    <n v="240"/>
    <x v="10"/>
    <n v="1840"/>
    <n v="17"/>
    <n v="0.94444444444444442"/>
    <n v="11"/>
    <n v="37"/>
    <n v="0.29729729729729731"/>
    <n v="30"/>
    <n v="150"/>
    <n v="0.2"/>
    <n v="6"/>
    <n v="13"/>
    <n v="0.46153846153846156"/>
    <n v="6"/>
    <n v="16"/>
    <n v="22"/>
    <n v="60"/>
    <n v="160"/>
    <n v="220"/>
    <n v="12"/>
    <n v="0.66666666666666663"/>
    <n v="8"/>
    <n v="80"/>
    <n v="0.44444444444444442"/>
    <n v="10"/>
    <n v="1"/>
    <n v="5.5555555555555552E-2"/>
    <n v="130"/>
    <n v="13"/>
    <n v="0.72222222222222221"/>
    <n v="11"/>
    <n v="0.61111111111111116"/>
    <n v="31"/>
    <n v="1.7222222222222223"/>
  </r>
  <r>
    <x v="33"/>
    <s v="2004-05"/>
    <x v="81"/>
    <n v="33"/>
    <n v="330"/>
    <x v="32"/>
    <n v="1910"/>
    <n v="6"/>
    <n v="0.25"/>
    <n v="13"/>
    <n v="38"/>
    <n v="0.34210526315789475"/>
    <n v="0"/>
    <n v="10"/>
    <n v="0"/>
    <n v="7"/>
    <n v="15"/>
    <n v="0.46666666666666667"/>
    <n v="17"/>
    <n v="20"/>
    <n v="37"/>
    <n v="170"/>
    <n v="200"/>
    <n v="370"/>
    <n v="9"/>
    <n v="0.375"/>
    <n v="2"/>
    <n v="20"/>
    <n v="8.3333333333333329E-2"/>
    <n v="40"/>
    <n v="4"/>
    <n v="0.16666666666666666"/>
    <n v="150"/>
    <n v="15"/>
    <n v="0.625"/>
    <n v="31"/>
    <n v="1.2916666666666667"/>
    <n v="33"/>
    <n v="1.375"/>
  </r>
  <r>
    <x v="34"/>
    <s v="2004-05"/>
    <x v="82"/>
    <n v="25"/>
    <n v="250"/>
    <x v="27"/>
    <n v="730"/>
    <n v="-4"/>
    <n v="-0.19047619047619047"/>
    <n v="11"/>
    <n v="37"/>
    <n v="297"/>
    <n v="10"/>
    <n v="30"/>
    <n v="0.33333333333333331"/>
    <n v="2"/>
    <n v="2"/>
    <n v="1"/>
    <n v="6"/>
    <n v="7"/>
    <n v="13"/>
    <n v="60"/>
    <n v="70"/>
    <n v="130"/>
    <n v="2"/>
    <n v="9.5238095238095233E-2"/>
    <n v="2"/>
    <n v="20"/>
    <n v="9.5238095238095233E-2"/>
    <n v="20"/>
    <n v="2"/>
    <n v="9.5238095238095233E-2"/>
    <n v="60"/>
    <n v="6"/>
    <n v="0.2857142857142857"/>
    <n v="16"/>
    <n v="0.76190476190476186"/>
    <n v="25"/>
    <n v="1.1904761904761905"/>
  </r>
  <r>
    <x v="17"/>
    <s v="2004-05"/>
    <x v="83"/>
    <n v="31"/>
    <n v="310"/>
    <x v="40"/>
    <n v="200"/>
    <n v="-4"/>
    <n v="-4"/>
    <n v="0"/>
    <n v="2"/>
    <n v="0"/>
    <n v="0"/>
    <n v="10"/>
    <n v="0"/>
    <n v="0"/>
    <n v="0"/>
    <e v="#DIV/0!"/>
    <n v="1"/>
    <n v="0"/>
    <n v="1"/>
    <n v="10"/>
    <n v="0"/>
    <n v="10"/>
    <n v="0"/>
    <n v="0"/>
    <n v="0"/>
    <n v="0"/>
    <n v="0"/>
    <n v="0"/>
    <n v="0"/>
    <n v="0"/>
    <n v="10"/>
    <n v="1"/>
    <n v="1"/>
    <n v="2"/>
    <n v="2"/>
    <n v="0"/>
    <n v="0"/>
  </r>
  <r>
    <x v="23"/>
    <s v="2005-06"/>
    <x v="84"/>
    <n v="29"/>
    <n v="290"/>
    <x v="47"/>
    <n v="21930"/>
    <n v="796"/>
    <n v="13.266666666666667"/>
    <n v="349"/>
    <n v="774"/>
    <n v="0.45090439276485789"/>
    <n v="330"/>
    <n v="1040"/>
    <n v="0.31730769230769229"/>
    <n v="246"/>
    <n v="326"/>
    <n v="0.754601226993865"/>
    <n v="25"/>
    <n v="150"/>
    <n v="175"/>
    <n v="250"/>
    <n v="1500"/>
    <n v="1750"/>
    <n v="382"/>
    <n v="6.3666666666666663"/>
    <n v="63"/>
    <n v="630"/>
    <n v="1.05"/>
    <n v="40"/>
    <n v="4"/>
    <n v="6.6666666666666666E-2"/>
    <n v="1570"/>
    <n v="157"/>
    <n v="2.6166666666666667"/>
    <n v="143"/>
    <n v="2.3833333333333333"/>
    <n v="977"/>
    <n v="16.283333333333335"/>
  </r>
  <r>
    <x v="36"/>
    <s v="2005-06"/>
    <x v="85"/>
    <n v="26"/>
    <n v="260"/>
    <x v="24"/>
    <n v="25550"/>
    <n v="879"/>
    <n v="11.126582278481013"/>
    <n v="366"/>
    <n v="879"/>
    <n v="416"/>
    <n v="1010"/>
    <n v="2930"/>
    <n v="0.34470989761092152"/>
    <n v="295"/>
    <n v="357"/>
    <n v="0.8263305322128851"/>
    <n v="36"/>
    <n v="212"/>
    <n v="248"/>
    <n v="360"/>
    <n v="2120"/>
    <n v="2480"/>
    <n v="301"/>
    <n v="3.8101265822784809"/>
    <n v="87"/>
    <n v="870"/>
    <n v="1.1012658227848102"/>
    <n v="150"/>
    <n v="15"/>
    <n v="0.189873417721519"/>
    <n v="1750"/>
    <n v="175"/>
    <n v="2.2151898734177213"/>
    <n v="150"/>
    <n v="1.8987341772151898"/>
    <n v="1128"/>
    <n v="14.278481012658228"/>
  </r>
  <r>
    <x v="44"/>
    <s v="2005-06"/>
    <x v="86"/>
    <n v="23"/>
    <n v="230"/>
    <x v="5"/>
    <n v="15720"/>
    <n v="634"/>
    <n v="9.7538461538461547"/>
    <n v="305"/>
    <n v="640"/>
    <n v="477"/>
    <n v="30"/>
    <n v="90"/>
    <n v="0.33333333333333331"/>
    <n v="189"/>
    <n v="229"/>
    <n v="0.8253275109170306"/>
    <n v="138"/>
    <n v="236"/>
    <n v="374"/>
    <n v="1380"/>
    <n v="2360"/>
    <n v="3740"/>
    <n v="53"/>
    <n v="0.81538461538461537"/>
    <n v="30"/>
    <n v="300"/>
    <n v="0.46153846153846156"/>
    <n v="470"/>
    <n v="47"/>
    <n v="0.72307692307692306"/>
    <n v="970"/>
    <n v="97"/>
    <n v="1.4923076923076923"/>
    <n v="200"/>
    <n v="3.0769230769230771"/>
    <n v="802"/>
    <n v="12.338461538461539"/>
  </r>
  <r>
    <x v="45"/>
    <s v="2005-06"/>
    <x v="87"/>
    <n v="33"/>
    <n v="330"/>
    <x v="12"/>
    <n v="7460"/>
    <n v="240"/>
    <n v="9.2307692307692299"/>
    <n v="110"/>
    <n v="239"/>
    <n v="0.46025104602510458"/>
    <n v="280"/>
    <n v="570"/>
    <n v="0.49122807017543857"/>
    <n v="82"/>
    <n v="101"/>
    <n v="0.81188118811881194"/>
    <n v="13"/>
    <n v="69"/>
    <n v="82"/>
    <n v="130"/>
    <n v="690"/>
    <n v="820"/>
    <n v="68"/>
    <n v="2.6153846153846154"/>
    <n v="10"/>
    <n v="100"/>
    <n v="0.38461538461538464"/>
    <n v="30"/>
    <n v="3"/>
    <n v="0.11538461538461539"/>
    <n v="500"/>
    <n v="50"/>
    <n v="1.9230769230769231"/>
    <n v="55"/>
    <n v="2.1153846153846154"/>
    <n v="330"/>
    <n v="12.692307692307692"/>
  </r>
  <r>
    <x v="46"/>
    <s v="2005-06"/>
    <x v="88"/>
    <n v="23"/>
    <n v="230"/>
    <x v="48"/>
    <n v="18660"/>
    <n v="656"/>
    <n v="9.1111111111111107"/>
    <n v="336"/>
    <n v="597"/>
    <n v="563"/>
    <n v="0"/>
    <n v="0"/>
    <e v="#DIV/0!"/>
    <n v="307"/>
    <n v="486"/>
    <n v="0.63168724279835387"/>
    <n v="145"/>
    <n v="287"/>
    <n v="432"/>
    <n v="1450"/>
    <n v="2870"/>
    <n v="4320"/>
    <n v="19"/>
    <n v="0.2638888888888889"/>
    <n v="28"/>
    <n v="280"/>
    <n v="0.3888888888888889"/>
    <n v="560"/>
    <n v="56"/>
    <n v="0.77777777777777779"/>
    <n v="1790"/>
    <n v="179"/>
    <n v="2.4861111111111112"/>
    <n v="239"/>
    <n v="3.3194444444444446"/>
    <n v="979"/>
    <n v="13.597222222222221"/>
  </r>
  <r>
    <x v="47"/>
    <s v="2005-06"/>
    <x v="89"/>
    <n v="29"/>
    <n v="290"/>
    <x v="32"/>
    <n v="6590"/>
    <n v="189"/>
    <n v="7.875"/>
    <n v="84"/>
    <n v="190"/>
    <n v="0.44210526315789472"/>
    <n v="70"/>
    <n v="130"/>
    <n v="0.53846153846153844"/>
    <n v="83"/>
    <n v="109"/>
    <n v="0.76146788990825687"/>
    <n v="14"/>
    <n v="57"/>
    <n v="71"/>
    <n v="140"/>
    <n v="570"/>
    <n v="710"/>
    <n v="83"/>
    <n v="3.4583333333333335"/>
    <n v="23"/>
    <n v="230"/>
    <n v="0.95833333333333337"/>
    <n v="60"/>
    <n v="6"/>
    <n v="0.25"/>
    <n v="580"/>
    <n v="58"/>
    <n v="2.4166666666666665"/>
    <n v="62"/>
    <n v="2.5833333333333335"/>
    <n v="258"/>
    <n v="10.75"/>
  </r>
  <r>
    <x v="48"/>
    <s v="2005-06"/>
    <x v="90"/>
    <n v="23"/>
    <n v="230"/>
    <x v="49"/>
    <n v="11290"/>
    <n v="421"/>
    <n v="6.2835820895522385"/>
    <n v="137"/>
    <n v="230"/>
    <n v="0.59565217391304348"/>
    <n v="0"/>
    <n v="0"/>
    <e v="#DIV/0!"/>
    <n v="71"/>
    <n v="123"/>
    <n v="0.57723577235772361"/>
    <n v="109"/>
    <n v="194"/>
    <n v="303"/>
    <n v="1090"/>
    <n v="1940"/>
    <n v="3030"/>
    <n v="43"/>
    <n v="0.64179104477611937"/>
    <n v="30"/>
    <n v="300"/>
    <n v="0.44776119402985076"/>
    <n v="200"/>
    <n v="20"/>
    <n v="0.29850746268656714"/>
    <n v="510"/>
    <n v="51"/>
    <n v="0.76119402985074625"/>
    <n v="124"/>
    <n v="1.8507462686567164"/>
    <n v="345"/>
    <n v="5.1492537313432836"/>
  </r>
  <r>
    <x v="49"/>
    <s v="2005-06"/>
    <x v="91"/>
    <n v="25"/>
    <n v="250"/>
    <x v="20"/>
    <n v="10130"/>
    <n v="302"/>
    <n v="6.1632653061224492"/>
    <n v="129"/>
    <n v="254"/>
    <n v="508"/>
    <n v="220"/>
    <n v="600"/>
    <n v="0.36666666666666664"/>
    <n v="49"/>
    <n v="76"/>
    <n v="0.64473684210526316"/>
    <n v="44"/>
    <n v="146"/>
    <n v="190"/>
    <n v="440"/>
    <n v="1460"/>
    <n v="1900"/>
    <n v="47"/>
    <n v="0.95918367346938771"/>
    <n v="32"/>
    <n v="320"/>
    <n v="0.65306122448979587"/>
    <n v="130"/>
    <n v="13"/>
    <n v="0.26530612244897961"/>
    <n v="610"/>
    <n v="61"/>
    <n v="1.2448979591836735"/>
    <n v="96"/>
    <n v="1.9591836734693877"/>
    <n v="329"/>
    <n v="6.7142857142857144"/>
  </r>
  <r>
    <x v="50"/>
    <s v="2005-06"/>
    <x v="92"/>
    <n v="26"/>
    <n v="260"/>
    <x v="50"/>
    <n v="14420"/>
    <n v="298"/>
    <n v="5.418181818181818"/>
    <n v="163"/>
    <n v="459"/>
    <n v="355"/>
    <n v="640"/>
    <n v="1880"/>
    <n v="0.34042553191489361"/>
    <n v="61"/>
    <n v="91"/>
    <n v="0.67032967032967028"/>
    <n v="65"/>
    <n v="165"/>
    <n v="230"/>
    <n v="650"/>
    <n v="1650"/>
    <n v="2300"/>
    <n v="88"/>
    <n v="1.6"/>
    <n v="39"/>
    <n v="390"/>
    <n v="0.70909090909090911"/>
    <n v="60"/>
    <n v="6"/>
    <n v="0.10909090909090909"/>
    <n v="560"/>
    <n v="56"/>
    <n v="1.0181818181818181"/>
    <n v="134"/>
    <n v="2.4363636363636365"/>
    <n v="451"/>
    <n v="8.1999999999999993"/>
  </r>
  <r>
    <x v="51"/>
    <s v="2005-06"/>
    <x v="93"/>
    <n v="22"/>
    <n v="220"/>
    <x v="48"/>
    <n v="15440"/>
    <n v="344"/>
    <n v="4.7777777777777777"/>
    <n v="230"/>
    <n v="565"/>
    <n v="0.40707964601769914"/>
    <n v="580"/>
    <n v="1460"/>
    <n v="0.39726027397260272"/>
    <n v="152"/>
    <n v="202"/>
    <n v="0.75247524752475248"/>
    <n v="56"/>
    <n v="111"/>
    <n v="167"/>
    <n v="560"/>
    <n v="1110"/>
    <n v="1670"/>
    <n v="147"/>
    <n v="2.0416666666666665"/>
    <n v="59"/>
    <n v="590"/>
    <n v="0.81944444444444442"/>
    <n v="10"/>
    <n v="1"/>
    <n v="1.3888888888888888E-2"/>
    <n v="1140"/>
    <n v="114"/>
    <n v="1.5833333333333333"/>
    <n v="201"/>
    <n v="2.7916666666666665"/>
    <n v="670"/>
    <n v="9.3055555555555554"/>
  </r>
  <r>
    <x v="41"/>
    <s v="2005-06"/>
    <x v="94"/>
    <n v="21"/>
    <n v="210"/>
    <x v="50"/>
    <n v="7400"/>
    <n v="242"/>
    <n v="4.4000000000000004"/>
    <n v="117"/>
    <n v="215"/>
    <n v="0.54418604651162794"/>
    <n v="0"/>
    <n v="0"/>
    <e v="#DIV/0!"/>
    <n v="58"/>
    <n v="77"/>
    <n v="0.75324675324675328"/>
    <n v="67"/>
    <n v="116"/>
    <n v="183"/>
    <n v="670"/>
    <n v="1160"/>
    <n v="1830"/>
    <n v="25"/>
    <n v="0.45454545454545453"/>
    <n v="17"/>
    <n v="170"/>
    <n v="0.30909090909090908"/>
    <n v="310"/>
    <n v="31"/>
    <n v="0.5636363636363636"/>
    <n v="620"/>
    <n v="62"/>
    <n v="1.1272727272727272"/>
    <n v="127"/>
    <n v="2.3090909090909091"/>
    <n v="292"/>
    <n v="5.3090909090909095"/>
  </r>
  <r>
    <x v="37"/>
    <s v="2005-06"/>
    <x v="95"/>
    <n v="20"/>
    <n v="200"/>
    <x v="38"/>
    <n v="7090"/>
    <n v="156"/>
    <n v="4.333333333333333"/>
    <n v="61"/>
    <n v="146"/>
    <n v="0.4178082191780822"/>
    <n v="10"/>
    <n v="30"/>
    <n v="0.33333333333333331"/>
    <n v="42"/>
    <n v="77"/>
    <n v="0.54545454545454541"/>
    <n v="49"/>
    <n v="88"/>
    <n v="137"/>
    <n v="490"/>
    <n v="880"/>
    <n v="1370"/>
    <n v="46"/>
    <n v="1.2777777777777777"/>
    <n v="43"/>
    <n v="430"/>
    <n v="1.1944444444444444"/>
    <n v="90"/>
    <n v="9"/>
    <n v="0.25"/>
    <n v="460"/>
    <n v="46"/>
    <n v="1.2777777777777777"/>
    <n v="78"/>
    <n v="2.1666666666666665"/>
    <n v="165"/>
    <n v="4.583333333333333"/>
  </r>
  <r>
    <x v="52"/>
    <s v="2005-06"/>
    <x v="96"/>
    <n v="26"/>
    <n v="260"/>
    <x v="51"/>
    <n v="930"/>
    <n v="26"/>
    <n v="4.333333333333333"/>
    <n v="11"/>
    <n v="30"/>
    <n v="0.36666666666666664"/>
    <n v="10"/>
    <n v="40"/>
    <n v="0.25"/>
    <n v="3"/>
    <n v="4"/>
    <n v="0.75"/>
    <n v="7"/>
    <n v="17"/>
    <n v="24"/>
    <n v="70"/>
    <n v="170"/>
    <n v="240"/>
    <n v="6"/>
    <n v="1"/>
    <n v="4"/>
    <n v="40"/>
    <n v="0.66666666666666663"/>
    <n v="0"/>
    <n v="0"/>
    <n v="0"/>
    <n v="60"/>
    <n v="6"/>
    <n v="1"/>
    <n v="8"/>
    <n v="1.3333333333333333"/>
    <n v="26"/>
    <n v="4.333333333333333"/>
  </r>
  <r>
    <x v="53"/>
    <s v="2005-06"/>
    <x v="97"/>
    <n v="37"/>
    <n v="370"/>
    <x v="38"/>
    <n v="7490"/>
    <n v="147"/>
    <n v="4.083333333333333"/>
    <n v="68"/>
    <n v="159"/>
    <n v="428"/>
    <n v="0"/>
    <n v="10"/>
    <n v="0"/>
    <n v="45"/>
    <n v="61"/>
    <n v="0.73770491803278693"/>
    <n v="75"/>
    <n v="97"/>
    <n v="172"/>
    <n v="750"/>
    <n v="970"/>
    <n v="1720"/>
    <n v="14"/>
    <n v="0.3888888888888889"/>
    <n v="20"/>
    <n v="200"/>
    <n v="0.55555555555555558"/>
    <n v="90"/>
    <n v="9"/>
    <n v="0.25"/>
    <n v="430"/>
    <n v="43"/>
    <n v="1.1944444444444444"/>
    <n v="99"/>
    <n v="2.75"/>
    <n v="181"/>
    <n v="5.0277777777777777"/>
  </r>
  <r>
    <x v="38"/>
    <s v="2005-06"/>
    <x v="98"/>
    <n v="31"/>
    <n v="310"/>
    <x v="48"/>
    <n v="11190"/>
    <n v="270"/>
    <n v="3.75"/>
    <n v="105"/>
    <n v="281"/>
    <n v="374"/>
    <n v="10"/>
    <n v="10"/>
    <n v="1"/>
    <n v="107"/>
    <n v="137"/>
    <n v="0.78102189781021902"/>
    <n v="84"/>
    <n v="175"/>
    <n v="259"/>
    <n v="840"/>
    <n v="1750"/>
    <n v="2590"/>
    <n v="67"/>
    <n v="0.93055555555555558"/>
    <n v="43"/>
    <n v="430"/>
    <n v="0.59722222222222221"/>
    <n v="140"/>
    <n v="14"/>
    <n v="0.19444444444444445"/>
    <n v="800"/>
    <n v="80"/>
    <n v="1.1111111111111112"/>
    <n v="145"/>
    <n v="2.0138888888888888"/>
    <n v="318"/>
    <n v="4.416666666666667"/>
  </r>
  <r>
    <x v="40"/>
    <s v="2005-06"/>
    <x v="99"/>
    <n v="29"/>
    <n v="290"/>
    <x v="49"/>
    <n v="12100"/>
    <n v="227"/>
    <n v="3.3880597014925371"/>
    <n v="182"/>
    <n v="389"/>
    <n v="468"/>
    <n v="0"/>
    <n v="10"/>
    <n v="0"/>
    <n v="58"/>
    <n v="83"/>
    <n v="0.6987951807228916"/>
    <n v="65"/>
    <n v="164"/>
    <n v="229"/>
    <n v="650"/>
    <n v="1640"/>
    <n v="2290"/>
    <n v="53"/>
    <n v="0.79104477611940294"/>
    <n v="21"/>
    <n v="210"/>
    <n v="0.31343283582089554"/>
    <n v="140"/>
    <n v="14"/>
    <n v="0.20895522388059701"/>
    <n v="1030"/>
    <n v="103"/>
    <n v="1.5373134328358209"/>
    <n v="177"/>
    <n v="2.6417910447761193"/>
    <n v="422"/>
    <n v="6.2985074626865671"/>
  </r>
  <r>
    <x v="54"/>
    <s v="2005-06"/>
    <x v="100"/>
    <n v="28"/>
    <n v="280"/>
    <x v="52"/>
    <n v="1140"/>
    <n v="18"/>
    <n v="2.25"/>
    <n v="9"/>
    <n v="24"/>
    <n v="375"/>
    <n v="10"/>
    <n v="30"/>
    <n v="0.33333333333333331"/>
    <n v="3"/>
    <n v="6"/>
    <n v="0.5"/>
    <n v="3"/>
    <n v="14"/>
    <n v="17"/>
    <n v="30"/>
    <n v="140"/>
    <n v="170"/>
    <n v="6"/>
    <n v="0.75"/>
    <n v="1"/>
    <n v="10"/>
    <n v="0.125"/>
    <n v="0"/>
    <n v="0"/>
    <n v="0"/>
    <n v="20"/>
    <n v="2"/>
    <n v="0.25"/>
    <n v="8"/>
    <n v="1"/>
    <n v="22"/>
    <n v="2.75"/>
  </r>
  <r>
    <x v="29"/>
    <s v="2005-06"/>
    <x v="101"/>
    <n v="34"/>
    <n v="340"/>
    <x v="53"/>
    <n v="720"/>
    <n v="7"/>
    <n v="1.75"/>
    <n v="4"/>
    <n v="14"/>
    <n v="0.2857142857142857"/>
    <n v="0"/>
    <n v="10"/>
    <n v="0"/>
    <n v="2"/>
    <n v="2"/>
    <n v="1"/>
    <n v="0"/>
    <n v="10"/>
    <n v="10"/>
    <n v="0"/>
    <n v="100"/>
    <n v="100"/>
    <n v="8"/>
    <n v="2"/>
    <n v="2"/>
    <n v="20"/>
    <n v="0.5"/>
    <n v="0"/>
    <n v="0"/>
    <n v="0"/>
    <n v="60"/>
    <n v="6"/>
    <n v="1.5"/>
    <n v="7"/>
    <n v="1.75"/>
    <n v="10"/>
    <n v="2.5"/>
  </r>
  <r>
    <x v="55"/>
    <s v="2005-06"/>
    <x v="102"/>
    <n v="30"/>
    <n v="300"/>
    <x v="14"/>
    <n v="4060"/>
    <n v="31"/>
    <n v="0.68888888888888888"/>
    <n v="56"/>
    <n v="121"/>
    <n v="463"/>
    <n v="0"/>
    <n v="0"/>
    <e v="#DIV/0!"/>
    <n v="25"/>
    <n v="40"/>
    <n v="0.625"/>
    <n v="39"/>
    <n v="52"/>
    <n v="91"/>
    <n v="390"/>
    <n v="520"/>
    <n v="910"/>
    <n v="12"/>
    <n v="0.26666666666666666"/>
    <n v="3"/>
    <n v="30"/>
    <n v="6.6666666666666666E-2"/>
    <n v="230"/>
    <n v="23"/>
    <n v="0.51111111111111107"/>
    <n v="510"/>
    <n v="51"/>
    <n v="1.1333333333333333"/>
    <n v="104"/>
    <n v="2.3111111111111109"/>
    <n v="137"/>
    <n v="3.0444444444444443"/>
  </r>
  <r>
    <x v="48"/>
    <s v="2006-07"/>
    <x v="103"/>
    <n v="24"/>
    <n v="240"/>
    <x v="54"/>
    <n v="17270"/>
    <n v="959"/>
    <n v="16.53448275862069"/>
    <n v="240"/>
    <n v="400"/>
    <n v="0.6"/>
    <n v="0"/>
    <n v="0"/>
    <e v="#DIV/0!"/>
    <n v="141"/>
    <n v="173"/>
    <n v="0.81502890173410403"/>
    <n v="196"/>
    <n v="406"/>
    <n v="602"/>
    <n v="1960"/>
    <n v="4060"/>
    <n v="6020"/>
    <n v="104"/>
    <n v="1.7931034482758621"/>
    <n v="48"/>
    <n v="480"/>
    <n v="0.82758620689655171"/>
    <n v="230"/>
    <n v="23"/>
    <n v="0.39655172413793105"/>
    <n v="920"/>
    <n v="92"/>
    <n v="1.5862068965517242"/>
    <n v="155"/>
    <n v="2.6724137931034484"/>
    <n v="621"/>
    <n v="10.706896551724139"/>
  </r>
  <r>
    <x v="46"/>
    <s v="2006-07"/>
    <x v="104"/>
    <n v="24"/>
    <n v="240"/>
    <x v="16"/>
    <n v="28490"/>
    <n v="1044"/>
    <n v="12.888888888888889"/>
    <n v="585"/>
    <n v="1016"/>
    <n v="576"/>
    <n v="10"/>
    <n v="10"/>
    <n v="1"/>
    <n v="405"/>
    <n v="659"/>
    <n v="0.61456752655538693"/>
    <n v="195"/>
    <n v="376"/>
    <n v="571"/>
    <n v="1950"/>
    <n v="3760"/>
    <n v="5710"/>
    <n v="68"/>
    <n v="0.83950617283950613"/>
    <n v="34"/>
    <n v="340"/>
    <n v="0.41975308641975306"/>
    <n v="400"/>
    <n v="40"/>
    <n v="0.49382716049382713"/>
    <n v="2950"/>
    <n v="295"/>
    <n v="3.6419753086419755"/>
    <n v="265"/>
    <n v="3.2716049382716048"/>
    <n v="1576"/>
    <n v="19.456790123456791"/>
  </r>
  <r>
    <x v="23"/>
    <s v="2006-07"/>
    <x v="105"/>
    <n v="30"/>
    <n v="300"/>
    <x v="23"/>
    <n v="27480"/>
    <n v="897"/>
    <n v="12.121621621621621"/>
    <n v="395"/>
    <n v="952"/>
    <n v="0.41491596638655465"/>
    <n v="1230"/>
    <n v="3450"/>
    <n v="0.35652173913043478"/>
    <n v="297"/>
    <n v="386"/>
    <n v="0.76943005181347146"/>
    <n v="36"/>
    <n v="177"/>
    <n v="213"/>
    <n v="360"/>
    <n v="1770"/>
    <n v="2130"/>
    <n v="403"/>
    <n v="5.4459459459459456"/>
    <n v="71"/>
    <n v="710"/>
    <n v="0.95945945945945943"/>
    <n v="100"/>
    <n v="10"/>
    <n v="0.13513513513513514"/>
    <n v="1790"/>
    <n v="179"/>
    <n v="2.4189189189189189"/>
    <n v="185"/>
    <n v="2.5"/>
    <n v="1210"/>
    <n v="16.351351351351351"/>
  </r>
  <r>
    <x v="50"/>
    <s v="2006-07"/>
    <x v="106"/>
    <n v="27"/>
    <n v="270"/>
    <x v="20"/>
    <n v="16210"/>
    <n v="582"/>
    <n v="11.877551020408163"/>
    <n v="228"/>
    <n v="545"/>
    <n v="418"/>
    <n v="970"/>
    <n v="2580"/>
    <n v="0.37596899224806202"/>
    <n v="83"/>
    <n v="120"/>
    <n v="0.69166666666666665"/>
    <n v="65"/>
    <n v="287"/>
    <n v="352"/>
    <n v="650"/>
    <n v="2870"/>
    <n v="3520"/>
    <n v="108"/>
    <n v="2.204081632653061"/>
    <n v="36"/>
    <n v="360"/>
    <n v="0.73469387755102045"/>
    <n v="70"/>
    <n v="7"/>
    <n v="0.14285714285714285"/>
    <n v="700"/>
    <n v="70"/>
    <n v="1.4285714285714286"/>
    <n v="133"/>
    <n v="2.7142857142857144"/>
    <n v="636"/>
    <n v="12.979591836734693"/>
  </r>
  <r>
    <x v="36"/>
    <s v="2006-07"/>
    <x v="107"/>
    <n v="27"/>
    <n v="270"/>
    <x v="55"/>
    <n v="21980"/>
    <n v="700"/>
    <n v="11.864406779661017"/>
    <n v="354"/>
    <n v="886"/>
    <n v="4"/>
    <n v="1030"/>
    <n v="3220"/>
    <n v="0.31987577639751552"/>
    <n v="228"/>
    <n v="272"/>
    <n v="0.83823529411764708"/>
    <n v="44"/>
    <n v="145"/>
    <n v="189"/>
    <n v="440"/>
    <n v="1450"/>
    <n v="1890"/>
    <n v="259"/>
    <n v="4.3898305084745761"/>
    <n v="57"/>
    <n v="570"/>
    <n v="0.96610169491525422"/>
    <n v="80"/>
    <n v="8"/>
    <n v="0.13559322033898305"/>
    <n v="1620"/>
    <n v="162"/>
    <n v="2.7457627118644066"/>
    <n v="114"/>
    <n v="1.9322033898305084"/>
    <n v="1039"/>
    <n v="17.610169491525422"/>
  </r>
  <r>
    <x v="47"/>
    <s v="2006-07"/>
    <x v="108"/>
    <n v="30"/>
    <n v="300"/>
    <x v="56"/>
    <n v="12370"/>
    <n v="412"/>
    <n v="9.3636363636363633"/>
    <n v="140"/>
    <n v="343"/>
    <n v="0.40816326530612246"/>
    <n v="420"/>
    <n v="1110"/>
    <n v="0.3783783783783784"/>
    <n v="175"/>
    <n v="211"/>
    <n v="0.82938388625592419"/>
    <n v="33"/>
    <n v="124"/>
    <n v="157"/>
    <n v="330"/>
    <n v="1240"/>
    <n v="1570"/>
    <n v="170"/>
    <n v="3.8636363636363638"/>
    <n v="41"/>
    <n v="410"/>
    <n v="0.93181818181818177"/>
    <n v="120"/>
    <n v="12"/>
    <n v="0.27272727272727271"/>
    <n v="1000"/>
    <n v="100"/>
    <n v="2.2727272727272729"/>
    <n v="126"/>
    <n v="2.8636363636363638"/>
    <n v="497"/>
    <n v="11.295454545454545"/>
  </r>
  <r>
    <x v="44"/>
    <s v="2006-07"/>
    <x v="109"/>
    <n v="24"/>
    <n v="240"/>
    <x v="48"/>
    <n v="18990"/>
    <n v="494"/>
    <n v="6.8611111111111107"/>
    <n v="298"/>
    <n v="689"/>
    <n v="433"/>
    <n v="30"/>
    <n v="180"/>
    <n v="0.16666666666666666"/>
    <n v="85"/>
    <n v="108"/>
    <n v="0.78703703703703709"/>
    <n v="91"/>
    <n v="304"/>
    <n v="395"/>
    <n v="910"/>
    <n v="3040"/>
    <n v="3950"/>
    <n v="67"/>
    <n v="0.93055555555555558"/>
    <n v="36"/>
    <n v="360"/>
    <n v="0.5"/>
    <n v="420"/>
    <n v="42"/>
    <n v="0.58333333333333337"/>
    <n v="1000"/>
    <n v="100"/>
    <n v="1.3888888888888888"/>
    <n v="216"/>
    <n v="3"/>
    <n v="684"/>
    <n v="9.5"/>
  </r>
  <r>
    <x v="51"/>
    <s v="2006-07"/>
    <x v="110"/>
    <n v="23"/>
    <n v="230"/>
    <x v="57"/>
    <n v="13560"/>
    <n v="384"/>
    <n v="6"/>
    <n v="227"/>
    <n v="523"/>
    <n v="0.4340344168260038"/>
    <n v="830"/>
    <n v="2130"/>
    <n v="0.38967136150234744"/>
    <n v="108"/>
    <n v="139"/>
    <n v="0.7769784172661871"/>
    <n v="55"/>
    <n v="97"/>
    <n v="152"/>
    <n v="550"/>
    <n v="970"/>
    <n v="1520"/>
    <n v="90"/>
    <n v="1.40625"/>
    <n v="50"/>
    <n v="500"/>
    <n v="0.78125"/>
    <n v="60"/>
    <n v="6"/>
    <n v="9.375E-2"/>
    <n v="720"/>
    <n v="72"/>
    <n v="1.125"/>
    <n v="160"/>
    <n v="2.5"/>
    <n v="645"/>
    <n v="10.078125"/>
  </r>
  <r>
    <x v="56"/>
    <s v="2006-07"/>
    <x v="111"/>
    <n v="22"/>
    <n v="220"/>
    <x v="58"/>
    <n v="10640"/>
    <n v="403"/>
    <n v="5.9264705882352944"/>
    <n v="139"/>
    <n v="275"/>
    <n v="0.50545454545454549"/>
    <n v="50"/>
    <n v="270"/>
    <n v="0.18518518518518517"/>
    <n v="51"/>
    <n v="90"/>
    <n v="0.56666666666666665"/>
    <n v="97"/>
    <n v="197"/>
    <n v="294"/>
    <n v="970"/>
    <n v="1970"/>
    <n v="2940"/>
    <n v="44"/>
    <n v="0.6470588235294118"/>
    <n v="57"/>
    <n v="570"/>
    <n v="0.83823529411764708"/>
    <n v="440"/>
    <n v="44"/>
    <n v="0.6470588235294118"/>
    <n v="490"/>
    <n v="49"/>
    <n v="0.72058823529411764"/>
    <n v="146"/>
    <n v="2.1470588235294117"/>
    <n v="334"/>
    <n v="4.9117647058823533"/>
  </r>
  <r>
    <x v="57"/>
    <s v="2006-07"/>
    <x v="112"/>
    <n v="25"/>
    <n v="250"/>
    <x v="50"/>
    <n v="13070"/>
    <n v="243"/>
    <n v="4.418181818181818"/>
    <n v="95"/>
    <n v="206"/>
    <n v="461"/>
    <n v="20"/>
    <n v="200"/>
    <n v="0.1"/>
    <n v="31"/>
    <n v="68"/>
    <n v="0.45588235294117646"/>
    <n v="111"/>
    <n v="127"/>
    <n v="238"/>
    <n v="1110"/>
    <n v="1270"/>
    <n v="2380"/>
    <n v="67"/>
    <n v="1.2181818181818183"/>
    <n v="44"/>
    <n v="440"/>
    <n v="0.8"/>
    <n v="300"/>
    <n v="30"/>
    <n v="0.54545454545454541"/>
    <n v="610"/>
    <n v="61"/>
    <n v="1.1090909090909091"/>
    <n v="150"/>
    <n v="2.7272727272727271"/>
    <n v="223"/>
    <n v="4.0545454545454547"/>
  </r>
  <r>
    <x v="58"/>
    <s v="2006-07"/>
    <x v="113"/>
    <n v="22"/>
    <n v="220"/>
    <x v="59"/>
    <n v="7770"/>
    <n v="150"/>
    <n v="2.8846153846153846"/>
    <n v="87"/>
    <n v="228"/>
    <n v="382"/>
    <n v="130"/>
    <n v="470"/>
    <n v="0.27659574468085107"/>
    <n v="48"/>
    <n v="82"/>
    <n v="0.58536585365853655"/>
    <n v="28"/>
    <n v="76"/>
    <n v="104"/>
    <n v="280"/>
    <n v="760"/>
    <n v="1040"/>
    <n v="83"/>
    <n v="1.5961538461538463"/>
    <n v="32"/>
    <n v="320"/>
    <n v="0.61538461538461542"/>
    <n v="30"/>
    <n v="3"/>
    <n v="5.7692307692307696E-2"/>
    <n v="570"/>
    <n v="57"/>
    <n v="1.0961538461538463"/>
    <n v="75"/>
    <n v="1.4423076923076923"/>
    <n v="235"/>
    <n v="4.5192307692307692"/>
  </r>
  <r>
    <x v="38"/>
    <s v="2006-07"/>
    <x v="114"/>
    <n v="32"/>
    <n v="320"/>
    <x v="5"/>
    <n v="8100"/>
    <n v="160"/>
    <n v="2.4615384615384617"/>
    <n v="74"/>
    <n v="186"/>
    <n v="398"/>
    <n v="20"/>
    <n v="80"/>
    <n v="0.25"/>
    <n v="42"/>
    <n v="52"/>
    <n v="0.80769230769230771"/>
    <n v="47"/>
    <n v="128"/>
    <n v="175"/>
    <n v="470"/>
    <n v="1280"/>
    <n v="1750"/>
    <n v="65"/>
    <n v="1"/>
    <n v="26"/>
    <n v="260"/>
    <n v="0.4"/>
    <n v="90"/>
    <n v="9"/>
    <n v="0.13846153846153847"/>
    <n v="650"/>
    <n v="65"/>
    <n v="1"/>
    <n v="120"/>
    <n v="1.8461538461538463"/>
    <n v="192"/>
    <n v="2.953846153846154"/>
  </r>
  <r>
    <x v="59"/>
    <s v="2006-07"/>
    <x v="115"/>
    <n v="32"/>
    <n v="320"/>
    <x v="10"/>
    <n v="950"/>
    <n v="31"/>
    <n v="1.7222222222222223"/>
    <n v="7"/>
    <n v="22"/>
    <n v="0.31818181818181818"/>
    <n v="0"/>
    <n v="0"/>
    <e v="#DIV/0!"/>
    <n v="8"/>
    <n v="12"/>
    <n v="0.66666666666666663"/>
    <n v="12"/>
    <n v="19"/>
    <n v="31"/>
    <n v="120"/>
    <n v="190"/>
    <n v="310"/>
    <n v="0"/>
    <n v="0"/>
    <n v="3"/>
    <n v="30"/>
    <n v="0.16666666666666666"/>
    <n v="100"/>
    <n v="10"/>
    <n v="0.55555555555555558"/>
    <n v="60"/>
    <n v="6"/>
    <n v="0.33333333333333331"/>
    <n v="10"/>
    <n v="0.55555555555555558"/>
    <n v="22"/>
    <n v="1.2222222222222223"/>
  </r>
  <r>
    <x v="60"/>
    <s v="2006-07"/>
    <x v="116"/>
    <n v="21"/>
    <n v="210"/>
    <x v="60"/>
    <n v="440"/>
    <n v="2"/>
    <n v="0.4"/>
    <n v="1"/>
    <n v="6"/>
    <n v="0.16666666666666666"/>
    <n v="0"/>
    <n v="0"/>
    <e v="#DIV/0!"/>
    <n v="2"/>
    <n v="6"/>
    <n v="0.33333333333333331"/>
    <n v="1"/>
    <n v="8"/>
    <n v="9"/>
    <n v="10"/>
    <n v="80"/>
    <n v="90"/>
    <n v="1"/>
    <n v="0.2"/>
    <n v="2"/>
    <n v="20"/>
    <n v="0.4"/>
    <n v="10"/>
    <n v="1"/>
    <n v="0.2"/>
    <n v="20"/>
    <n v="2"/>
    <n v="0.4"/>
    <n v="4"/>
    <n v="0.8"/>
    <n v="4"/>
    <n v="0.8"/>
  </r>
  <r>
    <x v="55"/>
    <s v="2006-07"/>
    <x v="117"/>
    <n v="31"/>
    <n v="310"/>
    <x v="61"/>
    <n v="2730"/>
    <n v="16"/>
    <n v="0.3902439024390244"/>
    <n v="33"/>
    <n v="79"/>
    <n v="418"/>
    <n v="0"/>
    <n v="0"/>
    <e v="#DIV/0!"/>
    <n v="10"/>
    <n v="18"/>
    <n v="0.55555555555555558"/>
    <n v="21"/>
    <n v="45"/>
    <n v="66"/>
    <n v="210"/>
    <n v="450"/>
    <n v="660"/>
    <n v="3"/>
    <n v="7.3170731707317069E-2"/>
    <n v="6"/>
    <n v="60"/>
    <n v="0.14634146341463414"/>
    <n v="150"/>
    <n v="15"/>
    <n v="0.36585365853658536"/>
    <n v="230"/>
    <n v="23"/>
    <n v="0.56097560975609762"/>
    <n v="73"/>
    <n v="1.7804878048780488"/>
    <n v="76"/>
    <n v="1.8536585365853659"/>
  </r>
  <r>
    <x v="61"/>
    <s v="2007-08"/>
    <x v="118"/>
    <n v="26"/>
    <n v="260"/>
    <x v="62"/>
    <n v="22440"/>
    <n v="1124"/>
    <n v="16.289855072463769"/>
    <n v="486"/>
    <n v="1058"/>
    <n v="459"/>
    <n v="220"/>
    <n v="800"/>
    <n v="0.27500000000000002"/>
    <n v="223"/>
    <n v="289"/>
    <n v="0.77162629757785473"/>
    <n v="184"/>
    <n v="526"/>
    <n v="710"/>
    <n v="1840"/>
    <n v="5260"/>
    <n v="7100"/>
    <n v="140"/>
    <n v="2.0289855072463769"/>
    <n v="59"/>
    <n v="590"/>
    <n v="0.85507246376811596"/>
    <n v="160"/>
    <n v="16"/>
    <n v="0.2318840579710145"/>
    <n v="1860"/>
    <n v="186"/>
    <n v="2.6956521739130435"/>
    <n v="194"/>
    <n v="2.8115942028985508"/>
    <n v="1217"/>
    <n v="17.637681159420289"/>
  </r>
  <r>
    <x v="36"/>
    <s v="2007-08"/>
    <x v="119"/>
    <n v="28"/>
    <n v="280"/>
    <x v="30"/>
    <n v="31900"/>
    <n v="1139"/>
    <n v="14.237500000000001"/>
    <n v="570"/>
    <n v="1391"/>
    <n v="41"/>
    <n v="1760"/>
    <n v="4940"/>
    <n v="0.35627530364372467"/>
    <n v="329"/>
    <n v="381"/>
    <n v="0.86351706036745401"/>
    <n v="37"/>
    <n v="170"/>
    <n v="207"/>
    <n v="370"/>
    <n v="1700"/>
    <n v="2070"/>
    <n v="398"/>
    <n v="4.9749999999999996"/>
    <n v="81"/>
    <n v="810"/>
    <n v="1.0125"/>
    <n v="170"/>
    <n v="17"/>
    <n v="0.21249999999999999"/>
    <n v="1920"/>
    <n v="192"/>
    <n v="2.4"/>
    <n v="144"/>
    <n v="1.8"/>
    <n v="1645"/>
    <n v="20.5625"/>
  </r>
  <r>
    <x v="48"/>
    <s v="2007-08"/>
    <x v="120"/>
    <n v="25"/>
    <n v="250"/>
    <x v="16"/>
    <n v="23560"/>
    <n v="1152"/>
    <n v="14.222222222222221"/>
    <n v="341"/>
    <n v="618"/>
    <n v="0.55177993527508096"/>
    <n v="0"/>
    <n v="20"/>
    <n v="0"/>
    <n v="194"/>
    <n v="237"/>
    <n v="0.81856540084388185"/>
    <n v="242"/>
    <n v="482"/>
    <n v="724"/>
    <n v="2420"/>
    <n v="4820"/>
    <n v="7240"/>
    <n v="95"/>
    <n v="1.1728395061728396"/>
    <n v="55"/>
    <n v="550"/>
    <n v="0.67901234567901236"/>
    <n v="290"/>
    <n v="29"/>
    <n v="0.35802469135802467"/>
    <n v="970"/>
    <n v="97"/>
    <n v="1.1975308641975309"/>
    <n v="210"/>
    <n v="2.5925925925925926"/>
    <n v="876"/>
    <n v="10.814814814814815"/>
  </r>
  <r>
    <x v="23"/>
    <s v="2007-08"/>
    <x v="121"/>
    <n v="31"/>
    <n v="310"/>
    <x v="32"/>
    <n v="8050"/>
    <n v="236"/>
    <n v="9.8333333333333339"/>
    <n v="111"/>
    <n v="265"/>
    <n v="0.4188679245283019"/>
    <n v="280"/>
    <n v="740"/>
    <n v="0.3783783783783784"/>
    <n v="83"/>
    <n v="116"/>
    <n v="0.71551724137931039"/>
    <n v="17"/>
    <n v="42"/>
    <n v="59"/>
    <n v="170"/>
    <n v="420"/>
    <n v="590"/>
    <n v="113"/>
    <n v="4.708333333333333"/>
    <n v="21"/>
    <n v="210"/>
    <n v="0.875"/>
    <n v="20"/>
    <n v="2"/>
    <n v="8.3333333333333329E-2"/>
    <n v="480"/>
    <n v="48"/>
    <n v="2"/>
    <n v="57"/>
    <n v="2.375"/>
    <n v="333"/>
    <n v="13.875"/>
  </r>
  <r>
    <x v="51"/>
    <s v="2007-08"/>
    <x v="122"/>
    <n v="24"/>
    <n v="240"/>
    <x v="48"/>
    <n v="18830"/>
    <n v="626"/>
    <n v="8.6944444444444446"/>
    <n v="331"/>
    <n v="782"/>
    <n v="0.42327365728900257"/>
    <n v="970"/>
    <n v="2920"/>
    <n v="0.3321917808219178"/>
    <n v="154"/>
    <n v="196"/>
    <n v="0.7857142857142857"/>
    <n v="51"/>
    <n v="171"/>
    <n v="222"/>
    <n v="510"/>
    <n v="1710"/>
    <n v="2220"/>
    <n v="212"/>
    <n v="2.9444444444444446"/>
    <n v="60"/>
    <n v="600"/>
    <n v="0.83333333333333337"/>
    <n v="10"/>
    <n v="1"/>
    <n v="1.3888888888888888E-2"/>
    <n v="1030"/>
    <n v="103"/>
    <n v="1.4305555555555556"/>
    <n v="186"/>
    <n v="2.5833333333333335"/>
    <n v="913"/>
    <n v="12.680555555555555"/>
  </r>
  <r>
    <x v="46"/>
    <s v="2007-08"/>
    <x v="123"/>
    <n v="25"/>
    <n v="250"/>
    <x v="55"/>
    <n v="15300"/>
    <n v="488"/>
    <n v="8.2711864406779654"/>
    <n v="297"/>
    <n v="544"/>
    <n v="546"/>
    <n v="0"/>
    <n v="0"/>
    <e v="#DIV/0!"/>
    <n v="187"/>
    <n v="300"/>
    <n v="0.62333333333333329"/>
    <n v="111"/>
    <n v="164"/>
    <n v="275"/>
    <n v="1110"/>
    <n v="1640"/>
    <n v="2750"/>
    <n v="32"/>
    <n v="0.5423728813559322"/>
    <n v="14"/>
    <n v="140"/>
    <n v="0.23728813559322035"/>
    <n v="290"/>
    <n v="29"/>
    <n v="0.49152542372881358"/>
    <n v="1260"/>
    <n v="126"/>
    <n v="2.1355932203389831"/>
    <n v="157"/>
    <n v="2.6610169491525424"/>
    <n v="781"/>
    <n v="13.23728813559322"/>
  </r>
  <r>
    <x v="50"/>
    <s v="2007-08"/>
    <x v="124"/>
    <n v="28"/>
    <n v="280"/>
    <x v="5"/>
    <n v="18410"/>
    <n v="411"/>
    <n v="6.3230769230769228"/>
    <n v="199"/>
    <n v="555"/>
    <n v="359"/>
    <n v="690"/>
    <n v="2140"/>
    <n v="0.32242990654205606"/>
    <n v="60"/>
    <n v="88"/>
    <n v="0.68181818181818177"/>
    <n v="56"/>
    <n v="259"/>
    <n v="315"/>
    <n v="560"/>
    <n v="2590"/>
    <n v="3150"/>
    <n v="116"/>
    <n v="1.7846153846153847"/>
    <n v="44"/>
    <n v="440"/>
    <n v="0.67692307692307696"/>
    <n v="150"/>
    <n v="15"/>
    <n v="0.23076923076923078"/>
    <n v="690"/>
    <n v="69"/>
    <n v="1.0615384615384615"/>
    <n v="153"/>
    <n v="2.3538461538461539"/>
    <n v="527"/>
    <n v="8.1076923076923073"/>
  </r>
  <r>
    <x v="62"/>
    <s v="2007-08"/>
    <x v="125"/>
    <n v="29"/>
    <n v="290"/>
    <x v="42"/>
    <n v="17570"/>
    <n v="434"/>
    <n v="6.2"/>
    <n v="182"/>
    <n v="432"/>
    <n v="421"/>
    <n v="740"/>
    <n v="1920"/>
    <n v="0.38541666666666669"/>
    <n v="94"/>
    <n v="126"/>
    <n v="0.74603174603174605"/>
    <n v="30"/>
    <n v="140"/>
    <n v="170"/>
    <n v="300"/>
    <n v="1400"/>
    <n v="1700"/>
    <n v="166"/>
    <n v="2.3714285714285714"/>
    <n v="48"/>
    <n v="480"/>
    <n v="0.68571428571428572"/>
    <n v="180"/>
    <n v="18"/>
    <n v="0.25714285714285712"/>
    <n v="780"/>
    <n v="78"/>
    <n v="1.1142857142857143"/>
    <n v="140"/>
    <n v="2"/>
    <n v="532"/>
    <n v="7.6"/>
  </r>
  <r>
    <x v="63"/>
    <s v="2007-08"/>
    <x v="126"/>
    <n v="21"/>
    <n v="210"/>
    <x v="34"/>
    <n v="6850"/>
    <n v="180"/>
    <n v="5.1428571428571432"/>
    <n v="106"/>
    <n v="242"/>
    <n v="0.43801652892561982"/>
    <n v="90"/>
    <n v="300"/>
    <n v="0.3"/>
    <n v="34"/>
    <n v="54"/>
    <n v="0.62962962962962965"/>
    <n v="38"/>
    <n v="89"/>
    <n v="127"/>
    <n v="380"/>
    <n v="890"/>
    <n v="1270"/>
    <n v="33"/>
    <n v="0.94285714285714284"/>
    <n v="15"/>
    <n v="150"/>
    <n v="0.42857142857142855"/>
    <n v="160"/>
    <n v="16"/>
    <n v="0.45714285714285713"/>
    <n v="270"/>
    <n v="27"/>
    <n v="0.77142857142857146"/>
    <n v="83"/>
    <n v="2.3714285714285714"/>
    <n v="255"/>
    <n v="7.2857142857142856"/>
  </r>
  <r>
    <x v="56"/>
    <s v="2007-08"/>
    <x v="127"/>
    <n v="23"/>
    <n v="230"/>
    <x v="5"/>
    <n v="9520"/>
    <n v="236"/>
    <n v="3.6307692307692307"/>
    <n v="91"/>
    <n v="186"/>
    <n v="0.489247311827957"/>
    <n v="10"/>
    <n v="120"/>
    <n v="8.3333333333333329E-2"/>
    <n v="41"/>
    <n v="95"/>
    <n v="0.43157894736842106"/>
    <n v="83"/>
    <n v="133"/>
    <n v="216"/>
    <n v="830"/>
    <n v="1330"/>
    <n v="2160"/>
    <n v="40"/>
    <n v="0.61538461538461542"/>
    <n v="44"/>
    <n v="440"/>
    <n v="0.67692307692307696"/>
    <n v="300"/>
    <n v="30"/>
    <n v="0.46153846153846156"/>
    <n v="370"/>
    <n v="37"/>
    <n v="0.56923076923076921"/>
    <n v="132"/>
    <n v="2.0307692307692307"/>
    <n v="224"/>
    <n v="3.4461538461538463"/>
  </r>
  <r>
    <x v="55"/>
    <s v="2007-08"/>
    <x v="128"/>
    <n v="32"/>
    <n v="320"/>
    <x v="21"/>
    <n v="50"/>
    <n v="7"/>
    <n v="3.5"/>
    <n v="1"/>
    <n v="1"/>
    <n v="10"/>
    <n v="0"/>
    <n v="0"/>
    <e v="#DIV/0!"/>
    <n v="2"/>
    <n v="2"/>
    <n v="1"/>
    <n v="0"/>
    <n v="3"/>
    <n v="3"/>
    <n v="0"/>
    <n v="30"/>
    <n v="30"/>
    <n v="0"/>
    <n v="0"/>
    <n v="0"/>
    <n v="0"/>
    <n v="0"/>
    <n v="0"/>
    <n v="0"/>
    <n v="0"/>
    <n v="0"/>
    <n v="0"/>
    <n v="0"/>
    <n v="0"/>
    <n v="0"/>
    <n v="4"/>
    <n v="2"/>
  </r>
  <r>
    <x v="57"/>
    <s v="2007-08"/>
    <x v="129"/>
    <n v="26"/>
    <n v="260"/>
    <x v="63"/>
    <n v="13250"/>
    <n v="235"/>
    <n v="3.2191780821917808"/>
    <n v="108"/>
    <n v="270"/>
    <n v="4"/>
    <n v="40"/>
    <n v="250"/>
    <n v="0.16"/>
    <n v="49"/>
    <n v="93"/>
    <n v="0.5268817204301075"/>
    <n v="118"/>
    <n v="125"/>
    <n v="243"/>
    <n v="1180"/>
    <n v="1250"/>
    <n v="2430"/>
    <n v="66"/>
    <n v="0.90410958904109584"/>
    <n v="36"/>
    <n v="360"/>
    <n v="0.49315068493150682"/>
    <n v="230"/>
    <n v="23"/>
    <n v="0.31506849315068491"/>
    <n v="640"/>
    <n v="64"/>
    <n v="0.87671232876712324"/>
    <n v="132"/>
    <n v="1.8082191780821917"/>
    <n v="269"/>
    <n v="3.6849315068493151"/>
  </r>
  <r>
    <x v="58"/>
    <s v="2007-08"/>
    <x v="130"/>
    <n v="23"/>
    <n v="230"/>
    <x v="37"/>
    <n v="6340"/>
    <n v="96"/>
    <n v="2.0869565217391304"/>
    <n v="57"/>
    <n v="175"/>
    <n v="326"/>
    <n v="80"/>
    <n v="320"/>
    <n v="0.25"/>
    <n v="23"/>
    <n v="38"/>
    <n v="0.60526315789473684"/>
    <n v="19"/>
    <n v="56"/>
    <n v="75"/>
    <n v="190"/>
    <n v="560"/>
    <n v="750"/>
    <n v="89"/>
    <n v="1.9347826086956521"/>
    <n v="24"/>
    <n v="240"/>
    <n v="0.52173913043478259"/>
    <n v="80"/>
    <n v="8"/>
    <n v="0.17391304347826086"/>
    <n v="560"/>
    <n v="56"/>
    <n v="1.2173913043478262"/>
    <n v="56"/>
    <n v="1.2173913043478262"/>
    <n v="145"/>
    <n v="3.152173913043478"/>
  </r>
  <r>
    <x v="38"/>
    <s v="2007-08"/>
    <x v="131"/>
    <n v="33"/>
    <n v="330"/>
    <x v="20"/>
    <n v="4940"/>
    <n v="77"/>
    <n v="1.5714285714285714"/>
    <n v="66"/>
    <n v="180"/>
    <n v="367"/>
    <n v="20"/>
    <n v="70"/>
    <n v="0.2857142857142857"/>
    <n v="37"/>
    <n v="51"/>
    <n v="0.72549019607843135"/>
    <n v="31"/>
    <n v="72"/>
    <n v="103"/>
    <n v="310"/>
    <n v="720"/>
    <n v="1030"/>
    <n v="28"/>
    <n v="0.5714285714285714"/>
    <n v="16"/>
    <n v="160"/>
    <n v="0.32653061224489793"/>
    <n v="70"/>
    <n v="7"/>
    <n v="0.14285714285714285"/>
    <n v="400"/>
    <n v="40"/>
    <n v="0.81632653061224492"/>
    <n v="80"/>
    <n v="1.6326530612244898"/>
    <n v="171"/>
    <n v="3.489795918367347"/>
  </r>
  <r>
    <x v="60"/>
    <s v="2007-08"/>
    <x v="132"/>
    <n v="22"/>
    <n v="220"/>
    <x v="10"/>
    <n v="1810"/>
    <n v="3"/>
    <n v="0.16666666666666666"/>
    <n v="21"/>
    <n v="58"/>
    <n v="0.36206896551724138"/>
    <n v="0"/>
    <n v="0"/>
    <e v="#DIV/0!"/>
    <n v="14"/>
    <n v="29"/>
    <n v="0.48275862068965519"/>
    <n v="12"/>
    <n v="25"/>
    <n v="37"/>
    <n v="120"/>
    <n v="250"/>
    <n v="370"/>
    <n v="2"/>
    <n v="0.1111111111111111"/>
    <n v="4"/>
    <n v="40"/>
    <n v="0.22222222222222221"/>
    <n v="20"/>
    <n v="2"/>
    <n v="0.1111111111111111"/>
    <n v="90"/>
    <n v="9"/>
    <n v="0.5"/>
    <n v="37"/>
    <n v="2.0555555555555554"/>
    <n v="56"/>
    <n v="3.1111111111111112"/>
  </r>
  <r>
    <x v="61"/>
    <s v="2008-09"/>
    <x v="133"/>
    <n v="27"/>
    <n v="270"/>
    <x v="64"/>
    <n v="3880"/>
    <n v="224"/>
    <n v="20.363636363636363"/>
    <n v="82"/>
    <n v="189"/>
    <n v="434"/>
    <n v="70"/>
    <n v="240"/>
    <n v="0.29166666666666669"/>
    <n v="55"/>
    <n v="67"/>
    <n v="0.82089552238805974"/>
    <n v="40"/>
    <n v="97"/>
    <n v="137"/>
    <n v="400"/>
    <n v="970"/>
    <n v="1370"/>
    <n v="15"/>
    <n v="1.3636363636363635"/>
    <n v="13"/>
    <n v="130"/>
    <n v="1.1818181818181819"/>
    <n v="30"/>
    <n v="3"/>
    <n v="0.27272727272727271"/>
    <n v="230"/>
    <n v="23"/>
    <n v="2.0909090909090908"/>
    <n v="28"/>
    <n v="2.5454545454545454"/>
    <n v="226"/>
    <n v="20.545454545454547"/>
  </r>
  <r>
    <x v="48"/>
    <s v="2008-09"/>
    <x v="134"/>
    <n v="26"/>
    <n v="260"/>
    <x v="16"/>
    <n v="28240"/>
    <n v="1600"/>
    <n v="19.753086419753085"/>
    <n v="522"/>
    <n v="951"/>
    <n v="0.54889589905362779"/>
    <n v="0"/>
    <n v="30"/>
    <n v="0"/>
    <n v="249"/>
    <n v="330"/>
    <n v="0.75454545454545452"/>
    <n v="256"/>
    <n v="695"/>
    <n v="951"/>
    <n v="2560"/>
    <n v="6950"/>
    <n v="9510"/>
    <n v="174"/>
    <n v="2.1481481481481484"/>
    <n v="80"/>
    <n v="800"/>
    <n v="0.98765432098765427"/>
    <n v="220"/>
    <n v="22"/>
    <n v="0.27160493827160492"/>
    <n v="1500"/>
    <n v="150"/>
    <n v="1.8518518518518519"/>
    <n v="260"/>
    <n v="3.2098765432098766"/>
    <n v="1293"/>
    <n v="15.962962962962964"/>
  </r>
  <r>
    <x v="64"/>
    <s v="2008-09"/>
    <x v="135"/>
    <n v="29"/>
    <n v="290"/>
    <x v="58"/>
    <n v="23800"/>
    <n v="973"/>
    <n v="14.308823529411764"/>
    <n v="509"/>
    <n v="1142"/>
    <n v="0.44570928196147108"/>
    <n v="1600"/>
    <n v="4420"/>
    <n v="0.36199095022624433"/>
    <n v="229"/>
    <n v="285"/>
    <n v="0.80350877192982462"/>
    <n v="89"/>
    <n v="338"/>
    <n v="427"/>
    <n v="890"/>
    <n v="3380"/>
    <n v="4270"/>
    <n v="92"/>
    <n v="1.3529411764705883"/>
    <n v="81"/>
    <n v="810"/>
    <n v="1.1911764705882353"/>
    <n v="220"/>
    <n v="22"/>
    <n v="0.3235294117647059"/>
    <n v="1540"/>
    <n v="154"/>
    <n v="2.2647058823529411"/>
    <n v="213"/>
    <n v="3.1323529411764706"/>
    <n v="1407"/>
    <n v="20.691176470588236"/>
  </r>
  <r>
    <x v="51"/>
    <s v="2008-09"/>
    <x v="136"/>
    <n v="25"/>
    <n v="250"/>
    <x v="23"/>
    <n v="22090"/>
    <n v="993"/>
    <n v="13.418918918918919"/>
    <n v="449"/>
    <n v="1028"/>
    <n v="0.4367704280155642"/>
    <n v="1250"/>
    <n v="3850"/>
    <n v="0.32467532467532467"/>
    <n v="249"/>
    <n v="296"/>
    <n v="0.84121621621621623"/>
    <n v="98"/>
    <n v="192"/>
    <n v="290"/>
    <n v="980"/>
    <n v="1920"/>
    <n v="2900"/>
    <n v="301"/>
    <n v="4.0675675675675675"/>
    <n v="95"/>
    <n v="950"/>
    <n v="1.2837837837837838"/>
    <n v="60"/>
    <n v="6"/>
    <n v="8.1081081081081086E-2"/>
    <n v="1390"/>
    <n v="139"/>
    <n v="1.8783783783783783"/>
    <n v="206"/>
    <n v="2.7837837837837838"/>
    <n v="1272"/>
    <n v="17.189189189189189"/>
  </r>
  <r>
    <x v="36"/>
    <s v="2008-09"/>
    <x v="137"/>
    <n v="29"/>
    <n v="290"/>
    <x v="64"/>
    <n v="3920"/>
    <n v="144"/>
    <n v="13.090909090909092"/>
    <n v="73"/>
    <n v="169"/>
    <n v="432"/>
    <n v="350"/>
    <n v="770"/>
    <n v="0.45454545454545453"/>
    <n v="35"/>
    <n v="46"/>
    <n v="0.76086956521739135"/>
    <n v="2"/>
    <n v="15"/>
    <n v="17"/>
    <n v="20"/>
    <n v="150"/>
    <n v="170"/>
    <n v="48"/>
    <n v="4.3636363636363633"/>
    <n v="9"/>
    <n v="90"/>
    <n v="0.81818181818181823"/>
    <n v="0"/>
    <n v="0"/>
    <n v="0"/>
    <n v="260"/>
    <n v="26"/>
    <n v="2.3636363636363638"/>
    <n v="13"/>
    <n v="1.1818181818181819"/>
    <n v="216"/>
    <n v="19.636363636363637"/>
  </r>
  <r>
    <x v="65"/>
    <s v="2008-09"/>
    <x v="138"/>
    <n v="26"/>
    <n v="260"/>
    <x v="24"/>
    <n v="29060"/>
    <n v="1000"/>
    <n v="12.658227848101266"/>
    <n v="287"/>
    <n v="681"/>
    <n v="0.42143906020558003"/>
    <n v="1270"/>
    <n v="3250"/>
    <n v="0.39076923076923076"/>
    <n v="179"/>
    <n v="209"/>
    <n v="0.8564593301435407"/>
    <n v="45"/>
    <n v="201"/>
    <n v="246"/>
    <n v="450"/>
    <n v="2010"/>
    <n v="2460"/>
    <n v="566"/>
    <n v="7.1645569620253164"/>
    <n v="72"/>
    <n v="720"/>
    <n v="0.91139240506329111"/>
    <n v="70"/>
    <n v="7"/>
    <n v="8.8607594936708861E-2"/>
    <n v="2210"/>
    <n v="221"/>
    <n v="2.7974683544303796"/>
    <n v="126"/>
    <n v="1.5949367088607596"/>
    <n v="880"/>
    <n v="11.139240506329115"/>
  </r>
  <r>
    <x v="63"/>
    <s v="2008-09"/>
    <x v="139"/>
    <n v="22"/>
    <n v="220"/>
    <x v="15"/>
    <n v="27350"/>
    <n v="913"/>
    <n v="11.134146341463415"/>
    <n v="455"/>
    <n v="1054"/>
    <n v="0.43168880455407971"/>
    <n v="1030"/>
    <n v="3140"/>
    <n v="0.32802547770700635"/>
    <n v="171"/>
    <n v="215"/>
    <n v="0.79534883720930227"/>
    <n v="91"/>
    <n v="354"/>
    <n v="445"/>
    <n v="910"/>
    <n v="3540"/>
    <n v="4450"/>
    <n v="170"/>
    <n v="2.0731707317073171"/>
    <n v="71"/>
    <n v="710"/>
    <n v="0.86585365853658536"/>
    <n v="750"/>
    <n v="75"/>
    <n v="0.91463414634146345"/>
    <n v="1390"/>
    <n v="139"/>
    <n v="1.6951219512195121"/>
    <n v="250"/>
    <n v="3.0487804878048781"/>
    <n v="1184"/>
    <n v="14.439024390243903"/>
  </r>
  <r>
    <x v="50"/>
    <s v="2008-09"/>
    <x v="140"/>
    <n v="29"/>
    <n v="290"/>
    <x v="48"/>
    <n v="18940"/>
    <n v="584"/>
    <n v="8.1111111111111107"/>
    <n v="262"/>
    <n v="667"/>
    <n v="393"/>
    <n v="1200"/>
    <n v="3290"/>
    <n v="0.36474164133738601"/>
    <n v="89"/>
    <n v="117"/>
    <n v="0.76068376068376065"/>
    <n v="71"/>
    <n v="248"/>
    <n v="319"/>
    <n v="710"/>
    <n v="2480"/>
    <n v="3190"/>
    <n v="117"/>
    <n v="1.625"/>
    <n v="47"/>
    <n v="470"/>
    <n v="0.65277777777777779"/>
    <n v="70"/>
    <n v="7"/>
    <n v="9.7222222222222224E-2"/>
    <n v="740"/>
    <n v="74"/>
    <n v="1.0277777777777777"/>
    <n v="132"/>
    <n v="1.8333333333333333"/>
    <n v="733"/>
    <n v="10.180555555555555"/>
  </r>
  <r>
    <x v="66"/>
    <s v="2008-09"/>
    <x v="141"/>
    <n v="30"/>
    <n v="300"/>
    <x v="13"/>
    <n v="6870"/>
    <n v="200"/>
    <n v="8"/>
    <n v="97"/>
    <n v="249"/>
    <n v="0.38955823293172692"/>
    <n v="350"/>
    <n v="910"/>
    <n v="0.38461538461538464"/>
    <n v="50"/>
    <n v="63"/>
    <n v="0.79365079365079361"/>
    <n v="10"/>
    <n v="55"/>
    <n v="65"/>
    <n v="100"/>
    <n v="550"/>
    <n v="650"/>
    <n v="60"/>
    <n v="2.4"/>
    <n v="36"/>
    <n v="360"/>
    <n v="1.44"/>
    <n v="50"/>
    <n v="5"/>
    <n v="0.2"/>
    <n v="350"/>
    <n v="35"/>
    <n v="1.4"/>
    <n v="45"/>
    <n v="1.8"/>
    <n v="279"/>
    <n v="11.16"/>
  </r>
  <r>
    <x v="67"/>
    <s v="2008-09"/>
    <x v="142"/>
    <n v="23"/>
    <n v="230"/>
    <x v="40"/>
    <n v="60"/>
    <n v="7"/>
    <n v="7"/>
    <n v="1"/>
    <n v="2"/>
    <n v="5"/>
    <n v="0"/>
    <n v="0"/>
    <e v="#DIV/0!"/>
    <n v="1"/>
    <n v="1"/>
    <n v="1"/>
    <n v="2"/>
    <n v="3"/>
    <n v="5"/>
    <n v="20"/>
    <n v="30"/>
    <n v="50"/>
    <n v="0"/>
    <n v="0"/>
    <n v="0"/>
    <n v="0"/>
    <n v="0"/>
    <n v="10"/>
    <n v="1"/>
    <n v="1"/>
    <n v="10"/>
    <n v="1"/>
    <n v="1"/>
    <n v="0"/>
    <n v="0"/>
    <n v="3"/>
    <n v="3"/>
  </r>
  <r>
    <x v="26"/>
    <s v="2008-09"/>
    <x v="143"/>
    <n v="32"/>
    <n v="320"/>
    <x v="38"/>
    <n v="7730"/>
    <n v="247"/>
    <n v="6.8611111111111107"/>
    <n v="119"/>
    <n v="258"/>
    <n v="461"/>
    <n v="530"/>
    <n v="1260"/>
    <n v="0.42063492063492064"/>
    <n v="54"/>
    <n v="67"/>
    <n v="0.80597014925373134"/>
    <n v="20"/>
    <n v="93"/>
    <n v="113"/>
    <n v="200"/>
    <n v="930"/>
    <n v="1130"/>
    <n v="46"/>
    <n v="1.2777777777777777"/>
    <n v="22"/>
    <n v="220"/>
    <n v="0.61111111111111116"/>
    <n v="100"/>
    <n v="10"/>
    <n v="0.27777777777777779"/>
    <n v="460"/>
    <n v="46"/>
    <n v="1.2777777777777777"/>
    <n v="91"/>
    <n v="2.5277777777777777"/>
    <n v="345"/>
    <n v="9.5833333333333339"/>
  </r>
  <r>
    <x v="68"/>
    <s v="2008-09"/>
    <x v="144"/>
    <n v="25"/>
    <n v="250"/>
    <x v="40"/>
    <n v="110"/>
    <n v="6"/>
    <n v="6"/>
    <n v="3"/>
    <n v="6"/>
    <n v="0.5"/>
    <n v="0"/>
    <n v="0"/>
    <e v="#DIV/0!"/>
    <n v="0"/>
    <n v="0"/>
    <e v="#DIV/0!"/>
    <n v="2"/>
    <n v="2"/>
    <n v="4"/>
    <n v="20"/>
    <n v="20"/>
    <n v="40"/>
    <n v="0"/>
    <n v="0"/>
    <n v="0"/>
    <n v="0"/>
    <n v="0"/>
    <n v="0"/>
    <n v="0"/>
    <n v="0"/>
    <n v="0"/>
    <n v="0"/>
    <n v="0"/>
    <n v="1"/>
    <n v="1"/>
    <n v="6"/>
    <n v="6"/>
  </r>
  <r>
    <x v="57"/>
    <s v="2008-09"/>
    <x v="145"/>
    <n v="27"/>
    <n v="270"/>
    <x v="17"/>
    <n v="13100"/>
    <n v="281"/>
    <n v="5.0178571428571432"/>
    <n v="120"/>
    <n v="273"/>
    <n v="44"/>
    <n v="10"/>
    <n v="120"/>
    <n v="8.3333333333333329E-2"/>
    <n v="55"/>
    <n v="90"/>
    <n v="0.61111111111111116"/>
    <n v="128"/>
    <n v="103"/>
    <n v="231"/>
    <n v="1280"/>
    <n v="1030"/>
    <n v="2310"/>
    <n v="80"/>
    <n v="1.4285714285714286"/>
    <n v="47"/>
    <n v="470"/>
    <n v="0.8392857142857143"/>
    <n v="330"/>
    <n v="33"/>
    <n v="0.5892857142857143"/>
    <n v="650"/>
    <n v="65"/>
    <n v="1.1607142857142858"/>
    <n v="153"/>
    <n v="2.7321428571428572"/>
    <n v="296"/>
    <n v="5.2857142857142856"/>
  </r>
  <r>
    <x v="69"/>
    <s v="2008-09"/>
    <x v="146"/>
    <n v="20"/>
    <n v="200"/>
    <x v="9"/>
    <n v="4120"/>
    <n v="125"/>
    <n v="4.4642857142857144"/>
    <n v="56"/>
    <n v="125"/>
    <n v="448"/>
    <n v="320"/>
    <n v="720"/>
    <n v="0.44444444444444442"/>
    <n v="26"/>
    <n v="27"/>
    <n v="0.96296296296296291"/>
    <n v="13"/>
    <n v="42"/>
    <n v="55"/>
    <n v="130"/>
    <n v="420"/>
    <n v="550"/>
    <n v="15"/>
    <n v="0.5357142857142857"/>
    <n v="14"/>
    <n v="140"/>
    <n v="0.5"/>
    <n v="40"/>
    <n v="4"/>
    <n v="0.14285714285714285"/>
    <n v="150"/>
    <n v="15"/>
    <n v="0.5357142857142857"/>
    <n v="48"/>
    <n v="1.7142857142857142"/>
    <n v="170"/>
    <n v="6.0714285714285712"/>
  </r>
  <r>
    <x v="70"/>
    <s v="2008-09"/>
    <x v="147"/>
    <n v="26"/>
    <n v="260"/>
    <x v="13"/>
    <n v="3300"/>
    <n v="102"/>
    <n v="4.08"/>
    <n v="54"/>
    <n v="102"/>
    <n v="529"/>
    <n v="0"/>
    <n v="10"/>
    <n v="0"/>
    <n v="27"/>
    <n v="53"/>
    <n v="0.50943396226415094"/>
    <n v="31"/>
    <n v="51"/>
    <n v="82"/>
    <n v="310"/>
    <n v="510"/>
    <n v="820"/>
    <n v="14"/>
    <n v="0.56000000000000005"/>
    <n v="8"/>
    <n v="80"/>
    <n v="0.32"/>
    <n v="50"/>
    <n v="5"/>
    <n v="0.2"/>
    <n v="200"/>
    <n v="20"/>
    <n v="0.8"/>
    <n v="48"/>
    <n v="1.92"/>
    <n v="135"/>
    <n v="5.4"/>
  </r>
  <r>
    <x v="71"/>
    <s v="2008-09"/>
    <x v="148"/>
    <n v="23"/>
    <n v="230"/>
    <x v="21"/>
    <n v="230"/>
    <n v="6"/>
    <n v="3"/>
    <n v="3"/>
    <n v="10"/>
    <n v="3"/>
    <n v="10"/>
    <n v="40"/>
    <n v="0.25"/>
    <n v="2"/>
    <n v="2"/>
    <n v="1"/>
    <n v="1"/>
    <n v="3"/>
    <n v="4"/>
    <n v="10"/>
    <n v="30"/>
    <n v="40"/>
    <n v="1"/>
    <n v="0.5"/>
    <n v="1"/>
    <n v="10"/>
    <n v="0.5"/>
    <n v="0"/>
    <n v="0"/>
    <n v="0"/>
    <n v="0"/>
    <n v="0"/>
    <n v="0"/>
    <n v="2"/>
    <n v="1"/>
    <n v="9"/>
    <n v="4.5"/>
  </r>
  <r>
    <x v="72"/>
    <s v="2008-09"/>
    <x v="149"/>
    <n v="26"/>
    <n v="260"/>
    <x v="19"/>
    <n v="2530"/>
    <n v="63"/>
    <n v="2.7391304347826089"/>
    <n v="39"/>
    <n v="103"/>
    <n v="379"/>
    <n v="240"/>
    <n v="710"/>
    <n v="0.3380281690140845"/>
    <n v="5"/>
    <n v="5"/>
    <n v="1"/>
    <n v="4"/>
    <n v="11"/>
    <n v="15"/>
    <n v="40"/>
    <n v="110"/>
    <n v="150"/>
    <n v="19"/>
    <n v="0.82608695652173914"/>
    <n v="10"/>
    <n v="100"/>
    <n v="0.43478260869565216"/>
    <n v="10"/>
    <n v="1"/>
    <n v="4.3478260869565216E-2"/>
    <n v="70"/>
    <n v="7"/>
    <n v="0.30434782608695654"/>
    <n v="18"/>
    <n v="0.78260869565217395"/>
    <n v="107"/>
    <n v="4.6521739130434785"/>
  </r>
  <r>
    <x v="73"/>
    <s v="2008-09"/>
    <x v="150"/>
    <n v="24"/>
    <n v="240"/>
    <x v="21"/>
    <n v="90"/>
    <n v="4"/>
    <n v="2"/>
    <n v="2"/>
    <n v="5"/>
    <n v="0.4"/>
    <n v="0"/>
    <n v="10"/>
    <n v="0"/>
    <n v="1"/>
    <n v="2"/>
    <n v="0.5"/>
    <n v="0"/>
    <n v="2"/>
    <n v="2"/>
    <n v="0"/>
    <n v="20"/>
    <n v="20"/>
    <n v="0"/>
    <n v="0"/>
    <n v="0"/>
    <n v="0"/>
    <n v="0"/>
    <n v="10"/>
    <n v="1"/>
    <n v="0.5"/>
    <n v="0"/>
    <n v="0"/>
    <n v="0"/>
    <n v="0"/>
    <n v="0"/>
    <n v="5"/>
    <n v="2.5"/>
  </r>
  <r>
    <x v="55"/>
    <s v="2008-09"/>
    <x v="151"/>
    <n v="33"/>
    <n v="330"/>
    <x v="21"/>
    <n v="100"/>
    <n v="3"/>
    <n v="1.5"/>
    <n v="3"/>
    <n v="8"/>
    <n v="375"/>
    <n v="0"/>
    <n v="0"/>
    <e v="#DIV/0!"/>
    <n v="0"/>
    <n v="0"/>
    <e v="#DIV/0!"/>
    <n v="1"/>
    <n v="2"/>
    <n v="3"/>
    <n v="10"/>
    <n v="20"/>
    <n v="30"/>
    <n v="0"/>
    <n v="0"/>
    <n v="1"/>
    <n v="10"/>
    <n v="0.5"/>
    <n v="10"/>
    <n v="1"/>
    <n v="0.5"/>
    <n v="10"/>
    <n v="1"/>
    <n v="0.5"/>
    <n v="2"/>
    <n v="1"/>
    <n v="6"/>
    <n v="3"/>
  </r>
  <r>
    <x v="58"/>
    <s v="2008-09"/>
    <x v="152"/>
    <n v="24"/>
    <n v="240"/>
    <x v="65"/>
    <n v="750"/>
    <n v="8"/>
    <n v="0.88888888888888884"/>
    <n v="8"/>
    <n v="23"/>
    <n v="348"/>
    <n v="0"/>
    <n v="30"/>
    <n v="0"/>
    <n v="4"/>
    <n v="9"/>
    <n v="0.44444444444444442"/>
    <n v="2"/>
    <n v="6"/>
    <n v="8"/>
    <n v="20"/>
    <n v="60"/>
    <n v="80"/>
    <n v="10"/>
    <n v="1.1111111111111112"/>
    <n v="2"/>
    <n v="20"/>
    <n v="0.22222222222222221"/>
    <n v="0"/>
    <n v="0"/>
    <n v="0"/>
    <n v="50"/>
    <n v="5"/>
    <n v="0.55555555555555558"/>
    <n v="7"/>
    <n v="0.77777777777777779"/>
    <n v="20"/>
    <n v="2.2222222222222223"/>
  </r>
  <r>
    <x v="46"/>
    <s v="2008-09"/>
    <x v="153"/>
    <n v="26"/>
    <n v="260"/>
    <x v="41"/>
    <n v="120"/>
    <n v="0"/>
    <n v="0"/>
    <n v="2"/>
    <n v="2"/>
    <n v="10"/>
    <n v="0"/>
    <n v="0"/>
    <e v="#DIV/0!"/>
    <n v="1"/>
    <n v="3"/>
    <n v="0.33333333333333331"/>
    <n v="0"/>
    <n v="4"/>
    <n v="4"/>
    <n v="0"/>
    <n v="40"/>
    <n v="40"/>
    <n v="0"/>
    <n v="0"/>
    <n v="0"/>
    <n v="0"/>
    <n v="0"/>
    <n v="0"/>
    <n v="0"/>
    <n v="0"/>
    <n v="20"/>
    <n v="2"/>
    <n v="0.66666666666666663"/>
    <n v="5"/>
    <n v="1.6666666666666667"/>
    <n v="5"/>
    <n v="1.6666666666666667"/>
  </r>
  <r>
    <x v="38"/>
    <s v="2008-09"/>
    <x v="154"/>
    <n v="34"/>
    <n v="340"/>
    <x v="10"/>
    <n v="1600"/>
    <n v="-1"/>
    <n v="-5.5555555555555552E-2"/>
    <n v="11"/>
    <n v="41"/>
    <n v="268"/>
    <n v="0"/>
    <n v="40"/>
    <n v="0"/>
    <n v="8"/>
    <n v="11"/>
    <n v="0.72727272727272729"/>
    <n v="4"/>
    <n v="27"/>
    <n v="31"/>
    <n v="40"/>
    <n v="270"/>
    <n v="310"/>
    <n v="10"/>
    <n v="0.55555555555555558"/>
    <n v="1"/>
    <n v="10"/>
    <n v="5.5555555555555552E-2"/>
    <n v="10"/>
    <n v="1"/>
    <n v="5.5555555555555552E-2"/>
    <n v="170"/>
    <n v="17"/>
    <n v="0.94444444444444442"/>
    <n v="24"/>
    <n v="1.3333333333333333"/>
    <n v="30"/>
    <n v="1.6666666666666667"/>
  </r>
  <r>
    <x v="74"/>
    <s v="2008-09"/>
    <x v="155"/>
    <n v="24"/>
    <n v="240"/>
    <x v="21"/>
    <n v="80"/>
    <n v="-3"/>
    <n v="-1.5"/>
    <n v="0"/>
    <n v="3"/>
    <n v="0"/>
    <n v="0"/>
    <n v="0"/>
    <e v="#DIV/0!"/>
    <n v="0"/>
    <n v="2"/>
    <n v="0"/>
    <n v="1"/>
    <n v="1"/>
    <n v="2"/>
    <n v="10"/>
    <n v="10"/>
    <n v="20"/>
    <n v="0"/>
    <n v="0"/>
    <n v="0"/>
    <n v="0"/>
    <n v="0"/>
    <n v="0"/>
    <n v="0"/>
    <n v="0"/>
    <n v="0"/>
    <n v="0"/>
    <n v="0"/>
    <n v="0"/>
    <n v="0"/>
    <n v="0"/>
    <n v="0"/>
  </r>
  <r>
    <x v="48"/>
    <s v="2009-10"/>
    <x v="156"/>
    <n v="27"/>
    <n v="270"/>
    <x v="16"/>
    <n v="30190"/>
    <n v="1929"/>
    <n v="23.814814814814813"/>
    <n v="686"/>
    <n v="1258"/>
    <n v="0.54531001589825123"/>
    <n v="0"/>
    <n v="80"/>
    <n v="0"/>
    <n v="268"/>
    <n v="330"/>
    <n v="0.81212121212121213"/>
    <n v="228"/>
    <n v="721"/>
    <n v="949"/>
    <n v="2280"/>
    <n v="7210"/>
    <n v="9490"/>
    <n v="295"/>
    <n v="3.6419753086419755"/>
    <n v="85"/>
    <n v="850"/>
    <n v="1.0493827160493827"/>
    <n v="400"/>
    <n v="40"/>
    <n v="0.49382716049382713"/>
    <n v="1890"/>
    <n v="189"/>
    <n v="2.3333333333333335"/>
    <n v="257"/>
    <n v="3.1728395061728394"/>
    <n v="1640"/>
    <n v="20.246913580246915"/>
  </r>
  <r>
    <x v="75"/>
    <s v="2009-10"/>
    <x v="157"/>
    <n v="28"/>
    <n v="280"/>
    <x v="66"/>
    <n v="2320"/>
    <n v="95"/>
    <n v="13.571428571428571"/>
    <n v="30"/>
    <n v="68"/>
    <n v="0.44117647058823528"/>
    <n v="0"/>
    <n v="0"/>
    <e v="#DIV/0!"/>
    <n v="22"/>
    <n v="29"/>
    <n v="0.75862068965517238"/>
    <n v="31"/>
    <n v="46"/>
    <n v="77"/>
    <n v="310"/>
    <n v="460"/>
    <n v="770"/>
    <n v="8"/>
    <n v="1.1428571428571428"/>
    <n v="4"/>
    <n v="40"/>
    <n v="0.5714285714285714"/>
    <n v="40"/>
    <n v="4"/>
    <n v="0.5714285714285714"/>
    <n v="110"/>
    <n v="11"/>
    <n v="1.5714285714285714"/>
    <n v="24"/>
    <n v="3.4285714285714284"/>
    <n v="82"/>
    <n v="11.714285714285714"/>
  </r>
  <r>
    <x v="63"/>
    <s v="2009-10"/>
    <x v="158"/>
    <n v="23"/>
    <n v="230"/>
    <x v="5"/>
    <n v="23200"/>
    <n v="803"/>
    <n v="12.353846153846154"/>
    <n v="412"/>
    <n v="860"/>
    <n v="0.47906976744186047"/>
    <n v="400"/>
    <n v="1500"/>
    <n v="0.26666666666666666"/>
    <n v="129"/>
    <n v="160"/>
    <n v="0.80625000000000002"/>
    <n v="93"/>
    <n v="255"/>
    <n v="348"/>
    <n v="930"/>
    <n v="2550"/>
    <n v="3480"/>
    <n v="138"/>
    <n v="2.1230769230769231"/>
    <n v="46"/>
    <n v="460"/>
    <n v="0.70769230769230773"/>
    <n v="490"/>
    <n v="49"/>
    <n v="0.75384615384615383"/>
    <n v="1080"/>
    <n v="108"/>
    <n v="1.6615384615384616"/>
    <n v="184"/>
    <n v="2.8307692307692309"/>
    <n v="993"/>
    <n v="15.276923076923078"/>
  </r>
  <r>
    <x v="69"/>
    <s v="2009-10"/>
    <x v="159"/>
    <n v="21"/>
    <n v="210"/>
    <x v="16"/>
    <n v="27470"/>
    <n v="995"/>
    <n v="12.283950617283951"/>
    <n v="392"/>
    <n v="927"/>
    <n v="423"/>
    <n v="1860"/>
    <n v="4880"/>
    <n v="0.38114754098360654"/>
    <n v="251"/>
    <n v="307"/>
    <n v="0.8175895765472313"/>
    <n v="65"/>
    <n v="333"/>
    <n v="398"/>
    <n v="650"/>
    <n v="3330"/>
    <n v="3980"/>
    <n v="135"/>
    <n v="1.6666666666666667"/>
    <n v="75"/>
    <n v="750"/>
    <n v="0.92592592592592593"/>
    <n v="580"/>
    <n v="58"/>
    <n v="0.71604938271604934"/>
    <n v="1100"/>
    <n v="110"/>
    <n v="1.3580246913580247"/>
    <n v="191"/>
    <n v="2.3580246913580245"/>
    <n v="1221"/>
    <n v="15.074074074074074"/>
  </r>
  <r>
    <x v="64"/>
    <s v="2009-10"/>
    <x v="160"/>
    <n v="30"/>
    <n v="300"/>
    <x v="48"/>
    <n v="21950"/>
    <n v="879"/>
    <n v="12.208333333333334"/>
    <n v="448"/>
    <n v="1030"/>
    <n v="0.43495145631067961"/>
    <n v="1400"/>
    <n v="4090"/>
    <n v="0.34229828850855748"/>
    <n v="240"/>
    <n v="317"/>
    <n v="0.75709779179810721"/>
    <n v="88"/>
    <n v="317"/>
    <n v="405"/>
    <n v="880"/>
    <n v="3170"/>
    <n v="4050"/>
    <n v="110"/>
    <n v="1.5277777777777777"/>
    <n v="62"/>
    <n v="620"/>
    <n v="0.86111111111111116"/>
    <n v="260"/>
    <n v="26"/>
    <n v="0.3611111111111111"/>
    <n v="1320"/>
    <n v="132"/>
    <n v="1.8333333333333333"/>
    <n v="209"/>
    <n v="2.9027777777777777"/>
    <n v="1276"/>
    <n v="17.722222222222221"/>
  </r>
  <r>
    <x v="51"/>
    <s v="2009-10"/>
    <x v="161"/>
    <n v="26"/>
    <n v="260"/>
    <x v="8"/>
    <n v="7330"/>
    <n v="298"/>
    <n v="9.9333333333333336"/>
    <n v="152"/>
    <n v="336"/>
    <n v="0.45238095238095238"/>
    <n v="510"/>
    <n v="1360"/>
    <n v="0.375"/>
    <n v="42"/>
    <n v="54"/>
    <n v="0.77777777777777779"/>
    <n v="23"/>
    <n v="49"/>
    <n v="72"/>
    <n v="230"/>
    <n v="490"/>
    <n v="720"/>
    <n v="112"/>
    <n v="3.7333333333333334"/>
    <n v="27"/>
    <n v="270"/>
    <n v="0.9"/>
    <n v="50"/>
    <n v="5"/>
    <n v="0.16666666666666666"/>
    <n v="530"/>
    <n v="53"/>
    <n v="1.7666666666666666"/>
    <n v="66"/>
    <n v="2.2000000000000002"/>
    <n v="397"/>
    <n v="13.233333333333333"/>
  </r>
  <r>
    <x v="65"/>
    <s v="2009-10"/>
    <x v="162"/>
    <n v="27"/>
    <n v="270"/>
    <x v="49"/>
    <n v="20720"/>
    <n v="609"/>
    <n v="9.08955223880597"/>
    <n v="168"/>
    <n v="451"/>
    <n v="0.37250554323725055"/>
    <n v="900"/>
    <n v="2580"/>
    <n v="0.34883720930232559"/>
    <n v="68"/>
    <n v="95"/>
    <n v="0.71578947368421053"/>
    <n v="28"/>
    <n v="150"/>
    <n v="178"/>
    <n v="280"/>
    <n v="1500"/>
    <n v="1780"/>
    <n v="378"/>
    <n v="5.6417910447761193"/>
    <n v="59"/>
    <n v="590"/>
    <n v="0.88059701492537312"/>
    <n v="30"/>
    <n v="3"/>
    <n v="4.4776119402985072E-2"/>
    <n v="1100"/>
    <n v="110"/>
    <n v="1.6417910447761195"/>
    <n v="83"/>
    <n v="1.2388059701492538"/>
    <n v="494"/>
    <n v="7.3731343283582094"/>
  </r>
  <r>
    <x v="76"/>
    <s v="2009-10"/>
    <x v="163"/>
    <n v="22"/>
    <n v="220"/>
    <x v="31"/>
    <n v="7390"/>
    <n v="243"/>
    <n v="9"/>
    <n v="117"/>
    <n v="226"/>
    <n v="518"/>
    <n v="500"/>
    <n v="1160"/>
    <n v="0.43103448275862066"/>
    <n v="37"/>
    <n v="47"/>
    <n v="0.78723404255319152"/>
    <n v="15"/>
    <n v="68"/>
    <n v="83"/>
    <n v="150"/>
    <n v="680"/>
    <n v="830"/>
    <n v="37"/>
    <n v="1.3703703703703705"/>
    <n v="23"/>
    <n v="230"/>
    <n v="0.85185185185185186"/>
    <n v="30"/>
    <n v="3"/>
    <n v="0.1111111111111111"/>
    <n v="260"/>
    <n v="26"/>
    <n v="0.96296296296296291"/>
    <n v="79"/>
    <n v="2.925925925925926"/>
    <n v="321"/>
    <n v="11.888888888888889"/>
  </r>
  <r>
    <x v="77"/>
    <s v="2009-10"/>
    <x v="164"/>
    <n v="31"/>
    <n v="310"/>
    <x v="32"/>
    <n v="6270"/>
    <n v="208"/>
    <n v="8.6666666666666661"/>
    <n v="84"/>
    <n v="216"/>
    <n v="0.3888888888888889"/>
    <n v="150"/>
    <n v="620"/>
    <n v="0.24193548387096775"/>
    <n v="43"/>
    <n v="57"/>
    <n v="0.75438596491228072"/>
    <n v="22"/>
    <n v="67"/>
    <n v="89"/>
    <n v="220"/>
    <n v="670"/>
    <n v="890"/>
    <n v="93"/>
    <n v="3.875"/>
    <n v="15"/>
    <n v="150"/>
    <n v="0.625"/>
    <n v="120"/>
    <n v="12"/>
    <n v="0.5"/>
    <n v="430"/>
    <n v="43"/>
    <n v="1.7916666666666667"/>
    <n v="38"/>
    <n v="1.5833333333333333"/>
    <n v="226"/>
    <n v="9.4166666666666661"/>
  </r>
  <r>
    <x v="66"/>
    <s v="2009-10"/>
    <x v="165"/>
    <n v="31"/>
    <n v="310"/>
    <x v="67"/>
    <n v="8200"/>
    <n v="267"/>
    <n v="8.612903225806452"/>
    <n v="102"/>
    <n v="279"/>
    <n v="0.36559139784946237"/>
    <n v="280"/>
    <n v="970"/>
    <n v="0.28865979381443296"/>
    <n v="65"/>
    <n v="79"/>
    <n v="0.82278481012658233"/>
    <n v="16"/>
    <n v="94"/>
    <n v="110"/>
    <n v="160"/>
    <n v="940"/>
    <n v="1100"/>
    <n v="109"/>
    <n v="3.5161290322580645"/>
    <n v="40"/>
    <n v="400"/>
    <n v="1.2903225806451613"/>
    <n v="110"/>
    <n v="11"/>
    <n v="0.35483870967741937"/>
    <n v="560"/>
    <n v="56"/>
    <n v="1.8064516129032258"/>
    <n v="53"/>
    <n v="1.7096774193548387"/>
    <n v="297"/>
    <n v="9.5806451612903221"/>
  </r>
  <r>
    <x v="78"/>
    <s v="2009-10"/>
    <x v="166"/>
    <n v="24"/>
    <n v="240"/>
    <x v="31"/>
    <n v="5310"/>
    <n v="172"/>
    <n v="6.3703703703703702"/>
    <n v="79"/>
    <n v="161"/>
    <n v="0.49068322981366458"/>
    <n v="170"/>
    <n v="490"/>
    <n v="0.34693877551020408"/>
    <n v="25"/>
    <n v="31"/>
    <n v="0.80645161290322576"/>
    <n v="9"/>
    <n v="30"/>
    <n v="39"/>
    <n v="90"/>
    <n v="300"/>
    <n v="390"/>
    <n v="91"/>
    <n v="3.3703703703703702"/>
    <n v="21"/>
    <n v="210"/>
    <n v="0.77777777777777779"/>
    <n v="20"/>
    <n v="2"/>
    <n v="7.407407407407407E-2"/>
    <n v="550"/>
    <n v="55"/>
    <n v="2.0370370370370372"/>
    <n v="38"/>
    <n v="1.4074074074074074"/>
    <n v="200"/>
    <n v="7.4074074074074074"/>
  </r>
  <r>
    <x v="79"/>
    <s v="2009-10"/>
    <x v="167"/>
    <n v="24"/>
    <n v="240"/>
    <x v="17"/>
    <n v="10870"/>
    <n v="350"/>
    <n v="6.25"/>
    <n v="179"/>
    <n v="391"/>
    <n v="0.4578005115089514"/>
    <n v="680"/>
    <n v="1750"/>
    <n v="0.38857142857142857"/>
    <n v="55"/>
    <n v="68"/>
    <n v="0.80882352941176472"/>
    <n v="40"/>
    <n v="68"/>
    <n v="108"/>
    <n v="400"/>
    <n v="680"/>
    <n v="1080"/>
    <n v="112"/>
    <n v="2"/>
    <n v="42"/>
    <n v="420"/>
    <n v="0.75"/>
    <n v="30"/>
    <n v="3"/>
    <n v="5.3571428571428568E-2"/>
    <n v="550"/>
    <n v="55"/>
    <n v="0.9821428571428571"/>
    <n v="116"/>
    <n v="2.0714285714285716"/>
    <n v="481"/>
    <n v="8.5892857142857135"/>
  </r>
  <r>
    <x v="57"/>
    <s v="2009-10"/>
    <x v="168"/>
    <n v="28"/>
    <n v="280"/>
    <x v="59"/>
    <n v="14620"/>
    <n v="321"/>
    <n v="6.1730769230769234"/>
    <n v="102"/>
    <n v="230"/>
    <n v="443"/>
    <n v="200"/>
    <n v="620"/>
    <n v="0.32258064516129031"/>
    <n v="60"/>
    <n v="93"/>
    <n v="0.64516129032258063"/>
    <n v="99"/>
    <n v="124"/>
    <n v="223"/>
    <n v="990"/>
    <n v="1240"/>
    <n v="2230"/>
    <n v="83"/>
    <n v="1.5961538461538463"/>
    <n v="53"/>
    <n v="530"/>
    <n v="1.0192307692307692"/>
    <n v="580"/>
    <n v="58"/>
    <n v="1.1153846153846154"/>
    <n v="620"/>
    <n v="62"/>
    <n v="1.1923076923076923"/>
    <n v="157"/>
    <n v="3.0192307692307692"/>
    <n v="284"/>
    <n v="5.4615384615384617"/>
  </r>
  <r>
    <x v="80"/>
    <s v="2009-10"/>
    <x v="169"/>
    <n v="32"/>
    <n v="320"/>
    <x v="10"/>
    <n v="3710"/>
    <n v="75"/>
    <n v="4.166666666666667"/>
    <n v="44"/>
    <n v="133"/>
    <n v="0.33082706766917291"/>
    <n v="150"/>
    <n v="600"/>
    <n v="0.25"/>
    <n v="12"/>
    <n v="12"/>
    <n v="1"/>
    <n v="6"/>
    <n v="34"/>
    <n v="40"/>
    <n v="60"/>
    <n v="340"/>
    <n v="400"/>
    <n v="37"/>
    <n v="2.0555555555555554"/>
    <n v="12"/>
    <n v="120"/>
    <n v="0.66666666666666663"/>
    <n v="0"/>
    <n v="0"/>
    <n v="0"/>
    <n v="200"/>
    <n v="20"/>
    <n v="1.1111111111111112"/>
    <n v="20"/>
    <n v="1.1111111111111112"/>
    <n v="115"/>
    <n v="6.3888888888888893"/>
  </r>
  <r>
    <x v="81"/>
    <s v="2009-10"/>
    <x v="170"/>
    <n v="29"/>
    <n v="290"/>
    <x v="13"/>
    <n v="2920"/>
    <n v="82"/>
    <n v="3.28"/>
    <n v="40"/>
    <n v="100"/>
    <n v="4"/>
    <n v="140"/>
    <n v="390"/>
    <n v="0.35897435897435898"/>
    <n v="24"/>
    <n v="26"/>
    <n v="0.92307692307692313"/>
    <n v="15"/>
    <n v="37"/>
    <n v="52"/>
    <n v="150"/>
    <n v="370"/>
    <n v="520"/>
    <n v="16"/>
    <n v="0.64"/>
    <n v="2"/>
    <n v="20"/>
    <n v="0.08"/>
    <n v="170"/>
    <n v="17"/>
    <n v="0.68"/>
    <n v="280"/>
    <n v="28"/>
    <n v="1.1200000000000001"/>
    <n v="33"/>
    <n v="1.32"/>
    <n v="118"/>
    <n v="4.72"/>
  </r>
  <r>
    <x v="82"/>
    <s v="2009-10"/>
    <x v="171"/>
    <n v="25"/>
    <n v="250"/>
    <x v="64"/>
    <n v="1400"/>
    <n v="36"/>
    <n v="3.2727272727272729"/>
    <n v="19"/>
    <n v="39"/>
    <n v="487"/>
    <n v="0"/>
    <n v="80"/>
    <n v="0"/>
    <n v="7"/>
    <n v="11"/>
    <n v="0.63636363636363635"/>
    <n v="12"/>
    <n v="19"/>
    <n v="31"/>
    <n v="120"/>
    <n v="190"/>
    <n v="310"/>
    <n v="7"/>
    <n v="0.63636363636363635"/>
    <n v="5"/>
    <n v="50"/>
    <n v="0.45454545454545453"/>
    <n v="10"/>
    <n v="1"/>
    <n v="9.0909090909090912E-2"/>
    <n v="100"/>
    <n v="10"/>
    <n v="0.90909090909090906"/>
    <n v="19"/>
    <n v="1.7272727272727273"/>
    <n v="45"/>
    <n v="4.0909090909090908"/>
  </r>
  <r>
    <x v="83"/>
    <s v="2009-10"/>
    <x v="172"/>
    <n v="22"/>
    <n v="220"/>
    <x v="32"/>
    <n v="2520"/>
    <n v="78"/>
    <n v="3.25"/>
    <n v="41"/>
    <n v="92"/>
    <n v="0.44565217391304346"/>
    <n v="0"/>
    <n v="20"/>
    <n v="0"/>
    <n v="15"/>
    <n v="21"/>
    <n v="0.7142857142857143"/>
    <n v="32"/>
    <n v="29"/>
    <n v="61"/>
    <n v="320"/>
    <n v="290"/>
    <n v="610"/>
    <n v="7"/>
    <n v="0.29166666666666669"/>
    <n v="10"/>
    <n v="100"/>
    <n v="0.41666666666666669"/>
    <n v="90"/>
    <n v="9"/>
    <n v="0.375"/>
    <n v="120"/>
    <n v="12"/>
    <n v="0.5"/>
    <n v="37"/>
    <n v="1.5416666666666667"/>
    <n v="97"/>
    <n v="4.041666666666667"/>
  </r>
  <r>
    <x v="84"/>
    <s v="2009-10"/>
    <x v="173"/>
    <n v="25"/>
    <n v="250"/>
    <x v="52"/>
    <n v="710"/>
    <n v="25"/>
    <n v="3.125"/>
    <n v="8"/>
    <n v="17"/>
    <n v="0.47058823529411764"/>
    <n v="0"/>
    <n v="0"/>
    <e v="#DIV/0!"/>
    <n v="0"/>
    <n v="0"/>
    <e v="#DIV/0!"/>
    <n v="5"/>
    <n v="13"/>
    <n v="18"/>
    <n v="50"/>
    <n v="130"/>
    <n v="180"/>
    <n v="4"/>
    <n v="0.5"/>
    <n v="4"/>
    <n v="40"/>
    <n v="0.5"/>
    <n v="10"/>
    <n v="1"/>
    <n v="0.125"/>
    <n v="20"/>
    <n v="2"/>
    <n v="0.25"/>
    <n v="7"/>
    <n v="0.875"/>
    <n v="16"/>
    <n v="2"/>
  </r>
  <r>
    <x v="85"/>
    <s v="2009-10"/>
    <x v="174"/>
    <n v="24"/>
    <n v="240"/>
    <x v="39"/>
    <n v="1080"/>
    <n v="19"/>
    <n v="1.1176470588235294"/>
    <n v="16"/>
    <n v="41"/>
    <n v="0.3902439024390244"/>
    <n v="90"/>
    <n v="260"/>
    <n v="0.34615384615384615"/>
    <n v="3"/>
    <n v="5"/>
    <n v="0.6"/>
    <n v="5"/>
    <n v="14"/>
    <n v="19"/>
    <n v="50"/>
    <n v="140"/>
    <n v="190"/>
    <n v="0"/>
    <n v="0"/>
    <n v="1"/>
    <n v="10"/>
    <n v="5.8823529411764705E-2"/>
    <n v="20"/>
    <n v="2"/>
    <n v="0.11764705882352941"/>
    <n v="60"/>
    <n v="6"/>
    <n v="0.35294117647058826"/>
    <n v="14"/>
    <n v="0.82352941176470584"/>
    <n v="44"/>
    <n v="2.5882352941176472"/>
  </r>
  <r>
    <x v="46"/>
    <s v="2009-10"/>
    <x v="175"/>
    <n v="27"/>
    <n v="270"/>
    <x v="66"/>
    <n v="620"/>
    <n v="-6"/>
    <n v="-0.8571428571428571"/>
    <n v="8"/>
    <n v="21"/>
    <n v="381"/>
    <n v="0"/>
    <n v="0"/>
    <e v="#DIV/0!"/>
    <n v="10"/>
    <n v="17"/>
    <n v="0.58823529411764708"/>
    <n v="4"/>
    <n v="9"/>
    <n v="13"/>
    <n v="40"/>
    <n v="90"/>
    <n v="130"/>
    <n v="0"/>
    <n v="0"/>
    <n v="0"/>
    <n v="0"/>
    <n v="0"/>
    <n v="10"/>
    <n v="1"/>
    <n v="0.14285714285714285"/>
    <n v="130"/>
    <n v="13"/>
    <n v="1.8571428571428572"/>
    <n v="13"/>
    <n v="1.8571428571428572"/>
    <n v="26"/>
    <n v="3.7142857142857144"/>
  </r>
  <r>
    <x v="86"/>
    <s v="2010-11"/>
    <x v="176"/>
    <n v="28"/>
    <n v="280"/>
    <x v="2"/>
    <n v="28700"/>
    <n v="1644"/>
    <n v="21.076923076923077"/>
    <n v="744"/>
    <n v="1482"/>
    <n v="502"/>
    <n v="100"/>
    <n v="230"/>
    <n v="0.43478260869565216"/>
    <n v="473"/>
    <n v="597"/>
    <n v="0.79229480737018421"/>
    <n v="198"/>
    <n v="438"/>
    <n v="636"/>
    <n v="1980"/>
    <n v="4380"/>
    <n v="6360"/>
    <n v="202"/>
    <n v="2.5897435897435899"/>
    <n v="71"/>
    <n v="710"/>
    <n v="0.91025641025641024"/>
    <n v="1500"/>
    <n v="150"/>
    <n v="1.9230769230769231"/>
    <n v="2500"/>
    <n v="250"/>
    <n v="3.2051282051282053"/>
    <n v="274"/>
    <n v="3.5128205128205128"/>
    <n v="1971"/>
    <n v="25.26923076923077"/>
  </r>
  <r>
    <x v="87"/>
    <s v="2010-11"/>
    <x v="177"/>
    <n v="27"/>
    <n v="270"/>
    <x v="31"/>
    <n v="9770"/>
    <n v="546"/>
    <n v="20.222222222222221"/>
    <n v="247"/>
    <n v="536"/>
    <n v="0.46082089552238809"/>
    <n v="530"/>
    <n v="1250"/>
    <n v="0.42399999999999999"/>
    <n v="164"/>
    <n v="188"/>
    <n v="0.87234042553191493"/>
    <n v="41"/>
    <n v="140"/>
    <n v="181"/>
    <n v="410"/>
    <n v="1400"/>
    <n v="1810"/>
    <n v="81"/>
    <n v="3"/>
    <n v="25"/>
    <n v="250"/>
    <n v="0.92592592592592593"/>
    <n v="150"/>
    <n v="15"/>
    <n v="0.55555555555555558"/>
    <n v="640"/>
    <n v="64"/>
    <n v="2.3703703703703702"/>
    <n v="90"/>
    <n v="3.3333333333333335"/>
    <n v="711"/>
    <n v="26.333333333333332"/>
  </r>
  <r>
    <x v="88"/>
    <s v="2010-11"/>
    <x v="178"/>
    <n v="27"/>
    <n v="270"/>
    <x v="43"/>
    <n v="20740"/>
    <n v="938"/>
    <n v="17.37037037037037"/>
    <n v="339"/>
    <n v="801"/>
    <n v="0.42322097378277151"/>
    <n v="880"/>
    <n v="2680"/>
    <n v="0.32835820895522388"/>
    <n v="157"/>
    <n v="181"/>
    <n v="0.86740331491712708"/>
    <n v="40"/>
    <n v="154"/>
    <n v="194"/>
    <n v="400"/>
    <n v="1540"/>
    <n v="1940"/>
    <n v="488"/>
    <n v="9.0370370370370363"/>
    <n v="97"/>
    <n v="970"/>
    <n v="1.7962962962962963"/>
    <n v="110"/>
    <n v="11"/>
    <n v="0.20370370370370369"/>
    <n v="1760"/>
    <n v="176"/>
    <n v="3.2592592592592591"/>
    <n v="113"/>
    <n v="2.0925925925925926"/>
    <n v="923"/>
    <n v="17.092592592592592"/>
  </r>
  <r>
    <x v="89"/>
    <s v="2010-11"/>
    <x v="179"/>
    <n v="34"/>
    <n v="340"/>
    <x v="27"/>
    <n v="6640"/>
    <n v="303"/>
    <n v="14.428571428571429"/>
    <n v="104"/>
    <n v="258"/>
    <n v="0.40310077519379844"/>
    <n v="410"/>
    <n v="1250"/>
    <n v="0.32800000000000001"/>
    <n v="119"/>
    <n v="132"/>
    <n v="0.90151515151515149"/>
    <n v="13"/>
    <n v="52"/>
    <n v="65"/>
    <n v="130"/>
    <n v="520"/>
    <n v="650"/>
    <n v="116"/>
    <n v="5.5238095238095237"/>
    <n v="19"/>
    <n v="190"/>
    <n v="0.90476190476190477"/>
    <n v="20"/>
    <n v="2"/>
    <n v="9.5238095238095233E-2"/>
    <n v="480"/>
    <n v="48"/>
    <n v="2.2857142857142856"/>
    <n v="52"/>
    <n v="2.4761904761904763"/>
    <n v="368"/>
    <n v="17.523809523809526"/>
  </r>
  <r>
    <x v="63"/>
    <s v="2010-11"/>
    <x v="180"/>
    <n v="24"/>
    <n v="240"/>
    <x v="7"/>
    <n v="17590"/>
    <n v="705"/>
    <n v="13.823529411764707"/>
    <n v="328"/>
    <n v="712"/>
    <n v="0.4606741573033708"/>
    <n v="860"/>
    <n v="2450"/>
    <n v="0.3510204081632653"/>
    <n v="96"/>
    <n v="119"/>
    <n v="0.80672268907563027"/>
    <n v="62"/>
    <n v="241"/>
    <n v="303"/>
    <n v="620"/>
    <n v="2410"/>
    <n v="3030"/>
    <n v="86"/>
    <n v="1.6862745098039216"/>
    <n v="34"/>
    <n v="340"/>
    <n v="0.66666666666666663"/>
    <n v="700"/>
    <n v="70"/>
    <n v="1.3725490196078431"/>
    <n v="670"/>
    <n v="67"/>
    <n v="1.3137254901960784"/>
    <n v="152"/>
    <n v="2.9803921568627452"/>
    <n v="838"/>
    <n v="16.431372549019606"/>
  </r>
  <r>
    <x v="69"/>
    <s v="2010-11"/>
    <x v="181"/>
    <n v="22"/>
    <n v="220"/>
    <x v="68"/>
    <n v="16710"/>
    <n v="627"/>
    <n v="13.0625"/>
    <n v="211"/>
    <n v="509"/>
    <n v="415"/>
    <n v="830"/>
    <n v="2390"/>
    <n v="0.34728033472803349"/>
    <n v="259"/>
    <n v="290"/>
    <n v="0.89310344827586208"/>
    <n v="48"/>
    <n v="181"/>
    <n v="229"/>
    <n v="480"/>
    <n v="1810"/>
    <n v="2290"/>
    <n v="82"/>
    <n v="1.7083333333333333"/>
    <n v="38"/>
    <n v="380"/>
    <n v="0.79166666666666663"/>
    <n v="180"/>
    <n v="18"/>
    <n v="0.375"/>
    <n v="580"/>
    <n v="58"/>
    <n v="1.2083333333333333"/>
    <n v="117"/>
    <n v="2.4375"/>
    <n v="764"/>
    <n v="15.916666666666666"/>
  </r>
  <r>
    <x v="90"/>
    <s v="2010-11"/>
    <x v="182"/>
    <n v="23"/>
    <n v="230"/>
    <x v="15"/>
    <n v="25410"/>
    <n v="1012"/>
    <n v="12.341463414634147"/>
    <n v="299"/>
    <n v="602"/>
    <n v="0.49667774086378735"/>
    <n v="860"/>
    <n v="2190"/>
    <n v="0.39269406392694062"/>
    <n v="113"/>
    <n v="147"/>
    <n v="0.76870748299319724"/>
    <n v="105"/>
    <n v="416"/>
    <n v="521"/>
    <n v="1050"/>
    <n v="4160"/>
    <n v="5210"/>
    <n v="155"/>
    <n v="1.8902439024390243"/>
    <n v="80"/>
    <n v="800"/>
    <n v="0.97560975609756095"/>
    <n v="170"/>
    <n v="17"/>
    <n v="0.2073170731707317"/>
    <n v="1070"/>
    <n v="107"/>
    <n v="1.3048780487804879"/>
    <n v="114"/>
    <n v="1.3902439024390243"/>
    <n v="797"/>
    <n v="9.7195121951219505"/>
  </r>
  <r>
    <x v="79"/>
    <s v="2010-11"/>
    <x v="183"/>
    <n v="25"/>
    <n v="250"/>
    <x v="16"/>
    <n v="19710"/>
    <n v="708"/>
    <n v="8.7407407407407405"/>
    <n v="314"/>
    <n v="755"/>
    <n v="0.41589403973509936"/>
    <n v="1430"/>
    <n v="3830"/>
    <n v="0.37336814621409919"/>
    <n v="85"/>
    <n v="107"/>
    <n v="0.79439252336448596"/>
    <n v="65"/>
    <n v="179"/>
    <n v="244"/>
    <n v="650"/>
    <n v="1790"/>
    <n v="2440"/>
    <n v="244"/>
    <n v="3.0123456790123457"/>
    <n v="89"/>
    <n v="890"/>
    <n v="1.0987654320987654"/>
    <n v="40"/>
    <n v="4"/>
    <n v="4.9382716049382713E-2"/>
    <n v="890"/>
    <n v="89"/>
    <n v="1.0987654320987654"/>
    <n v="177"/>
    <n v="2.1851851851851851"/>
    <n v="856"/>
    <n v="10.567901234567902"/>
  </r>
  <r>
    <x v="91"/>
    <s v="2010-11"/>
    <x v="184"/>
    <n v="25"/>
    <n v="250"/>
    <x v="57"/>
    <n v="13230"/>
    <n v="391"/>
    <n v="6.109375"/>
    <n v="164"/>
    <n v="385"/>
    <n v="426"/>
    <n v="850"/>
    <n v="2120"/>
    <n v="0.40094339622641512"/>
    <n v="41"/>
    <n v="49"/>
    <n v="0.83673469387755106"/>
    <n v="60"/>
    <n v="179"/>
    <n v="239"/>
    <n v="600"/>
    <n v="1790"/>
    <n v="2390"/>
    <n v="47"/>
    <n v="0.734375"/>
    <n v="39"/>
    <n v="390"/>
    <n v="0.609375"/>
    <n v="510"/>
    <n v="51"/>
    <n v="0.796875"/>
    <n v="460"/>
    <n v="46"/>
    <n v="0.71875"/>
    <n v="164"/>
    <n v="2.5625"/>
    <n v="454"/>
    <n v="7.09375"/>
  </r>
  <r>
    <x v="92"/>
    <s v="2010-11"/>
    <x v="185"/>
    <n v="28"/>
    <n v="280"/>
    <x v="57"/>
    <n v="11410"/>
    <n v="376"/>
    <n v="5.875"/>
    <n v="103"/>
    <n v="163"/>
    <n v="632"/>
    <n v="0"/>
    <n v="0"/>
    <e v="#DIV/0!"/>
    <n v="61"/>
    <n v="98"/>
    <n v="0.62244897959183676"/>
    <n v="64"/>
    <n v="143"/>
    <n v="207"/>
    <n v="640"/>
    <n v="1430"/>
    <n v="2070"/>
    <n v="92"/>
    <n v="1.4375"/>
    <n v="35"/>
    <n v="350"/>
    <n v="0.546875"/>
    <n v="730"/>
    <n v="73"/>
    <n v="1.140625"/>
    <n v="410"/>
    <n v="41"/>
    <n v="0.640625"/>
    <n v="160"/>
    <n v="2.5"/>
    <n v="267"/>
    <n v="4.171875"/>
  </r>
  <r>
    <x v="93"/>
    <s v="2010-11"/>
    <x v="186"/>
    <n v="36"/>
    <n v="360"/>
    <x v="69"/>
    <n v="3100"/>
    <n v="93"/>
    <n v="4.8947368421052628"/>
    <n v="35"/>
    <n v="76"/>
    <n v="0.46052631578947367"/>
    <n v="80"/>
    <n v="280"/>
    <n v="0.2857142857142857"/>
    <n v="6"/>
    <n v="6"/>
    <n v="1"/>
    <n v="7"/>
    <n v="32"/>
    <n v="39"/>
    <n v="70"/>
    <n v="320"/>
    <n v="390"/>
    <n v="43"/>
    <n v="2.263157894736842"/>
    <n v="18"/>
    <n v="180"/>
    <n v="0.94736842105263153"/>
    <n v="50"/>
    <n v="5"/>
    <n v="0.26315789473684209"/>
    <n v="250"/>
    <n v="25"/>
    <n v="1.3157894736842106"/>
    <n v="30"/>
    <n v="1.5789473684210527"/>
    <n v="84"/>
    <n v="4.4210526315789478"/>
  </r>
  <r>
    <x v="94"/>
    <s v="2010-11"/>
    <x v="187"/>
    <n v="27"/>
    <n v="270"/>
    <x v="39"/>
    <n v="1980"/>
    <n v="75"/>
    <n v="4.4117647058823533"/>
    <n v="21"/>
    <n v="39"/>
    <n v="538"/>
    <n v="0"/>
    <n v="0"/>
    <e v="#DIV/0!"/>
    <n v="24"/>
    <n v="29"/>
    <n v="0.82758620689655171"/>
    <n v="19"/>
    <n v="31"/>
    <n v="50"/>
    <n v="190"/>
    <n v="310"/>
    <n v="500"/>
    <n v="13"/>
    <n v="0.76470588235294112"/>
    <n v="5"/>
    <n v="50"/>
    <n v="0.29411764705882354"/>
    <n v="40"/>
    <n v="4"/>
    <n v="0.23529411764705882"/>
    <n v="60"/>
    <n v="6"/>
    <n v="0.35294117647058826"/>
    <n v="34"/>
    <n v="2"/>
    <n v="66"/>
    <n v="3.8823529411764706"/>
  </r>
  <r>
    <x v="95"/>
    <s v="2010-11"/>
    <x v="188"/>
    <n v="23"/>
    <n v="230"/>
    <x v="52"/>
    <n v="880"/>
    <n v="29"/>
    <n v="3.625"/>
    <n v="12"/>
    <n v="18"/>
    <n v="0.66666666666666663"/>
    <n v="30"/>
    <n v="40"/>
    <n v="0.75"/>
    <n v="7"/>
    <n v="13"/>
    <n v="0.53846153846153844"/>
    <n v="9"/>
    <n v="6"/>
    <n v="15"/>
    <n v="90"/>
    <n v="60"/>
    <n v="150"/>
    <n v="4"/>
    <n v="0.5"/>
    <n v="4"/>
    <n v="40"/>
    <n v="0.5"/>
    <n v="20"/>
    <n v="2"/>
    <n v="0.25"/>
    <n v="70"/>
    <n v="7"/>
    <n v="0.875"/>
    <n v="11"/>
    <n v="1.375"/>
    <n v="34"/>
    <n v="4.25"/>
  </r>
  <r>
    <x v="76"/>
    <s v="2010-11"/>
    <x v="189"/>
    <n v="23"/>
    <n v="230"/>
    <x v="6"/>
    <n v="7840"/>
    <n v="218"/>
    <n v="3.5737704918032787"/>
    <n v="104"/>
    <n v="236"/>
    <n v="441"/>
    <n v="590"/>
    <n v="1530"/>
    <n v="0.38562091503267976"/>
    <n v="31"/>
    <n v="44"/>
    <n v="0.70454545454545459"/>
    <n v="16"/>
    <n v="106"/>
    <n v="122"/>
    <n v="160"/>
    <n v="1060"/>
    <n v="1220"/>
    <n v="34"/>
    <n v="0.55737704918032782"/>
    <n v="21"/>
    <n v="210"/>
    <n v="0.34426229508196721"/>
    <n v="60"/>
    <n v="6"/>
    <n v="9.8360655737704916E-2"/>
    <n v="370"/>
    <n v="37"/>
    <n v="0.60655737704918034"/>
    <n v="81"/>
    <n v="1.3278688524590163"/>
    <n v="298"/>
    <n v="4.8852459016393439"/>
  </r>
  <r>
    <x v="57"/>
    <s v="2010-11"/>
    <x v="190"/>
    <n v="29"/>
    <n v="290"/>
    <x v="32"/>
    <n v="4630"/>
    <n v="78"/>
    <n v="3.25"/>
    <n v="19"/>
    <n v="50"/>
    <n v="38"/>
    <n v="10"/>
    <n v="30"/>
    <n v="0.33333333333333331"/>
    <n v="8"/>
    <n v="19"/>
    <n v="0.42105263157894735"/>
    <n v="42"/>
    <n v="39"/>
    <n v="81"/>
    <n v="420"/>
    <n v="390"/>
    <n v="810"/>
    <n v="25"/>
    <n v="1.0416666666666667"/>
    <n v="24"/>
    <n v="240"/>
    <n v="1"/>
    <n v="140"/>
    <n v="14"/>
    <n v="0.58333333333333337"/>
    <n v="170"/>
    <n v="17"/>
    <n v="0.70833333333333337"/>
    <n v="54"/>
    <n v="2.25"/>
    <n v="47"/>
    <n v="1.9583333333333333"/>
  </r>
  <r>
    <x v="96"/>
    <s v="2010-11"/>
    <x v="191"/>
    <n v="24"/>
    <n v="240"/>
    <x v="70"/>
    <n v="4580"/>
    <n v="110"/>
    <n v="3.2352941176470589"/>
    <n v="52"/>
    <n v="112"/>
    <n v="0.4642857142857143"/>
    <n v="0"/>
    <n v="0"/>
    <e v="#DIV/0!"/>
    <n v="31"/>
    <n v="44"/>
    <n v="0.70454545454545459"/>
    <n v="41"/>
    <n v="63"/>
    <n v="104"/>
    <n v="410"/>
    <n v="630"/>
    <n v="1040"/>
    <n v="15"/>
    <n v="0.44117647058823528"/>
    <n v="14"/>
    <n v="140"/>
    <n v="0.41176470588235292"/>
    <n v="230"/>
    <n v="23"/>
    <n v="0.67647058823529416"/>
    <n v="320"/>
    <n v="32"/>
    <n v="0.94117647058823528"/>
    <n v="76"/>
    <n v="2.2352941176470589"/>
    <n v="135"/>
    <n v="3.9705882352941178"/>
  </r>
  <r>
    <x v="97"/>
    <s v="2010-11"/>
    <x v="192"/>
    <n v="30"/>
    <n v="300"/>
    <x v="12"/>
    <n v="3190"/>
    <n v="61"/>
    <n v="2.3461538461538463"/>
    <n v="26"/>
    <n v="77"/>
    <n v="0.33766233766233766"/>
    <n v="160"/>
    <n v="440"/>
    <n v="0.36363636363636365"/>
    <n v="7"/>
    <n v="10"/>
    <n v="0.7"/>
    <n v="5"/>
    <n v="38"/>
    <n v="43"/>
    <n v="50"/>
    <n v="380"/>
    <n v="430"/>
    <n v="20"/>
    <n v="0.76923076923076927"/>
    <n v="6"/>
    <n v="60"/>
    <n v="0.23076923076923078"/>
    <n v="20"/>
    <n v="2"/>
    <n v="7.6923076923076927E-2"/>
    <n v="60"/>
    <n v="6"/>
    <n v="0.23076923076923078"/>
    <n v="25"/>
    <n v="0.96153846153846156"/>
    <n v="75"/>
    <n v="2.8846153846153846"/>
  </r>
  <r>
    <x v="98"/>
    <s v="2010-11"/>
    <x v="193"/>
    <n v="21"/>
    <n v="210"/>
    <x v="39"/>
    <n v="1270"/>
    <n v="32"/>
    <n v="1.8823529411764706"/>
    <n v="14"/>
    <n v="45"/>
    <n v="0.31111111111111112"/>
    <n v="10"/>
    <n v="40"/>
    <n v="0.25"/>
    <n v="6"/>
    <n v="12"/>
    <n v="0.5"/>
    <n v="11"/>
    <n v="29"/>
    <n v="40"/>
    <n v="110"/>
    <n v="290"/>
    <n v="400"/>
    <n v="7"/>
    <n v="0.41176470588235292"/>
    <n v="4"/>
    <n v="40"/>
    <n v="0.23529411764705882"/>
    <n v="80"/>
    <n v="8"/>
    <n v="0.47058823529411764"/>
    <n v="100"/>
    <n v="10"/>
    <n v="0.58823529411764708"/>
    <n v="15"/>
    <n v="0.88235294117647056"/>
    <n v="35"/>
    <n v="2.0588235294117645"/>
  </r>
  <r>
    <x v="99"/>
    <s v="2010-11"/>
    <x v="194"/>
    <n v="24"/>
    <n v="240"/>
    <x v="60"/>
    <n v="240"/>
    <n v="1"/>
    <n v="0.2"/>
    <n v="3"/>
    <n v="7"/>
    <n v="429"/>
    <n v="10"/>
    <n v="40"/>
    <n v="0.25"/>
    <n v="1"/>
    <n v="2"/>
    <n v="0.5"/>
    <n v="0"/>
    <n v="1"/>
    <n v="1"/>
    <n v="0"/>
    <n v="10"/>
    <n v="10"/>
    <n v="3"/>
    <n v="0.6"/>
    <n v="1"/>
    <n v="10"/>
    <n v="0.2"/>
    <n v="0"/>
    <n v="0"/>
    <n v="0"/>
    <n v="70"/>
    <n v="7"/>
    <n v="1.4"/>
    <n v="0"/>
    <n v="0"/>
    <n v="8"/>
    <n v="1.6"/>
  </r>
  <r>
    <x v="56"/>
    <s v="2010-11"/>
    <x v="195"/>
    <n v="26"/>
    <n v="260"/>
    <x v="41"/>
    <n v="180"/>
    <n v="-1"/>
    <n v="-0.33333333333333331"/>
    <n v="1"/>
    <n v="4"/>
    <n v="0.25"/>
    <n v="10"/>
    <n v="20"/>
    <n v="0.5"/>
    <n v="0"/>
    <n v="0"/>
    <e v="#DIV/0!"/>
    <n v="1"/>
    <n v="2"/>
    <n v="3"/>
    <n v="10"/>
    <n v="20"/>
    <n v="30"/>
    <n v="0"/>
    <n v="0"/>
    <n v="1"/>
    <n v="10"/>
    <n v="0.33333333333333331"/>
    <n v="0"/>
    <n v="0"/>
    <n v="0"/>
    <n v="10"/>
    <n v="1"/>
    <n v="0.33333333333333331"/>
    <n v="4"/>
    <n v="1.3333333333333333"/>
    <n v="3"/>
    <n v="1"/>
  </r>
  <r>
    <x v="87"/>
    <s v="2011-12"/>
    <x v="196"/>
    <n v="28"/>
    <n v="280"/>
    <x v="50"/>
    <n v="18760"/>
    <n v="919"/>
    <n v="16.709090909090911"/>
    <n v="441"/>
    <n v="1025"/>
    <n v="0.43024390243902438"/>
    <n v="680"/>
    <n v="2030"/>
    <n v="0.33497536945812806"/>
    <n v="295"/>
    <n v="367"/>
    <n v="0.80381471389645776"/>
    <n v="88"/>
    <n v="256"/>
    <n v="344"/>
    <n v="880"/>
    <n v="2560"/>
    <n v="3440"/>
    <n v="200"/>
    <n v="3.6363636363636362"/>
    <n v="62"/>
    <n v="620"/>
    <n v="1.1272727272727272"/>
    <n v="240"/>
    <n v="24"/>
    <n v="0.43636363636363634"/>
    <n v="1440"/>
    <n v="144"/>
    <n v="2.6181818181818182"/>
    <n v="156"/>
    <n v="2.8363636363636364"/>
    <n v="1245"/>
    <n v="22.636363636363637"/>
  </r>
  <r>
    <x v="100"/>
    <s v="2011-12"/>
    <x v="197"/>
    <n v="29"/>
    <n v="290"/>
    <x v="71"/>
    <n v="20610"/>
    <n v="1012"/>
    <n v="16.322580645161292"/>
    <n v="241"/>
    <n v="355"/>
    <n v="0.6788732394366197"/>
    <n v="0"/>
    <n v="20"/>
    <n v="0"/>
    <n v="217"/>
    <n v="315"/>
    <n v="0.68888888888888888"/>
    <n v="212"/>
    <n v="400"/>
    <n v="612"/>
    <n v="2120"/>
    <n v="4000"/>
    <n v="6120"/>
    <n v="56"/>
    <n v="0.90322580645161288"/>
    <n v="56"/>
    <n v="560"/>
    <n v="0.90322580645161288"/>
    <n v="890"/>
    <n v="89"/>
    <n v="1.435483870967742"/>
    <n v="1020"/>
    <n v="102"/>
    <n v="1.6451612903225807"/>
    <n v="186"/>
    <n v="3"/>
    <n v="699"/>
    <n v="11.274193548387096"/>
  </r>
  <r>
    <x v="86"/>
    <s v="2011-12"/>
    <x v="198"/>
    <n v="29"/>
    <n v="290"/>
    <x v="29"/>
    <n v="15430"/>
    <n v="680"/>
    <n v="14.468085106382979"/>
    <n v="316"/>
    <n v="654"/>
    <n v="483"/>
    <n v="50"/>
    <n v="210"/>
    <n v="0.23809523809523808"/>
    <n v="186"/>
    <n v="243"/>
    <n v="0.76543209876543206"/>
    <n v="106"/>
    <n v="261"/>
    <n v="367"/>
    <n v="1060"/>
    <n v="2610"/>
    <n v="3670"/>
    <n v="52"/>
    <n v="1.1063829787234043"/>
    <n v="38"/>
    <n v="380"/>
    <n v="0.80851063829787229"/>
    <n v="450"/>
    <n v="45"/>
    <n v="0.95744680851063835"/>
    <n v="1120"/>
    <n v="112"/>
    <n v="2.3829787234042552"/>
    <n v="138"/>
    <n v="2.9361702127659575"/>
    <n v="823"/>
    <n v="17.51063829787234"/>
  </r>
  <r>
    <x v="101"/>
    <s v="2011-12"/>
    <x v="199"/>
    <n v="23"/>
    <n v="230"/>
    <x v="34"/>
    <n v="9400"/>
    <n v="446"/>
    <n v="12.742857142857142"/>
    <n v="171"/>
    <n v="383"/>
    <n v="0.44647519582245432"/>
    <n v="240"/>
    <n v="750"/>
    <n v="0.32"/>
    <n v="146"/>
    <n v="183"/>
    <n v="0.79781420765027322"/>
    <n v="18"/>
    <n v="89"/>
    <n v="107"/>
    <n v="180"/>
    <n v="890"/>
    <n v="1070"/>
    <n v="216"/>
    <n v="6.1714285714285717"/>
    <n v="55"/>
    <n v="550"/>
    <n v="1.5714285714285714"/>
    <n v="90"/>
    <n v="9"/>
    <n v="0.25714285714285712"/>
    <n v="1260"/>
    <n v="126"/>
    <n v="3.6"/>
    <n v="78"/>
    <n v="2.2285714285714286"/>
    <n v="512"/>
    <n v="14.628571428571428"/>
  </r>
  <r>
    <x v="102"/>
    <s v="2011-12"/>
    <x v="200"/>
    <n v="26"/>
    <n v="260"/>
    <x v="34"/>
    <n v="9670"/>
    <n v="327"/>
    <n v="9.3428571428571434"/>
    <n v="165"/>
    <n v="405"/>
    <n v="0.40740740740740738"/>
    <n v="670"/>
    <n v="1930"/>
    <n v="0.34715025906735753"/>
    <n v="39"/>
    <n v="55"/>
    <n v="0.70909090909090911"/>
    <n v="29"/>
    <n v="107"/>
    <n v="136"/>
    <n v="290"/>
    <n v="1070"/>
    <n v="1360"/>
    <n v="84"/>
    <n v="2.4"/>
    <n v="54"/>
    <n v="540"/>
    <n v="1.5428571428571429"/>
    <n v="60"/>
    <n v="6"/>
    <n v="0.17142857142857143"/>
    <n v="460"/>
    <n v="46"/>
    <n v="1.3142857142857143"/>
    <n v="87"/>
    <n v="2.4857142857142858"/>
    <n v="436"/>
    <n v="12.457142857142857"/>
  </r>
  <r>
    <x v="90"/>
    <s v="2011-12"/>
    <x v="201"/>
    <n v="24"/>
    <n v="240"/>
    <x v="25"/>
    <n v="18940"/>
    <n v="585"/>
    <n v="8.8636363636363633"/>
    <n v="236"/>
    <n v="513"/>
    <n v="0.4600389863547758"/>
    <n v="310"/>
    <n v="1210"/>
    <n v="0.256198347107438"/>
    <n v="77"/>
    <n v="137"/>
    <n v="0.56204379562043794"/>
    <n v="59"/>
    <n v="219"/>
    <n v="278"/>
    <n v="590"/>
    <n v="2190"/>
    <n v="2780"/>
    <n v="169"/>
    <n v="2.5606060606060606"/>
    <n v="79"/>
    <n v="790"/>
    <n v="1.196969696969697"/>
    <n v="170"/>
    <n v="17"/>
    <n v="0.25757575757575757"/>
    <n v="1020"/>
    <n v="102"/>
    <n v="1.5454545454545454"/>
    <n v="99"/>
    <n v="1.5"/>
    <n v="580"/>
    <n v="8.7878787878787872"/>
  </r>
  <r>
    <x v="103"/>
    <s v="2011-12"/>
    <x v="202"/>
    <n v="22"/>
    <n v="220"/>
    <x v="55"/>
    <n v="17050"/>
    <n v="396"/>
    <n v="6.7118644067796609"/>
    <n v="214"/>
    <n v="534"/>
    <n v="401"/>
    <n v="480"/>
    <n v="1570"/>
    <n v="0.30573248407643311"/>
    <n v="87"/>
    <n v="109"/>
    <n v="0.79816513761467889"/>
    <n v="42"/>
    <n v="144"/>
    <n v="186"/>
    <n v="420"/>
    <n v="1440"/>
    <n v="1860"/>
    <n v="164"/>
    <n v="2.7796610169491527"/>
    <n v="101"/>
    <n v="1010"/>
    <n v="1.7118644067796611"/>
    <n v="80"/>
    <n v="8"/>
    <n v="0.13559322033898305"/>
    <n v="1110"/>
    <n v="111"/>
    <n v="1.8813559322033899"/>
    <n v="173"/>
    <n v="2.9322033898305087"/>
    <n v="563"/>
    <n v="9.5423728813559325"/>
  </r>
  <r>
    <x v="104"/>
    <s v="2011-12"/>
    <x v="203"/>
    <n v="29"/>
    <n v="290"/>
    <x v="43"/>
    <n v="10200"/>
    <n v="358"/>
    <n v="6.6296296296296298"/>
    <n v="161"/>
    <n v="337"/>
    <n v="0.47774480712166173"/>
    <n v="1330"/>
    <n v="2820"/>
    <n v="0.47163120567375888"/>
    <n v="22"/>
    <n v="26"/>
    <n v="0.84615384615384615"/>
    <n v="9"/>
    <n v="95"/>
    <n v="104"/>
    <n v="90"/>
    <n v="950"/>
    <n v="1040"/>
    <n v="12"/>
    <n v="0.22222222222222221"/>
    <n v="16"/>
    <n v="160"/>
    <n v="0.29629629629629628"/>
    <n v="90"/>
    <n v="9"/>
    <n v="0.16666666666666666"/>
    <n v="210"/>
    <n v="21"/>
    <n v="0.3888888888888889"/>
    <n v="59"/>
    <n v="1.0925925925925926"/>
    <n v="477"/>
    <n v="8.8333333333333339"/>
  </r>
  <r>
    <x v="105"/>
    <s v="2011-12"/>
    <x v="204"/>
    <n v="23"/>
    <n v="230"/>
    <x v="46"/>
    <n v="5400"/>
    <n v="196"/>
    <n v="5.2972972972972974"/>
    <n v="63"/>
    <n v="149"/>
    <n v="0.42281879194630873"/>
    <n v="200"/>
    <n v="590"/>
    <n v="0.33898305084745761"/>
    <n v="16"/>
    <n v="26"/>
    <n v="0.61538461538461542"/>
    <n v="47"/>
    <n v="97"/>
    <n v="144"/>
    <n v="470"/>
    <n v="970"/>
    <n v="1440"/>
    <n v="11"/>
    <n v="0.29729729729729731"/>
    <n v="23"/>
    <n v="230"/>
    <n v="0.6216216216216216"/>
    <n v="200"/>
    <n v="20"/>
    <n v="0.54054054054054057"/>
    <n v="200"/>
    <n v="20"/>
    <n v="0.54054054054054057"/>
    <n v="48"/>
    <n v="1.2972972972972974"/>
    <n v="162"/>
    <n v="4.3783783783783781"/>
  </r>
  <r>
    <x v="106"/>
    <s v="2011-12"/>
    <x v="205"/>
    <n v="33"/>
    <n v="330"/>
    <x v="3"/>
    <n v="5950"/>
    <n v="145"/>
    <n v="5"/>
    <n v="68"/>
    <n v="184"/>
    <n v="37"/>
    <n v="260"/>
    <n v="850"/>
    <n v="0.30588235294117649"/>
    <n v="16"/>
    <n v="24"/>
    <n v="0.66666666666666663"/>
    <n v="13"/>
    <n v="43"/>
    <n v="56"/>
    <n v="130"/>
    <n v="430"/>
    <n v="560"/>
    <n v="135"/>
    <n v="4.6551724137931032"/>
    <n v="34"/>
    <n v="340"/>
    <n v="1.1724137931034482"/>
    <n v="30"/>
    <n v="3"/>
    <n v="0.10344827586206896"/>
    <n v="760"/>
    <n v="76"/>
    <n v="2.6206896551724137"/>
    <n v="61"/>
    <n v="2.103448275862069"/>
    <n v="178"/>
    <n v="6.1379310344827589"/>
  </r>
  <r>
    <x v="57"/>
    <s v="2011-12"/>
    <x v="206"/>
    <n v="30"/>
    <n v="300"/>
    <x v="18"/>
    <n v="7290"/>
    <n v="176"/>
    <n v="4.5128205128205128"/>
    <n v="59"/>
    <n v="144"/>
    <n v="41"/>
    <n v="30"/>
    <n v="160"/>
    <n v="0.1875"/>
    <n v="49"/>
    <n v="72"/>
    <n v="0.68055555555555558"/>
    <n v="69"/>
    <n v="83"/>
    <n v="152"/>
    <n v="690"/>
    <n v="830"/>
    <n v="1520"/>
    <n v="26"/>
    <n v="0.66666666666666663"/>
    <n v="29"/>
    <n v="290"/>
    <n v="0.74358974358974361"/>
    <n v="250"/>
    <n v="25"/>
    <n v="0.64102564102564108"/>
    <n v="290"/>
    <n v="29"/>
    <n v="0.74358974358974361"/>
    <n v="89"/>
    <n v="2.2820512820512819"/>
    <n v="170"/>
    <n v="4.3589743589743586"/>
  </r>
  <r>
    <x v="76"/>
    <s v="2011-12"/>
    <x v="207"/>
    <n v="24"/>
    <n v="240"/>
    <x v="22"/>
    <n v="6200"/>
    <n v="107"/>
    <n v="3.34375"/>
    <n v="68"/>
    <n v="171"/>
    <n v="398"/>
    <n v="360"/>
    <n v="1130"/>
    <n v="0.31858407079646017"/>
    <n v="17"/>
    <n v="20"/>
    <n v="0.85"/>
    <n v="9"/>
    <n v="71"/>
    <n v="80"/>
    <n v="90"/>
    <n v="710"/>
    <n v="800"/>
    <n v="37"/>
    <n v="1.15625"/>
    <n v="19"/>
    <n v="190"/>
    <n v="0.59375"/>
    <n v="70"/>
    <n v="7"/>
    <n v="0.21875"/>
    <n v="350"/>
    <n v="35"/>
    <n v="1.09375"/>
    <n v="84"/>
    <n v="2.625"/>
    <n v="189"/>
    <n v="5.90625"/>
  </r>
  <r>
    <x v="56"/>
    <s v="2011-12"/>
    <x v="208"/>
    <n v="27"/>
    <n v="270"/>
    <x v="72"/>
    <n v="1150"/>
    <n v="41"/>
    <n v="2.9285714285714284"/>
    <n v="16"/>
    <n v="32"/>
    <n v="0.5"/>
    <n v="20"/>
    <n v="90"/>
    <n v="0.22222222222222221"/>
    <n v="8"/>
    <n v="11"/>
    <n v="0.72727272727272729"/>
    <n v="6"/>
    <n v="20"/>
    <n v="26"/>
    <n v="60"/>
    <n v="200"/>
    <n v="260"/>
    <n v="5"/>
    <n v="0.35714285714285715"/>
    <n v="4"/>
    <n v="40"/>
    <n v="0.2857142857142857"/>
    <n v="30"/>
    <n v="3"/>
    <n v="0.21428571428571427"/>
    <n v="60"/>
    <n v="6"/>
    <n v="0.42857142857142855"/>
    <n v="14"/>
    <n v="1"/>
    <n v="42"/>
    <n v="3"/>
  </r>
  <r>
    <x v="107"/>
    <s v="2011-12"/>
    <x v="209"/>
    <n v="34"/>
    <n v="340"/>
    <x v="18"/>
    <n v="5570"/>
    <n v="110"/>
    <n v="2.8205128205128207"/>
    <n v="35"/>
    <n v="124"/>
    <n v="0.28225806451612906"/>
    <n v="270"/>
    <n v="850"/>
    <n v="0.31764705882352939"/>
    <n v="6"/>
    <n v="8"/>
    <n v="0.75"/>
    <n v="5"/>
    <n v="54"/>
    <n v="59"/>
    <n v="50"/>
    <n v="540"/>
    <n v="590"/>
    <n v="80"/>
    <n v="2.0512820512820511"/>
    <n v="21"/>
    <n v="210"/>
    <n v="0.53846153846153844"/>
    <n v="30"/>
    <n v="3"/>
    <n v="7.6923076923076927E-2"/>
    <n v="200"/>
    <n v="20"/>
    <n v="0.51282051282051277"/>
    <n v="45"/>
    <n v="1.1538461538461537"/>
    <n v="103"/>
    <n v="2.641025641025641"/>
  </r>
  <r>
    <x v="79"/>
    <s v="2011-12"/>
    <x v="210"/>
    <n v="26"/>
    <n v="260"/>
    <x v="26"/>
    <n v="6560"/>
    <n v="105"/>
    <n v="2.763157894736842"/>
    <n v="94"/>
    <n v="290"/>
    <n v="0.32413793103448274"/>
    <n v="270"/>
    <n v="1170"/>
    <n v="0.23076923076923078"/>
    <n v="22"/>
    <n v="26"/>
    <n v="0.84615384615384615"/>
    <n v="16"/>
    <n v="56"/>
    <n v="72"/>
    <n v="160"/>
    <n v="560"/>
    <n v="720"/>
    <n v="77"/>
    <n v="2.0263157894736841"/>
    <n v="29"/>
    <n v="290"/>
    <n v="0.76315789473684215"/>
    <n v="10"/>
    <n v="1"/>
    <n v="2.6315789473684209E-2"/>
    <n v="560"/>
    <n v="56"/>
    <n v="1.4736842105263157"/>
    <n v="55"/>
    <n v="1.4473684210526316"/>
    <n v="237"/>
    <n v="6.2368421052631575"/>
  </r>
  <r>
    <x v="108"/>
    <s v="2011-12"/>
    <x v="211"/>
    <n v="25"/>
    <n v="250"/>
    <x v="27"/>
    <n v="1080"/>
    <n v="45"/>
    <n v="2.1428571428571428"/>
    <n v="17"/>
    <n v="33"/>
    <n v="515"/>
    <n v="0"/>
    <n v="0"/>
    <e v="#DIV/0!"/>
    <n v="8"/>
    <n v="10"/>
    <n v="0.8"/>
    <n v="14"/>
    <n v="13"/>
    <n v="27"/>
    <n v="140"/>
    <n v="130"/>
    <n v="270"/>
    <n v="4"/>
    <n v="0.19047619047619047"/>
    <n v="1"/>
    <n v="10"/>
    <n v="4.7619047619047616E-2"/>
    <n v="60"/>
    <n v="6"/>
    <n v="0.2857142857142857"/>
    <n v="20"/>
    <n v="2"/>
    <n v="9.5238095238095233E-2"/>
    <n v="15"/>
    <n v="0.7142857142857143"/>
    <n v="42"/>
    <n v="2"/>
  </r>
  <r>
    <x v="109"/>
    <s v="2011-12"/>
    <x v="212"/>
    <n v="34"/>
    <n v="340"/>
    <x v="21"/>
    <n v="130"/>
    <n v="-2"/>
    <n v="-1"/>
    <n v="0"/>
    <n v="2"/>
    <n v="0"/>
    <n v="0"/>
    <n v="0"/>
    <e v="#DIV/0!"/>
    <n v="0"/>
    <n v="2"/>
    <n v="0"/>
    <n v="1"/>
    <n v="4"/>
    <n v="5"/>
    <n v="10"/>
    <n v="40"/>
    <n v="50"/>
    <n v="0"/>
    <n v="0"/>
    <n v="1"/>
    <n v="10"/>
    <n v="0.5"/>
    <n v="10"/>
    <n v="1"/>
    <n v="0.5"/>
    <n v="10"/>
    <n v="1"/>
    <n v="0.5"/>
    <n v="4"/>
    <n v="2"/>
    <n v="0"/>
    <n v="0"/>
  </r>
  <r>
    <x v="87"/>
    <s v="2012-13"/>
    <x v="213"/>
    <n v="29"/>
    <n v="290"/>
    <x v="49"/>
    <n v="24820"/>
    <n v="1348"/>
    <n v="20.119402985074625"/>
    <n v="669"/>
    <n v="1489"/>
    <n v="0.44929482874412358"/>
    <n v="1570"/>
    <n v="4140"/>
    <n v="0.37922705314009664"/>
    <n v="425"/>
    <n v="512"/>
    <n v="0.830078125"/>
    <n v="134"/>
    <n v="326"/>
    <n v="460"/>
    <n v="1340"/>
    <n v="3260"/>
    <n v="4600"/>
    <n v="171"/>
    <n v="2.5522388059701493"/>
    <n v="52"/>
    <n v="520"/>
    <n v="0.77611940298507465"/>
    <n v="320"/>
    <n v="32"/>
    <n v="0.47761194029850745"/>
    <n v="1750"/>
    <n v="175"/>
    <n v="2.6119402985074629"/>
    <n v="205"/>
    <n v="3.0597014925373136"/>
    <n v="1920"/>
    <n v="28.656716417910449"/>
  </r>
  <r>
    <x v="75"/>
    <s v="2012-13"/>
    <x v="214"/>
    <n v="31"/>
    <n v="310"/>
    <x v="40"/>
    <n v="370"/>
    <n v="20"/>
    <n v="20"/>
    <n v="5"/>
    <n v="14"/>
    <n v="0.35714285714285715"/>
    <n v="0"/>
    <n v="0"/>
    <e v="#DIV/0!"/>
    <n v="1"/>
    <n v="2"/>
    <n v="0.5"/>
    <n v="6"/>
    <n v="12"/>
    <n v="18"/>
    <n v="60"/>
    <n v="120"/>
    <n v="180"/>
    <n v="2"/>
    <n v="2"/>
    <n v="0"/>
    <n v="0"/>
    <n v="0"/>
    <n v="10"/>
    <n v="1"/>
    <n v="1"/>
    <n v="10"/>
    <n v="1"/>
    <n v="1"/>
    <n v="1"/>
    <n v="1"/>
    <n v="11"/>
    <n v="11"/>
  </r>
  <r>
    <x v="100"/>
    <s v="2012-13"/>
    <x v="215"/>
    <n v="30"/>
    <n v="300"/>
    <x v="25"/>
    <n v="21640"/>
    <n v="1072"/>
    <n v="16.242424242424242"/>
    <n v="255"/>
    <n v="400"/>
    <n v="0.63749999999999996"/>
    <n v="0"/>
    <n v="0"/>
    <e v="#DIV/0!"/>
    <n v="179"/>
    <n v="258"/>
    <n v="0.69379844961240311"/>
    <n v="269"/>
    <n v="434"/>
    <n v="703"/>
    <n v="2690"/>
    <n v="4340"/>
    <n v="7030"/>
    <n v="62"/>
    <n v="0.93939393939393945"/>
    <n v="42"/>
    <n v="420"/>
    <n v="0.63636363636363635"/>
    <n v="750"/>
    <n v="75"/>
    <n v="1.1363636363636365"/>
    <n v="870"/>
    <n v="87"/>
    <n v="1.3181818181818181"/>
    <n v="188"/>
    <n v="2.8484848484848486"/>
    <n v="689"/>
    <n v="10.439393939393939"/>
  </r>
  <r>
    <x v="102"/>
    <s v="2012-13"/>
    <x v="216"/>
    <n v="27"/>
    <n v="270"/>
    <x v="30"/>
    <n v="26780"/>
    <n v="1057"/>
    <n v="13.2125"/>
    <n v="527"/>
    <n v="1249"/>
    <n v="0.42193755004003203"/>
    <n v="1550"/>
    <n v="4360"/>
    <n v="0.35550458715596328"/>
    <n v="237"/>
    <n v="311"/>
    <n v="0.76205787781350487"/>
    <n v="64"/>
    <n v="361"/>
    <n v="425"/>
    <n v="640"/>
    <n v="3610"/>
    <n v="4250"/>
    <n v="218"/>
    <n v="2.7250000000000001"/>
    <n v="100"/>
    <n v="1000"/>
    <n v="1.25"/>
    <n v="240"/>
    <n v="24"/>
    <n v="0.3"/>
    <n v="1340"/>
    <n v="134"/>
    <n v="1.675"/>
    <n v="226"/>
    <n v="2.8250000000000002"/>
    <n v="1446"/>
    <n v="18.074999999999999"/>
  </r>
  <r>
    <x v="88"/>
    <s v="2012-13"/>
    <x v="217"/>
    <n v="29"/>
    <n v="290"/>
    <x v="58"/>
    <n v="23130"/>
    <n v="805"/>
    <n v="11.838235294117647"/>
    <n v="377"/>
    <n v="882"/>
    <n v="0.42743764172335602"/>
    <n v="930"/>
    <n v="2580"/>
    <n v="0.36046511627906974"/>
    <n v="101"/>
    <n v="128"/>
    <n v="0.7890625"/>
    <n v="51"/>
    <n v="143"/>
    <n v="194"/>
    <n v="510"/>
    <n v="1430"/>
    <n v="1940"/>
    <n v="372"/>
    <n v="5.4705882352941178"/>
    <n v="94"/>
    <n v="940"/>
    <n v="1.3823529411764706"/>
    <n v="140"/>
    <n v="14"/>
    <n v="0.20588235294117646"/>
    <n v="1550"/>
    <n v="155"/>
    <n v="2.2794117647058822"/>
    <n v="130"/>
    <n v="1.911764705882353"/>
    <n v="948"/>
    <n v="13.941176470588236"/>
  </r>
  <r>
    <x v="86"/>
    <s v="2012-13"/>
    <x v="218"/>
    <n v="30"/>
    <n v="300"/>
    <x v="3"/>
    <n v="6820"/>
    <n v="325"/>
    <n v="11.206896551724139"/>
    <n v="154"/>
    <n v="267"/>
    <n v="577"/>
    <n v="0"/>
    <n v="0"/>
    <e v="#DIV/0!"/>
    <n v="105"/>
    <n v="130"/>
    <n v="0.80769230769230771"/>
    <n v="60"/>
    <n v="85"/>
    <n v="145"/>
    <n v="600"/>
    <n v="850"/>
    <n v="1450"/>
    <n v="13"/>
    <n v="0.44827586206896552"/>
    <n v="10"/>
    <n v="100"/>
    <n v="0.34482758620689657"/>
    <n v="210"/>
    <n v="21"/>
    <n v="0.72413793103448276"/>
    <n v="500"/>
    <n v="50"/>
    <n v="1.7241379310344827"/>
    <n v="89"/>
    <n v="3.0689655172413794"/>
    <n v="413"/>
    <n v="14.241379310344827"/>
  </r>
  <r>
    <x v="110"/>
    <s v="2012-13"/>
    <x v="219"/>
    <n v="40"/>
    <n v="400"/>
    <x v="73"/>
    <n v="20430"/>
    <n v="714"/>
    <n v="9.3947368421052637"/>
    <n v="152"/>
    <n v="409"/>
    <n v="372"/>
    <n v="1140"/>
    <n v="3250"/>
    <n v="0.35076923076923078"/>
    <n v="40"/>
    <n v="48"/>
    <n v="0.83333333333333337"/>
    <n v="50"/>
    <n v="273"/>
    <n v="323"/>
    <n v="500"/>
    <n v="2730"/>
    <n v="3230"/>
    <n v="249"/>
    <n v="3.2763157894736841"/>
    <n v="125"/>
    <n v="1250"/>
    <n v="1.6447368421052631"/>
    <n v="250"/>
    <n v="25"/>
    <n v="0.32894736842105265"/>
    <n v="760"/>
    <n v="76"/>
    <n v="1"/>
    <n v="125"/>
    <n v="1.6447368421052631"/>
    <n v="458"/>
    <n v="6.0263157894736841"/>
  </r>
  <r>
    <x v="111"/>
    <s v="2012-13"/>
    <x v="220"/>
    <n v="35"/>
    <n v="350"/>
    <x v="10"/>
    <n v="4310"/>
    <n v="125"/>
    <n v="6.9444444444444446"/>
    <n v="56"/>
    <n v="93"/>
    <n v="0.60215053763440862"/>
    <n v="0"/>
    <n v="0"/>
    <e v="#DIV/0!"/>
    <n v="17"/>
    <n v="40"/>
    <n v="0.42499999999999999"/>
    <n v="34"/>
    <n v="61"/>
    <n v="95"/>
    <n v="340"/>
    <n v="610"/>
    <n v="950"/>
    <n v="8"/>
    <n v="0.44444444444444442"/>
    <n v="16"/>
    <n v="160"/>
    <n v="0.88888888888888884"/>
    <n v="170"/>
    <n v="17"/>
    <n v="0.94444444444444442"/>
    <n v="160"/>
    <n v="16"/>
    <n v="0.88888888888888884"/>
    <n v="64"/>
    <n v="3.5555555555555554"/>
    <n v="129"/>
    <n v="7.166666666666667"/>
  </r>
  <r>
    <x v="112"/>
    <s v="2012-13"/>
    <x v="221"/>
    <n v="38"/>
    <n v="380"/>
    <x v="27"/>
    <n v="2960"/>
    <n v="120"/>
    <n v="5.7142857142857144"/>
    <n v="55"/>
    <n v="142"/>
    <n v="387"/>
    <n v="220"/>
    <n v="690"/>
    <n v="0.3188405797101449"/>
    <n v="14"/>
    <n v="20"/>
    <n v="0.7"/>
    <n v="11"/>
    <n v="72"/>
    <n v="83"/>
    <n v="110"/>
    <n v="720"/>
    <n v="830"/>
    <n v="6"/>
    <n v="0.2857142857142857"/>
    <n v="13"/>
    <n v="130"/>
    <n v="0.61904761904761907"/>
    <n v="150"/>
    <n v="15"/>
    <n v="0.7142857142857143"/>
    <n v="100"/>
    <n v="10"/>
    <n v="0.47619047619047616"/>
    <n v="40"/>
    <n v="1.9047619047619047"/>
    <n v="146"/>
    <n v="6.9523809523809526"/>
  </r>
  <r>
    <x v="103"/>
    <s v="2012-13"/>
    <x v="222"/>
    <n v="23"/>
    <n v="230"/>
    <x v="14"/>
    <n v="9960"/>
    <n v="253"/>
    <n v="5.6222222222222218"/>
    <n v="109"/>
    <n v="275"/>
    <n v="396"/>
    <n v="510"/>
    <n v="1270"/>
    <n v="0.40157480314960631"/>
    <n v="36"/>
    <n v="47"/>
    <n v="0.76595744680851063"/>
    <n v="31"/>
    <n v="105"/>
    <n v="136"/>
    <n v="310"/>
    <n v="1050"/>
    <n v="1360"/>
    <n v="75"/>
    <n v="1.6666666666666667"/>
    <n v="43"/>
    <n v="430"/>
    <n v="0.9555555555555556"/>
    <n v="70"/>
    <n v="7"/>
    <n v="0.15555555555555556"/>
    <n v="370"/>
    <n v="37"/>
    <n v="0.82222222222222219"/>
    <n v="99"/>
    <n v="2.2000000000000002"/>
    <n v="305"/>
    <n v="6.7777777777777777"/>
  </r>
  <r>
    <x v="113"/>
    <s v="2012-13"/>
    <x v="223"/>
    <n v="29"/>
    <n v="290"/>
    <x v="17"/>
    <n v="8620"/>
    <n v="288"/>
    <n v="5.1428571428571432"/>
    <n v="182"/>
    <n v="380"/>
    <n v="479"/>
    <n v="590"/>
    <n v="1400"/>
    <n v="0.42142857142857143"/>
    <n v="63"/>
    <n v="83"/>
    <n v="0.75903614457831325"/>
    <n v="34"/>
    <n v="85"/>
    <n v="119"/>
    <n v="340"/>
    <n v="850"/>
    <n v="1190"/>
    <n v="27"/>
    <n v="0.48214285714285715"/>
    <n v="16"/>
    <n v="160"/>
    <n v="0.2857142857142857"/>
    <n v="120"/>
    <n v="12"/>
    <n v="0.21428571428571427"/>
    <n v="500"/>
    <n v="50"/>
    <n v="0.8928571428571429"/>
    <n v="104"/>
    <n v="1.8571428571428572"/>
    <n v="486"/>
    <n v="8.6785714285714288"/>
  </r>
  <r>
    <x v="114"/>
    <s v="2012-13"/>
    <x v="224"/>
    <n v="36"/>
    <n v="360"/>
    <x v="2"/>
    <n v="12630"/>
    <n v="389"/>
    <n v="4.9871794871794872"/>
    <n v="100"/>
    <n v="220"/>
    <n v="0.45454545454545453"/>
    <n v="530"/>
    <n v="1340"/>
    <n v="0.39552238805970147"/>
    <n v="22"/>
    <n v="25"/>
    <n v="0.88"/>
    <n v="41"/>
    <n v="102"/>
    <n v="143"/>
    <n v="410"/>
    <n v="1020"/>
    <n v="1430"/>
    <n v="236"/>
    <n v="3.0256410256410255"/>
    <n v="69"/>
    <n v="690"/>
    <n v="0.88461538461538458"/>
    <n v="20"/>
    <n v="2"/>
    <n v="2.564102564102564E-2"/>
    <n v="860"/>
    <n v="86"/>
    <n v="1.1025641025641026"/>
    <n v="127"/>
    <n v="1.6282051282051282"/>
    <n v="275"/>
    <n v="3.5256410256410255"/>
  </r>
  <r>
    <x v="104"/>
    <s v="2012-13"/>
    <x v="225"/>
    <n v="30"/>
    <n v="300"/>
    <x v="16"/>
    <n v="16410"/>
    <n v="394"/>
    <n v="4.8641975308641978"/>
    <n v="178"/>
    <n v="430"/>
    <n v="0.413953488372093"/>
    <n v="1490"/>
    <n v="3510"/>
    <n v="0.42450142450142453"/>
    <n v="30"/>
    <n v="33"/>
    <n v="0.90909090909090906"/>
    <n v="17"/>
    <n v="135"/>
    <n v="152"/>
    <n v="170"/>
    <n v="1350"/>
    <n v="1520"/>
    <n v="35"/>
    <n v="0.43209876543209874"/>
    <n v="28"/>
    <n v="280"/>
    <n v="0.34567901234567899"/>
    <n v="80"/>
    <n v="8"/>
    <n v="9.8765432098765427E-2"/>
    <n v="120"/>
    <n v="12"/>
    <n v="0.14814814814814814"/>
    <n v="97"/>
    <n v="1.1975308641975309"/>
    <n v="535"/>
    <n v="6.6049382716049383"/>
  </r>
  <r>
    <x v="115"/>
    <s v="2012-13"/>
    <x v="226"/>
    <n v="28"/>
    <n v="280"/>
    <x v="37"/>
    <n v="7110"/>
    <n v="171"/>
    <n v="3.7173913043478262"/>
    <n v="64"/>
    <n v="175"/>
    <n v="0.36571428571428571"/>
    <n v="220"/>
    <n v="710"/>
    <n v="0.30985915492957744"/>
    <n v="16"/>
    <n v="39"/>
    <n v="0.41025641025641024"/>
    <n v="29"/>
    <n v="71"/>
    <n v="100"/>
    <n v="290"/>
    <n v="710"/>
    <n v="1000"/>
    <n v="40"/>
    <n v="0.86956521739130432"/>
    <n v="34"/>
    <n v="340"/>
    <n v="0.73913043478260865"/>
    <n v="60"/>
    <n v="6"/>
    <n v="0.13043478260869565"/>
    <n v="140"/>
    <n v="14"/>
    <n v="0.30434782608695654"/>
    <n v="27"/>
    <n v="0.58695652173913049"/>
    <n v="166"/>
    <n v="3.6086956521739131"/>
  </r>
  <r>
    <x v="3"/>
    <s v="2012-13"/>
    <x v="227"/>
    <n v="40"/>
    <n v="400"/>
    <x v="18"/>
    <n v="3920"/>
    <n v="128"/>
    <n v="3.2820512820512819"/>
    <n v="45"/>
    <n v="83"/>
    <n v="542"/>
    <n v="10"/>
    <n v="10"/>
    <n v="1"/>
    <n v="6"/>
    <n v="13"/>
    <n v="0.46153846153846156"/>
    <n v="24"/>
    <n v="65"/>
    <n v="89"/>
    <n v="240"/>
    <n v="650"/>
    <n v="890"/>
    <n v="21"/>
    <n v="0.53846153846153844"/>
    <n v="10"/>
    <n v="100"/>
    <n v="0.25641025641025639"/>
    <n v="160"/>
    <n v="16"/>
    <n v="0.41025641025641024"/>
    <n v="80"/>
    <n v="8"/>
    <n v="0.20512820512820512"/>
    <n v="52"/>
    <n v="1.3333333333333333"/>
    <n v="97"/>
    <n v="2.4871794871794872"/>
  </r>
  <r>
    <x v="50"/>
    <s v="2012-13"/>
    <x v="228"/>
    <n v="33"/>
    <n v="330"/>
    <x v="40"/>
    <n v="290"/>
    <n v="3"/>
    <n v="3"/>
    <n v="1"/>
    <n v="11"/>
    <n v="91"/>
    <n v="10"/>
    <n v="40"/>
    <n v="0.25"/>
    <n v="2"/>
    <n v="2"/>
    <n v="1"/>
    <n v="5"/>
    <n v="5"/>
    <n v="10"/>
    <n v="50"/>
    <n v="50"/>
    <n v="100"/>
    <n v="1"/>
    <n v="1"/>
    <n v="0"/>
    <n v="0"/>
    <n v="0"/>
    <n v="0"/>
    <n v="0"/>
    <n v="0"/>
    <n v="20"/>
    <n v="2"/>
    <n v="2"/>
    <n v="1"/>
    <n v="1"/>
    <n v="5"/>
    <n v="5"/>
  </r>
  <r>
    <x v="0"/>
    <s v="2012-13"/>
    <x v="229"/>
    <n v="39"/>
    <n v="390"/>
    <x v="32"/>
    <n v="2500"/>
    <n v="67"/>
    <n v="2.7916666666666665"/>
    <n v="17"/>
    <n v="53"/>
    <n v="0.32075471698113206"/>
    <n v="0"/>
    <n v="0"/>
    <e v="#DIV/0!"/>
    <n v="8"/>
    <n v="19"/>
    <n v="0.42105263157894735"/>
    <n v="24"/>
    <n v="56"/>
    <n v="80"/>
    <n v="240"/>
    <n v="560"/>
    <n v="800"/>
    <n v="14"/>
    <n v="0.58333333333333337"/>
    <n v="7"/>
    <n v="70"/>
    <n v="0.29166666666666669"/>
    <n v="140"/>
    <n v="14"/>
    <n v="0.58333333333333337"/>
    <n v="150"/>
    <n v="15"/>
    <n v="0.625"/>
    <n v="28"/>
    <n v="1.1666666666666667"/>
    <n v="42"/>
    <n v="1.75"/>
  </r>
  <r>
    <x v="116"/>
    <s v="2012-13"/>
    <x v="230"/>
    <n v="30"/>
    <n v="300"/>
    <x v="74"/>
    <n v="4350"/>
    <n v="84"/>
    <n v="1.4736842105263157"/>
    <n v="50"/>
    <n v="116"/>
    <n v="431"/>
    <n v="140"/>
    <n v="410"/>
    <n v="0.34146341463414637"/>
    <n v="11"/>
    <n v="19"/>
    <n v="0.57894736842105265"/>
    <n v="5"/>
    <n v="43"/>
    <n v="48"/>
    <n v="50"/>
    <n v="430"/>
    <n v="480"/>
    <n v="29"/>
    <n v="0.50877192982456143"/>
    <n v="13"/>
    <n v="130"/>
    <n v="0.22807017543859648"/>
    <n v="40"/>
    <n v="4"/>
    <n v="7.0175438596491224E-2"/>
    <n v="170"/>
    <n v="17"/>
    <n v="0.2982456140350877"/>
    <n v="44"/>
    <n v="0.77192982456140347"/>
    <n v="125"/>
    <n v="2.192982456140351"/>
  </r>
  <r>
    <x v="117"/>
    <s v="2012-13"/>
    <x v="231"/>
    <n v="28"/>
    <n v="280"/>
    <x v="21"/>
    <n v="260"/>
    <n v="-3"/>
    <n v="-1.5"/>
    <n v="0"/>
    <n v="1"/>
    <n v="0"/>
    <n v="0"/>
    <n v="0"/>
    <e v="#DIV/0!"/>
    <n v="0"/>
    <n v="0"/>
    <e v="#DIV/0!"/>
    <n v="1"/>
    <n v="2"/>
    <n v="3"/>
    <n v="10"/>
    <n v="20"/>
    <n v="30"/>
    <n v="0"/>
    <n v="0"/>
    <n v="0"/>
    <n v="0"/>
    <n v="0"/>
    <n v="10"/>
    <n v="1"/>
    <n v="0.5"/>
    <n v="30"/>
    <n v="3"/>
    <n v="1.5"/>
    <n v="3"/>
    <n v="1.5"/>
    <n v="0"/>
    <n v="0"/>
  </r>
  <r>
    <x v="87"/>
    <s v="2013-14"/>
    <x v="232"/>
    <n v="30"/>
    <n v="300"/>
    <x v="1"/>
    <n v="29820"/>
    <n v="1718"/>
    <n v="22.311688311688311"/>
    <n v="743"/>
    <n v="1643"/>
    <n v="0.45222154595252589"/>
    <n v="1670"/>
    <n v="4150"/>
    <n v="0.40240963855421685"/>
    <n v="459"/>
    <n v="541"/>
    <n v="0.84842883548983361"/>
    <n v="145"/>
    <n v="477"/>
    <n v="622"/>
    <n v="1450"/>
    <n v="4770"/>
    <n v="6220"/>
    <n v="242"/>
    <n v="3.1428571428571428"/>
    <n v="95"/>
    <n v="950"/>
    <n v="1.2337662337662338"/>
    <n v="510"/>
    <n v="51"/>
    <n v="0.66233766233766234"/>
    <n v="1980"/>
    <n v="198"/>
    <n v="2.5714285714285716"/>
    <n v="224"/>
    <n v="2.9090909090909092"/>
    <n v="2112"/>
    <n v="27.428571428571427"/>
  </r>
  <r>
    <x v="100"/>
    <s v="2013-14"/>
    <x v="233"/>
    <n v="31"/>
    <n v="310"/>
    <x v="50"/>
    <n v="16620"/>
    <n v="763"/>
    <n v="13.872727272727273"/>
    <n v="191"/>
    <n v="322"/>
    <n v="0.59316770186335399"/>
    <n v="0"/>
    <n v="10"/>
    <n v="0"/>
    <n v="98"/>
    <n v="155"/>
    <n v="0.63225806451612898"/>
    <n v="159"/>
    <n v="370"/>
    <n v="529"/>
    <n v="1590"/>
    <n v="3700"/>
    <n v="5290"/>
    <n v="59"/>
    <n v="1.0727272727272728"/>
    <n v="36"/>
    <n v="360"/>
    <n v="0.65454545454545454"/>
    <n v="630"/>
    <n v="63"/>
    <n v="1.1454545454545455"/>
    <n v="710"/>
    <n v="71"/>
    <n v="1.290909090909091"/>
    <n v="145"/>
    <n v="2.6363636363636362"/>
    <n v="480"/>
    <n v="8.7272727272727266"/>
  </r>
  <r>
    <x v="118"/>
    <s v="2013-14"/>
    <x v="234"/>
    <n v="28"/>
    <n v="280"/>
    <x v="35"/>
    <n v="12570"/>
    <n v="435"/>
    <n v="10.357142857142858"/>
    <n v="222"/>
    <n v="502"/>
    <n v="0.44223107569721115"/>
    <n v="300"/>
    <n v="1080"/>
    <n v="0.27777777777777779"/>
    <n v="84"/>
    <n v="102"/>
    <n v="0.82352941176470584"/>
    <n v="69"/>
    <n v="153"/>
    <n v="222"/>
    <n v="690"/>
    <n v="1530"/>
    <n v="2220"/>
    <n v="45"/>
    <n v="1.0714285714285714"/>
    <n v="14"/>
    <n v="140"/>
    <n v="0.33333333333333331"/>
    <n v="520"/>
    <n v="52"/>
    <n v="1.2380952380952381"/>
    <n v="580"/>
    <n v="58"/>
    <n v="1.3809523809523809"/>
    <n v="100"/>
    <n v="2.3809523809523809"/>
    <n v="558"/>
    <n v="13.285714285714286"/>
  </r>
  <r>
    <x v="102"/>
    <s v="2013-14"/>
    <x v="235"/>
    <n v="28"/>
    <n v="280"/>
    <x v="23"/>
    <n v="24210"/>
    <n v="760"/>
    <n v="10.27027027027027"/>
    <n v="396"/>
    <n v="955"/>
    <n v="0.41465968586387436"/>
    <n v="1890"/>
    <n v="4800"/>
    <n v="0.39374999999999999"/>
    <n v="90"/>
    <n v="138"/>
    <n v="0.65217391304347827"/>
    <n v="35"/>
    <n v="261"/>
    <n v="296"/>
    <n v="350"/>
    <n v="2610"/>
    <n v="2960"/>
    <n v="219"/>
    <n v="2.9594594594594597"/>
    <n v="65"/>
    <n v="650"/>
    <n v="0.8783783783783784"/>
    <n v="200"/>
    <n v="20"/>
    <n v="0.27027027027027029"/>
    <n v="1080"/>
    <n v="108"/>
    <n v="1.4594594594594594"/>
    <n v="196"/>
    <n v="2.6486486486486487"/>
    <n v="1071"/>
    <n v="14.472972972972974"/>
  </r>
  <r>
    <x v="86"/>
    <s v="2013-14"/>
    <x v="236"/>
    <n v="31"/>
    <n v="310"/>
    <x v="5"/>
    <n v="14660"/>
    <n v="636"/>
    <n v="9.7846153846153854"/>
    <n v="311"/>
    <n v="558"/>
    <n v="557"/>
    <n v="0"/>
    <n v="0"/>
    <e v="#DIV/0!"/>
    <n v="150"/>
    <n v="203"/>
    <n v="0.73891625615763545"/>
    <n v="112"/>
    <n v="208"/>
    <n v="320"/>
    <n v="1120"/>
    <n v="2080"/>
    <n v="3200"/>
    <n v="34"/>
    <n v="0.52307692307692311"/>
    <n v="23"/>
    <n v="230"/>
    <n v="0.35384615384615387"/>
    <n v="370"/>
    <n v="37"/>
    <n v="0.56923076923076921"/>
    <n v="910"/>
    <n v="91"/>
    <n v="1.4"/>
    <n v="159"/>
    <n v="2.4461538461538463"/>
    <n v="772"/>
    <n v="11.876923076923077"/>
  </r>
  <r>
    <x v="88"/>
    <s v="2013-14"/>
    <x v="237"/>
    <n v="30"/>
    <n v="300"/>
    <x v="5"/>
    <n v="20170"/>
    <n v="609"/>
    <n v="9.3692307692307697"/>
    <n v="240"/>
    <n v="608"/>
    <n v="0.39473684210526316"/>
    <n v="620"/>
    <n v="1950"/>
    <n v="0.31794871794871793"/>
    <n v="88"/>
    <n v="122"/>
    <n v="0.72131147540983609"/>
    <n v="54"/>
    <n v="143"/>
    <n v="197"/>
    <n v="540"/>
    <n v="1430"/>
    <n v="1970"/>
    <n v="365"/>
    <n v="5.615384615384615"/>
    <n v="78"/>
    <n v="780"/>
    <n v="1.2"/>
    <n v="270"/>
    <n v="27"/>
    <n v="0.41538461538461541"/>
    <n v="1290"/>
    <n v="129"/>
    <n v="1.9846153846153847"/>
    <n v="157"/>
    <n v="2.4153846153846152"/>
    <n v="630"/>
    <n v="9.6923076923076916"/>
  </r>
  <r>
    <x v="111"/>
    <s v="2013-14"/>
    <x v="238"/>
    <n v="36"/>
    <n v="360"/>
    <x v="22"/>
    <n v="6330"/>
    <n v="194"/>
    <n v="6.0625"/>
    <n v="63"/>
    <n v="123"/>
    <n v="0.51219512195121952"/>
    <n v="0"/>
    <n v="10"/>
    <n v="0"/>
    <n v="11"/>
    <n v="19"/>
    <n v="0.57894736842105265"/>
    <n v="36"/>
    <n v="98"/>
    <n v="134"/>
    <n v="360"/>
    <n v="980"/>
    <n v="1340"/>
    <n v="50"/>
    <n v="1.5625"/>
    <n v="25"/>
    <n v="250"/>
    <n v="0.78125"/>
    <n v="270"/>
    <n v="27"/>
    <n v="0.84375"/>
    <n v="260"/>
    <n v="26"/>
    <n v="0.8125"/>
    <n v="85"/>
    <n v="2.65625"/>
    <n v="137"/>
    <n v="4.28125"/>
  </r>
  <r>
    <x v="119"/>
    <s v="2013-14"/>
    <x v="239"/>
    <n v="31"/>
    <n v="310"/>
    <x v="67"/>
    <n v="5880"/>
    <n v="181"/>
    <n v="5.838709677419355"/>
    <n v="68"/>
    <n v="160"/>
    <n v="425"/>
    <n v="170"/>
    <n v="400"/>
    <n v="0.42499999999999999"/>
    <n v="20"/>
    <n v="24"/>
    <n v="0.83333333333333337"/>
    <n v="10"/>
    <n v="47"/>
    <n v="57"/>
    <n v="100"/>
    <n v="470"/>
    <n v="570"/>
    <n v="110"/>
    <n v="3.5483870967741935"/>
    <n v="22"/>
    <n v="220"/>
    <n v="0.70967741935483875"/>
    <n v="30"/>
    <n v="3"/>
    <n v="9.6774193548387094E-2"/>
    <n v="420"/>
    <n v="42"/>
    <n v="1.3548387096774193"/>
    <n v="46"/>
    <n v="1.4838709677419355"/>
    <n v="173"/>
    <n v="5.580645161290323"/>
  </r>
  <r>
    <x v="103"/>
    <s v="2013-14"/>
    <x v="240"/>
    <n v="24"/>
    <n v="240"/>
    <x v="23"/>
    <n v="19620"/>
    <n v="430"/>
    <n v="5.8108108108108105"/>
    <n v="183"/>
    <n v="484"/>
    <n v="378"/>
    <n v="760"/>
    <n v="2280"/>
    <n v="0.33333333333333331"/>
    <n v="53"/>
    <n v="71"/>
    <n v="0.74647887323943662"/>
    <n v="81"/>
    <n v="227"/>
    <n v="308"/>
    <n v="810"/>
    <n v="2270"/>
    <n v="3080"/>
    <n v="129"/>
    <n v="1.7432432432432432"/>
    <n v="92"/>
    <n v="920"/>
    <n v="1.2432432432432432"/>
    <n v="130"/>
    <n v="13"/>
    <n v="0.17567567567567569"/>
    <n v="790"/>
    <n v="79"/>
    <n v="1.0675675675675675"/>
    <n v="209"/>
    <n v="2.8243243243243241"/>
    <n v="495"/>
    <n v="6.6891891891891895"/>
  </r>
  <r>
    <x v="114"/>
    <s v="2013-14"/>
    <x v="241"/>
    <n v="37"/>
    <n v="370"/>
    <x v="25"/>
    <n v="12830"/>
    <n v="382"/>
    <n v="5.7878787878787881"/>
    <n v="88"/>
    <n v="191"/>
    <n v="0.4607329842931937"/>
    <n v="650"/>
    <n v="1400"/>
    <n v="0.4642857142857143"/>
    <n v="11"/>
    <n v="12"/>
    <n v="0.91666666666666663"/>
    <n v="36"/>
    <n v="93"/>
    <n v="129"/>
    <n v="360"/>
    <n v="930"/>
    <n v="1290"/>
    <n v="228"/>
    <n v="3.4545454545454546"/>
    <n v="67"/>
    <n v="670"/>
    <n v="1.0151515151515151"/>
    <n v="20"/>
    <n v="2"/>
    <n v="3.0303030303030304E-2"/>
    <n v="600"/>
    <n v="60"/>
    <n v="0.90909090909090906"/>
    <n v="132"/>
    <n v="2"/>
    <n v="252"/>
    <n v="3.8181818181818183"/>
  </r>
  <r>
    <x v="120"/>
    <s v="2013-14"/>
    <x v="242"/>
    <n v="22"/>
    <n v="220"/>
    <x v="16"/>
    <n v="18750"/>
    <n v="456"/>
    <n v="5.6296296296296298"/>
    <n v="294"/>
    <n v="687"/>
    <n v="0.42794759825327511"/>
    <n v="1300"/>
    <n v="3580"/>
    <n v="0.36312849162011174"/>
    <n v="106"/>
    <n v="128"/>
    <n v="0.828125"/>
    <n v="19"/>
    <n v="102"/>
    <n v="121"/>
    <n v="190"/>
    <n v="1020"/>
    <n v="1210"/>
    <n v="66"/>
    <n v="0.81481481481481477"/>
    <n v="44"/>
    <n v="440"/>
    <n v="0.54320987654320985"/>
    <n v="70"/>
    <n v="7"/>
    <n v="8.6419753086419748E-2"/>
    <n v="470"/>
    <n v="47"/>
    <n v="0.58024691358024694"/>
    <n v="144"/>
    <n v="1.7777777777777777"/>
    <n v="824"/>
    <n v="10.17283950617284"/>
  </r>
  <r>
    <x v="121"/>
    <s v="2013-14"/>
    <x v="243"/>
    <n v="25"/>
    <n v="250"/>
    <x v="37"/>
    <n v="3300"/>
    <n v="183"/>
    <n v="3.9782608695652173"/>
    <n v="33"/>
    <n v="61"/>
    <n v="0.54098360655737709"/>
    <n v="0"/>
    <n v="0"/>
    <e v="#DIV/0!"/>
    <n v="26"/>
    <n v="30"/>
    <n v="0.8666666666666667"/>
    <n v="37"/>
    <n v="92"/>
    <n v="129"/>
    <n v="370"/>
    <n v="920"/>
    <n v="1290"/>
    <n v="14"/>
    <n v="0.30434782608695654"/>
    <n v="8"/>
    <n v="80"/>
    <n v="0.17391304347826086"/>
    <n v="300"/>
    <n v="30"/>
    <n v="0.65217391304347827"/>
    <n v="180"/>
    <n v="18"/>
    <n v="0.39130434782608697"/>
    <n v="40"/>
    <n v="0.86956521739130432"/>
    <n v="92"/>
    <n v="2"/>
  </r>
  <r>
    <x v="122"/>
    <s v="2013-14"/>
    <x v="244"/>
    <n v="34"/>
    <n v="340"/>
    <x v="3"/>
    <n v="3880"/>
    <n v="93"/>
    <n v="3.2068965517241379"/>
    <n v="56"/>
    <n v="141"/>
    <n v="397"/>
    <n v="170"/>
    <n v="540"/>
    <n v="0.31481481481481483"/>
    <n v="10"/>
    <n v="16"/>
    <n v="0.625"/>
    <n v="18"/>
    <n v="41"/>
    <n v="59"/>
    <n v="180"/>
    <n v="410"/>
    <n v="590"/>
    <n v="17"/>
    <n v="0.58620689655172409"/>
    <n v="24"/>
    <n v="240"/>
    <n v="0.82758620689655171"/>
    <n v="80"/>
    <n v="8"/>
    <n v="0.27586206896551724"/>
    <n v="190"/>
    <n v="19"/>
    <n v="0.65517241379310343"/>
    <n v="44"/>
    <n v="1.5172413793103448"/>
    <n v="139"/>
    <n v="4.7931034482758621"/>
  </r>
  <r>
    <x v="123"/>
    <s v="2013-14"/>
    <x v="245"/>
    <n v="23"/>
    <n v="230"/>
    <x v="61"/>
    <n v="3980"/>
    <n v="115"/>
    <n v="2.8048780487804876"/>
    <n v="60"/>
    <n v="116"/>
    <n v="517"/>
    <n v="0"/>
    <n v="0"/>
    <e v="#DIV/0!"/>
    <n v="26"/>
    <n v="48"/>
    <n v="0.54166666666666663"/>
    <n v="38"/>
    <n v="71"/>
    <n v="109"/>
    <n v="380"/>
    <n v="710"/>
    <n v="1090"/>
    <n v="8"/>
    <n v="0.1951219512195122"/>
    <n v="6"/>
    <n v="60"/>
    <n v="0.14634146341463414"/>
    <n v="200"/>
    <n v="20"/>
    <n v="0.48780487804878048"/>
    <n v="260"/>
    <n v="26"/>
    <n v="0.63414634146341464"/>
    <n v="70"/>
    <n v="1.7073170731707317"/>
    <n v="146"/>
    <n v="3.5609756097560976"/>
  </r>
  <r>
    <x v="124"/>
    <s v="2013-14"/>
    <x v="246"/>
    <n v="26"/>
    <n v="260"/>
    <x v="65"/>
    <n v="700"/>
    <n v="25"/>
    <n v="2.7777777777777777"/>
    <n v="7"/>
    <n v="21"/>
    <n v="333"/>
    <n v="10"/>
    <n v="60"/>
    <n v="0.16666666666666666"/>
    <n v="8"/>
    <n v="10"/>
    <n v="0.8"/>
    <n v="2"/>
    <n v="14"/>
    <n v="16"/>
    <n v="20"/>
    <n v="140"/>
    <n v="160"/>
    <n v="2"/>
    <n v="0.22222222222222221"/>
    <n v="1"/>
    <n v="10"/>
    <n v="0.1111111111111111"/>
    <n v="60"/>
    <n v="6"/>
    <n v="0.66666666666666663"/>
    <n v="10"/>
    <n v="1"/>
    <n v="0.1111111111111111"/>
    <n v="6"/>
    <n v="0.66666666666666663"/>
    <n v="23"/>
    <n v="2.5555555555555554"/>
  </r>
  <r>
    <x v="125"/>
    <s v="2013-14"/>
    <x v="247"/>
    <n v="24"/>
    <n v="240"/>
    <x v="7"/>
    <n v="3720"/>
    <n v="84"/>
    <n v="1.6470588235294117"/>
    <n v="56"/>
    <n v="129"/>
    <n v="0.43410852713178294"/>
    <n v="50"/>
    <n v="120"/>
    <n v="0.41666666666666669"/>
    <n v="23"/>
    <n v="39"/>
    <n v="0.58974358974358976"/>
    <n v="13"/>
    <n v="31"/>
    <n v="44"/>
    <n v="130"/>
    <n v="310"/>
    <n v="440"/>
    <n v="49"/>
    <n v="0.96078431372549022"/>
    <n v="19"/>
    <n v="190"/>
    <n v="0.37254901960784315"/>
    <n v="10"/>
    <n v="1"/>
    <n v="1.9607843137254902E-2"/>
    <n v="340"/>
    <n v="34"/>
    <n v="0.66666666666666663"/>
    <n v="46"/>
    <n v="0.90196078431372551"/>
    <n v="140"/>
    <n v="2.7450980392156863"/>
  </r>
  <r>
    <x v="126"/>
    <s v="2013-14"/>
    <x v="248"/>
    <n v="28"/>
    <n v="280"/>
    <x v="69"/>
    <n v="1480"/>
    <n v="23"/>
    <n v="1.2105263157894737"/>
    <n v="16"/>
    <n v="38"/>
    <n v="0.42105263157894735"/>
    <n v="0"/>
    <n v="0"/>
    <e v="#DIV/0!"/>
    <n v="8"/>
    <n v="12"/>
    <n v="0.66666666666666663"/>
    <n v="6"/>
    <n v="9"/>
    <n v="15"/>
    <n v="60"/>
    <n v="90"/>
    <n v="150"/>
    <n v="4"/>
    <n v="0.21052631578947367"/>
    <n v="12"/>
    <n v="120"/>
    <n v="0.63157894736842102"/>
    <n v="0"/>
    <n v="0"/>
    <n v="0"/>
    <n v="100"/>
    <n v="10"/>
    <n v="0.52631578947368418"/>
    <n v="12"/>
    <n v="0.63157894736842102"/>
    <n v="40"/>
    <n v="2.1052631578947367"/>
  </r>
  <r>
    <x v="127"/>
    <s v="2013-14"/>
    <x v="249"/>
    <n v="26"/>
    <n v="260"/>
    <x v="21"/>
    <n v="20"/>
    <n v="0"/>
    <n v="0"/>
    <n v="0"/>
    <n v="0"/>
    <n v="0"/>
    <n v="0"/>
    <n v="0"/>
    <e v="#DIV/0!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7"/>
    <s v="2014-15"/>
    <x v="250"/>
    <n v="31"/>
    <n v="310"/>
    <x v="75"/>
    <n v="14280"/>
    <n v="737"/>
    <n v="18.425000000000001"/>
    <n v="358"/>
    <n v="806"/>
    <n v="0.44416873449131511"/>
    <n v="610"/>
    <n v="1790"/>
    <n v="0.34078212290502791"/>
    <n v="189"/>
    <n v="237"/>
    <n v="0.79746835443037978"/>
    <n v="72"/>
    <n v="192"/>
    <n v="264"/>
    <n v="720"/>
    <n v="1920"/>
    <n v="2640"/>
    <n v="122"/>
    <n v="3.05"/>
    <n v="40"/>
    <n v="400"/>
    <n v="1"/>
    <n v="170"/>
    <n v="17"/>
    <n v="0.42499999999999999"/>
    <n v="890"/>
    <n v="89"/>
    <n v="2.2250000000000001"/>
    <n v="87"/>
    <n v="2.1749999999999998"/>
    <n v="966"/>
    <n v="24.15"/>
  </r>
  <r>
    <x v="128"/>
    <s v="2014-15"/>
    <x v="251"/>
    <n v="26"/>
    <n v="260"/>
    <x v="76"/>
    <n v="4230"/>
    <n v="210"/>
    <n v="13.125"/>
    <n v="73"/>
    <n v="181"/>
    <n v="0.40331491712707185"/>
    <n v="260"/>
    <n v="700"/>
    <n v="0.37142857142857144"/>
    <n v="64"/>
    <n v="82"/>
    <n v="0.78048780487804881"/>
    <n v="14"/>
    <n v="59"/>
    <n v="73"/>
    <n v="140"/>
    <n v="590"/>
    <n v="730"/>
    <n v="57"/>
    <n v="3.5625"/>
    <n v="15"/>
    <n v="150"/>
    <n v="0.9375"/>
    <n v="50"/>
    <n v="5"/>
    <n v="0.3125"/>
    <n v="250"/>
    <n v="25"/>
    <n v="1.5625"/>
    <n v="25"/>
    <n v="1.5625"/>
    <n v="236"/>
    <n v="14.75"/>
  </r>
  <r>
    <x v="86"/>
    <s v="2014-15"/>
    <x v="252"/>
    <n v="32"/>
    <n v="320"/>
    <x v="38"/>
    <n v="8650"/>
    <n v="419"/>
    <n v="11.638888888888889"/>
    <n v="169"/>
    <n v="311"/>
    <n v="543"/>
    <n v="0"/>
    <n v="30"/>
    <n v="0"/>
    <n v="94"/>
    <n v="127"/>
    <n v="0.74015748031496065"/>
    <n v="83"/>
    <n v="162"/>
    <n v="245"/>
    <n v="830"/>
    <n v="1620"/>
    <n v="2450"/>
    <n v="37"/>
    <n v="1.0277777777777777"/>
    <n v="20"/>
    <n v="200"/>
    <n v="0.55555555555555558"/>
    <n v="340"/>
    <n v="34"/>
    <n v="0.94444444444444442"/>
    <n v="630"/>
    <n v="63"/>
    <n v="1.75"/>
    <n v="111"/>
    <n v="3.0833333333333335"/>
    <n v="432"/>
    <n v="12"/>
  </r>
  <r>
    <x v="118"/>
    <s v="2014-15"/>
    <x v="253"/>
    <n v="29"/>
    <n v="290"/>
    <x v="3"/>
    <n v="7850"/>
    <n v="320"/>
    <n v="11.03448275862069"/>
    <n v="164"/>
    <n v="361"/>
    <n v="0.45429362880886426"/>
    <n v="150"/>
    <n v="410"/>
    <n v="0.36585365853658536"/>
    <n v="87"/>
    <n v="107"/>
    <n v="0.81308411214953269"/>
    <n v="32"/>
    <n v="95"/>
    <n v="127"/>
    <n v="320"/>
    <n v="950"/>
    <n v="1270"/>
    <n v="46"/>
    <n v="1.5862068965517242"/>
    <n v="2"/>
    <n v="20"/>
    <n v="6.8965517241379309E-2"/>
    <n v="270"/>
    <n v="27"/>
    <n v="0.93103448275862066"/>
    <n v="420"/>
    <n v="42"/>
    <n v="1.4482758620689655"/>
    <n v="53"/>
    <n v="1.8275862068965518"/>
    <n v="430"/>
    <n v="14.827586206896552"/>
  </r>
  <r>
    <x v="129"/>
    <s v="2014-15"/>
    <x v="254"/>
    <n v="23"/>
    <n v="230"/>
    <x v="14"/>
    <n v="14570"/>
    <n v="425"/>
    <n v="9.4444444444444446"/>
    <n v="204"/>
    <n v="511"/>
    <n v="399"/>
    <n v="620"/>
    <n v="1760"/>
    <n v="0.35227272727272729"/>
    <n v="63"/>
    <n v="78"/>
    <n v="0.80769230769230771"/>
    <n v="37"/>
    <n v="153"/>
    <n v="190"/>
    <n v="370"/>
    <n v="1530"/>
    <n v="1900"/>
    <n v="150"/>
    <n v="3.3333333333333335"/>
    <n v="52"/>
    <n v="520"/>
    <n v="1.1555555555555554"/>
    <n v="120"/>
    <n v="12"/>
    <n v="0.26666666666666666"/>
    <n v="610"/>
    <n v="61"/>
    <n v="1.3555555555555556"/>
    <n v="129"/>
    <n v="2.8666666666666667"/>
    <n v="533"/>
    <n v="11.844444444444445"/>
  </r>
  <r>
    <x v="130"/>
    <s v="2014-15"/>
    <x v="255"/>
    <n v="33"/>
    <n v="330"/>
    <x v="35"/>
    <n v="12700"/>
    <n v="374"/>
    <n v="8.9047619047619051"/>
    <n v="147"/>
    <n v="354"/>
    <n v="0.4152542372881356"/>
    <n v="590"/>
    <n v="1420"/>
    <n v="0.41549295774647887"/>
    <n v="29"/>
    <n v="32"/>
    <n v="0.90625"/>
    <n v="19"/>
    <n v="105"/>
    <n v="124"/>
    <n v="190"/>
    <n v="1050"/>
    <n v="1240"/>
    <n v="198"/>
    <n v="4.7142857142857144"/>
    <n v="31"/>
    <n v="310"/>
    <n v="0.73809523809523814"/>
    <n v="0"/>
    <n v="0"/>
    <n v="0"/>
    <n v="750"/>
    <n v="75"/>
    <n v="1.7857142857142858"/>
    <n v="76"/>
    <n v="1.8095238095238095"/>
    <n v="382"/>
    <n v="9.0952380952380949"/>
  </r>
  <r>
    <x v="121"/>
    <s v="2014-15"/>
    <x v="256"/>
    <n v="26"/>
    <n v="260"/>
    <x v="6"/>
    <n v="9760"/>
    <n v="501"/>
    <n v="8.2131147540983598"/>
    <n v="144"/>
    <n v="301"/>
    <n v="0.47840531561461797"/>
    <n v="0"/>
    <n v="0"/>
    <e v="#DIV/0!"/>
    <n v="50"/>
    <n v="64"/>
    <n v="0.78125"/>
    <n v="101"/>
    <n v="237"/>
    <n v="338"/>
    <n v="1010"/>
    <n v="2370"/>
    <n v="3380"/>
    <n v="75"/>
    <n v="1.2295081967213115"/>
    <n v="37"/>
    <n v="370"/>
    <n v="0.60655737704918034"/>
    <n v="650"/>
    <n v="65"/>
    <n v="1.0655737704918034"/>
    <n v="590"/>
    <n v="59"/>
    <n v="0.96721311475409832"/>
    <n v="122"/>
    <n v="2"/>
    <n v="338"/>
    <n v="5.5409836065573774"/>
  </r>
  <r>
    <x v="102"/>
    <s v="2014-15"/>
    <x v="257"/>
    <n v="29"/>
    <n v="290"/>
    <x v="32"/>
    <n v="6190"/>
    <n v="171"/>
    <n v="7.125"/>
    <n v="101"/>
    <n v="251"/>
    <n v="0.40239043824701193"/>
    <n v="320"/>
    <n v="900"/>
    <n v="0.35555555555555557"/>
    <n v="27"/>
    <n v="39"/>
    <n v="0.69230769230769229"/>
    <n v="4"/>
    <n v="54"/>
    <n v="58"/>
    <n v="40"/>
    <n v="540"/>
    <n v="580"/>
    <n v="81"/>
    <n v="3.375"/>
    <n v="18"/>
    <n v="180"/>
    <n v="0.75"/>
    <n v="40"/>
    <n v="4"/>
    <n v="0.16666666666666666"/>
    <n v="450"/>
    <n v="45"/>
    <n v="1.875"/>
    <n v="44"/>
    <n v="1.8333333333333333"/>
    <n v="261"/>
    <n v="10.875"/>
  </r>
  <r>
    <x v="103"/>
    <s v="2014-15"/>
    <x v="258"/>
    <n v="25"/>
    <n v="250"/>
    <x v="32"/>
    <n v="6250"/>
    <n v="168"/>
    <n v="7"/>
    <n v="88"/>
    <n v="215"/>
    <n v="409"/>
    <n v="230"/>
    <n v="660"/>
    <n v="0.34848484848484851"/>
    <n v="25"/>
    <n v="37"/>
    <n v="0.67567567567567566"/>
    <n v="22"/>
    <n v="59"/>
    <n v="81"/>
    <n v="220"/>
    <n v="590"/>
    <n v="810"/>
    <n v="78"/>
    <n v="3.25"/>
    <n v="30"/>
    <n v="300"/>
    <n v="1.25"/>
    <n v="30"/>
    <n v="3"/>
    <n v="0.125"/>
    <n v="420"/>
    <n v="42"/>
    <n v="1.75"/>
    <n v="67"/>
    <n v="2.7916666666666665"/>
    <n v="224"/>
    <n v="9.3333333333333339"/>
  </r>
  <r>
    <x v="131"/>
    <s v="2014-15"/>
    <x v="259"/>
    <n v="32"/>
    <n v="320"/>
    <x v="61"/>
    <n v="8580"/>
    <n v="280"/>
    <n v="6.8292682926829267"/>
    <n v="105"/>
    <n v="243"/>
    <n v="432"/>
    <n v="0"/>
    <n v="10"/>
    <n v="0"/>
    <n v="38"/>
    <n v="82"/>
    <n v="0.46341463414634149"/>
    <n v="89"/>
    <n v="159"/>
    <n v="248"/>
    <n v="890"/>
    <n v="1590"/>
    <n v="2480"/>
    <n v="65"/>
    <n v="1.5853658536585367"/>
    <n v="21"/>
    <n v="210"/>
    <n v="0.51219512195121952"/>
    <n v="520"/>
    <n v="52"/>
    <n v="1.2682926829268293"/>
    <n v="570"/>
    <n v="57"/>
    <n v="1.3902439024390243"/>
    <n v="115"/>
    <n v="2.8048780487804876"/>
    <n v="248"/>
    <n v="6.0487804878048781"/>
  </r>
  <r>
    <x v="120"/>
    <s v="2014-15"/>
    <x v="260"/>
    <n v="23"/>
    <n v="230"/>
    <x v="42"/>
    <n v="16810"/>
    <n v="451"/>
    <n v="6.4428571428571431"/>
    <n v="279"/>
    <n v="717"/>
    <n v="0.38912133891213391"/>
    <n v="1210"/>
    <n v="3540"/>
    <n v="0.34180790960451979"/>
    <n v="125"/>
    <n v="156"/>
    <n v="0.80128205128205132"/>
    <n v="12"/>
    <n v="144"/>
    <n v="156"/>
    <n v="120"/>
    <n v="1440"/>
    <n v="1560"/>
    <n v="127"/>
    <n v="1.8142857142857143"/>
    <n v="20"/>
    <n v="200"/>
    <n v="0.2857142857142857"/>
    <n v="140"/>
    <n v="14"/>
    <n v="0.2"/>
    <n v="820"/>
    <n v="82"/>
    <n v="1.1714285714285715"/>
    <n v="119"/>
    <n v="1.7"/>
    <n v="804"/>
    <n v="11.485714285714286"/>
  </r>
  <r>
    <x v="132"/>
    <s v="2014-15"/>
    <x v="261"/>
    <n v="29"/>
    <n v="290"/>
    <x v="15"/>
    <n v="17850"/>
    <n v="526"/>
    <n v="6.4146341463414638"/>
    <n v="257"/>
    <n v="592"/>
    <n v="0.4341216216216216"/>
    <n v="150"/>
    <n v="420"/>
    <n v="0.35714285714285715"/>
    <n v="127"/>
    <n v="153"/>
    <n v="0.83006535947712423"/>
    <n v="98"/>
    <n v="226"/>
    <n v="324"/>
    <n v="980"/>
    <n v="2260"/>
    <n v="3240"/>
    <n v="140"/>
    <n v="1.7073170731707317"/>
    <n v="32"/>
    <n v="320"/>
    <n v="0.3902439024390244"/>
    <n v="440"/>
    <n v="44"/>
    <n v="0.53658536585365857"/>
    <n v="1040"/>
    <n v="104"/>
    <n v="1.2682926829268293"/>
    <n v="205"/>
    <n v="2.5"/>
    <n v="656"/>
    <n v="8"/>
  </r>
  <r>
    <x v="133"/>
    <s v="2014-15"/>
    <x v="262"/>
    <n v="22"/>
    <n v="220"/>
    <x v="73"/>
    <n v="18650"/>
    <n v="479"/>
    <n v="6.3026315789473681"/>
    <n v="187"/>
    <n v="432"/>
    <n v="0.43287037037037035"/>
    <n v="350"/>
    <n v="1160"/>
    <n v="0.30172413793103448"/>
    <n v="61"/>
    <n v="78"/>
    <n v="0.78205128205128205"/>
    <n v="29"/>
    <n v="147"/>
    <n v="176"/>
    <n v="290"/>
    <n v="1470"/>
    <n v="1760"/>
    <n v="226"/>
    <n v="2.9736842105263159"/>
    <n v="93"/>
    <n v="930"/>
    <n v="1.2236842105263157"/>
    <n v="90"/>
    <n v="9"/>
    <n v="0.11842105263157894"/>
    <n v="830"/>
    <n v="83"/>
    <n v="1.0921052631578947"/>
    <n v="150"/>
    <n v="1.9736842105263157"/>
    <n v="470"/>
    <n v="6.1842105263157894"/>
  </r>
  <r>
    <x v="134"/>
    <s v="2014-15"/>
    <x v="263"/>
    <n v="24"/>
    <n v="240"/>
    <x v="58"/>
    <n v="12870"/>
    <n v="409"/>
    <n v="6.0147058823529411"/>
    <n v="152"/>
    <n v="331"/>
    <n v="459"/>
    <n v="180"/>
    <n v="600"/>
    <n v="0.3"/>
    <n v="76"/>
    <n v="97"/>
    <n v="0.78350515463917525"/>
    <n v="79"/>
    <n v="222"/>
    <n v="301"/>
    <n v="790"/>
    <n v="2220"/>
    <n v="3010"/>
    <n v="68"/>
    <n v="1"/>
    <n v="27"/>
    <n v="270"/>
    <n v="0.39705882352941174"/>
    <n v="220"/>
    <n v="22"/>
    <n v="0.3235294117647059"/>
    <n v="600"/>
    <n v="60"/>
    <n v="0.88235294117647056"/>
    <n v="147"/>
    <n v="2.1617647058823528"/>
    <n v="398"/>
    <n v="5.8529411764705879"/>
  </r>
  <r>
    <x v="135"/>
    <s v="2014-15"/>
    <x v="264"/>
    <n v="35"/>
    <n v="350"/>
    <x v="22"/>
    <n v="5440"/>
    <n v="192"/>
    <n v="6"/>
    <n v="57"/>
    <n v="130"/>
    <n v="438"/>
    <n v="0"/>
    <n v="0"/>
    <e v="#DIV/0!"/>
    <n v="14"/>
    <n v="20"/>
    <n v="0.7"/>
    <n v="53"/>
    <n v="115"/>
    <n v="168"/>
    <n v="530"/>
    <n v="1150"/>
    <n v="1680"/>
    <n v="29"/>
    <n v="0.90625"/>
    <n v="14"/>
    <n v="140"/>
    <n v="0.4375"/>
    <n v="410"/>
    <n v="41"/>
    <n v="1.28125"/>
    <n v="390"/>
    <n v="39"/>
    <n v="1.21875"/>
    <n v="70"/>
    <n v="2.1875"/>
    <n v="128"/>
    <n v="4"/>
  </r>
  <r>
    <x v="114"/>
    <s v="2014-15"/>
    <x v="265"/>
    <n v="38"/>
    <n v="380"/>
    <x v="77"/>
    <n v="7950"/>
    <n v="241"/>
    <n v="5.6046511627906979"/>
    <n v="68"/>
    <n v="161"/>
    <n v="0.42236024844720499"/>
    <n v="430"/>
    <n v="1150"/>
    <n v="0.37391304347826088"/>
    <n v="22"/>
    <n v="26"/>
    <n v="0.84615384615384615"/>
    <n v="18"/>
    <n v="62"/>
    <n v="80"/>
    <n v="180"/>
    <n v="620"/>
    <n v="800"/>
    <n v="104"/>
    <n v="2.4186046511627906"/>
    <n v="52"/>
    <n v="520"/>
    <n v="1.2093023255813953"/>
    <n v="10"/>
    <n v="1"/>
    <n v="2.3255813953488372E-2"/>
    <n v="470"/>
    <n v="47"/>
    <n v="1.0930232558139534"/>
    <n v="53"/>
    <n v="1.2325581395348837"/>
    <n v="201"/>
    <n v="4.6744186046511631"/>
  </r>
  <r>
    <x v="136"/>
    <s v="2014-15"/>
    <x v="266"/>
    <n v="27"/>
    <n v="270"/>
    <x v="75"/>
    <n v="10400"/>
    <n v="217"/>
    <n v="5.4249999999999998"/>
    <n v="137"/>
    <n v="316"/>
    <n v="434"/>
    <n v="70"/>
    <n v="210"/>
    <n v="0.33333333333333331"/>
    <n v="49"/>
    <n v="66"/>
    <n v="0.74242424242424243"/>
    <n v="37"/>
    <n v="83"/>
    <n v="120"/>
    <n v="370"/>
    <n v="830"/>
    <n v="1200"/>
    <n v="49"/>
    <n v="1.2250000000000001"/>
    <n v="26"/>
    <n v="260"/>
    <n v="0.65"/>
    <n v="80"/>
    <n v="8"/>
    <n v="0.2"/>
    <n v="570"/>
    <n v="57"/>
    <n v="1.425"/>
    <n v="63"/>
    <n v="1.575"/>
    <n v="330"/>
    <n v="8.25"/>
  </r>
  <r>
    <x v="137"/>
    <s v="2014-15"/>
    <x v="267"/>
    <n v="22"/>
    <n v="220"/>
    <x v="28"/>
    <n v="2330"/>
    <n v="41"/>
    <n v="3.4166666666666665"/>
    <n v="32"/>
    <n v="90"/>
    <n v="0.35555555555555557"/>
    <n v="100"/>
    <n v="240"/>
    <n v="0.41666666666666669"/>
    <n v="15"/>
    <n v="20"/>
    <n v="0.75"/>
    <n v="15"/>
    <n v="19"/>
    <n v="34"/>
    <n v="150"/>
    <n v="190"/>
    <n v="340"/>
    <n v="18"/>
    <n v="1.5"/>
    <n v="6"/>
    <n v="60"/>
    <n v="0.5"/>
    <n v="10"/>
    <n v="1"/>
    <n v="8.3333333333333329E-2"/>
    <n v="240"/>
    <n v="24"/>
    <n v="2"/>
    <n v="20"/>
    <n v="1.6666666666666667"/>
    <n v="89"/>
    <n v="7.416666666666667"/>
  </r>
  <r>
    <x v="138"/>
    <s v="2014-15"/>
    <x v="268"/>
    <n v="24"/>
    <n v="240"/>
    <x v="18"/>
    <n v="6470"/>
    <n v="132"/>
    <n v="3.3846153846153846"/>
    <n v="76"/>
    <n v="214"/>
    <n v="0.35514018691588783"/>
    <n v="220"/>
    <n v="840"/>
    <n v="0.26190476190476192"/>
    <n v="36"/>
    <n v="48"/>
    <n v="0.75"/>
    <n v="22"/>
    <n v="75"/>
    <n v="97"/>
    <n v="220"/>
    <n v="750"/>
    <n v="970"/>
    <n v="36"/>
    <n v="0.92307692307692313"/>
    <n v="24"/>
    <n v="240"/>
    <n v="0.61538461538461542"/>
    <n v="120"/>
    <n v="12"/>
    <n v="0.30769230769230771"/>
    <n v="400"/>
    <n v="40"/>
    <n v="1.0256410256410255"/>
    <n v="57"/>
    <n v="1.4615384615384615"/>
    <n v="210"/>
    <n v="5.384615384615385"/>
  </r>
  <r>
    <x v="139"/>
    <s v="2014-15"/>
    <x v="269"/>
    <n v="24"/>
    <n v="240"/>
    <x v="7"/>
    <n v="6720"/>
    <n v="150"/>
    <n v="2.9411764705882355"/>
    <n v="84"/>
    <n v="209"/>
    <n v="402"/>
    <n v="110"/>
    <n v="300"/>
    <n v="0.36666666666666664"/>
    <n v="20"/>
    <n v="26"/>
    <n v="0.76923076923076927"/>
    <n v="31"/>
    <n v="75"/>
    <n v="106"/>
    <n v="310"/>
    <n v="750"/>
    <n v="1060"/>
    <n v="40"/>
    <n v="0.78431372549019607"/>
    <n v="15"/>
    <n v="150"/>
    <n v="0.29411764705882354"/>
    <n v="110"/>
    <n v="11"/>
    <n v="0.21568627450980393"/>
    <n v="350"/>
    <n v="35"/>
    <n v="0.68627450980392157"/>
    <n v="55"/>
    <n v="1.0784313725490196"/>
    <n v="199"/>
    <n v="3.9019607843137254"/>
  </r>
  <r>
    <x v="87"/>
    <s v="2015-16"/>
    <x v="270"/>
    <n v="32"/>
    <n v="320"/>
    <x v="48"/>
    <n v="25300"/>
    <n v="1363"/>
    <n v="18.930555555555557"/>
    <n v="567"/>
    <n v="1307"/>
    <n v="0.4338179035960214"/>
    <n v="1050"/>
    <n v="3100"/>
    <n v="0.33870967741935482"/>
    <n v="334"/>
    <n v="403"/>
    <n v="0.8287841191066998"/>
    <n v="98"/>
    <n v="458"/>
    <n v="556"/>
    <n v="980"/>
    <n v="4580"/>
    <n v="5560"/>
    <n v="299"/>
    <n v="4.1527777777777777"/>
    <n v="62"/>
    <n v="620"/>
    <n v="0.86111111111111116"/>
    <n v="380"/>
    <n v="38"/>
    <n v="0.52777777777777779"/>
    <n v="1760"/>
    <n v="176"/>
    <n v="2.4444444444444446"/>
    <n v="180"/>
    <n v="2.5"/>
    <n v="1573"/>
    <n v="21.847222222222221"/>
  </r>
  <r>
    <x v="140"/>
    <s v="2015-16"/>
    <x v="271"/>
    <n v="20"/>
    <n v="200"/>
    <x v="48"/>
    <n v="20470"/>
    <n v="957"/>
    <n v="13.291666666666666"/>
    <n v="373"/>
    <n v="886"/>
    <n v="0.42099322799097066"/>
    <n v="810"/>
    <n v="2430"/>
    <n v="0.33333333333333331"/>
    <n v="201"/>
    <n v="240"/>
    <n v="0.83750000000000002"/>
    <n v="132"/>
    <n v="394"/>
    <n v="526"/>
    <n v="1320"/>
    <n v="3940"/>
    <n v="5260"/>
    <n v="94"/>
    <n v="1.3055555555555556"/>
    <n v="53"/>
    <n v="530"/>
    <n v="0.73611111111111116"/>
    <n v="1340"/>
    <n v="134"/>
    <n v="1.8611111111111112"/>
    <n v="1210"/>
    <n v="121"/>
    <n v="1.6805555555555556"/>
    <n v="205"/>
    <n v="2.8472222222222223"/>
    <n v="1028"/>
    <n v="14.277777777777779"/>
  </r>
  <r>
    <x v="141"/>
    <s v="2015-16"/>
    <x v="272"/>
    <n v="28"/>
    <n v="280"/>
    <x v="15"/>
    <n v="22190"/>
    <n v="1050"/>
    <n v="12.804878048780488"/>
    <n v="357"/>
    <n v="662"/>
    <n v="0.5392749244712991"/>
    <n v="0"/>
    <n v="10"/>
    <n v="0"/>
    <n v="128"/>
    <n v="161"/>
    <n v="0.79503105590062106"/>
    <n v="268"/>
    <n v="334"/>
    <n v="602"/>
    <n v="2680"/>
    <n v="3340"/>
    <n v="6020"/>
    <n v="114"/>
    <n v="1.3902439024390243"/>
    <n v="16"/>
    <n v="160"/>
    <n v="0.1951219512195122"/>
    <n v="1290"/>
    <n v="129"/>
    <n v="1.5731707317073171"/>
    <n v="1330"/>
    <n v="133"/>
    <n v="1.6219512195121952"/>
    <n v="182"/>
    <n v="2.2195121951219514"/>
    <n v="842"/>
    <n v="10.268292682926829"/>
  </r>
  <r>
    <x v="142"/>
    <s v="2015-16"/>
    <x v="273"/>
    <n v="30"/>
    <n v="300"/>
    <x v="44"/>
    <n v="23710"/>
    <n v="664"/>
    <n v="9.352112676056338"/>
    <n v="354"/>
    <n v="799"/>
    <n v="0.44305381727158949"/>
    <n v="910"/>
    <n v="2380"/>
    <n v="0.38235294117647056"/>
    <n v="110"/>
    <n v="131"/>
    <n v="0.83969465648854957"/>
    <n v="23"/>
    <n v="243"/>
    <n v="266"/>
    <n v="230"/>
    <n v="2430"/>
    <n v="2660"/>
    <n v="144"/>
    <n v="2.028169014084507"/>
    <n v="25"/>
    <n v="250"/>
    <n v="0.352112676056338"/>
    <n v="100"/>
    <n v="10"/>
    <n v="0.14084507042253522"/>
    <n v="820"/>
    <n v="82"/>
    <n v="1.1549295774647887"/>
    <n v="142"/>
    <n v="2"/>
    <n v="909"/>
    <n v="12.80281690140845"/>
  </r>
  <r>
    <x v="130"/>
    <s v="2015-16"/>
    <x v="274"/>
    <n v="34"/>
    <n v="340"/>
    <x v="48"/>
    <n v="20240"/>
    <n v="667"/>
    <n v="9.2638888888888893"/>
    <n v="209"/>
    <n v="455"/>
    <n v="0.45934065934065932"/>
    <n v="840"/>
    <n v="2030"/>
    <n v="0.41379310344827586"/>
    <n v="42"/>
    <n v="48"/>
    <n v="0.875"/>
    <n v="22"/>
    <n v="207"/>
    <n v="229"/>
    <n v="220"/>
    <n v="2070"/>
    <n v="2290"/>
    <n v="298"/>
    <n v="4.1388888888888893"/>
    <n v="63"/>
    <n v="630"/>
    <n v="0.875"/>
    <n v="70"/>
    <n v="7"/>
    <n v="9.7222222222222224E-2"/>
    <n v="870"/>
    <n v="87"/>
    <n v="1.2083333333333333"/>
    <n v="135"/>
    <n v="1.875"/>
    <n v="544"/>
    <n v="7.5555555555555554"/>
  </r>
  <r>
    <x v="143"/>
    <s v="2015-16"/>
    <x v="275"/>
    <n v="25"/>
    <n v="250"/>
    <x v="30"/>
    <n v="14350"/>
    <n v="652"/>
    <n v="8.15"/>
    <n v="254"/>
    <n v="565"/>
    <n v="45"/>
    <n v="440"/>
    <n v="1500"/>
    <n v="0.29333333333333333"/>
    <n v="194"/>
    <n v="256"/>
    <n v="0.7578125"/>
    <n v="47"/>
    <n v="249"/>
    <n v="296"/>
    <n v="470"/>
    <n v="2490"/>
    <n v="2960"/>
    <n v="75"/>
    <n v="0.9375"/>
    <n v="29"/>
    <n v="290"/>
    <n v="0.36249999999999999"/>
    <n v="90"/>
    <n v="9"/>
    <n v="0.1125"/>
    <n v="610"/>
    <n v="61"/>
    <n v="0.76249999999999996"/>
    <n v="69"/>
    <n v="0.86250000000000004"/>
    <n v="746"/>
    <n v="9.3249999999999993"/>
  </r>
  <r>
    <x v="129"/>
    <s v="2015-16"/>
    <x v="276"/>
    <n v="24"/>
    <n v="240"/>
    <x v="15"/>
    <n v="20330"/>
    <n v="596"/>
    <n v="7.2682926829268295"/>
    <n v="231"/>
    <n v="588"/>
    <n v="393"/>
    <n v="770"/>
    <n v="2240"/>
    <n v="0.34375"/>
    <n v="86"/>
    <n v="114"/>
    <n v="0.75438596491228072"/>
    <n v="43"/>
    <n v="245"/>
    <n v="288"/>
    <n v="430"/>
    <n v="2450"/>
    <n v="2880"/>
    <n v="207"/>
    <n v="2.524390243902439"/>
    <n v="77"/>
    <n v="770"/>
    <n v="0.93902439024390238"/>
    <n v="220"/>
    <n v="22"/>
    <n v="0.26829268292682928"/>
    <n v="610"/>
    <n v="61"/>
    <n v="0.74390243902439024"/>
    <n v="177"/>
    <n v="2.1585365853658538"/>
    <n v="625"/>
    <n v="7.6219512195121952"/>
  </r>
  <r>
    <x v="144"/>
    <s v="2015-16"/>
    <x v="277"/>
    <n v="26"/>
    <n v="260"/>
    <x v="5"/>
    <n v="7640"/>
    <n v="376"/>
    <n v="5.7846153846153845"/>
    <n v="129"/>
    <n v="271"/>
    <n v="0.47601476014760147"/>
    <n v="50"/>
    <n v="220"/>
    <n v="0.22727272727272727"/>
    <n v="46"/>
    <n v="60"/>
    <n v="0.76666666666666672"/>
    <n v="76"/>
    <n v="174"/>
    <n v="250"/>
    <n v="760"/>
    <n v="1740"/>
    <n v="2500"/>
    <n v="72"/>
    <n v="1.1076923076923078"/>
    <n v="20"/>
    <n v="200"/>
    <n v="0.30769230769230771"/>
    <n v="490"/>
    <n v="49"/>
    <n v="0.75384615384615383"/>
    <n v="610"/>
    <n v="61"/>
    <n v="0.93846153846153846"/>
    <n v="107"/>
    <n v="1.6461538461538461"/>
    <n v="309"/>
    <n v="4.7538461538461538"/>
  </r>
  <r>
    <x v="136"/>
    <s v="2015-16"/>
    <x v="278"/>
    <n v="28"/>
    <n v="280"/>
    <x v="55"/>
    <n v="13130"/>
    <n v="301"/>
    <n v="5.101694915254237"/>
    <n v="169"/>
    <n v="382"/>
    <n v="442"/>
    <n v="440"/>
    <n v="1090"/>
    <n v="0.40366972477064222"/>
    <n v="102"/>
    <n v="119"/>
    <n v="0.8571428571428571"/>
    <n v="34"/>
    <n v="97"/>
    <n v="131"/>
    <n v="340"/>
    <n v="970"/>
    <n v="1310"/>
    <n v="53"/>
    <n v="0.89830508474576276"/>
    <n v="22"/>
    <n v="220"/>
    <n v="0.3728813559322034"/>
    <n v="70"/>
    <n v="7"/>
    <n v="0.11864406779661017"/>
    <n v="570"/>
    <n v="57"/>
    <n v="0.96610169491525422"/>
    <n v="109"/>
    <n v="1.847457627118644"/>
    <n v="484"/>
    <n v="8.203389830508474"/>
  </r>
  <r>
    <x v="145"/>
    <s v="2015-16"/>
    <x v="279"/>
    <n v="23"/>
    <n v="230"/>
    <x v="73"/>
    <n v="12650"/>
    <n v="358"/>
    <n v="4.7105263157894735"/>
    <n v="154"/>
    <n v="391"/>
    <n v="394"/>
    <n v="220"/>
    <n v="1000"/>
    <n v="0.22"/>
    <n v="96"/>
    <n v="123"/>
    <n v="0.78048780487804881"/>
    <n v="23"/>
    <n v="120"/>
    <n v="143"/>
    <n v="230"/>
    <n v="1200"/>
    <n v="1430"/>
    <n v="177"/>
    <n v="2.3289473684210527"/>
    <n v="50"/>
    <n v="500"/>
    <n v="0.65789473684210531"/>
    <n v="100"/>
    <n v="10"/>
    <n v="0.13157894736842105"/>
    <n v="870"/>
    <n v="87"/>
    <n v="1.1447368421052631"/>
    <n v="97"/>
    <n v="1.2763157894736843"/>
    <n v="426"/>
    <n v="5.6052631578947372"/>
  </r>
  <r>
    <x v="146"/>
    <s v="2015-16"/>
    <x v="280"/>
    <n v="32"/>
    <n v="320"/>
    <x v="6"/>
    <n v="9080"/>
    <n v="263"/>
    <n v="4.3114754098360653"/>
    <n v="106"/>
    <n v="277"/>
    <n v="383"/>
    <n v="520"/>
    <n v="1430"/>
    <n v="0.36363636363636365"/>
    <n v="32"/>
    <n v="39"/>
    <n v="0.82051282051282048"/>
    <n v="26"/>
    <n v="123"/>
    <n v="149"/>
    <n v="260"/>
    <n v="1230"/>
    <n v="1490"/>
    <n v="84"/>
    <n v="1.3770491803278688"/>
    <n v="34"/>
    <n v="340"/>
    <n v="0.55737704918032782"/>
    <n v="50"/>
    <n v="5"/>
    <n v="8.1967213114754092E-2"/>
    <n v="440"/>
    <n v="44"/>
    <n v="0.72131147540983609"/>
    <n v="83"/>
    <n v="1.360655737704918"/>
    <n v="296"/>
    <n v="4.8524590163934427"/>
  </r>
  <r>
    <x v="147"/>
    <s v="2015-16"/>
    <x v="281"/>
    <n v="26"/>
    <n v="260"/>
    <x v="68"/>
    <n v="5260"/>
    <n v="169"/>
    <n v="3.5208333333333335"/>
    <n v="84"/>
    <n v="205"/>
    <n v="0.40975609756097559"/>
    <n v="0"/>
    <n v="20"/>
    <n v="0"/>
    <n v="19"/>
    <n v="23"/>
    <n v="0.82608695652173914"/>
    <n v="31"/>
    <n v="95"/>
    <n v="126"/>
    <n v="310"/>
    <n v="950"/>
    <n v="1260"/>
    <n v="47"/>
    <n v="0.97916666666666663"/>
    <n v="8"/>
    <n v="80"/>
    <n v="0.16666666666666666"/>
    <n v="360"/>
    <n v="36"/>
    <n v="0.75"/>
    <n v="430"/>
    <n v="43"/>
    <n v="0.89583333333333337"/>
    <n v="67"/>
    <n v="1.3958333333333333"/>
    <n v="187"/>
    <n v="3.8958333333333335"/>
  </r>
  <r>
    <x v="148"/>
    <s v="2015-16"/>
    <x v="282"/>
    <n v="23"/>
    <n v="230"/>
    <x v="21"/>
    <n v="60"/>
    <n v="4"/>
    <n v="2"/>
    <n v="3"/>
    <n v="4"/>
    <n v="0.75"/>
    <n v="0"/>
    <n v="10"/>
    <n v="0"/>
    <n v="0"/>
    <n v="0"/>
    <e v="#DIV/0!"/>
    <n v="0"/>
    <n v="1"/>
    <n v="1"/>
    <n v="0"/>
    <n v="10"/>
    <n v="10"/>
    <n v="0"/>
    <n v="0"/>
    <n v="0"/>
    <n v="0"/>
    <n v="0"/>
    <n v="0"/>
    <n v="0"/>
    <n v="0"/>
    <n v="0"/>
    <n v="0"/>
    <n v="0"/>
    <n v="2"/>
    <n v="1"/>
    <n v="6"/>
    <n v="3"/>
  </r>
  <r>
    <x v="149"/>
    <s v="2015-16"/>
    <x v="283"/>
    <n v="27"/>
    <n v="270"/>
    <x v="21"/>
    <n v="50"/>
    <n v="4"/>
    <n v="2"/>
    <n v="1"/>
    <n v="1"/>
    <n v="10"/>
    <n v="10"/>
    <n v="10"/>
    <n v="1"/>
    <n v="4"/>
    <n v="5"/>
    <n v="0.8"/>
    <n v="0"/>
    <n v="0"/>
    <n v="0"/>
    <n v="0"/>
    <n v="0"/>
    <n v="0"/>
    <n v="0"/>
    <n v="0"/>
    <n v="0"/>
    <n v="0"/>
    <n v="0"/>
    <n v="0"/>
    <n v="0"/>
    <n v="0"/>
    <n v="10"/>
    <n v="1"/>
    <n v="0.5"/>
    <n v="1"/>
    <n v="0.5"/>
    <n v="7"/>
    <n v="3.5"/>
  </r>
  <r>
    <x v="138"/>
    <s v="2015-16"/>
    <x v="284"/>
    <n v="25"/>
    <n v="250"/>
    <x v="39"/>
    <n v="1540"/>
    <n v="14"/>
    <n v="0.82352941176470584"/>
    <n v="12"/>
    <n v="40"/>
    <n v="0.3"/>
    <n v="40"/>
    <n v="150"/>
    <n v="0.26666666666666666"/>
    <n v="3"/>
    <n v="4"/>
    <n v="0.75"/>
    <n v="4"/>
    <n v="22"/>
    <n v="26"/>
    <n v="40"/>
    <n v="220"/>
    <n v="260"/>
    <n v="6"/>
    <n v="0.35294117647058826"/>
    <n v="2"/>
    <n v="20"/>
    <n v="0.11764705882352941"/>
    <n v="30"/>
    <n v="3"/>
    <n v="0.17647058823529413"/>
    <n v="90"/>
    <n v="9"/>
    <n v="0.52941176470588236"/>
    <n v="16"/>
    <n v="0.94117647058823528"/>
    <n v="31"/>
    <n v="1.8235294117647058"/>
  </r>
  <r>
    <x v="131"/>
    <s v="2015-16"/>
    <x v="285"/>
    <n v="33"/>
    <n v="330"/>
    <x v="3"/>
    <n v="2040"/>
    <n v="20"/>
    <n v="0.68965517241379315"/>
    <n v="19"/>
    <n v="53"/>
    <n v="358"/>
    <n v="0"/>
    <n v="0"/>
    <e v="#DIV/0!"/>
    <n v="14"/>
    <n v="27"/>
    <n v="0.51851851851851849"/>
    <n v="23"/>
    <n v="26"/>
    <n v="49"/>
    <n v="230"/>
    <n v="260"/>
    <n v="490"/>
    <n v="12"/>
    <n v="0.41379310344827586"/>
    <n v="6"/>
    <n v="60"/>
    <n v="0.20689655172413793"/>
    <n v="70"/>
    <n v="7"/>
    <n v="0.2413793103448276"/>
    <n v="150"/>
    <n v="15"/>
    <n v="0.51724137931034486"/>
    <n v="44"/>
    <n v="1.5172413793103448"/>
    <n v="52"/>
    <n v="1.7931034482758621"/>
  </r>
  <r>
    <x v="87"/>
    <s v="2016-17"/>
    <x v="286"/>
    <n v="33"/>
    <n v="330"/>
    <x v="23"/>
    <n v="25380"/>
    <n v="1205"/>
    <n v="16.283783783783782"/>
    <n v="602"/>
    <n v="1389"/>
    <n v="0.43340532757379407"/>
    <n v="1510"/>
    <n v="4210"/>
    <n v="0.35866983372921613"/>
    <n v="304"/>
    <n v="365"/>
    <n v="0.83287671232876714"/>
    <n v="62"/>
    <n v="376"/>
    <n v="438"/>
    <n v="620"/>
    <n v="3760"/>
    <n v="4380"/>
    <n v="213"/>
    <n v="2.8783783783783785"/>
    <n v="60"/>
    <n v="600"/>
    <n v="0.81081081081081086"/>
    <n v="340"/>
    <n v="34"/>
    <n v="0.45945945945945948"/>
    <n v="1530"/>
    <n v="153"/>
    <n v="2.0675675675675675"/>
    <n v="198"/>
    <n v="2.6756756756756759"/>
    <n v="1659"/>
    <n v="22.418918918918919"/>
  </r>
  <r>
    <x v="150"/>
    <s v="2016-17"/>
    <x v="287"/>
    <n v="28"/>
    <n v="280"/>
    <x v="57"/>
    <n v="20820"/>
    <n v="964"/>
    <n v="15.0625"/>
    <n v="460"/>
    <n v="977"/>
    <n v="0.47082906857727735"/>
    <n v="130"/>
    <n v="600"/>
    <n v="0.21666666666666667"/>
    <n v="221"/>
    <n v="253"/>
    <n v="0.87351778656126478"/>
    <n v="66"/>
    <n v="180"/>
    <n v="246"/>
    <n v="660"/>
    <n v="1800"/>
    <n v="2460"/>
    <n v="283"/>
    <n v="4.421875"/>
    <n v="44"/>
    <n v="440"/>
    <n v="0.6875"/>
    <n v="170"/>
    <n v="17"/>
    <n v="0.265625"/>
    <n v="1470"/>
    <n v="147"/>
    <n v="2.296875"/>
    <n v="84"/>
    <n v="1.3125"/>
    <n v="1154"/>
    <n v="18.03125"/>
  </r>
  <r>
    <x v="140"/>
    <s v="2016-17"/>
    <x v="288"/>
    <n v="21"/>
    <n v="210"/>
    <x v="25"/>
    <n v="21640"/>
    <n v="986"/>
    <n v="14.939393939393939"/>
    <n v="443"/>
    <n v="985"/>
    <n v="0.44974619289340101"/>
    <n v="1120"/>
    <n v="3140"/>
    <n v="0.35668789808917195"/>
    <n v="198"/>
    <n v="252"/>
    <n v="0.7857142857142857"/>
    <n v="111"/>
    <n v="364"/>
    <n v="475"/>
    <n v="1110"/>
    <n v="3640"/>
    <n v="4750"/>
    <n v="97"/>
    <n v="1.4696969696969697"/>
    <n v="47"/>
    <n v="470"/>
    <n v="0.71212121212121215"/>
    <n v="1290"/>
    <n v="129"/>
    <n v="1.9545454545454546"/>
    <n v="1180"/>
    <n v="118"/>
    <n v="1.7878787878787878"/>
    <n v="244"/>
    <n v="3.6969696969696968"/>
    <n v="1196"/>
    <n v="18.121212121212121"/>
  </r>
  <r>
    <x v="151"/>
    <s v="2016-17"/>
    <x v="289"/>
    <n v="23"/>
    <n v="230"/>
    <x v="48"/>
    <n v="13240"/>
    <n v="759"/>
    <n v="10.541666666666666"/>
    <n v="246"/>
    <n v="465"/>
    <n v="0.52903225806451615"/>
    <n v="40"/>
    <n v="150"/>
    <n v="0.26666666666666666"/>
    <n v="91"/>
    <n v="125"/>
    <n v="0.72799999999999998"/>
    <n v="170"/>
    <n v="332"/>
    <n v="502"/>
    <n v="1700"/>
    <n v="3320"/>
    <n v="5020"/>
    <n v="96"/>
    <n v="1.3333333333333333"/>
    <n v="41"/>
    <n v="410"/>
    <n v="0.56944444444444442"/>
    <n v="360"/>
    <n v="36"/>
    <n v="0.5"/>
    <n v="1000"/>
    <n v="100"/>
    <n v="1.3888888888888888"/>
    <n v="150"/>
    <n v="2.0833333333333335"/>
    <n v="587"/>
    <n v="8.1527777777777786"/>
  </r>
  <r>
    <x v="152"/>
    <s v="2016-17"/>
    <x v="290"/>
    <n v="32"/>
    <n v="320"/>
    <x v="37"/>
    <n v="10150"/>
    <n v="473"/>
    <n v="10.282608695652174"/>
    <n v="99"/>
    <n v="202"/>
    <n v="0.49009900990099009"/>
    <n v="0"/>
    <n v="10"/>
    <n v="0"/>
    <n v="34"/>
    <n v="78"/>
    <n v="0.4358974358974359"/>
    <n v="162"/>
    <n v="241"/>
    <n v="403"/>
    <n v="1620"/>
    <n v="2410"/>
    <n v="4030"/>
    <n v="103"/>
    <n v="2.2391304347826089"/>
    <n v="30"/>
    <n v="300"/>
    <n v="0.65217391304347827"/>
    <n v="370"/>
    <n v="37"/>
    <n v="0.80434782608695654"/>
    <n v="580"/>
    <n v="58"/>
    <n v="1.2608695652173914"/>
    <n v="127"/>
    <n v="2.7608695652173911"/>
    <n v="232"/>
    <n v="5.0434782608695654"/>
  </r>
  <r>
    <x v="153"/>
    <s v="2016-17"/>
    <x v="291"/>
    <n v="31"/>
    <n v="310"/>
    <x v="1"/>
    <n v="24590"/>
    <n v="772"/>
    <n v="10.025974025974026"/>
    <n v="321"/>
    <n v="704"/>
    <n v="0.45596590909090912"/>
    <n v="1080"/>
    <n v="2690"/>
    <n v="0.40148698884758366"/>
    <n v="85"/>
    <n v="98"/>
    <n v="0.86734693877551017"/>
    <n v="53"/>
    <n v="206"/>
    <n v="259"/>
    <n v="530"/>
    <n v="2060"/>
    <n v="2590"/>
    <n v="179"/>
    <n v="2.3246753246753249"/>
    <n v="81"/>
    <n v="810"/>
    <n v="1.051948051948052"/>
    <n v="240"/>
    <n v="24"/>
    <n v="0.31168831168831168"/>
    <n v="690"/>
    <n v="69"/>
    <n v="0.89610389610389607"/>
    <n v="141"/>
    <n v="1.8311688311688312"/>
    <n v="835"/>
    <n v="10.844155844155845"/>
  </r>
  <r>
    <x v="144"/>
    <s v="2016-17"/>
    <x v="292"/>
    <n v="27"/>
    <n v="270"/>
    <x v="24"/>
    <n v="12290"/>
    <n v="725"/>
    <n v="9.1772151898734169"/>
    <n v="215"/>
    <n v="413"/>
    <n v="0.52058111380145278"/>
    <n v="20"/>
    <n v="170"/>
    <n v="0.11764705882352941"/>
    <n v="64"/>
    <n v="83"/>
    <n v="0.77108433734939763"/>
    <n v="157"/>
    <n v="282"/>
    <n v="439"/>
    <n v="1570"/>
    <n v="2820"/>
    <n v="4390"/>
    <n v="117"/>
    <n v="1.481012658227848"/>
    <n v="36"/>
    <n v="360"/>
    <n v="0.45569620253164556"/>
    <n v="1040"/>
    <n v="104"/>
    <n v="1.3164556962025316"/>
    <n v="760"/>
    <n v="76"/>
    <n v="0.96202531645569622"/>
    <n v="174"/>
    <n v="2.2025316455696204"/>
    <n v="496"/>
    <n v="6.2784810126582276"/>
  </r>
  <r>
    <x v="154"/>
    <s v="2016-17"/>
    <x v="293"/>
    <n v="27"/>
    <n v="270"/>
    <x v="54"/>
    <n v="14280"/>
    <n v="505"/>
    <n v="8.7068965517241388"/>
    <n v="163"/>
    <n v="429"/>
    <n v="38"/>
    <n v="680"/>
    <n v="2000"/>
    <n v="0.34"/>
    <n v="102"/>
    <n v="135"/>
    <n v="0.75555555555555554"/>
    <n v="21"/>
    <n v="131"/>
    <n v="152"/>
    <n v="210"/>
    <n v="1310"/>
    <n v="1520"/>
    <n v="287"/>
    <n v="4.9482758620689653"/>
    <n v="55"/>
    <n v="550"/>
    <n v="0.94827586206896552"/>
    <n v="40"/>
    <n v="4"/>
    <n v="6.8965517241379309E-2"/>
    <n v="1060"/>
    <n v="106"/>
    <n v="1.8275862068965518"/>
    <n v="84"/>
    <n v="1.4482758620689655"/>
    <n v="496"/>
    <n v="8.5517241379310338"/>
  </r>
  <r>
    <x v="155"/>
    <s v="2016-17"/>
    <x v="294"/>
    <n v="28"/>
    <n v="280"/>
    <x v="15"/>
    <n v="16390"/>
    <n v="558"/>
    <n v="6.8048780487804876"/>
    <n v="233"/>
    <n v="538"/>
    <n v="0.43308550185873607"/>
    <n v="970"/>
    <n v="2730"/>
    <n v="0.35531135531135533"/>
    <n v="66"/>
    <n v="80"/>
    <n v="0.82499999999999996"/>
    <n v="27"/>
    <n v="198"/>
    <n v="225"/>
    <n v="270"/>
    <n v="1980"/>
    <n v="2250"/>
    <n v="102"/>
    <n v="1.2439024390243902"/>
    <n v="65"/>
    <n v="650"/>
    <n v="0.79268292682926833"/>
    <n v="310"/>
    <n v="31"/>
    <n v="0.37804878048780488"/>
    <n v="660"/>
    <n v="66"/>
    <n v="0.80487804878048785"/>
    <n v="109"/>
    <n v="1.3292682926829269"/>
    <n v="629"/>
    <n v="7.6707317073170733"/>
  </r>
  <r>
    <x v="136"/>
    <s v="2016-17"/>
    <x v="295"/>
    <n v="29"/>
    <n v="290"/>
    <x v="37"/>
    <n v="9680"/>
    <n v="213"/>
    <n v="4.6304347826086953"/>
    <n v="97"/>
    <n v="244"/>
    <n v="398"/>
    <n v="380"/>
    <n v="850"/>
    <n v="0.44705882352941179"/>
    <n v="43"/>
    <n v="51"/>
    <n v="0.84313725490196079"/>
    <n v="32"/>
    <n v="110"/>
    <n v="142"/>
    <n v="320"/>
    <n v="1100"/>
    <n v="1420"/>
    <n v="35"/>
    <n v="0.76086956521739135"/>
    <n v="21"/>
    <n v="210"/>
    <n v="0.45652173913043476"/>
    <n v="50"/>
    <n v="5"/>
    <n v="0.10869565217391304"/>
    <n v="250"/>
    <n v="25"/>
    <n v="0.54347826086956519"/>
    <n v="85"/>
    <n v="1.8478260869565217"/>
    <n v="275"/>
    <n v="5.9782608695652177"/>
  </r>
  <r>
    <x v="156"/>
    <s v="2016-17"/>
    <x v="296"/>
    <n v="27"/>
    <n v="270"/>
    <x v="58"/>
    <n v="10160"/>
    <n v="306"/>
    <n v="4.5"/>
    <n v="158"/>
    <n v="369"/>
    <n v="0.42818428184281843"/>
    <n v="540"/>
    <n v="1680"/>
    <n v="0.32142857142857145"/>
    <n v="55"/>
    <n v="68"/>
    <n v="0.80882352941176472"/>
    <n v="47"/>
    <n v="79"/>
    <n v="126"/>
    <n v="470"/>
    <n v="790"/>
    <n v="1260"/>
    <n v="69"/>
    <n v="1.0147058823529411"/>
    <n v="29"/>
    <n v="290"/>
    <n v="0.4264705882352941"/>
    <n v="110"/>
    <n v="11"/>
    <n v="0.16176470588235295"/>
    <n v="510"/>
    <n v="51"/>
    <n v="0.75"/>
    <n v="79"/>
    <n v="1.161764705882353"/>
    <n v="425"/>
    <n v="6.25"/>
  </r>
  <r>
    <x v="157"/>
    <s v="2016-17"/>
    <x v="297"/>
    <n v="24"/>
    <n v="240"/>
    <x v="10"/>
    <n v="2250"/>
    <n v="67"/>
    <n v="3.7222222222222223"/>
    <n v="28"/>
    <n v="72"/>
    <n v="0.3888888888888889"/>
    <n v="100"/>
    <n v="320"/>
    <n v="0.3125"/>
    <n v="29"/>
    <n v="31"/>
    <n v="0.93548387096774188"/>
    <n v="6"/>
    <n v="21"/>
    <n v="27"/>
    <n v="60"/>
    <n v="210"/>
    <n v="270"/>
    <n v="28"/>
    <n v="1.5555555555555556"/>
    <n v="6"/>
    <n v="60"/>
    <n v="0.33333333333333331"/>
    <n v="10"/>
    <n v="1"/>
    <n v="5.5555555555555552E-2"/>
    <n v="160"/>
    <n v="16"/>
    <n v="0.88888888888888884"/>
    <n v="28"/>
    <n v="1.5555555555555556"/>
    <n v="95"/>
    <n v="5.2777777777777777"/>
  </r>
  <r>
    <x v="158"/>
    <s v="2016-17"/>
    <x v="298"/>
    <n v="24"/>
    <n v="240"/>
    <x v="59"/>
    <n v="8570"/>
    <n v="182"/>
    <n v="3.5"/>
    <n v="82"/>
    <n v="217"/>
    <n v="0.37788018433179721"/>
    <n v="230"/>
    <n v="860"/>
    <n v="0.26744186046511625"/>
    <n v="28"/>
    <n v="43"/>
    <n v="0.65116279069767447"/>
    <n v="12"/>
    <n v="86"/>
    <n v="98"/>
    <n v="120"/>
    <n v="860"/>
    <n v="980"/>
    <n v="107"/>
    <n v="2.0576923076923075"/>
    <n v="34"/>
    <n v="340"/>
    <n v="0.65384615384615385"/>
    <n v="80"/>
    <n v="8"/>
    <n v="0.15384615384615385"/>
    <n v="560"/>
    <n v="56"/>
    <n v="1.0769230769230769"/>
    <n v="74"/>
    <n v="1.4230769230769231"/>
    <n v="215"/>
    <n v="4.134615384615385"/>
  </r>
  <r>
    <x v="159"/>
    <s v="2016-17"/>
    <x v="299"/>
    <n v="25"/>
    <n v="250"/>
    <x v="22"/>
    <n v="3310"/>
    <n v="97"/>
    <n v="3.03125"/>
    <n v="39"/>
    <n v="86"/>
    <n v="0.45348837209302323"/>
    <n v="10"/>
    <n v="70"/>
    <n v="0.14285714285714285"/>
    <n v="19"/>
    <n v="26"/>
    <n v="0.73076923076923073"/>
    <n v="22"/>
    <n v="42"/>
    <n v="64"/>
    <n v="220"/>
    <n v="420"/>
    <n v="640"/>
    <n v="8"/>
    <n v="0.25"/>
    <n v="15"/>
    <n v="150"/>
    <n v="0.46875"/>
    <n v="80"/>
    <n v="8"/>
    <n v="0.25"/>
    <n v="120"/>
    <n v="12"/>
    <n v="0.375"/>
    <n v="30"/>
    <n v="0.9375"/>
    <n v="98"/>
    <n v="3.0625"/>
  </r>
  <r>
    <x v="160"/>
    <s v="2016-17"/>
    <x v="300"/>
    <n v="24"/>
    <n v="240"/>
    <x v="27"/>
    <n v="1700"/>
    <n v="49"/>
    <n v="2.3333333333333335"/>
    <n v="16"/>
    <n v="30"/>
    <n v="533"/>
    <n v="0"/>
    <n v="0"/>
    <e v="#DIV/0!"/>
    <n v="8"/>
    <n v="19"/>
    <n v="0.42105263157894735"/>
    <n v="23"/>
    <n v="28"/>
    <n v="51"/>
    <n v="230"/>
    <n v="280"/>
    <n v="510"/>
    <n v="10"/>
    <n v="0.47619047619047616"/>
    <n v="4"/>
    <n v="40"/>
    <n v="0.19047619047619047"/>
    <n v="40"/>
    <n v="4"/>
    <n v="0.19047619047619047"/>
    <n v="120"/>
    <n v="12"/>
    <n v="0.5714285714285714"/>
    <n v="23"/>
    <n v="1.0952380952380953"/>
    <n v="40"/>
    <n v="1.9047619047619047"/>
  </r>
  <r>
    <x v="146"/>
    <s v="2016-17"/>
    <x v="301"/>
    <n v="33"/>
    <n v="330"/>
    <x v="35"/>
    <n v="4080"/>
    <n v="95"/>
    <n v="2.2619047619047619"/>
    <n v="42"/>
    <n v="136"/>
    <n v="309"/>
    <n v="230"/>
    <n v="740"/>
    <n v="0.3108108108108108"/>
    <n v="17"/>
    <n v="24"/>
    <n v="0.70833333333333337"/>
    <n v="12"/>
    <n v="47"/>
    <n v="59"/>
    <n v="120"/>
    <n v="470"/>
    <n v="590"/>
    <n v="52"/>
    <n v="1.2380952380952381"/>
    <n v="13"/>
    <n v="130"/>
    <n v="0.30952380952380953"/>
    <n v="20"/>
    <n v="2"/>
    <n v="4.7619047619047616E-2"/>
    <n v="160"/>
    <n v="16"/>
    <n v="0.38095238095238093"/>
    <n v="38"/>
    <n v="0.90476190476190477"/>
    <n v="124"/>
    <n v="2.9523809523809526"/>
  </r>
  <r>
    <x v="161"/>
    <s v="2017-18"/>
    <x v="302"/>
    <n v="26"/>
    <n v="260"/>
    <x v="44"/>
    <n v="18300"/>
    <n v="1330"/>
    <n v="18.732394366197184"/>
    <n v="422"/>
    <n v="713"/>
    <n v="592"/>
    <n v="0"/>
    <n v="20"/>
    <n v="0"/>
    <n v="156"/>
    <n v="184"/>
    <n v="0.84782608695652173"/>
    <n v="273"/>
    <n v="507"/>
    <n v="780"/>
    <n v="2730"/>
    <n v="5070"/>
    <n v="7800"/>
    <n v="105"/>
    <n v="1.4788732394366197"/>
    <n v="36"/>
    <n v="360"/>
    <n v="0.50704225352112675"/>
    <n v="370"/>
    <n v="37"/>
    <n v="0.52112676056338025"/>
    <n v="1220"/>
    <n v="122"/>
    <n v="1.7183098591549295"/>
    <n v="187"/>
    <n v="2.6338028169014085"/>
    <n v="1000"/>
    <n v="14.084507042253522"/>
  </r>
  <r>
    <x v="140"/>
    <s v="2017-18"/>
    <x v="303"/>
    <n v="22"/>
    <n v="220"/>
    <x v="68"/>
    <n v="15530"/>
    <n v="822"/>
    <n v="17.125"/>
    <n v="390"/>
    <n v="889"/>
    <n v="0.43869516310461193"/>
    <n v="900"/>
    <n v="2280"/>
    <n v="0.39473684210526316"/>
    <n v="218"/>
    <n v="275"/>
    <n v="0.79272727272727272"/>
    <n v="62"/>
    <n v="254"/>
    <n v="316"/>
    <n v="620"/>
    <n v="2540"/>
    <n v="3160"/>
    <n v="57"/>
    <n v="1.1875"/>
    <n v="36"/>
    <n v="360"/>
    <n v="0.75"/>
    <n v="1150"/>
    <n v="115"/>
    <n v="2.3958333333333335"/>
    <n v="930"/>
    <n v="93"/>
    <n v="1.9375"/>
    <n v="141"/>
    <n v="2.9375"/>
    <n v="1088"/>
    <n v="22.666666666666668"/>
  </r>
  <r>
    <x v="120"/>
    <s v="2017-18"/>
    <x v="304"/>
    <n v="26"/>
    <n v="260"/>
    <x v="74"/>
    <n v="18850"/>
    <n v="703"/>
    <n v="12.333333333333334"/>
    <n v="360"/>
    <n v="856"/>
    <n v="0.42056074766355139"/>
    <n v="1300"/>
    <n v="4100"/>
    <n v="0.31707317073170732"/>
    <n v="146"/>
    <n v="179"/>
    <n v="0.81564245810055869"/>
    <n v="32"/>
    <n v="192"/>
    <n v="224"/>
    <n v="320"/>
    <n v="1920"/>
    <n v="2240"/>
    <n v="155"/>
    <n v="2.7192982456140351"/>
    <n v="62"/>
    <n v="620"/>
    <n v="1.0877192982456141"/>
    <n v="100"/>
    <n v="10"/>
    <n v="0.17543859649122806"/>
    <n v="920"/>
    <n v="92"/>
    <n v="1.6140350877192982"/>
    <n v="123"/>
    <n v="2.1578947368421053"/>
    <n v="996"/>
    <n v="17.473684210526315"/>
  </r>
  <r>
    <x v="162"/>
    <s v="2017-18"/>
    <x v="305"/>
    <n v="25"/>
    <n v="250"/>
    <x v="38"/>
    <n v="7850"/>
    <n v="433"/>
    <n v="12.027777777777779"/>
    <n v="193"/>
    <n v="384"/>
    <n v="0.50260416666666663"/>
    <n v="380"/>
    <n v="1050"/>
    <n v="0.3619047619047619"/>
    <n v="37"/>
    <n v="57"/>
    <n v="0.64912280701754388"/>
    <n v="13"/>
    <n v="58"/>
    <n v="71"/>
    <n v="130"/>
    <n v="580"/>
    <n v="710"/>
    <n v="170"/>
    <n v="4.7222222222222223"/>
    <n v="24"/>
    <n v="240"/>
    <n v="0.66666666666666663"/>
    <n v="40"/>
    <n v="4"/>
    <n v="0.1111111111111111"/>
    <n v="430"/>
    <n v="43"/>
    <n v="1.1944444444444444"/>
    <n v="43"/>
    <n v="1.1944444444444444"/>
    <n v="461"/>
    <n v="12.805555555555555"/>
  </r>
  <r>
    <x v="163"/>
    <s v="2017-18"/>
    <x v="306"/>
    <n v="29"/>
    <n v="290"/>
    <x v="23"/>
    <n v="16530"/>
    <n v="871"/>
    <n v="11.77027027027027"/>
    <n v="409"/>
    <n v="807"/>
    <n v="0.50681536555142503"/>
    <n v="340"/>
    <n v="860"/>
    <n v="0.39534883720930231"/>
    <n v="124"/>
    <n v="159"/>
    <n v="0.77987421383647804"/>
    <n v="97"/>
    <n v="317"/>
    <n v="414"/>
    <n v="970"/>
    <n v="3170"/>
    <n v="4140"/>
    <n v="123"/>
    <n v="1.6621621621621621"/>
    <n v="36"/>
    <n v="360"/>
    <n v="0.48648648648648651"/>
    <n v="430"/>
    <n v="43"/>
    <n v="0.58108108108108103"/>
    <n v="1430"/>
    <n v="143"/>
    <n v="1.9324324324324325"/>
    <n v="145"/>
    <n v="1.9594594594594594"/>
    <n v="976"/>
    <n v="13.189189189189189"/>
  </r>
  <r>
    <x v="144"/>
    <s v="2017-18"/>
    <x v="307"/>
    <n v="28"/>
    <n v="280"/>
    <x v="1"/>
    <n v="13870"/>
    <n v="831"/>
    <n v="10.792207792207792"/>
    <n v="224"/>
    <n v="384"/>
    <n v="0.58333333333333337"/>
    <n v="40"/>
    <n v="170"/>
    <n v="0.23529411764705882"/>
    <n v="98"/>
    <n v="127"/>
    <n v="0.77165354330708658"/>
    <n v="121"/>
    <n v="349"/>
    <n v="470"/>
    <n v="1210"/>
    <n v="3490"/>
    <n v="4700"/>
    <n v="158"/>
    <n v="2.051948051948052"/>
    <n v="36"/>
    <n v="360"/>
    <n v="0.46753246753246752"/>
    <n v="980"/>
    <n v="98"/>
    <n v="1.2727272727272727"/>
    <n v="1000"/>
    <n v="100"/>
    <n v="1.2987012987012987"/>
    <n v="192"/>
    <n v="2.4935064935064934"/>
    <n v="550"/>
    <n v="7.1428571428571432"/>
  </r>
  <r>
    <x v="153"/>
    <s v="2017-18"/>
    <x v="308"/>
    <n v="32"/>
    <n v="320"/>
    <x v="73"/>
    <n v="23100"/>
    <n v="799"/>
    <n v="10.513157894736842"/>
    <n v="343"/>
    <n v="755"/>
    <n v="0.45430463576158941"/>
    <n v="1130"/>
    <n v="2780"/>
    <n v="0.40647482014388492"/>
    <n v="114"/>
    <n v="124"/>
    <n v="0.91935483870967738"/>
    <n v="30"/>
    <n v="194"/>
    <n v="224"/>
    <n v="300"/>
    <n v="1940"/>
    <n v="2240"/>
    <n v="180"/>
    <n v="2.3684210526315788"/>
    <n v="80"/>
    <n v="800"/>
    <n v="1.0526315789473684"/>
    <n v="170"/>
    <n v="17"/>
    <n v="0.22368421052631579"/>
    <n v="840"/>
    <n v="84"/>
    <n v="1.1052631578947369"/>
    <n v="109"/>
    <n v="1.4342105263157894"/>
    <n v="913"/>
    <n v="12.013157894736842"/>
  </r>
  <r>
    <x v="164"/>
    <s v="2017-18"/>
    <x v="309"/>
    <n v="34"/>
    <n v="340"/>
    <x v="71"/>
    <n v="15480"/>
    <n v="565"/>
    <n v="9.112903225806452"/>
    <n v="189"/>
    <n v="443"/>
    <n v="427"/>
    <n v="250"/>
    <n v="860"/>
    <n v="0.29069767441860467"/>
    <n v="63"/>
    <n v="75"/>
    <n v="0.84"/>
    <n v="22"/>
    <n v="169"/>
    <n v="191"/>
    <n v="220"/>
    <n v="1690"/>
    <n v="1910"/>
    <n v="348"/>
    <n v="5.612903225806452"/>
    <n v="35"/>
    <n v="350"/>
    <n v="0.56451612903225812"/>
    <n v="40"/>
    <n v="4"/>
    <n v="6.4516129032258063E-2"/>
    <n v="1150"/>
    <n v="115"/>
    <n v="1.8548387096774193"/>
    <n v="98"/>
    <n v="1.5806451612903225"/>
    <n v="466"/>
    <n v="7.5161290322580649"/>
  </r>
  <r>
    <x v="165"/>
    <s v="2017-18"/>
    <x v="310"/>
    <n v="23"/>
    <n v="230"/>
    <x v="39"/>
    <n v="2900"/>
    <n v="116"/>
    <n v="6.8235294117647056"/>
    <n v="49"/>
    <n v="100"/>
    <n v="49"/>
    <n v="110"/>
    <n v="330"/>
    <n v="0.33333333333333331"/>
    <n v="19"/>
    <n v="27"/>
    <n v="0.70370370370370372"/>
    <n v="21"/>
    <n v="38"/>
    <n v="59"/>
    <n v="210"/>
    <n v="380"/>
    <n v="590"/>
    <n v="15"/>
    <n v="0.88235294117647056"/>
    <n v="19"/>
    <n v="190"/>
    <n v="1.1176470588235294"/>
    <n v="40"/>
    <n v="4"/>
    <n v="0.23529411764705882"/>
    <n v="180"/>
    <n v="18"/>
    <n v="1.0588235294117647"/>
    <n v="32"/>
    <n v="1.8823529411764706"/>
    <n v="128"/>
    <n v="7.5294117647058822"/>
  </r>
  <r>
    <x v="166"/>
    <s v="2017-18"/>
    <x v="311"/>
    <n v="22"/>
    <n v="220"/>
    <x v="78"/>
    <n v="4930"/>
    <n v="145"/>
    <n v="6.5909090909090908"/>
    <n v="75"/>
    <n v="204"/>
    <n v="0.36764705882352944"/>
    <n v="90"/>
    <n v="460"/>
    <n v="0.19565217391304349"/>
    <n v="35"/>
    <n v="51"/>
    <n v="0.68627450980392157"/>
    <n v="10"/>
    <n v="48"/>
    <n v="58"/>
    <n v="100"/>
    <n v="480"/>
    <n v="580"/>
    <n v="85"/>
    <n v="3.8636363636363638"/>
    <n v="20"/>
    <n v="200"/>
    <n v="0.90909090909090906"/>
    <n v="70"/>
    <n v="7"/>
    <n v="0.31818181818181818"/>
    <n v="410"/>
    <n v="41"/>
    <n v="1.8636363636363635"/>
    <n v="33"/>
    <n v="1.5"/>
    <n v="194"/>
    <n v="8.8181818181818183"/>
  </r>
  <r>
    <x v="167"/>
    <s v="2017-18"/>
    <x v="312"/>
    <n v="22"/>
    <n v="220"/>
    <x v="45"/>
    <n v="3260"/>
    <n v="127"/>
    <n v="6.35"/>
    <n v="49"/>
    <n v="125"/>
    <n v="0.39200000000000002"/>
    <n v="280"/>
    <n v="790"/>
    <n v="0.35443037974683544"/>
    <n v="8"/>
    <n v="11"/>
    <n v="0.72727272727272729"/>
    <n v="11"/>
    <n v="53"/>
    <n v="64"/>
    <n v="110"/>
    <n v="530"/>
    <n v="640"/>
    <n v="26"/>
    <n v="1.3"/>
    <n v="6"/>
    <n v="60"/>
    <n v="0.3"/>
    <n v="160"/>
    <n v="16"/>
    <n v="0.8"/>
    <n v="120"/>
    <n v="12"/>
    <n v="0.6"/>
    <n v="28"/>
    <n v="1.4"/>
    <n v="134"/>
    <n v="6.7"/>
  </r>
  <r>
    <x v="168"/>
    <s v="2017-18"/>
    <x v="313"/>
    <n v="26"/>
    <n v="260"/>
    <x v="50"/>
    <n v="11720"/>
    <n v="304"/>
    <n v="5.5272727272727273"/>
    <n v="151"/>
    <n v="328"/>
    <n v="0.46036585365853661"/>
    <n v="530"/>
    <n v="1370"/>
    <n v="0.38686131386861317"/>
    <n v="40"/>
    <n v="53"/>
    <n v="0.75471698113207553"/>
    <n v="33"/>
    <n v="101"/>
    <n v="134"/>
    <n v="330"/>
    <n v="1010"/>
    <n v="1340"/>
    <n v="50"/>
    <n v="0.90909090909090906"/>
    <n v="10"/>
    <n v="100"/>
    <n v="0.18181818181818182"/>
    <n v="120"/>
    <n v="12"/>
    <n v="0.21818181818181817"/>
    <n v="340"/>
    <n v="34"/>
    <n v="0.61818181818181817"/>
    <n v="73"/>
    <n v="1.3272727272727274"/>
    <n v="395"/>
    <n v="7.1818181818181817"/>
  </r>
  <r>
    <x v="169"/>
    <s v="2017-18"/>
    <x v="314"/>
    <n v="19"/>
    <n v="190"/>
    <x v="2"/>
    <n v="17060"/>
    <n v="324"/>
    <n v="4.1538461538461542"/>
    <n v="182"/>
    <n v="500"/>
    <n v="0.36399999999999999"/>
    <n v="500"/>
    <n v="1570"/>
    <n v="0.31847133757961782"/>
    <n v="49"/>
    <n v="68"/>
    <n v="0.72058823529411764"/>
    <n v="37"/>
    <n v="140"/>
    <n v="177"/>
    <n v="370"/>
    <n v="1400"/>
    <n v="1770"/>
    <n v="250"/>
    <n v="3.2051282051282053"/>
    <n v="65"/>
    <n v="650"/>
    <n v="0.83333333333333337"/>
    <n v="180"/>
    <n v="18"/>
    <n v="0.23076923076923078"/>
    <n v="1310"/>
    <n v="131"/>
    <n v="1.6794871794871795"/>
    <n v="181"/>
    <n v="2.3205128205128207"/>
    <n v="463"/>
    <n v="5.9358974358974361"/>
  </r>
  <r>
    <x v="151"/>
    <s v="2017-18"/>
    <x v="315"/>
    <n v="24"/>
    <n v="240"/>
    <x v="12"/>
    <n v="2330"/>
    <n v="108"/>
    <n v="4.1538461538461542"/>
    <n v="49"/>
    <n v="81"/>
    <n v="0.60493827160493829"/>
    <n v="10"/>
    <n v="50"/>
    <n v="0.2"/>
    <n v="12"/>
    <n v="28"/>
    <n v="0.42857142857142855"/>
    <n v="22"/>
    <n v="45"/>
    <n v="67"/>
    <n v="220"/>
    <n v="450"/>
    <n v="670"/>
    <n v="21"/>
    <n v="0.80769230769230771"/>
    <n v="8"/>
    <n v="80"/>
    <n v="0.30769230769230771"/>
    <n v="70"/>
    <n v="7"/>
    <n v="0.26923076923076922"/>
    <n v="260"/>
    <n v="26"/>
    <n v="1"/>
    <n v="32"/>
    <n v="1.2307692307692308"/>
    <n v="111"/>
    <n v="4.2692307692307692"/>
  </r>
  <r>
    <x v="170"/>
    <s v="2017-18"/>
    <x v="316"/>
    <n v="24"/>
    <n v="240"/>
    <x v="56"/>
    <n v="4740"/>
    <n v="164"/>
    <n v="3.7272727272727271"/>
    <n v="72"/>
    <n v="161"/>
    <n v="0.44720496894409939"/>
    <n v="220"/>
    <n v="680"/>
    <n v="0.3235294117647059"/>
    <n v="16"/>
    <n v="23"/>
    <n v="0.69565217391304346"/>
    <n v="9"/>
    <n v="75"/>
    <n v="84"/>
    <n v="90"/>
    <n v="750"/>
    <n v="840"/>
    <n v="31"/>
    <n v="0.70454545454545459"/>
    <n v="12"/>
    <n v="120"/>
    <n v="0.27272727272727271"/>
    <n v="20"/>
    <n v="2"/>
    <n v="4.5454545454545456E-2"/>
    <n v="170"/>
    <n v="17"/>
    <n v="0.38636363636363635"/>
    <n v="34"/>
    <n v="0.77272727272727271"/>
    <n v="182"/>
    <n v="4.1363636363636367"/>
  </r>
  <r>
    <x v="136"/>
    <s v="2017-18"/>
    <x v="317"/>
    <n v="30"/>
    <n v="300"/>
    <x v="63"/>
    <n v="13530"/>
    <n v="212"/>
    <n v="2.904109589041096"/>
    <n v="102"/>
    <n v="267"/>
    <n v="382"/>
    <n v="500"/>
    <n v="1240"/>
    <n v="0.40322580645161288"/>
    <n v="44"/>
    <n v="53"/>
    <n v="0.83018867924528306"/>
    <n v="44"/>
    <n v="131"/>
    <n v="175"/>
    <n v="440"/>
    <n v="1310"/>
    <n v="1750"/>
    <n v="44"/>
    <n v="0.60273972602739723"/>
    <n v="30"/>
    <n v="300"/>
    <n v="0.41095890410958902"/>
    <n v="140"/>
    <n v="14"/>
    <n v="0.19178082191780821"/>
    <n v="410"/>
    <n v="41"/>
    <n v="0.56164383561643838"/>
    <n v="134"/>
    <n v="1.8356164383561644"/>
    <n v="298"/>
    <n v="4.0821917808219181"/>
  </r>
  <r>
    <x v="158"/>
    <s v="2017-18"/>
    <x v="318"/>
    <n v="25"/>
    <n v="250"/>
    <x v="3"/>
    <n v="3850"/>
    <n v="84"/>
    <n v="2.896551724137931"/>
    <n v="20"/>
    <n v="59"/>
    <n v="0.33898305084745761"/>
    <n v="110"/>
    <n v="330"/>
    <n v="0.33333333333333331"/>
    <n v="20"/>
    <n v="26"/>
    <n v="0.76923076923076927"/>
    <n v="5"/>
    <n v="25"/>
    <n v="30"/>
    <n v="50"/>
    <n v="250"/>
    <n v="300"/>
    <n v="47"/>
    <n v="1.6206896551724137"/>
    <n v="26"/>
    <n v="260"/>
    <n v="0.89655172413793105"/>
    <n v="60"/>
    <n v="6"/>
    <n v="0.20689655172413793"/>
    <n v="180"/>
    <n v="18"/>
    <n v="0.62068965517241381"/>
    <n v="33"/>
    <n v="1.1379310344827587"/>
    <n v="71"/>
    <n v="2.4482758620689653"/>
  </r>
  <r>
    <x v="152"/>
    <s v="2017-18"/>
    <x v="319"/>
    <n v="33"/>
    <n v="330"/>
    <x v="66"/>
    <n v="400"/>
    <n v="18"/>
    <n v="2.5714285714285716"/>
    <n v="5"/>
    <n v="10"/>
    <n v="0.5"/>
    <n v="0"/>
    <n v="0"/>
    <e v="#DIV/0!"/>
    <n v="2"/>
    <n v="4"/>
    <n v="0.5"/>
    <n v="6"/>
    <n v="8"/>
    <n v="14"/>
    <n v="60"/>
    <n v="80"/>
    <n v="140"/>
    <n v="4"/>
    <n v="0.5714285714285714"/>
    <n v="2"/>
    <n v="20"/>
    <n v="0.2857142857142857"/>
    <n v="20"/>
    <n v="2"/>
    <n v="0.2857142857142857"/>
    <n v="40"/>
    <n v="4"/>
    <n v="0.5714285714285714"/>
    <n v="5"/>
    <n v="0.7142857142857143"/>
    <n v="12"/>
    <n v="1.7142857142857142"/>
  </r>
  <r>
    <x v="171"/>
    <s v="2017-18"/>
    <x v="320"/>
    <n v="32"/>
    <n v="320"/>
    <x v="79"/>
    <n v="1670"/>
    <n v="33"/>
    <n v="2.5384615384615383"/>
    <n v="17"/>
    <n v="53"/>
    <n v="0.32075471698113206"/>
    <n v="20"/>
    <n v="110"/>
    <n v="0.18181818181818182"/>
    <n v="12"/>
    <n v="15"/>
    <n v="0.8"/>
    <n v="1"/>
    <n v="17"/>
    <n v="18"/>
    <n v="10"/>
    <n v="170"/>
    <n v="180"/>
    <n v="27"/>
    <n v="2.0769230769230771"/>
    <n v="7"/>
    <n v="70"/>
    <n v="0.53846153846153844"/>
    <n v="10"/>
    <n v="1"/>
    <n v="7.6923076923076927E-2"/>
    <n v="150"/>
    <n v="15"/>
    <n v="1.1538461538461537"/>
    <n v="14"/>
    <n v="1.0769230769230769"/>
    <n v="48"/>
    <n v="3.6923076923076925"/>
  </r>
  <r>
    <x v="172"/>
    <s v="2017-18"/>
    <x v="321"/>
    <n v="23"/>
    <n v="230"/>
    <x v="10"/>
    <n v="2390"/>
    <n v="37"/>
    <n v="2.0555555555555554"/>
    <n v="33"/>
    <n v="72"/>
    <n v="0.45833333333333331"/>
    <n v="20"/>
    <n v="90"/>
    <n v="0.22222222222222221"/>
    <n v="12"/>
    <n v="18"/>
    <n v="0.66666666666666663"/>
    <n v="10"/>
    <n v="31"/>
    <n v="41"/>
    <n v="100"/>
    <n v="310"/>
    <n v="410"/>
    <n v="16"/>
    <n v="0.88888888888888884"/>
    <n v="2"/>
    <n v="20"/>
    <n v="0.1111111111111111"/>
    <n v="40"/>
    <n v="4"/>
    <n v="0.22222222222222221"/>
    <n v="160"/>
    <n v="16"/>
    <n v="0.88888888888888884"/>
    <n v="45"/>
    <n v="2.5"/>
    <n v="80"/>
    <n v="4.4444444444444446"/>
  </r>
  <r>
    <x v="156"/>
    <s v="2017-18"/>
    <x v="322"/>
    <n v="28"/>
    <n v="280"/>
    <x v="40"/>
    <n v="20"/>
    <n v="-2"/>
    <n v="-2"/>
    <n v="0"/>
    <n v="2"/>
    <n v="0"/>
    <n v="0"/>
    <n v="0"/>
    <e v="#DIV/0!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3"/>
    <s v="2020-21"/>
    <x v="323"/>
    <n v="26"/>
    <n v="260"/>
    <x v="44"/>
    <n v="26670"/>
    <n v="1679"/>
    <n v="23.64788732394366"/>
    <n v="602"/>
    <n v="1321"/>
    <n v="0.45571536714610145"/>
    <n v="1600"/>
    <n v="3890"/>
    <n v="0.41131105398457585"/>
    <n v="348"/>
    <n v="429"/>
    <n v="0.81118881118881114"/>
    <n v="84"/>
    <n v="640"/>
    <n v="724"/>
    <n v="840"/>
    <n v="6400"/>
    <n v="7240"/>
    <n v="427"/>
    <n v="6.0140845070422539"/>
    <n v="64"/>
    <n v="640"/>
    <n v="0.90140845070422537"/>
    <n v="180"/>
    <n v="18"/>
    <n v="0.25352112676056338"/>
    <n v="2410"/>
    <n v="241"/>
    <n v="3.3943661971830985"/>
    <n v="225"/>
    <n v="3.1690140845070425"/>
    <n v="1712"/>
    <n v="24.112676056338028"/>
  </r>
  <r>
    <x v="150"/>
    <s v="2020-21"/>
    <x v="324"/>
    <n v="32"/>
    <n v="320"/>
    <x v="34"/>
    <n v="9370"/>
    <n v="498"/>
    <n v="14.228571428571428"/>
    <n v="208"/>
    <n v="427"/>
    <n v="0.48711943793911006"/>
    <n v="370"/>
    <n v="900"/>
    <n v="0.41111111111111109"/>
    <n v="68"/>
    <n v="77"/>
    <n v="0.88311688311688308"/>
    <n v="14"/>
    <n v="87"/>
    <n v="101"/>
    <n v="140"/>
    <n v="870"/>
    <n v="1010"/>
    <n v="146"/>
    <n v="4.1714285714285717"/>
    <n v="31"/>
    <n v="310"/>
    <n v="0.88571428571428568"/>
    <n v="150"/>
    <n v="15"/>
    <n v="0.42857142857142855"/>
    <n v="490"/>
    <n v="49"/>
    <n v="1.4"/>
    <n v="39"/>
    <n v="1.1142857142857143"/>
    <n v="521"/>
    <n v="14.885714285714286"/>
  </r>
  <r>
    <x v="174"/>
    <s v="2020-21"/>
    <x v="325"/>
    <n v="21"/>
    <n v="210"/>
    <x v="48"/>
    <n v="25110"/>
    <n v="978"/>
    <n v="13.583333333333334"/>
    <n v="467"/>
    <n v="1060"/>
    <n v="0.44056603773584907"/>
    <n v="1240"/>
    <n v="3090"/>
    <n v="0.40129449838187703"/>
    <n v="206"/>
    <n v="276"/>
    <n v="0.74637681159420288"/>
    <n v="68"/>
    <n v="346"/>
    <n v="414"/>
    <n v="680"/>
    <n v="3460"/>
    <n v="4140"/>
    <n v="217"/>
    <n v="3.0138888888888888"/>
    <n v="53"/>
    <n v="530"/>
    <n v="0.73611111111111116"/>
    <n v="200"/>
    <n v="20"/>
    <n v="0.27777777777777779"/>
    <n v="1390"/>
    <n v="139"/>
    <n v="1.9305555555555556"/>
    <n v="188"/>
    <n v="2.6111111111111112"/>
    <n v="1264"/>
    <n v="17.555555555555557"/>
  </r>
  <r>
    <x v="175"/>
    <s v="2020-21"/>
    <x v="326"/>
    <n v="23"/>
    <n v="230"/>
    <x v="67"/>
    <n v="8530"/>
    <n v="405"/>
    <n v="13.064516129032258"/>
    <n v="115"/>
    <n v="176"/>
    <n v="0.65340909090909094"/>
    <n v="0"/>
    <n v="0"/>
    <e v="#DIV/0!"/>
    <n v="26"/>
    <n v="53"/>
    <n v="0.49056603773584906"/>
    <n v="113"/>
    <n v="139"/>
    <n v="252"/>
    <n v="1130"/>
    <n v="1390"/>
    <n v="2520"/>
    <n v="17"/>
    <n v="0.54838709677419351"/>
    <n v="35"/>
    <n v="350"/>
    <n v="1.1290322580645162"/>
    <n v="450"/>
    <n v="45"/>
    <n v="1.4516129032258065"/>
    <n v="260"/>
    <n v="26"/>
    <n v="0.83870967741935487"/>
    <n v="86"/>
    <n v="2.774193548387097"/>
    <n v="256"/>
    <n v="8.258064516129032"/>
  </r>
  <r>
    <x v="176"/>
    <s v="2020-21"/>
    <x v="327"/>
    <n v="29"/>
    <n v="290"/>
    <x v="20"/>
    <n v="12550"/>
    <n v="544"/>
    <n v="11.102040816326531"/>
    <n v="210"/>
    <n v="500"/>
    <n v="0.42"/>
    <n v="1020"/>
    <n v="2460"/>
    <n v="0.41463414634146339"/>
    <n v="101"/>
    <n v="118"/>
    <n v="0.85593220338983056"/>
    <n v="21"/>
    <n v="206"/>
    <n v="227"/>
    <n v="210"/>
    <n v="2060"/>
    <n v="2270"/>
    <n v="107"/>
    <n v="2.1836734693877551"/>
    <n v="31"/>
    <n v="310"/>
    <n v="0.63265306122448983"/>
    <n v="140"/>
    <n v="14"/>
    <n v="0.2857142857142857"/>
    <n v="490"/>
    <n v="49"/>
    <n v="1"/>
    <n v="102"/>
    <n v="2.0816326530612246"/>
    <n v="623"/>
    <n v="12.714285714285714"/>
  </r>
  <r>
    <x v="177"/>
    <s v="2020-21"/>
    <x v="328"/>
    <n v="27"/>
    <n v="270"/>
    <x v="57"/>
    <n v="15470"/>
    <n v="641"/>
    <n v="10.015625"/>
    <n v="137"/>
    <n v="223"/>
    <n v="0.61434977578475336"/>
    <n v="0"/>
    <n v="30"/>
    <n v="0"/>
    <n v="50"/>
    <n v="70"/>
    <n v="0.7142857142857143"/>
    <n v="142"/>
    <n v="265"/>
    <n v="407"/>
    <n v="1420"/>
    <n v="2650"/>
    <n v="4070"/>
    <n v="46"/>
    <n v="0.71875"/>
    <n v="70"/>
    <n v="700"/>
    <n v="1.09375"/>
    <n v="1410"/>
    <n v="141"/>
    <n v="2.203125"/>
    <n v="650"/>
    <n v="65"/>
    <n v="1.015625"/>
    <n v="176"/>
    <n v="2.75"/>
    <n v="324"/>
    <n v="5.0625"/>
  </r>
  <r>
    <x v="178"/>
    <s v="2020-21"/>
    <x v="329"/>
    <n v="36"/>
    <n v="360"/>
    <x v="14"/>
    <n v="9360"/>
    <n v="412"/>
    <n v="9.155555555555555"/>
    <n v="99"/>
    <n v="158"/>
    <n v="627"/>
    <n v="30"/>
    <n v="150"/>
    <n v="0.2"/>
    <n v="40"/>
    <n v="55"/>
    <n v="0.72727272727272729"/>
    <n v="99"/>
    <n v="151"/>
    <n v="250"/>
    <n v="990"/>
    <n v="1510"/>
    <n v="2500"/>
    <n v="36"/>
    <n v="0.8"/>
    <n v="31"/>
    <n v="310"/>
    <n v="0.68888888888888888"/>
    <n v="490"/>
    <n v="49"/>
    <n v="1.0888888888888888"/>
    <n v="220"/>
    <n v="22"/>
    <n v="0.48888888888888887"/>
    <n v="99"/>
    <n v="2.2000000000000002"/>
    <n v="241"/>
    <n v="5.3555555555555552"/>
  </r>
  <r>
    <x v="179"/>
    <s v="2020-21"/>
    <x v="330"/>
    <n v="30"/>
    <n v="300"/>
    <x v="5"/>
    <n v="19490"/>
    <n v="585"/>
    <n v="9"/>
    <n v="248"/>
    <n v="561"/>
    <n v="0.44206773618538325"/>
    <n v="1630"/>
    <n v="3980"/>
    <n v="0.40954773869346733"/>
    <n v="50"/>
    <n v="55"/>
    <n v="0.90909090909090906"/>
    <n v="16"/>
    <n v="207"/>
    <n v="223"/>
    <n v="160"/>
    <n v="2070"/>
    <n v="2230"/>
    <n v="99"/>
    <n v="1.523076923076923"/>
    <n v="52"/>
    <n v="520"/>
    <n v="0.8"/>
    <n v="110"/>
    <n v="11"/>
    <n v="0.16923076923076924"/>
    <n v="450"/>
    <n v="45"/>
    <n v="0.69230769230769229"/>
    <n v="146"/>
    <n v="2.2461538461538462"/>
    <n v="709"/>
    <n v="10.907692307692308"/>
  </r>
  <r>
    <x v="180"/>
    <s v="2020-21"/>
    <x v="331"/>
    <n v="27"/>
    <n v="270"/>
    <x v="0"/>
    <n v="14840"/>
    <n v="508"/>
    <n v="8.0634920634920633"/>
    <n v="269"/>
    <n v="622"/>
    <n v="0.432475884244373"/>
    <n v="280"/>
    <n v="980"/>
    <n v="0.2857142857142857"/>
    <n v="73"/>
    <n v="107"/>
    <n v="0.68224299065420557"/>
    <n v="64"/>
    <n v="152"/>
    <n v="216"/>
    <n v="640"/>
    <n v="1520"/>
    <n v="2160"/>
    <n v="203"/>
    <n v="3.2222222222222223"/>
    <n v="47"/>
    <n v="470"/>
    <n v="0.74603174603174605"/>
    <n v="90"/>
    <n v="9"/>
    <n v="0.14285714285714285"/>
    <n v="1030"/>
    <n v="103"/>
    <n v="1.6349206349206349"/>
    <n v="116"/>
    <n v="1.8412698412698412"/>
    <n v="639"/>
    <n v="10.142857142857142"/>
  </r>
  <r>
    <x v="181"/>
    <s v="2020-21"/>
    <x v="332"/>
    <n v="22"/>
    <n v="220"/>
    <x v="57"/>
    <n v="12440"/>
    <n v="495"/>
    <n v="7.734375"/>
    <n v="229"/>
    <n v="580"/>
    <n v="0.39482758620689656"/>
    <n v="1180"/>
    <n v="3030"/>
    <n v="0.38943894389438943"/>
    <n v="155"/>
    <n v="174"/>
    <n v="0.89080459770114939"/>
    <n v="25"/>
    <n v="112"/>
    <n v="137"/>
    <n v="250"/>
    <n v="1120"/>
    <n v="1370"/>
    <n v="127"/>
    <n v="1.984375"/>
    <n v="30"/>
    <n v="300"/>
    <n v="0.46875"/>
    <n v="120"/>
    <n v="12"/>
    <n v="0.1875"/>
    <n v="580"/>
    <n v="58"/>
    <n v="0.90625"/>
    <n v="114"/>
    <n v="1.78125"/>
    <n v="731"/>
    <n v="11.421875"/>
  </r>
  <r>
    <x v="182"/>
    <s v="2020-21"/>
    <x v="333"/>
    <n v="28"/>
    <n v="280"/>
    <x v="27"/>
    <n v="4420"/>
    <n v="120"/>
    <n v="5.7142857142857144"/>
    <n v="58"/>
    <n v="135"/>
    <n v="0.42962962962962964"/>
    <n v="280"/>
    <n v="770"/>
    <n v="0.36363636363636365"/>
    <n v="10"/>
    <n v="14"/>
    <n v="0.7142857142857143"/>
    <n v="5"/>
    <n v="42"/>
    <n v="47"/>
    <n v="50"/>
    <n v="420"/>
    <n v="470"/>
    <n v="42"/>
    <n v="2"/>
    <n v="12"/>
    <n v="120"/>
    <n v="0.5714285714285714"/>
    <n v="0"/>
    <n v="0"/>
    <n v="0"/>
    <n v="220"/>
    <n v="22"/>
    <n v="1.0476190476190477"/>
    <n v="32"/>
    <n v="1.5238095238095237"/>
    <n v="154"/>
    <n v="7.333333333333333"/>
  </r>
  <r>
    <x v="183"/>
    <s v="2020-21"/>
    <x v="334"/>
    <n v="23"/>
    <n v="230"/>
    <x v="71"/>
    <n v="6830"/>
    <n v="262"/>
    <n v="4.225806451612903"/>
    <n v="104"/>
    <n v="209"/>
    <n v="498"/>
    <n v="260"/>
    <n v="850"/>
    <n v="0.30588235294117649"/>
    <n v="19"/>
    <n v="26"/>
    <n v="0.73076923076923073"/>
    <n v="26"/>
    <n v="112"/>
    <n v="138"/>
    <n v="260"/>
    <n v="1120"/>
    <n v="1380"/>
    <n v="29"/>
    <n v="0.46774193548387094"/>
    <n v="17"/>
    <n v="170"/>
    <n v="0.27419354838709675"/>
    <n v="150"/>
    <n v="15"/>
    <n v="0.24193548387096775"/>
    <n v="230"/>
    <n v="23"/>
    <n v="0.37096774193548387"/>
    <n v="55"/>
    <n v="0.88709677419354838"/>
    <n v="253"/>
    <n v="4.080645161290323"/>
  </r>
  <r>
    <x v="184"/>
    <s v="2020-21"/>
    <x v="335"/>
    <n v="21"/>
    <n v="210"/>
    <x v="35"/>
    <n v="4640"/>
    <n v="116"/>
    <n v="2.7619047619047619"/>
    <n v="56"/>
    <n v="143"/>
    <n v="0.39160839160839161"/>
    <n v="350"/>
    <n v="890"/>
    <n v="0.39325842696629215"/>
    <n v="16"/>
    <n v="20"/>
    <n v="0.8"/>
    <n v="10"/>
    <n v="51"/>
    <n v="61"/>
    <n v="100"/>
    <n v="510"/>
    <n v="610"/>
    <n v="19"/>
    <n v="0.45238095238095238"/>
    <n v="12"/>
    <n v="120"/>
    <n v="0.2857142857142857"/>
    <n v="60"/>
    <n v="6"/>
    <n v="0.14285714285714285"/>
    <n v="170"/>
    <n v="17"/>
    <n v="0.40476190476190477"/>
    <n v="37"/>
    <n v="0.88095238095238093"/>
    <n v="163"/>
    <n v="3.8809523809523809"/>
  </r>
  <r>
    <x v="185"/>
    <s v="2020-21"/>
    <x v="336"/>
    <n v="28"/>
    <n v="280"/>
    <x v="65"/>
    <n v="520"/>
    <n v="23"/>
    <n v="2.5555555555555554"/>
    <n v="5"/>
    <n v="7"/>
    <n v="714"/>
    <n v="0"/>
    <n v="0"/>
    <e v="#DIV/0!"/>
    <n v="1"/>
    <n v="2"/>
    <n v="0.5"/>
    <n v="2"/>
    <n v="9"/>
    <n v="11"/>
    <n v="20"/>
    <n v="90"/>
    <n v="110"/>
    <n v="1"/>
    <n v="0.1111111111111111"/>
    <n v="1"/>
    <n v="10"/>
    <n v="0.1111111111111111"/>
    <n v="60"/>
    <n v="6"/>
    <n v="0.66666666666666663"/>
    <n v="0"/>
    <n v="0"/>
    <n v="0"/>
    <n v="4"/>
    <n v="0.44444444444444442"/>
    <n v="11"/>
    <n v="1.2222222222222223"/>
  </r>
  <r>
    <x v="169"/>
    <s v="2020-21"/>
    <x v="337"/>
    <n v="22"/>
    <n v="220"/>
    <x v="36"/>
    <n v="3220"/>
    <n v="45"/>
    <n v="1.3636363636363635"/>
    <n v="29"/>
    <n v="79"/>
    <n v="0.36708860759493672"/>
    <n v="230"/>
    <n v="480"/>
    <n v="0.47916666666666669"/>
    <n v="8"/>
    <n v="18"/>
    <n v="0.44444444444444442"/>
    <n v="6"/>
    <n v="25"/>
    <n v="31"/>
    <n v="60"/>
    <n v="250"/>
    <n v="310"/>
    <n v="19"/>
    <n v="0.5757575757575758"/>
    <n v="18"/>
    <n v="180"/>
    <n v="0.54545454545454541"/>
    <n v="40"/>
    <n v="4"/>
    <n v="0.12121212121212122"/>
    <n v="110"/>
    <n v="11"/>
    <n v="0.33333333333333331"/>
    <n v="45"/>
    <n v="1.3636363636363635"/>
    <n v="89"/>
    <n v="2.6969696969696968"/>
  </r>
  <r>
    <x v="186"/>
    <s v="2020-21"/>
    <x v="338"/>
    <n v="23"/>
    <n v="230"/>
    <x v="41"/>
    <n v="280"/>
    <n v="3"/>
    <n v="1"/>
    <n v="2"/>
    <n v="10"/>
    <n v="0.2"/>
    <n v="0"/>
    <n v="40"/>
    <n v="0"/>
    <n v="5"/>
    <n v="6"/>
    <n v="0.83333333333333337"/>
    <n v="0"/>
    <n v="2"/>
    <n v="2"/>
    <n v="0"/>
    <n v="20"/>
    <n v="20"/>
    <n v="3"/>
    <n v="1"/>
    <n v="3"/>
    <n v="30"/>
    <n v="1"/>
    <n v="0"/>
    <n v="0"/>
    <n v="0"/>
    <n v="10"/>
    <n v="1"/>
    <n v="0.33333333333333331"/>
    <n v="4"/>
    <n v="1.3333333333333333"/>
    <n v="9"/>
    <n v="3"/>
  </r>
  <r>
    <x v="187"/>
    <s v="2020-21"/>
    <x v="339"/>
    <n v="22"/>
    <n v="220"/>
    <x v="53"/>
    <n v="70"/>
    <n v="3"/>
    <n v="0.75"/>
    <n v="0"/>
    <n v="1"/>
    <n v="0"/>
    <n v="0"/>
    <n v="0"/>
    <e v="#DIV/0!"/>
    <n v="2"/>
    <n v="2"/>
    <n v="1"/>
    <n v="1"/>
    <n v="1"/>
    <n v="2"/>
    <n v="10"/>
    <n v="10"/>
    <n v="20"/>
    <n v="1"/>
    <n v="0.25"/>
    <n v="0"/>
    <n v="0"/>
    <n v="0"/>
    <n v="0"/>
    <n v="0"/>
    <n v="0"/>
    <n v="10"/>
    <n v="1"/>
    <n v="0.25"/>
    <n v="0"/>
    <n v="0"/>
    <n v="2"/>
    <n v="0.5"/>
  </r>
  <r>
    <x v="188"/>
    <s v="2020-21"/>
    <x v="340"/>
    <n v="25"/>
    <n v="250"/>
    <x v="39"/>
    <n v="340"/>
    <n v="-5"/>
    <n v="-0.29411764705882354"/>
    <n v="1"/>
    <n v="9"/>
    <n v="0.1111111111111111"/>
    <n v="0"/>
    <n v="80"/>
    <n v="0"/>
    <n v="0"/>
    <n v="0"/>
    <e v="#DIV/0!"/>
    <n v="0"/>
    <n v="5"/>
    <n v="5"/>
    <n v="0"/>
    <n v="50"/>
    <n v="50"/>
    <n v="1"/>
    <n v="5.8823529411764705E-2"/>
    <n v="0"/>
    <n v="0"/>
    <n v="0"/>
    <n v="0"/>
    <n v="0"/>
    <n v="0"/>
    <n v="10"/>
    <n v="1"/>
    <n v="5.8823529411764705E-2"/>
    <n v="4"/>
    <n v="0.23529411764705882"/>
    <n v="2"/>
    <n v="0.11764705882352941"/>
  </r>
  <r>
    <x v="189"/>
    <s v="2020-21"/>
    <x v="341"/>
    <n v="23"/>
    <n v="230"/>
    <x v="52"/>
    <n v="160"/>
    <n v="-3"/>
    <n v="-0.375"/>
    <n v="0"/>
    <n v="4"/>
    <n v="0"/>
    <n v="0"/>
    <n v="10"/>
    <n v="0"/>
    <n v="3"/>
    <n v="4"/>
    <n v="0.75"/>
    <n v="0"/>
    <n v="2"/>
    <n v="2"/>
    <n v="0"/>
    <n v="20"/>
    <n v="20"/>
    <n v="1"/>
    <n v="0.125"/>
    <n v="0"/>
    <n v="0"/>
    <n v="0"/>
    <n v="0"/>
    <n v="0"/>
    <n v="0"/>
    <n v="30"/>
    <n v="3"/>
    <n v="0.375"/>
    <n v="1"/>
    <n v="0.125"/>
    <n v="3"/>
    <n v="0.375"/>
  </r>
  <r>
    <x v="173"/>
    <s v="2021-22"/>
    <x v="342"/>
    <n v="27"/>
    <n v="270"/>
    <x v="48"/>
    <n v="25440"/>
    <n v="1343"/>
    <n v="18.652777777777779"/>
    <n v="512"/>
    <n v="1246"/>
    <n v="0.41091492776886035"/>
    <n v="1200"/>
    <n v="3900"/>
    <n v="0.30769230769230771"/>
    <n v="303"/>
    <n v="401"/>
    <n v="0.75561097256857856"/>
    <n v="125"/>
    <n v="591"/>
    <n v="716"/>
    <n v="1250"/>
    <n v="5910"/>
    <n v="7160"/>
    <n v="370"/>
    <n v="5.1388888888888893"/>
    <n v="53"/>
    <n v="530"/>
    <n v="0.73611111111111116"/>
    <n v="390"/>
    <n v="39"/>
    <n v="0.54166666666666663"/>
    <n v="2450"/>
    <n v="245"/>
    <n v="3.4027777777777777"/>
    <n v="205"/>
    <n v="2.8472222222222223"/>
    <n v="1447"/>
    <n v="20.097222222222221"/>
  </r>
  <r>
    <x v="175"/>
    <s v="2021-22"/>
    <x v="343"/>
    <n v="24"/>
    <n v="240"/>
    <x v="48"/>
    <n v="18480"/>
    <n v="1026"/>
    <n v="14.25"/>
    <n v="261"/>
    <n v="343"/>
    <n v="0.76093294460641403"/>
    <n v="0"/>
    <n v="0"/>
    <e v="#DIV/0!"/>
    <n v="88"/>
    <n v="181"/>
    <n v="0.48618784530386738"/>
    <n v="295"/>
    <n v="322"/>
    <n v="617"/>
    <n v="2950"/>
    <n v="3220"/>
    <n v="6170"/>
    <n v="38"/>
    <n v="0.52777777777777779"/>
    <n v="58"/>
    <n v="580"/>
    <n v="0.80555555555555558"/>
    <n v="1330"/>
    <n v="133"/>
    <n v="1.8472222222222223"/>
    <n v="600"/>
    <n v="60"/>
    <n v="0.83333333333333337"/>
    <n v="195"/>
    <n v="2.7083333333333335"/>
    <n v="610"/>
    <n v="8.4722222222222214"/>
  </r>
  <r>
    <x v="174"/>
    <s v="2021-22"/>
    <x v="344"/>
    <n v="22"/>
    <n v="220"/>
    <x v="42"/>
    <n v="24170"/>
    <n v="961"/>
    <n v="13.728571428571428"/>
    <n v="487"/>
    <n v="1194"/>
    <n v="0.40787269681742044"/>
    <n v="1380"/>
    <n v="4040"/>
    <n v="0.34158415841584161"/>
    <n v="290"/>
    <n v="406"/>
    <n v="0.7142857142857143"/>
    <n v="66"/>
    <n v="342"/>
    <n v="408"/>
    <n v="660"/>
    <n v="3420"/>
    <n v="4080"/>
    <n v="208"/>
    <n v="2.9714285714285715"/>
    <n v="43"/>
    <n v="430"/>
    <n v="0.61428571428571432"/>
    <n v="160"/>
    <n v="16"/>
    <n v="0.22857142857142856"/>
    <n v="1510"/>
    <n v="151"/>
    <n v="2.157142857142857"/>
    <n v="142"/>
    <n v="2.0285714285714285"/>
    <n v="1402"/>
    <n v="20.028571428571428"/>
  </r>
  <r>
    <x v="150"/>
    <s v="2021-22"/>
    <x v="345"/>
    <n v="33"/>
    <n v="330"/>
    <x v="12"/>
    <n v="6360"/>
    <n v="319"/>
    <n v="12.26923076923077"/>
    <n v="122"/>
    <n v="274"/>
    <n v="0.44525547445255476"/>
    <n v="370"/>
    <n v="920"/>
    <n v="0.40217391304347827"/>
    <n v="30"/>
    <n v="31"/>
    <n v="0.967741935483871"/>
    <n v="21"/>
    <n v="57"/>
    <n v="78"/>
    <n v="210"/>
    <n v="570"/>
    <n v="780"/>
    <n v="103"/>
    <n v="3.9615384615384617"/>
    <n v="22"/>
    <n v="220"/>
    <n v="0.84615384615384615"/>
    <n v="120"/>
    <n v="12"/>
    <n v="0.46153846153846156"/>
    <n v="390"/>
    <n v="39"/>
    <n v="1.5"/>
    <n v="15"/>
    <n v="0.57692307692307687"/>
    <n v="311"/>
    <n v="11.961538461538462"/>
  </r>
  <r>
    <x v="176"/>
    <s v="2021-22"/>
    <x v="346"/>
    <n v="30"/>
    <n v="300"/>
    <x v="16"/>
    <n v="23180"/>
    <n v="895"/>
    <n v="11.049382716049383"/>
    <n v="285"/>
    <n v="728"/>
    <n v="0.39148351648351648"/>
    <n v="1570"/>
    <n v="3890"/>
    <n v="0.40359897172236503"/>
    <n v="217"/>
    <n v="264"/>
    <n v="0.82196969696969702"/>
    <n v="47"/>
    <n v="350"/>
    <n v="397"/>
    <n v="470"/>
    <n v="3500"/>
    <n v="3970"/>
    <n v="239"/>
    <n v="2.9506172839506171"/>
    <n v="85"/>
    <n v="850"/>
    <n v="1.0493827160493827"/>
    <n v="260"/>
    <n v="26"/>
    <n v="0.32098765432098764"/>
    <n v="910"/>
    <n v="91"/>
    <n v="1.1234567901234569"/>
    <n v="215"/>
    <n v="2.6543209876543208"/>
    <n v="944"/>
    <n v="11.654320987654321"/>
  </r>
  <r>
    <x v="190"/>
    <s v="2021-22"/>
    <x v="347"/>
    <n v="32"/>
    <n v="320"/>
    <x v="46"/>
    <n v="9480"/>
    <n v="389"/>
    <n v="10.513513513513514"/>
    <n v="149"/>
    <n v="370"/>
    <n v="403"/>
    <n v="730"/>
    <n v="1990"/>
    <n v="0.36683417085427134"/>
    <n v="60"/>
    <n v="71"/>
    <n v="0.84507042253521125"/>
    <n v="14"/>
    <n v="97"/>
    <n v="111"/>
    <n v="140"/>
    <n v="970"/>
    <n v="1110"/>
    <n v="131"/>
    <n v="3.5405405405405403"/>
    <n v="26"/>
    <n v="260"/>
    <n v="0.70270270270270274"/>
    <n v="70"/>
    <n v="7"/>
    <n v="0.1891891891891892"/>
    <n v="480"/>
    <n v="48"/>
    <n v="1.2972972972972974"/>
    <n v="37"/>
    <n v="1"/>
    <n v="431"/>
    <n v="11.648648648648649"/>
  </r>
  <r>
    <x v="181"/>
    <s v="2021-22"/>
    <x v="348"/>
    <n v="23"/>
    <n v="230"/>
    <x v="2"/>
    <n v="18020"/>
    <n v="731"/>
    <n v="9.3717948717948723"/>
    <n v="284"/>
    <n v="724"/>
    <n v="0.39226519337016574"/>
    <n v="1370"/>
    <n v="3960"/>
    <n v="0.34595959595959597"/>
    <n v="177"/>
    <n v="201"/>
    <n v="0.88059701492537312"/>
    <n v="31"/>
    <n v="216"/>
    <n v="247"/>
    <n v="310"/>
    <n v="2160"/>
    <n v="2470"/>
    <n v="275"/>
    <n v="3.5256410256410255"/>
    <n v="54"/>
    <n v="540"/>
    <n v="0.69230769230769229"/>
    <n v="30"/>
    <n v="3"/>
    <n v="3.8461538461538464E-2"/>
    <n v="990"/>
    <n v="99"/>
    <n v="1.2692307692307692"/>
    <n v="167"/>
    <n v="2.141025641025641"/>
    <n v="882"/>
    <n v="11.307692307692308"/>
  </r>
  <r>
    <x v="191"/>
    <s v="2021-22"/>
    <x v="349"/>
    <n v="29"/>
    <n v="290"/>
    <x v="30"/>
    <n v="23580"/>
    <n v="724"/>
    <n v="9.0500000000000007"/>
    <n v="402"/>
    <n v="965"/>
    <n v="0.41658031088082903"/>
    <n v="2410"/>
    <n v="6190"/>
    <n v="0.38933764135702748"/>
    <n v="80"/>
    <n v="113"/>
    <n v="0.70796460176991149"/>
    <n v="34"/>
    <n v="176"/>
    <n v="210"/>
    <n v="340"/>
    <n v="1760"/>
    <n v="2100"/>
    <n v="171"/>
    <n v="2.1375000000000002"/>
    <n v="79"/>
    <n v="790"/>
    <n v="0.98750000000000004"/>
    <n v="200"/>
    <n v="20"/>
    <n v="0.25"/>
    <n v="1050"/>
    <n v="105"/>
    <n v="1.3125"/>
    <n v="180"/>
    <n v="2.25"/>
    <n v="1125"/>
    <n v="14.0625"/>
  </r>
  <r>
    <x v="183"/>
    <s v="2021-22"/>
    <x v="350"/>
    <n v="24"/>
    <n v="240"/>
    <x v="48"/>
    <n v="12300"/>
    <n v="641"/>
    <n v="8.9027777777777786"/>
    <n v="251"/>
    <n v="473"/>
    <n v="531"/>
    <n v="520"/>
    <n v="1690"/>
    <n v="0.30769230769230771"/>
    <n v="94"/>
    <n v="124"/>
    <n v="0.75806451612903225"/>
    <n v="69"/>
    <n v="199"/>
    <n v="268"/>
    <n v="690"/>
    <n v="1990"/>
    <n v="2680"/>
    <n v="77"/>
    <n v="1.0694444444444444"/>
    <n v="25"/>
    <n v="250"/>
    <n v="0.34722222222222221"/>
    <n v="330"/>
    <n v="33"/>
    <n v="0.45833333333333331"/>
    <n v="560"/>
    <n v="56"/>
    <n v="0.77777777777777779"/>
    <n v="102"/>
    <n v="1.4166666666666667"/>
    <n v="648"/>
    <n v="9"/>
  </r>
  <r>
    <x v="177"/>
    <s v="2021-22"/>
    <x v="351"/>
    <n v="28"/>
    <n v="280"/>
    <x v="13"/>
    <n v="5620"/>
    <n v="186"/>
    <n v="7.44"/>
    <n v="32"/>
    <n v="60"/>
    <n v="0.53333333333333333"/>
    <n v="0"/>
    <n v="30"/>
    <n v="0"/>
    <n v="21"/>
    <n v="30"/>
    <n v="0.7"/>
    <n v="48"/>
    <n v="93"/>
    <n v="141"/>
    <n v="480"/>
    <n v="930"/>
    <n v="1410"/>
    <n v="23"/>
    <n v="0.92"/>
    <n v="30"/>
    <n v="300"/>
    <n v="1.2"/>
    <n v="310"/>
    <n v="31"/>
    <n v="1.24"/>
    <n v="200"/>
    <n v="20"/>
    <n v="0.8"/>
    <n v="67"/>
    <n v="2.68"/>
    <n v="85"/>
    <n v="3.4"/>
  </r>
  <r>
    <x v="178"/>
    <s v="2021-22"/>
    <x v="352"/>
    <n v="37"/>
    <n v="370"/>
    <x v="59"/>
    <n v="9460"/>
    <n v="298"/>
    <n v="5.7307692307692308"/>
    <n v="86"/>
    <n v="166"/>
    <n v="518"/>
    <n v="150"/>
    <n v="380"/>
    <n v="0.39473684210526316"/>
    <n v="42"/>
    <n v="52"/>
    <n v="0.80769230769230771"/>
    <n v="88"/>
    <n v="141"/>
    <n v="229"/>
    <n v="880"/>
    <n v="1410"/>
    <n v="2290"/>
    <n v="32"/>
    <n v="0.61538461538461542"/>
    <n v="22"/>
    <n v="220"/>
    <n v="0.42307692307692307"/>
    <n v="400"/>
    <n v="40"/>
    <n v="0.76923076923076927"/>
    <n v="270"/>
    <n v="27"/>
    <n v="0.51923076923076927"/>
    <n v="137"/>
    <n v="2.6346153846153846"/>
    <n v="229"/>
    <n v="4.4038461538461542"/>
  </r>
  <r>
    <x v="192"/>
    <s v="2021-22"/>
    <x v="353"/>
    <n v="23"/>
    <n v="230"/>
    <x v="61"/>
    <n v="5550"/>
    <n v="195"/>
    <n v="4.7560975609756095"/>
    <n v="39"/>
    <n v="54"/>
    <n v="0.72222222222222221"/>
    <n v="0"/>
    <n v="0"/>
    <e v="#DIV/0!"/>
    <n v="12"/>
    <n v="29"/>
    <n v="0.41379310344827586"/>
    <n v="61"/>
    <n v="108"/>
    <n v="169"/>
    <n v="610"/>
    <n v="1080"/>
    <n v="1690"/>
    <n v="21"/>
    <n v="0.51219512195121952"/>
    <n v="11"/>
    <n v="110"/>
    <n v="0.26829268292682928"/>
    <n v="220"/>
    <n v="22"/>
    <n v="0.53658536585365857"/>
    <n v="200"/>
    <n v="20"/>
    <n v="0.48780487804878048"/>
    <n v="66"/>
    <n v="1.6097560975609757"/>
    <n v="90"/>
    <n v="2.1951219512195124"/>
  </r>
  <r>
    <x v="193"/>
    <s v="2021-22"/>
    <x v="354"/>
    <n v="22"/>
    <n v="220"/>
    <x v="11"/>
    <n v="2160"/>
    <n v="69"/>
    <n v="4.5999999999999996"/>
    <n v="27"/>
    <n v="65"/>
    <n v="415"/>
    <n v="80"/>
    <n v="310"/>
    <n v="0.25806451612903225"/>
    <n v="29"/>
    <n v="32"/>
    <n v="0.90625"/>
    <n v="5"/>
    <n v="16"/>
    <n v="21"/>
    <n v="50"/>
    <n v="160"/>
    <n v="210"/>
    <n v="10"/>
    <n v="0.66666666666666663"/>
    <n v="12"/>
    <n v="120"/>
    <n v="0.8"/>
    <n v="40"/>
    <n v="4"/>
    <n v="0.26666666666666666"/>
    <n v="130"/>
    <n v="13"/>
    <n v="0.8666666666666667"/>
    <n v="15"/>
    <n v="1"/>
    <n v="91"/>
    <n v="6.0666666666666664"/>
  </r>
  <r>
    <x v="194"/>
    <s v="2021-22"/>
    <x v="355"/>
    <n v="22"/>
    <n v="220"/>
    <x v="37"/>
    <n v="7860"/>
    <n v="209"/>
    <n v="4.5434782608695654"/>
    <n v="95"/>
    <n v="235"/>
    <n v="0.40425531914893614"/>
    <n v="720"/>
    <n v="1890"/>
    <n v="0.38095238095238093"/>
    <n v="13"/>
    <n v="19"/>
    <n v="0.68421052631578949"/>
    <n v="24"/>
    <n v="70"/>
    <n v="94"/>
    <n v="240"/>
    <n v="700"/>
    <n v="940"/>
    <n v="44"/>
    <n v="0.95652173913043481"/>
    <n v="31"/>
    <n v="310"/>
    <n v="0.67391304347826086"/>
    <n v="110"/>
    <n v="11"/>
    <n v="0.2391304347826087"/>
    <n v="280"/>
    <n v="28"/>
    <n v="0.60869565217391308"/>
    <n v="72"/>
    <n v="1.5652173913043479"/>
    <n v="275"/>
    <n v="5.9782608695652177"/>
  </r>
  <r>
    <x v="184"/>
    <s v="2021-22"/>
    <x v="356"/>
    <n v="22"/>
    <n v="220"/>
    <x v="79"/>
    <n v="1110"/>
    <n v="37"/>
    <n v="2.8461538461538463"/>
    <n v="15"/>
    <n v="40"/>
    <n v="0.375"/>
    <n v="100"/>
    <n v="280"/>
    <n v="0.35714285714285715"/>
    <n v="7"/>
    <n v="10"/>
    <n v="0.7"/>
    <n v="8"/>
    <n v="14"/>
    <n v="22"/>
    <n v="80"/>
    <n v="140"/>
    <n v="220"/>
    <n v="3"/>
    <n v="0.23076923076923078"/>
    <n v="2"/>
    <n v="20"/>
    <n v="0.15384615384615385"/>
    <n v="10"/>
    <n v="1"/>
    <n v="7.6923076923076927E-2"/>
    <n v="50"/>
    <n v="5"/>
    <n v="0.38461538461538464"/>
    <n v="5"/>
    <n v="0.38461538461538464"/>
    <n v="47"/>
    <n v="3.6153846153846154"/>
  </r>
  <r>
    <x v="170"/>
    <s v="2021-22"/>
    <x v="357"/>
    <n v="28"/>
    <n v="280"/>
    <x v="21"/>
    <n v="210"/>
    <n v="5"/>
    <n v="2.5"/>
    <n v="2"/>
    <n v="4"/>
    <n v="0.5"/>
    <n v="0"/>
    <n v="10"/>
    <n v="0"/>
    <n v="0"/>
    <n v="0"/>
    <e v="#DIV/0!"/>
    <n v="0"/>
    <n v="2"/>
    <n v="2"/>
    <n v="0"/>
    <n v="20"/>
    <n v="20"/>
    <n v="1"/>
    <n v="0.5"/>
    <n v="0"/>
    <n v="0"/>
    <n v="0"/>
    <n v="0"/>
    <n v="0"/>
    <n v="0"/>
    <n v="0"/>
    <n v="0"/>
    <n v="0"/>
    <n v="0"/>
    <n v="0"/>
    <n v="4"/>
    <n v="2"/>
  </r>
  <r>
    <x v="195"/>
    <s v="2021-22"/>
    <x v="358"/>
    <n v="28"/>
    <n v="280"/>
    <x v="80"/>
    <n v="760"/>
    <n v="15"/>
    <n v="1.5"/>
    <n v="6"/>
    <n v="12"/>
    <n v="0.5"/>
    <n v="40"/>
    <n v="90"/>
    <n v="0.44444444444444442"/>
    <n v="0"/>
    <n v="0"/>
    <e v="#DIV/0!"/>
    <n v="0"/>
    <n v="8"/>
    <n v="8"/>
    <n v="0"/>
    <n v="80"/>
    <n v="80"/>
    <n v="4"/>
    <n v="0.4"/>
    <n v="1"/>
    <n v="10"/>
    <n v="0.1"/>
    <n v="0"/>
    <n v="0"/>
    <n v="0"/>
    <n v="30"/>
    <n v="3"/>
    <n v="0.3"/>
    <n v="5"/>
    <n v="0.5"/>
    <n v="16"/>
    <n v="1.6"/>
  </r>
  <r>
    <x v="196"/>
    <s v="2021-22"/>
    <x v="359"/>
    <n v="21"/>
    <n v="210"/>
    <x v="75"/>
    <n v="3720"/>
    <n v="57"/>
    <n v="1.425"/>
    <n v="32"/>
    <n v="108"/>
    <n v="0.29629629629629628"/>
    <n v="170"/>
    <n v="680"/>
    <n v="0.25"/>
    <n v="8"/>
    <n v="12"/>
    <n v="0.66666666666666663"/>
    <n v="4"/>
    <n v="38"/>
    <n v="42"/>
    <n v="40"/>
    <n v="380"/>
    <n v="420"/>
    <n v="41"/>
    <n v="1.0249999999999999"/>
    <n v="14"/>
    <n v="140"/>
    <n v="0.35"/>
    <n v="10"/>
    <n v="1"/>
    <n v="2.5000000000000001E-2"/>
    <n v="50"/>
    <n v="5"/>
    <n v="0.125"/>
    <n v="45"/>
    <n v="1.125"/>
    <n v="89"/>
    <n v="2.2250000000000001"/>
  </r>
  <r>
    <x v="197"/>
    <s v="2021-22"/>
    <x v="360"/>
    <n v="27"/>
    <n v="270"/>
    <x v="41"/>
    <n v="190"/>
    <n v="1"/>
    <n v="0.33333333333333331"/>
    <n v="1"/>
    <n v="4"/>
    <n v="0.25"/>
    <n v="10"/>
    <n v="20"/>
    <n v="0.5"/>
    <n v="2"/>
    <n v="4"/>
    <n v="0.5"/>
    <n v="0"/>
    <n v="1"/>
    <n v="1"/>
    <n v="0"/>
    <n v="10"/>
    <n v="10"/>
    <n v="1"/>
    <n v="0.33333333333333331"/>
    <n v="0"/>
    <n v="0"/>
    <n v="0"/>
    <n v="0"/>
    <n v="0"/>
    <n v="0"/>
    <n v="0"/>
    <n v="0"/>
    <n v="0"/>
    <n v="1"/>
    <n v="0.33333333333333331"/>
    <n v="5"/>
    <n v="1.6666666666666667"/>
  </r>
  <r>
    <x v="198"/>
    <s v="2021-22"/>
    <x v="361"/>
    <n v="25"/>
    <n v="250"/>
    <x v="40"/>
    <n v="20"/>
    <n v="0"/>
    <n v="0"/>
    <n v="0"/>
    <n v="0"/>
    <e v="#DIV/0!"/>
    <n v="0"/>
    <n v="0"/>
    <e v="#DIV/0!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9"/>
    <s v="2021-22"/>
    <x v="362"/>
    <n v="22"/>
    <n v="220"/>
    <x v="21"/>
    <n v="80"/>
    <n v="-1"/>
    <n v="-0.5"/>
    <n v="0"/>
    <n v="2"/>
    <n v="0"/>
    <n v="0"/>
    <n v="0"/>
    <e v="#DIV/0!"/>
    <n v="0"/>
    <n v="0"/>
    <e v="#DIV/0!"/>
    <n v="1"/>
    <n v="0"/>
    <n v="1"/>
    <n v="10"/>
    <n v="0"/>
    <n v="10"/>
    <n v="1"/>
    <n v="0.5"/>
    <n v="1"/>
    <n v="10"/>
    <n v="0.5"/>
    <n v="0"/>
    <n v="0"/>
    <n v="0"/>
    <n v="10"/>
    <n v="1"/>
    <n v="0.5"/>
    <n v="1"/>
    <n v="0.5"/>
    <n v="0"/>
    <n v="0"/>
  </r>
  <r>
    <x v="200"/>
    <s v="2021-22"/>
    <x v="363"/>
    <n v="27"/>
    <n v="270"/>
    <x v="40"/>
    <n v="20"/>
    <n v="-1"/>
    <n v="-1"/>
    <n v="0"/>
    <n v="1"/>
    <n v="0"/>
    <n v="0"/>
    <n v="10"/>
    <n v="0"/>
    <n v="0"/>
    <n v="0"/>
    <e v="#DIV/0!"/>
    <n v="0"/>
    <n v="0"/>
    <n v="0"/>
    <n v="0"/>
    <n v="0"/>
    <n v="0"/>
    <n v="0"/>
    <n v="0"/>
    <n v="1"/>
    <n v="10"/>
    <n v="1"/>
    <n v="0"/>
    <n v="0"/>
    <n v="0"/>
    <n v="10"/>
    <n v="1"/>
    <n v="1"/>
    <n v="0"/>
    <n v="0"/>
    <n v="0"/>
    <n v="0"/>
  </r>
  <r>
    <x v="201"/>
    <s v="2021-22"/>
    <x v="364"/>
    <n v="29"/>
    <n v="290"/>
    <x v="40"/>
    <n v="30"/>
    <n v="-1"/>
    <n v="-1"/>
    <n v="0"/>
    <n v="1"/>
    <n v="0"/>
    <n v="0"/>
    <n v="10"/>
    <n v="0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73"/>
    <s v="2022-23"/>
    <x v="365"/>
    <n v="28"/>
    <n v="280"/>
    <x v="1"/>
    <n v="27370"/>
    <n v="1737"/>
    <n v="22.558441558441558"/>
    <n v="658"/>
    <n v="1432"/>
    <n v="0.45949720670391059"/>
    <n v="2180"/>
    <n v="6360"/>
    <n v="0.34276729559748426"/>
    <n v="402"/>
    <n v="531"/>
    <n v="0.75706214689265539"/>
    <n v="141"/>
    <n v="626"/>
    <n v="767"/>
    <n v="1410"/>
    <n v="6260"/>
    <n v="7670"/>
    <n v="316"/>
    <n v="4.1038961038961039"/>
    <n v="49"/>
    <n v="490"/>
    <n v="0.63636363636363635"/>
    <n v="210"/>
    <n v="21"/>
    <n v="0.27272727272727271"/>
    <n v="2160"/>
    <n v="216"/>
    <n v="2.8051948051948052"/>
    <n v="233"/>
    <n v="3.0259740259740258"/>
    <n v="1936"/>
    <n v="25.142857142857142"/>
  </r>
  <r>
    <x v="202"/>
    <s v="2022-23"/>
    <x v="366"/>
    <n v="26"/>
    <n v="260"/>
    <x v="58"/>
    <n v="23790"/>
    <n v="1402"/>
    <n v="20.617647058823529"/>
    <n v="587"/>
    <n v="1195"/>
    <n v="0.49121338912133894"/>
    <n v="1340"/>
    <n v="3220"/>
    <n v="0.41614906832298137"/>
    <n v="325"/>
    <n v="392"/>
    <n v="0.82908163265306123"/>
    <n v="40"/>
    <n v="201"/>
    <n v="241"/>
    <n v="400"/>
    <n v="2010"/>
    <n v="2410"/>
    <n v="421"/>
    <n v="6.1911764705882355"/>
    <n v="61"/>
    <n v="610"/>
    <n v="0.8970588235294118"/>
    <n v="150"/>
    <n v="15"/>
    <n v="0.22058823529411764"/>
    <n v="1420"/>
    <n v="142"/>
    <n v="2.0882352941176472"/>
    <n v="152"/>
    <n v="2.2352941176470589"/>
    <n v="1633"/>
    <n v="24.014705882352942"/>
  </r>
  <r>
    <x v="203"/>
    <s v="2022-23"/>
    <x v="367"/>
    <n v="28"/>
    <n v="280"/>
    <x v="13"/>
    <n v="7500"/>
    <n v="391"/>
    <n v="15.64"/>
    <n v="92"/>
    <n v="157"/>
    <n v="0.5859872611464968"/>
    <n v="270"/>
    <n v="520"/>
    <n v="0.51923076923076927"/>
    <n v="45"/>
    <n v="57"/>
    <n v="0.78947368421052633"/>
    <n v="47"/>
    <n v="129"/>
    <n v="176"/>
    <n v="470"/>
    <n v="1290"/>
    <n v="1760"/>
    <n v="90"/>
    <n v="3.6"/>
    <n v="34"/>
    <n v="340"/>
    <n v="1.36"/>
    <n v="120"/>
    <n v="12"/>
    <n v="0.48"/>
    <n v="380"/>
    <n v="38"/>
    <n v="1.52"/>
    <n v="62"/>
    <n v="2.48"/>
    <n v="256"/>
    <n v="10.24"/>
  </r>
  <r>
    <x v="175"/>
    <s v="2022-23"/>
    <x v="368"/>
    <n v="25"/>
    <n v="250"/>
    <x v="55"/>
    <n v="15890"/>
    <n v="852"/>
    <n v="14.440677966101696"/>
    <n v="188"/>
    <n v="280"/>
    <n v="0.67142857142857137"/>
    <n v="0"/>
    <n v="0"/>
    <e v="#DIV/0!"/>
    <n v="59"/>
    <n v="122"/>
    <n v="0.48360655737704916"/>
    <n v="267"/>
    <n v="288"/>
    <n v="555"/>
    <n v="2670"/>
    <n v="2880"/>
    <n v="5550"/>
    <n v="53"/>
    <n v="0.89830508474576276"/>
    <n v="56"/>
    <n v="560"/>
    <n v="0.94915254237288138"/>
    <n v="1090"/>
    <n v="109"/>
    <n v="1.847457627118644"/>
    <n v="410"/>
    <n v="41"/>
    <n v="0.69491525423728817"/>
    <n v="160"/>
    <n v="2.7118644067796609"/>
    <n v="435"/>
    <n v="7.3728813559322033"/>
  </r>
  <r>
    <x v="181"/>
    <s v="2022-23"/>
    <x v="369"/>
    <n v="24"/>
    <n v="240"/>
    <x v="16"/>
    <n v="23440"/>
    <n v="1091"/>
    <n v="13.469135802469136"/>
    <n v="419"/>
    <n v="936"/>
    <n v="0.44764957264957267"/>
    <n v="1680"/>
    <n v="4540"/>
    <n v="0.37004405286343611"/>
    <n v="203"/>
    <n v="248"/>
    <n v="0.81854838709677424"/>
    <n v="58"/>
    <n v="279"/>
    <n v="337"/>
    <n v="580"/>
    <n v="2790"/>
    <n v="3370"/>
    <n v="279"/>
    <n v="3.4444444444444446"/>
    <n v="80"/>
    <n v="800"/>
    <n v="0.98765432098765427"/>
    <n v="140"/>
    <n v="14"/>
    <n v="0.1728395061728395"/>
    <n v="1000"/>
    <n v="100"/>
    <n v="1.2345679012345678"/>
    <n v="166"/>
    <n v="2.0493827160493829"/>
    <n v="1209"/>
    <n v="14.925925925925926"/>
  </r>
  <r>
    <x v="174"/>
    <s v="2022-23"/>
    <x v="370"/>
    <n v="23"/>
    <n v="230"/>
    <x v="63"/>
    <n v="24760"/>
    <n v="935"/>
    <n v="12.808219178082192"/>
    <n v="510"/>
    <n v="1176"/>
    <n v="0.43367346938775508"/>
    <n v="1210"/>
    <n v="3900"/>
    <n v="0.31025641025641026"/>
    <n v="290"/>
    <n v="392"/>
    <n v="0.73979591836734693"/>
    <n v="60"/>
    <n v="308"/>
    <n v="368"/>
    <n v="600"/>
    <n v="3080"/>
    <n v="3680"/>
    <n v="201"/>
    <n v="2.7534246575342465"/>
    <n v="31"/>
    <n v="310"/>
    <n v="0.42465753424657532"/>
    <n v="150"/>
    <n v="15"/>
    <n v="0.20547945205479451"/>
    <n v="1640"/>
    <n v="164"/>
    <n v="2.2465753424657535"/>
    <n v="179"/>
    <n v="2.452054794520548"/>
    <n v="1431"/>
    <n v="19.602739726027398"/>
  </r>
  <r>
    <x v="194"/>
    <s v="2022-23"/>
    <x v="371"/>
    <n v="23"/>
    <n v="230"/>
    <x v="44"/>
    <n v="21210"/>
    <n v="665"/>
    <n v="9.3661971830985919"/>
    <n v="282"/>
    <n v="602"/>
    <n v="0.46843853820598008"/>
    <n v="1570"/>
    <n v="4070"/>
    <n v="0.38574938574938578"/>
    <n v="78"/>
    <n v="98"/>
    <n v="0.79591836734693877"/>
    <n v="49"/>
    <n v="180"/>
    <n v="229"/>
    <n v="490"/>
    <n v="1800"/>
    <n v="2290"/>
    <n v="150"/>
    <n v="2.112676056338028"/>
    <n v="47"/>
    <n v="470"/>
    <n v="0.6619718309859155"/>
    <n v="260"/>
    <n v="26"/>
    <n v="0.36619718309859156"/>
    <n v="690"/>
    <n v="69"/>
    <n v="0.971830985915493"/>
    <n v="177"/>
    <n v="2.492957746478873"/>
    <n v="799"/>
    <n v="11.253521126760564"/>
  </r>
  <r>
    <x v="204"/>
    <s v="2022-23"/>
    <x v="372"/>
    <n v="25"/>
    <n v="250"/>
    <x v="15"/>
    <n v="16280"/>
    <n v="707"/>
    <n v="8.6219512195121943"/>
    <n v="175"/>
    <n v="327"/>
    <n v="0.53516819571865448"/>
    <n v="80"/>
    <n v="370"/>
    <n v="0.21621621621621623"/>
    <n v="48"/>
    <n v="71"/>
    <n v="0.676056338028169"/>
    <n v="209"/>
    <n v="327"/>
    <n v="536"/>
    <n v="2090"/>
    <n v="3270"/>
    <n v="5360"/>
    <n v="102"/>
    <n v="1.2439024390243902"/>
    <n v="53"/>
    <n v="530"/>
    <n v="0.64634146341463417"/>
    <n v="640"/>
    <n v="64"/>
    <n v="0.78048780487804881"/>
    <n v="660"/>
    <n v="66"/>
    <n v="0.80487804878048785"/>
    <n v="213"/>
    <n v="2.5975609756097562"/>
    <n v="406"/>
    <n v="4.9512195121951219"/>
  </r>
  <r>
    <x v="183"/>
    <s v="2022-23"/>
    <x v="373"/>
    <n v="25"/>
    <n v="250"/>
    <x v="49"/>
    <n v="10510"/>
    <n v="438"/>
    <n v="6.5373134328358207"/>
    <n v="187"/>
    <n v="419"/>
    <n v="446"/>
    <n v="850"/>
    <n v="2470"/>
    <n v="0.34412955465587042"/>
    <n v="38"/>
    <n v="47"/>
    <n v="0.80851063829787229"/>
    <n v="29"/>
    <n v="158"/>
    <n v="187"/>
    <n v="290"/>
    <n v="1580"/>
    <n v="1870"/>
    <n v="66"/>
    <n v="0.9850746268656716"/>
    <n v="23"/>
    <n v="230"/>
    <n v="0.34328358208955223"/>
    <n v="120"/>
    <n v="12"/>
    <n v="0.17910447761194029"/>
    <n v="380"/>
    <n v="38"/>
    <n v="0.56716417910447758"/>
    <n v="68"/>
    <n v="1.0149253731343284"/>
    <n v="497"/>
    <n v="7.4179104477611943"/>
  </r>
  <r>
    <x v="192"/>
    <s v="2022-23"/>
    <x v="374"/>
    <n v="24"/>
    <n v="240"/>
    <x v="59"/>
    <n v="8120"/>
    <n v="337"/>
    <n v="6.4807692307692308"/>
    <n v="83"/>
    <n v="107"/>
    <n v="0.77570093457943923"/>
    <n v="0"/>
    <n v="10"/>
    <n v="0"/>
    <n v="12"/>
    <n v="16"/>
    <n v="0.75"/>
    <n v="99"/>
    <n v="143"/>
    <n v="242"/>
    <n v="990"/>
    <n v="1430"/>
    <n v="2420"/>
    <n v="25"/>
    <n v="0.48076923076923078"/>
    <n v="15"/>
    <n v="150"/>
    <n v="0.28846153846153844"/>
    <n v="280"/>
    <n v="28"/>
    <n v="0.53846153846153844"/>
    <n v="270"/>
    <n v="27"/>
    <n v="0.51923076923076927"/>
    <n v="96"/>
    <n v="1.8461538461538463"/>
    <n v="178"/>
    <n v="3.4230769230769229"/>
  </r>
  <r>
    <x v="193"/>
    <s v="2022-23"/>
    <x v="375"/>
    <n v="23"/>
    <n v="230"/>
    <x v="45"/>
    <n v="4380"/>
    <n v="116"/>
    <n v="5.8"/>
    <n v="61"/>
    <n v="136"/>
    <n v="449"/>
    <n v="170"/>
    <n v="560"/>
    <n v="0.30357142857142855"/>
    <n v="29"/>
    <n v="33"/>
    <n v="0.87878787878787878"/>
    <n v="7"/>
    <n v="24"/>
    <n v="31"/>
    <n v="70"/>
    <n v="240"/>
    <n v="310"/>
    <n v="20"/>
    <n v="1"/>
    <n v="15"/>
    <n v="150"/>
    <n v="0.75"/>
    <n v="80"/>
    <n v="8"/>
    <n v="0.4"/>
    <n v="150"/>
    <n v="15"/>
    <n v="0.75"/>
    <n v="32"/>
    <n v="1.6"/>
    <n v="168"/>
    <n v="8.4"/>
  </r>
  <r>
    <x v="150"/>
    <s v="2022-23"/>
    <x v="376"/>
    <n v="34"/>
    <n v="340"/>
    <x v="31"/>
    <n v="3380"/>
    <n v="111"/>
    <n v="4.1111111111111107"/>
    <n v="61"/>
    <n v="159"/>
    <n v="0.38364779874213839"/>
    <n v="190"/>
    <n v="630"/>
    <n v="0.30158730158730157"/>
    <n v="11"/>
    <n v="12"/>
    <n v="0.91666666666666663"/>
    <n v="8"/>
    <n v="32"/>
    <n v="40"/>
    <n v="80"/>
    <n v="320"/>
    <n v="400"/>
    <n v="46"/>
    <n v="1.7037037037037037"/>
    <n v="7"/>
    <n v="70"/>
    <n v="0.25925925925925924"/>
    <n v="50"/>
    <n v="5"/>
    <n v="0.18518518518518517"/>
    <n v="220"/>
    <n v="22"/>
    <n v="0.81481481481481477"/>
    <n v="18"/>
    <n v="0.66666666666666663"/>
    <n v="152"/>
    <n v="5.6296296296296298"/>
  </r>
  <r>
    <x v="191"/>
    <s v="2022-23"/>
    <x v="377"/>
    <n v="30"/>
    <n v="300"/>
    <x v="31"/>
    <n v="4590"/>
    <n v="88"/>
    <n v="3.2592592592592591"/>
    <n v="56"/>
    <n v="166"/>
    <n v="0.33734939759036142"/>
    <n v="350"/>
    <n v="1140"/>
    <n v="0.30701754385964913"/>
    <n v="18"/>
    <n v="21"/>
    <n v="0.8571428571428571"/>
    <n v="4"/>
    <n v="45"/>
    <n v="49"/>
    <n v="40"/>
    <n v="450"/>
    <n v="490"/>
    <n v="36"/>
    <n v="1.3333333333333333"/>
    <n v="16"/>
    <n v="160"/>
    <n v="0.59259259259259256"/>
    <n v="30"/>
    <n v="3"/>
    <n v="0.1111111111111111"/>
    <n v="220"/>
    <n v="22"/>
    <n v="0.81481481481481477"/>
    <n v="46"/>
    <n v="1.7037037037037037"/>
    <n v="165"/>
    <n v="6.1111111111111107"/>
  </r>
  <r>
    <x v="196"/>
    <s v="2022-23"/>
    <x v="378"/>
    <n v="22"/>
    <n v="220"/>
    <x v="57"/>
    <n v="7600"/>
    <n v="152"/>
    <n v="2.375"/>
    <n v="77"/>
    <n v="215"/>
    <n v="0.35813953488372091"/>
    <n v="400"/>
    <n v="1340"/>
    <n v="0.29850746268656714"/>
    <n v="28"/>
    <n v="42"/>
    <n v="0.66666666666666663"/>
    <n v="13"/>
    <n v="37"/>
    <n v="50"/>
    <n v="130"/>
    <n v="370"/>
    <n v="500"/>
    <n v="72"/>
    <n v="1.125"/>
    <n v="37"/>
    <n v="370"/>
    <n v="0.578125"/>
    <n v="80"/>
    <n v="8"/>
    <n v="0.125"/>
    <n v="250"/>
    <n v="25"/>
    <n v="0.390625"/>
    <n v="60"/>
    <n v="0.9375"/>
    <n v="222"/>
    <n v="3.46875"/>
  </r>
  <r>
    <x v="205"/>
    <s v="2022-23"/>
    <x v="379"/>
    <n v="26"/>
    <n v="260"/>
    <x v="79"/>
    <n v="400"/>
    <n v="19"/>
    <n v="1.4615384615384615"/>
    <n v="6"/>
    <n v="12"/>
    <n v="0.5"/>
    <n v="60"/>
    <n v="100"/>
    <n v="0.6"/>
    <n v="3"/>
    <n v="5"/>
    <n v="0.6"/>
    <n v="0"/>
    <n v="7"/>
    <n v="7"/>
    <n v="0"/>
    <n v="70"/>
    <n v="70"/>
    <n v="1"/>
    <n v="7.6923076923076927E-2"/>
    <n v="1"/>
    <n v="10"/>
    <n v="7.6923076923076927E-2"/>
    <n v="0"/>
    <n v="0"/>
    <n v="0"/>
    <n v="20"/>
    <n v="2"/>
    <n v="0.15384615384615385"/>
    <n v="1"/>
    <n v="7.6923076923076927E-2"/>
    <n v="21"/>
    <n v="1.6153846153846154"/>
  </r>
  <r>
    <x v="206"/>
    <s v="2022-23"/>
    <x v="380"/>
    <n v="19"/>
    <n v="190"/>
    <x v="41"/>
    <n v="80"/>
    <n v="2"/>
    <n v="0.66666666666666663"/>
    <n v="1"/>
    <n v="4"/>
    <n v="25"/>
    <n v="10"/>
    <n v="40"/>
    <n v="0.25"/>
    <n v="0"/>
    <n v="0"/>
    <e v="#DIV/0!"/>
    <n v="0"/>
    <n v="2"/>
    <n v="2"/>
    <n v="0"/>
    <n v="20"/>
    <n v="20"/>
    <n v="0"/>
    <n v="0"/>
    <n v="0"/>
    <n v="0"/>
    <n v="0"/>
    <n v="0"/>
    <n v="0"/>
    <n v="0"/>
    <n v="0"/>
    <n v="0"/>
    <n v="0"/>
    <n v="0"/>
    <n v="0"/>
    <n v="3"/>
    <n v="1"/>
  </r>
  <r>
    <x v="195"/>
    <s v="2022-23"/>
    <x v="381"/>
    <n v="29"/>
    <n v="290"/>
    <x v="64"/>
    <n v="260"/>
    <n v="3"/>
    <n v="0.27272727272727271"/>
    <n v="1"/>
    <n v="5"/>
    <n v="0.2"/>
    <n v="10"/>
    <n v="30"/>
    <n v="0.33333333333333331"/>
    <n v="0"/>
    <n v="0"/>
    <e v="#DIV/0!"/>
    <n v="0"/>
    <n v="4"/>
    <n v="4"/>
    <n v="0"/>
    <n v="40"/>
    <n v="40"/>
    <n v="2"/>
    <n v="0.18181818181818182"/>
    <n v="2"/>
    <n v="20"/>
    <n v="0.18181818181818182"/>
    <n v="0"/>
    <n v="0"/>
    <n v="0"/>
    <n v="10"/>
    <n v="1"/>
    <n v="9.0909090909090912E-2"/>
    <n v="3"/>
    <n v="0.27272727272727271"/>
    <n v="3"/>
    <n v="0.27272727272727271"/>
  </r>
  <r>
    <x v="202"/>
    <s v="2023-24"/>
    <x v="382"/>
    <n v="27"/>
    <n v="270"/>
    <x v="1"/>
    <n v="27260"/>
    <n v="1828"/>
    <n v="23.740259740259742"/>
    <n v="790"/>
    <n v="1648"/>
    <n v="0.47936893203883496"/>
    <n v="2110"/>
    <n v="5260"/>
    <n v="0.40114068441064638"/>
    <n v="421"/>
    <n v="497"/>
    <n v="0.84708249496981891"/>
    <n v="43"/>
    <n v="235"/>
    <n v="278"/>
    <n v="430"/>
    <n v="2350"/>
    <n v="2780"/>
    <n v="519"/>
    <n v="6.7402597402597406"/>
    <n v="70"/>
    <n v="700"/>
    <n v="0.90909090909090906"/>
    <n v="130"/>
    <n v="13"/>
    <n v="0.16883116883116883"/>
    <n v="1860"/>
    <n v="186"/>
    <n v="2.4155844155844157"/>
    <n v="144"/>
    <n v="1.8701298701298701"/>
    <n v="2212"/>
    <n v="28.727272727272727"/>
  </r>
  <r>
    <x v="173"/>
    <s v="2023-24"/>
    <x v="383"/>
    <n v="29"/>
    <n v="290"/>
    <x v="37"/>
    <n v="16300"/>
    <n v="1000"/>
    <n v="21.739130434782609"/>
    <n v="395"/>
    <n v="836"/>
    <n v="0.47248803827751196"/>
    <n v="760"/>
    <n v="2440"/>
    <n v="0.31147540983606559"/>
    <n v="236"/>
    <n v="302"/>
    <n v="0.7814569536423841"/>
    <n v="99"/>
    <n v="324"/>
    <n v="423"/>
    <n v="990"/>
    <n v="3240"/>
    <n v="4230"/>
    <n v="229"/>
    <n v="4.9782608695652177"/>
    <n v="25"/>
    <n v="250"/>
    <n v="0.54347826086956519"/>
    <n v="120"/>
    <n v="12"/>
    <n v="0.2608695652173913"/>
    <n v="1590"/>
    <n v="159"/>
    <n v="3.4565217391304346"/>
    <n v="125"/>
    <n v="2.7173913043478262"/>
    <n v="1102"/>
    <n v="23.956521739130434"/>
  </r>
  <r>
    <x v="204"/>
    <s v="2023-24"/>
    <x v="384"/>
    <n v="26"/>
    <n v="260"/>
    <x v="4"/>
    <n v="18960"/>
    <n v="1089"/>
    <n v="14.52"/>
    <n v="235"/>
    <n v="365"/>
    <n v="0.64383561643835618"/>
    <n v="10"/>
    <n v="30"/>
    <n v="0.33333333333333331"/>
    <n v="111"/>
    <n v="157"/>
    <n v="0.70700636942675155"/>
    <n v="244"/>
    <n v="382"/>
    <n v="626"/>
    <n v="2440"/>
    <n v="3820"/>
    <n v="6260"/>
    <n v="188"/>
    <n v="2.5066666666666668"/>
    <n v="87"/>
    <n v="870"/>
    <n v="1.1599999999999999"/>
    <n v="850"/>
    <n v="85"/>
    <n v="1.1333333333333333"/>
    <n v="930"/>
    <n v="93"/>
    <n v="1.24"/>
    <n v="210"/>
    <n v="2.8"/>
    <n v="582"/>
    <n v="7.76"/>
  </r>
  <r>
    <x v="203"/>
    <s v="2023-24"/>
    <x v="385"/>
    <n v="29"/>
    <n v="290"/>
    <x v="16"/>
    <n v="27070"/>
    <n v="1168"/>
    <n v="14.419753086419753"/>
    <n v="295"/>
    <n v="679"/>
    <n v="0.43446244477172313"/>
    <n v="800"/>
    <n v="2580"/>
    <n v="0.31007751937984496"/>
    <n v="91"/>
    <n v="115"/>
    <n v="0.79130434782608694"/>
    <n v="128"/>
    <n v="547"/>
    <n v="675"/>
    <n v="1280"/>
    <n v="5470"/>
    <n v="6750"/>
    <n v="331"/>
    <n v="4.0864197530864201"/>
    <n v="75"/>
    <n v="750"/>
    <n v="0.92592592592592593"/>
    <n v="230"/>
    <n v="23"/>
    <n v="0.2839506172839506"/>
    <n v="1180"/>
    <n v="118"/>
    <n v="1.4567901234567902"/>
    <n v="171"/>
    <n v="2.1111111111111112"/>
    <n v="761"/>
    <n v="9.3950617283950617"/>
  </r>
  <r>
    <x v="207"/>
    <s v="2023-24"/>
    <x v="386"/>
    <n v="27"/>
    <n v="270"/>
    <x v="16"/>
    <n v="23600"/>
    <n v="1049"/>
    <n v="12.950617283950617"/>
    <n v="445"/>
    <n v="1004"/>
    <n v="0.44322709163346613"/>
    <n v="2830"/>
    <n v="7050"/>
    <n v="0.40141843971631208"/>
    <n v="86"/>
    <n v="114"/>
    <n v="0.75438596491228072"/>
    <n v="63"/>
    <n v="234"/>
    <n v="297"/>
    <n v="630"/>
    <n v="2340"/>
    <n v="2970"/>
    <n v="216"/>
    <n v="2.6666666666666665"/>
    <n v="107"/>
    <n v="1070"/>
    <n v="1.3209876543209877"/>
    <n v="360"/>
    <n v="36"/>
    <n v="0.44444444444444442"/>
    <n v="1130"/>
    <n v="113"/>
    <n v="1.3950617283950617"/>
    <n v="166"/>
    <n v="2.0493827160493829"/>
    <n v="1259"/>
    <n v="15.543209876543211"/>
  </r>
  <r>
    <x v="174"/>
    <s v="2023-24"/>
    <x v="387"/>
    <n v="24"/>
    <n v="240"/>
    <x v="12"/>
    <n v="7670"/>
    <n v="332"/>
    <n v="12.76923076923077"/>
    <n v="164"/>
    <n v="388"/>
    <n v="0.42268041237113402"/>
    <n v="430"/>
    <n v="1300"/>
    <n v="0.33076923076923076"/>
    <n v="103"/>
    <n v="124"/>
    <n v="0.83064516129032262"/>
    <n v="19"/>
    <n v="92"/>
    <n v="111"/>
    <n v="190"/>
    <n v="920"/>
    <n v="1110"/>
    <n v="63"/>
    <n v="2.4230769230769229"/>
    <n v="12"/>
    <n v="120"/>
    <n v="0.46153846153846156"/>
    <n v="90"/>
    <n v="9"/>
    <n v="0.34615384615384615"/>
    <n v="470"/>
    <n v="47"/>
    <n v="1.8076923076923077"/>
    <n v="45"/>
    <n v="1.7307692307692308"/>
    <n v="474"/>
    <n v="18.23076923076923"/>
  </r>
  <r>
    <x v="208"/>
    <s v="2023-24"/>
    <x v="388"/>
    <n v="26"/>
    <n v="260"/>
    <x v="19"/>
    <n v="8020"/>
    <n v="290"/>
    <n v="12.608695652173912"/>
    <n v="125"/>
    <n v="256"/>
    <n v="0.48828125"/>
    <n v="410"/>
    <n v="1040"/>
    <n v="0.39423076923076922"/>
    <n v="34"/>
    <n v="43"/>
    <n v="0.79069767441860461"/>
    <n v="23"/>
    <n v="79"/>
    <n v="102"/>
    <n v="230"/>
    <n v="790"/>
    <n v="1020"/>
    <n v="35"/>
    <n v="1.5217391304347827"/>
    <n v="40"/>
    <n v="400"/>
    <n v="1.7391304347826086"/>
    <n v="230"/>
    <n v="23"/>
    <n v="1"/>
    <n v="380"/>
    <n v="38"/>
    <n v="1.6521739130434783"/>
    <n v="57"/>
    <n v="2.4782608695652173"/>
    <n v="325"/>
    <n v="14.130434782608695"/>
  </r>
  <r>
    <x v="181"/>
    <s v="2023-24"/>
    <x v="389"/>
    <n v="25"/>
    <n v="250"/>
    <x v="8"/>
    <n v="7200"/>
    <n v="350"/>
    <n v="11.666666666666666"/>
    <n v="152"/>
    <n v="335"/>
    <n v="0.45373134328358211"/>
    <n v="640"/>
    <n v="1620"/>
    <n v="0.39506172839506171"/>
    <n v="82"/>
    <n v="94"/>
    <n v="0.87234042553191493"/>
    <n v="5"/>
    <n v="72"/>
    <n v="77"/>
    <n v="50"/>
    <n v="720"/>
    <n v="770"/>
    <n v="74"/>
    <n v="2.4666666666666668"/>
    <n v="16"/>
    <n v="160"/>
    <n v="0.53333333333333333"/>
    <n v="30"/>
    <n v="3"/>
    <n v="0.1"/>
    <n v="310"/>
    <n v="31"/>
    <n v="1.0333333333333334"/>
    <n v="44"/>
    <n v="1.4666666666666666"/>
    <n v="450"/>
    <n v="15"/>
  </r>
  <r>
    <x v="175"/>
    <s v="2023-24"/>
    <x v="390"/>
    <n v="26"/>
    <n v="260"/>
    <x v="67"/>
    <n v="7680"/>
    <n v="353"/>
    <n v="11.387096774193548"/>
    <n v="73"/>
    <n v="127"/>
    <n v="0.57480314960629919"/>
    <n v="0"/>
    <n v="0"/>
    <e v="#DIV/0!"/>
    <n v="27"/>
    <n v="66"/>
    <n v="0.40909090909090912"/>
    <n v="142"/>
    <n v="121"/>
    <n v="263"/>
    <n v="1420"/>
    <n v="1210"/>
    <n v="2630"/>
    <n v="18"/>
    <n v="0.58064516129032262"/>
    <n v="37"/>
    <n v="370"/>
    <n v="1.1935483870967742"/>
    <n v="350"/>
    <n v="35"/>
    <n v="1.1290322580645162"/>
    <n v="250"/>
    <n v="25"/>
    <n v="0.80645161290322576"/>
    <n v="55"/>
    <n v="1.7741935483870968"/>
    <n v="173"/>
    <n v="5.580645161290323"/>
  </r>
  <r>
    <x v="209"/>
    <s v="2023-24"/>
    <x v="391"/>
    <n v="24"/>
    <n v="240"/>
    <x v="20"/>
    <n v="11870"/>
    <n v="538"/>
    <n v="10.979591836734693"/>
    <n v="157"/>
    <n v="299"/>
    <n v="525"/>
    <n v="130"/>
    <n v="500"/>
    <n v="0.26"/>
    <n v="45"/>
    <n v="70"/>
    <n v="0.6428571428571429"/>
    <n v="141"/>
    <n v="210"/>
    <n v="351"/>
    <n v="1410"/>
    <n v="2100"/>
    <n v="3510"/>
    <n v="53"/>
    <n v="1.0816326530612246"/>
    <n v="30"/>
    <n v="300"/>
    <n v="0.61224489795918369"/>
    <n v="560"/>
    <n v="56"/>
    <n v="1.1428571428571428"/>
    <n v="540"/>
    <n v="54"/>
    <n v="1.1020408163265305"/>
    <n v="103"/>
    <n v="2.1020408163265305"/>
    <n v="372"/>
    <n v="7.591836734693878"/>
  </r>
  <r>
    <x v="196"/>
    <s v="2023-24"/>
    <x v="392"/>
    <n v="23"/>
    <n v="230"/>
    <x v="58"/>
    <n v="13280"/>
    <n v="439"/>
    <n v="6.4558823529411766"/>
    <n v="205"/>
    <n v="454"/>
    <n v="0.45154185022026433"/>
    <n v="1090"/>
    <n v="2660"/>
    <n v="0.40977443609022557"/>
    <n v="43"/>
    <n v="50"/>
    <n v="0.86"/>
    <n v="31"/>
    <n v="69"/>
    <n v="100"/>
    <n v="310"/>
    <n v="690"/>
    <n v="1000"/>
    <n v="114"/>
    <n v="1.6764705882352942"/>
    <n v="50"/>
    <n v="500"/>
    <n v="0.73529411764705888"/>
    <n v="70"/>
    <n v="7"/>
    <n v="0.10294117647058823"/>
    <n v="300"/>
    <n v="30"/>
    <n v="0.44117647058823528"/>
    <n v="108"/>
    <n v="1.588235294117647"/>
    <n v="562"/>
    <n v="8.264705882352942"/>
  </r>
  <r>
    <x v="210"/>
    <s v="2023-24"/>
    <x v="393"/>
    <n v="35"/>
    <n v="350"/>
    <x v="3"/>
    <n v="5570"/>
    <n v="164"/>
    <n v="5.6551724137931032"/>
    <n v="110"/>
    <n v="256"/>
    <n v="43"/>
    <n v="470"/>
    <n v="1270"/>
    <n v="0.37007874015748032"/>
    <n v="36"/>
    <n v="45"/>
    <n v="0.8"/>
    <n v="9"/>
    <n v="49"/>
    <n v="58"/>
    <n v="90"/>
    <n v="490"/>
    <n v="580"/>
    <n v="26"/>
    <n v="0.89655172413793105"/>
    <n v="7"/>
    <n v="70"/>
    <n v="0.2413793103448276"/>
    <n v="10"/>
    <n v="1"/>
    <n v="3.4482758620689655E-2"/>
    <n v="380"/>
    <n v="38"/>
    <n v="1.3103448275862069"/>
    <n v="38"/>
    <n v="1.3103448275862069"/>
    <n v="303"/>
    <n v="10.448275862068966"/>
  </r>
  <r>
    <x v="194"/>
    <s v="2023-24"/>
    <x v="394"/>
    <n v="24"/>
    <n v="240"/>
    <x v="14"/>
    <n v="9100"/>
    <n v="230"/>
    <n v="5.1111111111111107"/>
    <n v="113"/>
    <n v="286"/>
    <n v="0.3951048951048951"/>
    <n v="770"/>
    <n v="2120"/>
    <n v="0.3632075471698113"/>
    <n v="24"/>
    <n v="34"/>
    <n v="0.70588235294117652"/>
    <n v="14"/>
    <n v="74"/>
    <n v="88"/>
    <n v="140"/>
    <n v="740"/>
    <n v="880"/>
    <n v="52"/>
    <n v="1.1555555555555554"/>
    <n v="30"/>
    <n v="300"/>
    <n v="0.66666666666666663"/>
    <n v="30"/>
    <n v="3"/>
    <n v="6.6666666666666666E-2"/>
    <n v="210"/>
    <n v="21"/>
    <n v="0.46666666666666667"/>
    <n v="66"/>
    <n v="1.4666666666666666"/>
    <n v="327"/>
    <n v="7.2666666666666666"/>
  </r>
  <r>
    <x v="192"/>
    <s v="2023-24"/>
    <x v="395"/>
    <n v="25"/>
    <n v="250"/>
    <x v="14"/>
    <n v="5850"/>
    <n v="205"/>
    <n v="4.5555555555555554"/>
    <n v="38"/>
    <n v="55"/>
    <n v="0.69090909090909092"/>
    <n v="0"/>
    <n v="0"/>
    <e v="#DIV/0!"/>
    <n v="16"/>
    <n v="24"/>
    <n v="0.66666666666666663"/>
    <n v="56"/>
    <n v="91"/>
    <n v="147"/>
    <n v="560"/>
    <n v="910"/>
    <n v="1470"/>
    <n v="25"/>
    <n v="0.55555555555555558"/>
    <n v="8"/>
    <n v="80"/>
    <n v="0.17777777777777778"/>
    <n v="190"/>
    <n v="19"/>
    <n v="0.42222222222222222"/>
    <n v="160"/>
    <n v="16"/>
    <n v="0.35555555555555557"/>
    <n v="45"/>
    <n v="1"/>
    <n v="92"/>
    <n v="2.0444444444444443"/>
  </r>
  <r>
    <x v="176"/>
    <s v="2023-24"/>
    <x v="396"/>
    <n v="32"/>
    <n v="320"/>
    <x v="19"/>
    <n v="3110"/>
    <n v="68"/>
    <n v="2.9565217391304346"/>
    <n v="50"/>
    <n v="163"/>
    <n v="0.30674846625766872"/>
    <n v="250"/>
    <n v="830"/>
    <n v="0.30120481927710846"/>
    <n v="24"/>
    <n v="33"/>
    <n v="0.72727272727272729"/>
    <n v="8"/>
    <n v="32"/>
    <n v="40"/>
    <n v="80"/>
    <n v="320"/>
    <n v="400"/>
    <n v="20"/>
    <n v="0.86956521739130432"/>
    <n v="7"/>
    <n v="70"/>
    <n v="0.30434782608695654"/>
    <n v="10"/>
    <n v="1"/>
    <n v="4.3478260869565216E-2"/>
    <n v="160"/>
    <n v="16"/>
    <n v="0.69565217391304346"/>
    <n v="11"/>
    <n v="0.47826086956521741"/>
    <n v="149"/>
    <n v="6.4782608695652177"/>
  </r>
  <r>
    <x v="211"/>
    <s v="2023-24"/>
    <x v="397"/>
    <n v="24"/>
    <n v="240"/>
    <x v="65"/>
    <n v="380"/>
    <n v="16"/>
    <n v="1.7777777777777777"/>
    <n v="5"/>
    <n v="9"/>
    <n v="556"/>
    <n v="10"/>
    <n v="40"/>
    <n v="0.25"/>
    <n v="2"/>
    <n v="2"/>
    <n v="1"/>
    <n v="3"/>
    <n v="4"/>
    <n v="7"/>
    <n v="30"/>
    <n v="40"/>
    <n v="70"/>
    <n v="3"/>
    <n v="0.33333333333333331"/>
    <n v="0"/>
    <n v="0"/>
    <n v="0"/>
    <n v="10"/>
    <n v="1"/>
    <n v="0.1111111111111111"/>
    <n v="10"/>
    <n v="1"/>
    <n v="0.1111111111111111"/>
    <n v="3"/>
    <n v="0.33333333333333331"/>
    <n v="13"/>
    <n v="1.4444444444444444"/>
  </r>
  <r>
    <x v="212"/>
    <s v="2023-24"/>
    <x v="398"/>
    <n v="27"/>
    <n v="270"/>
    <x v="51"/>
    <n v="270"/>
    <n v="10"/>
    <n v="1.6666666666666667"/>
    <n v="4"/>
    <n v="9"/>
    <n v="0.44444444444444442"/>
    <n v="10"/>
    <n v="20"/>
    <n v="0.5"/>
    <n v="2"/>
    <n v="2"/>
    <n v="1"/>
    <n v="0"/>
    <n v="6"/>
    <n v="6"/>
    <n v="0"/>
    <n v="60"/>
    <n v="60"/>
    <n v="4"/>
    <n v="0.66666666666666663"/>
    <n v="1"/>
    <n v="10"/>
    <n v="0.16666666666666666"/>
    <n v="0"/>
    <n v="0"/>
    <n v="0"/>
    <n v="0"/>
    <n v="0"/>
    <n v="0"/>
    <n v="7"/>
    <n v="1.1666666666666667"/>
    <n v="11"/>
    <n v="1.8333333333333333"/>
  </r>
  <r>
    <x v="213"/>
    <s v="2023-24"/>
    <x v="399"/>
    <n v="26"/>
    <n v="260"/>
    <x v="72"/>
    <n v="610"/>
    <n v="22"/>
    <n v="1.5714285714285714"/>
    <n v="9"/>
    <n v="23"/>
    <n v="0.39130434782608697"/>
    <n v="40"/>
    <n v="130"/>
    <n v="0.30769230769230771"/>
    <n v="9"/>
    <n v="11"/>
    <n v="0.81818181818181823"/>
    <n v="0"/>
    <n v="6"/>
    <n v="6"/>
    <n v="0"/>
    <n v="60"/>
    <n v="60"/>
    <n v="6"/>
    <n v="0.42857142857142855"/>
    <n v="1"/>
    <n v="10"/>
    <n v="7.1428571428571425E-2"/>
    <n v="0"/>
    <n v="0"/>
    <n v="0"/>
    <n v="30"/>
    <n v="3"/>
    <n v="0.21428571428571427"/>
    <n v="3"/>
    <n v="0.21428571428571427"/>
    <n v="31"/>
    <n v="2.2142857142857144"/>
  </r>
  <r>
    <x v="214"/>
    <s v="2023-24"/>
    <x v="400"/>
    <n v="27"/>
    <n v="270"/>
    <x v="41"/>
    <n v="70"/>
    <n v="3"/>
    <n v="1"/>
    <n v="1"/>
    <n v="2"/>
    <n v="5"/>
    <n v="10"/>
    <n v="20"/>
    <n v="0.5"/>
    <n v="0"/>
    <n v="0"/>
    <e v="#DIV/0!"/>
    <n v="0"/>
    <n v="1"/>
    <n v="1"/>
    <n v="0"/>
    <n v="10"/>
    <n v="10"/>
    <n v="1"/>
    <n v="0.33333333333333331"/>
    <n v="0"/>
    <n v="0"/>
    <n v="0"/>
    <n v="0"/>
    <n v="0"/>
    <n v="0"/>
    <n v="0"/>
    <n v="0"/>
    <n v="0"/>
    <n v="1"/>
    <n v="0.33333333333333331"/>
    <n v="3"/>
    <n v="1"/>
  </r>
  <r>
    <x v="178"/>
    <s v="2023-24"/>
    <x v="401"/>
    <n v="39"/>
    <n v="390"/>
    <x v="76"/>
    <n v="1650"/>
    <n v="12"/>
    <n v="0.75"/>
    <n v="7"/>
    <n v="23"/>
    <n v="304"/>
    <n v="0"/>
    <n v="60"/>
    <n v="0"/>
    <n v="2"/>
    <n v="2"/>
    <n v="1"/>
    <n v="10"/>
    <n v="18"/>
    <n v="28"/>
    <n v="100"/>
    <n v="180"/>
    <n v="280"/>
    <n v="9"/>
    <n v="0.5625"/>
    <n v="2"/>
    <n v="20"/>
    <n v="0.125"/>
    <n v="60"/>
    <n v="6"/>
    <n v="0.375"/>
    <n v="50"/>
    <n v="5"/>
    <n v="0.3125"/>
    <n v="28"/>
    <n v="1.75"/>
    <n v="16"/>
    <n v="1"/>
  </r>
  <r>
    <x v="191"/>
    <s v="2023-24"/>
    <x v="402"/>
    <n v="31"/>
    <n v="310"/>
    <x v="41"/>
    <n v="390"/>
    <n v="2"/>
    <n v="0.66666666666666663"/>
    <n v="4"/>
    <n v="20"/>
    <n v="0.2"/>
    <n v="20"/>
    <n v="150"/>
    <n v="0.13333333333333333"/>
    <n v="2"/>
    <n v="2"/>
    <n v="1"/>
    <n v="0"/>
    <n v="4"/>
    <n v="4"/>
    <n v="0"/>
    <n v="40"/>
    <n v="40"/>
    <n v="3"/>
    <n v="1"/>
    <n v="4"/>
    <n v="40"/>
    <n v="1.3333333333333333"/>
    <n v="0"/>
    <n v="0"/>
    <n v="0"/>
    <n v="10"/>
    <n v="1"/>
    <n v="0.33333333333333331"/>
    <n v="4"/>
    <n v="1.3333333333333333"/>
    <n v="12"/>
    <n v="4"/>
  </r>
  <r>
    <x v="215"/>
    <s v="2023-24"/>
    <x v="403"/>
    <n v="26"/>
    <n v="260"/>
    <x v="39"/>
    <n v="460"/>
    <n v="7"/>
    <n v="0.41176470588235292"/>
    <n v="6"/>
    <n v="17"/>
    <n v="353"/>
    <n v="20"/>
    <n v="100"/>
    <n v="0.2"/>
    <n v="0"/>
    <n v="2"/>
    <n v="0"/>
    <n v="0"/>
    <n v="5"/>
    <n v="5"/>
    <n v="0"/>
    <n v="50"/>
    <n v="50"/>
    <n v="5"/>
    <n v="0.29411764705882354"/>
    <n v="0"/>
    <n v="0"/>
    <n v="0"/>
    <n v="10"/>
    <n v="1"/>
    <n v="5.8823529411764705E-2"/>
    <n v="30"/>
    <n v="3"/>
    <n v="0.17647058823529413"/>
    <n v="2"/>
    <n v="0.11764705882352941"/>
    <n v="14"/>
    <n v="0.82352941176470584"/>
  </r>
  <r>
    <x v="195"/>
    <s v="2023-24"/>
    <x v="404"/>
    <n v="30"/>
    <n v="300"/>
    <x v="45"/>
    <n v="450"/>
    <n v="1"/>
    <n v="0.05"/>
    <n v="0"/>
    <n v="6"/>
    <n v="0"/>
    <n v="0"/>
    <n v="60"/>
    <n v="0"/>
    <n v="0"/>
    <n v="0"/>
    <e v="#DIV/0!"/>
    <n v="0"/>
    <n v="8"/>
    <n v="8"/>
    <n v="0"/>
    <n v="80"/>
    <n v="80"/>
    <n v="4"/>
    <n v="0.2"/>
    <n v="2"/>
    <n v="20"/>
    <n v="0.1"/>
    <n v="0"/>
    <n v="0"/>
    <n v="0"/>
    <n v="20"/>
    <n v="2"/>
    <n v="0.1"/>
    <n v="5"/>
    <n v="0.25"/>
    <n v="0"/>
    <n v="0"/>
  </r>
  <r>
    <x v="216"/>
    <s v="2023-24"/>
    <x v="405"/>
    <n v="27"/>
    <n v="270"/>
    <x v="41"/>
    <n v="80"/>
    <n v="-1"/>
    <n v="-0.33333333333333331"/>
    <n v="0"/>
    <n v="1"/>
    <n v="0"/>
    <n v="0"/>
    <n v="10"/>
    <n v="0"/>
    <n v="0"/>
    <n v="0"/>
    <e v="#DIV/0!"/>
    <n v="0"/>
    <n v="1"/>
    <n v="1"/>
    <n v="0"/>
    <n v="10"/>
    <n v="10"/>
    <n v="0"/>
    <n v="0"/>
    <n v="1"/>
    <n v="10"/>
    <n v="0.33333333333333331"/>
    <n v="0"/>
    <n v="0"/>
    <n v="0"/>
    <n v="10"/>
    <n v="1"/>
    <n v="0.33333333333333331"/>
    <n v="1"/>
    <n v="0.33333333333333331"/>
    <n v="0"/>
    <n v="0"/>
  </r>
  <r>
    <x v="217"/>
    <s v="2023-24"/>
    <x v="406"/>
    <n v="26"/>
    <n v="260"/>
    <x v="21"/>
    <n v="20"/>
    <n v="-1"/>
    <n v="-0.5"/>
    <n v="0"/>
    <n v="1"/>
    <n v="0"/>
    <n v="0"/>
    <n v="0"/>
    <e v="#DIV/0!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18"/>
    <s v="2023-24"/>
    <x v="407"/>
    <n v="27"/>
    <n v="270"/>
    <x v="52"/>
    <n v="370"/>
    <n v="-5"/>
    <n v="-0.625"/>
    <n v="2"/>
    <n v="10"/>
    <n v="0.2"/>
    <n v="20"/>
    <n v="70"/>
    <n v="0.2857142857142857"/>
    <n v="0"/>
    <n v="0"/>
    <e v="#DIV/0!"/>
    <n v="1"/>
    <n v="1"/>
    <n v="2"/>
    <n v="10"/>
    <n v="10"/>
    <n v="20"/>
    <n v="0"/>
    <n v="0"/>
    <n v="0"/>
    <n v="0"/>
    <n v="0"/>
    <n v="20"/>
    <n v="2"/>
    <n v="0.25"/>
    <n v="20"/>
    <n v="2"/>
    <n v="0.25"/>
    <n v="5"/>
    <n v="0.625"/>
    <n v="6"/>
    <n v="0.7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9">
  <r>
    <s v="Marcus Camby"/>
    <s v="2000-01"/>
    <x v="0"/>
    <n v="27"/>
    <n v="270"/>
    <n v="63"/>
    <n v="21270"/>
    <n v="1117"/>
    <n v="17.730158730158731"/>
    <n v="304"/>
    <n v="580"/>
    <n v="0.52413793103448281"/>
    <n v="10"/>
    <n v="80"/>
    <n v="0.125"/>
    <n v="150"/>
    <n v="225"/>
    <n v="0.66666666666666663"/>
    <n v="196"/>
    <n v="527"/>
    <n v="723"/>
    <n v="1960"/>
    <n v="5270"/>
    <n v="7230"/>
    <n v="11.476190476190476"/>
    <n v="52"/>
    <n v="0.82539682539682535"/>
    <n v="66"/>
    <n v="660"/>
    <n v="1.0476190476190477"/>
    <n v="1360"/>
    <n v="136"/>
    <n v="2.1587301587301586"/>
    <n v="630"/>
    <x v="0"/>
    <n v="63"/>
    <n v="1"/>
    <n v="205"/>
    <n v="3.253968253968254"/>
    <n v="759"/>
    <n v="12.047619047619047"/>
  </r>
  <r>
    <s v="Latrell Sprewell"/>
    <s v="2000-01"/>
    <x v="1"/>
    <n v="30"/>
    <n v="300"/>
    <n v="77"/>
    <n v="30130"/>
    <n v="966"/>
    <n v="12.545454545454545"/>
    <n v="524"/>
    <n v="1219"/>
    <n v="0.42986054142739949"/>
    <n v="410"/>
    <n v="1350"/>
    <n v="0.3037037037037037"/>
    <n v="275"/>
    <n v="351"/>
    <n v="0.7834757834757835"/>
    <n v="49"/>
    <n v="298"/>
    <n v="347"/>
    <n v="490"/>
    <n v="2980"/>
    <n v="3470"/>
    <n v="4.5064935064935066"/>
    <n v="269"/>
    <n v="3.4935064935064934"/>
    <n v="106"/>
    <n v="1060"/>
    <n v="1.3766233766233766"/>
    <n v="280"/>
    <n v="28"/>
    <n v="0.36363636363636365"/>
    <n v="2180"/>
    <x v="1"/>
    <n v="218"/>
    <n v="2.831168831168831"/>
    <n v="159"/>
    <n v="2.0649350649350651"/>
    <n v="1364"/>
    <n v="17.714285714285715"/>
  </r>
  <r>
    <s v="Allan Houston"/>
    <s v="2000-01"/>
    <x v="2"/>
    <n v="30"/>
    <n v="300"/>
    <n v="78"/>
    <n v="28580"/>
    <n v="932"/>
    <n v="11.948717948717949"/>
    <n v="542"/>
    <n v="1208"/>
    <n v="0.44867549668874174"/>
    <n v="960"/>
    <n v="2520"/>
    <n v="0.38095238095238093"/>
    <n v="279"/>
    <n v="307"/>
    <n v="0.90879478827361559"/>
    <n v="20"/>
    <n v="263"/>
    <n v="283"/>
    <n v="200"/>
    <n v="2630"/>
    <n v="2830"/>
    <n v="3.6282051282051282"/>
    <n v="173"/>
    <n v="2.2179487179487181"/>
    <n v="52"/>
    <n v="520"/>
    <n v="0.66666666666666663"/>
    <n v="100"/>
    <n v="10"/>
    <n v="0.12820512820512819"/>
    <n v="1610"/>
    <x v="2"/>
    <n v="161"/>
    <n v="2.0641025641025643"/>
    <n v="190"/>
    <n v="2.4358974358974357"/>
    <n v="1459"/>
    <n v="18.705128205128204"/>
  </r>
  <r>
    <s v="Kurt Thomas"/>
    <s v="2000-01"/>
    <x v="3"/>
    <n v="28"/>
    <n v="280"/>
    <n v="77"/>
    <n v="21280"/>
    <n v="783"/>
    <n v="10.168831168831169"/>
    <n v="314"/>
    <n v="614"/>
    <n v="511"/>
    <n v="10"/>
    <n v="30"/>
    <n v="0.33333333333333331"/>
    <n v="171"/>
    <n v="210"/>
    <n v="0.81428571428571428"/>
    <n v="172"/>
    <n v="343"/>
    <n v="515"/>
    <n v="1720"/>
    <n v="3430"/>
    <n v="5150"/>
    <n v="6.6883116883116882"/>
    <n v="63"/>
    <n v="0.81818181818181823"/>
    <n v="61"/>
    <n v="610"/>
    <n v="0.79220779220779225"/>
    <n v="690"/>
    <n v="69"/>
    <n v="0.89610389610389607"/>
    <n v="990"/>
    <x v="3"/>
    <n v="99"/>
    <n v="1.2857142857142858"/>
    <n v="287"/>
    <n v="3.7272727272727271"/>
    <n v="800"/>
    <n v="10.38961038961039"/>
  </r>
  <r>
    <s v="Mark Jackson"/>
    <s v="2000-01"/>
    <x v="4"/>
    <n v="36"/>
    <n v="360"/>
    <n v="29"/>
    <n v="7860"/>
    <n v="246"/>
    <n v="8.4827586206896548"/>
    <n v="74"/>
    <n v="180"/>
    <n v="411"/>
    <n v="130"/>
    <n v="420"/>
    <n v="0.30952380952380953"/>
    <n v="9"/>
    <n v="17"/>
    <n v="0.52941176470588236"/>
    <n v="21"/>
    <n v="99"/>
    <n v="120"/>
    <n v="210"/>
    <n v="990"/>
    <n v="1200"/>
    <n v="4.1379310344827589"/>
    <n v="163"/>
    <n v="5.6206896551724137"/>
    <n v="21"/>
    <n v="210"/>
    <n v="0.72413793103448276"/>
    <n v="0"/>
    <n v="0"/>
    <n v="0"/>
    <n v="580"/>
    <x v="4"/>
    <n v="58"/>
    <n v="2"/>
    <n v="56"/>
    <n v="1.9310344827586208"/>
    <n v="170"/>
    <n v="5.8620689655172411"/>
  </r>
  <r>
    <s v="Glen Rice"/>
    <s v="2000-01"/>
    <x v="5"/>
    <n v="34"/>
    <n v="340"/>
    <n v="75"/>
    <n v="22120"/>
    <n v="626"/>
    <n v="8.3466666666666658"/>
    <n v="331"/>
    <n v="752"/>
    <n v="0.44015957446808512"/>
    <n v="820"/>
    <n v="2110"/>
    <n v="0.38862559241706163"/>
    <n v="155"/>
    <n v="182"/>
    <n v="0.85164835164835162"/>
    <n v="61"/>
    <n v="246"/>
    <n v="307"/>
    <n v="610"/>
    <n v="2460"/>
    <n v="3070"/>
    <n v="4.0933333333333337"/>
    <n v="89"/>
    <n v="1.1866666666666668"/>
    <n v="41"/>
    <n v="410"/>
    <n v="0.54666666666666663"/>
    <n v="130"/>
    <n v="13"/>
    <n v="0.17333333333333334"/>
    <n v="960"/>
    <x v="5"/>
    <n v="96"/>
    <n v="1.28"/>
    <n v="179"/>
    <n v="2.3866666666666667"/>
    <n v="899"/>
    <n v="11.986666666666666"/>
  </r>
  <r>
    <s v="Larry Johnson"/>
    <s v="2000-01"/>
    <x v="6"/>
    <n v="32"/>
    <n v="320"/>
    <n v="65"/>
    <n v="21080"/>
    <n v="519"/>
    <n v="7.9846153846153847"/>
    <n v="246"/>
    <n v="598"/>
    <n v="411"/>
    <n v="510"/>
    <n v="1630"/>
    <n v="0.31288343558282211"/>
    <n v="102"/>
    <n v="128"/>
    <n v="0.796875"/>
    <n v="90"/>
    <n v="273"/>
    <n v="363"/>
    <n v="900"/>
    <n v="2730"/>
    <n v="3630"/>
    <n v="5.5846153846153843"/>
    <n v="127"/>
    <n v="1.9538461538461538"/>
    <n v="39"/>
    <n v="390"/>
    <n v="0.6"/>
    <n v="290"/>
    <n v="29"/>
    <n v="0.44615384615384618"/>
    <n v="970"/>
    <x v="6"/>
    <n v="97"/>
    <n v="1.4923076923076923"/>
    <n v="209"/>
    <n v="3.2153846153846155"/>
    <n v="645"/>
    <n v="9.9230769230769234"/>
  </r>
  <r>
    <s v="Charlie Ward"/>
    <s v="2000-01"/>
    <x v="7"/>
    <n v="30"/>
    <n v="300"/>
    <n v="61"/>
    <n v="14950"/>
    <n v="469"/>
    <n v="7.6885245901639347"/>
    <n v="155"/>
    <n v="373"/>
    <n v="416"/>
    <n v="670"/>
    <n v="1750"/>
    <n v="0.38285714285714284"/>
    <n v="56"/>
    <n v="70"/>
    <n v="0.8"/>
    <n v="32"/>
    <n v="127"/>
    <n v="159"/>
    <n v="320"/>
    <n v="1270"/>
    <n v="1590"/>
    <n v="2.6065573770491803"/>
    <n v="273"/>
    <n v="4.4754098360655741"/>
    <n v="70"/>
    <n v="700"/>
    <n v="1.1475409836065573"/>
    <n v="100"/>
    <n v="10"/>
    <n v="0.16393442622950818"/>
    <n v="1120"/>
    <x v="7"/>
    <n v="112"/>
    <n v="1.8360655737704918"/>
    <n v="132"/>
    <n v="2.1639344262295084"/>
    <n v="433"/>
    <n v="7.0983606557377046"/>
  </r>
  <r>
    <s v="Chris Childs"/>
    <s v="2000-01"/>
    <x v="8"/>
    <n v="33"/>
    <n v="330"/>
    <n v="51"/>
    <n v="13060"/>
    <n v="269"/>
    <n v="5.2745098039215685"/>
    <n v="93"/>
    <n v="222"/>
    <n v="419"/>
    <n v="200"/>
    <n v="640"/>
    <n v="0.3125"/>
    <n v="39"/>
    <n v="46"/>
    <n v="0.84782608695652173"/>
    <n v="14"/>
    <n v="124"/>
    <n v="138"/>
    <n v="140"/>
    <n v="1240"/>
    <n v="1380"/>
    <n v="2.7058823529411766"/>
    <n v="236"/>
    <n v="4.6274509803921573"/>
    <n v="37"/>
    <n v="370"/>
    <n v="0.72549019607843135"/>
    <n v="70"/>
    <n v="7"/>
    <n v="0.13725490196078433"/>
    <n v="980"/>
    <x v="8"/>
    <n v="98"/>
    <n v="1.9215686274509804"/>
    <n v="160"/>
    <n v="3.1372549019607843"/>
    <n v="245"/>
    <n v="4.8039215686274508"/>
  </r>
  <r>
    <s v="Othella Harrington"/>
    <s v="2000-01"/>
    <x v="9"/>
    <n v="27"/>
    <n v="270"/>
    <n v="30"/>
    <n v="5480"/>
    <n v="123"/>
    <n v="4.0999999999999996"/>
    <n v="67"/>
    <n v="121"/>
    <n v="0.55371900826446285"/>
    <n v="0"/>
    <n v="0"/>
    <e v="#DIV/0!"/>
    <n v="51"/>
    <n v="70"/>
    <n v="0.72857142857142854"/>
    <n v="37"/>
    <n v="62"/>
    <n v="99"/>
    <n v="370"/>
    <n v="620"/>
    <n v="990"/>
    <n v="3.3"/>
    <n v="20"/>
    <n v="0.66666666666666663"/>
    <n v="15"/>
    <n v="150"/>
    <n v="0.5"/>
    <n v="190"/>
    <n v="19"/>
    <n v="0.6333333333333333"/>
    <n v="410"/>
    <x v="9"/>
    <n v="41"/>
    <n v="1.3666666666666667"/>
    <n v="101"/>
    <n v="3.3666666666666667"/>
    <n v="185"/>
    <n v="6.166666666666667"/>
  </r>
  <r>
    <s v="Erick Strickland"/>
    <s v="2000-01"/>
    <x v="10"/>
    <n v="27"/>
    <n v="270"/>
    <n v="28"/>
    <n v="4210"/>
    <n v="62"/>
    <n v="2.2142857142857144"/>
    <n v="40"/>
    <n v="131"/>
    <n v="305"/>
    <n v="160"/>
    <n v="470"/>
    <n v="0.34042553191489361"/>
    <n v="24"/>
    <n v="28"/>
    <n v="0.8571428571428571"/>
    <n v="9"/>
    <n v="43"/>
    <n v="52"/>
    <n v="90"/>
    <n v="430"/>
    <n v="520"/>
    <n v="1.8571428571428572"/>
    <n v="29"/>
    <n v="1.0357142857142858"/>
    <n v="22"/>
    <n v="220"/>
    <n v="0.7857142857142857"/>
    <n v="10"/>
    <n v="1"/>
    <n v="3.5714285714285712E-2"/>
    <n v="210"/>
    <x v="10"/>
    <n v="21"/>
    <n v="0.75"/>
    <n v="46"/>
    <n v="1.6428571428571428"/>
    <n v="120"/>
    <n v="4.2857142857142856"/>
  </r>
  <r>
    <s v="Felton Spencer"/>
    <s v="2000-01"/>
    <x v="11"/>
    <n v="33"/>
    <n v="330"/>
    <n v="18"/>
    <n v="1120"/>
    <n v="27"/>
    <n v="1.5"/>
    <n v="12"/>
    <n v="20"/>
    <n v="6"/>
    <n v="0"/>
    <n v="0"/>
    <e v="#DIV/0!"/>
    <n v="15"/>
    <n v="25"/>
    <n v="0.6"/>
    <n v="16"/>
    <n v="19"/>
    <n v="35"/>
    <n v="160"/>
    <n v="190"/>
    <n v="350"/>
    <n v="1.9444444444444444"/>
    <n v="2"/>
    <n v="0.1111111111111111"/>
    <n v="2"/>
    <n v="20"/>
    <n v="0.1111111111111111"/>
    <n v="20"/>
    <n v="2"/>
    <n v="0.1111111111111111"/>
    <n v="110"/>
    <x v="11"/>
    <n v="11"/>
    <n v="0.61111111111111116"/>
    <n v="24"/>
    <n v="1.3333333333333333"/>
    <n v="39"/>
    <n v="2.1666666666666665"/>
  </r>
  <r>
    <s v="Rick Brunson"/>
    <s v="2000-01"/>
    <x v="12"/>
    <n v="29"/>
    <n v="290"/>
    <n v="15"/>
    <n v="660"/>
    <n v="14"/>
    <n v="0.93333333333333335"/>
    <n v="8"/>
    <n v="19"/>
    <n v="0.42105263157894735"/>
    <n v="0"/>
    <n v="30"/>
    <n v="0"/>
    <n v="4"/>
    <n v="6"/>
    <n v="0.66666666666666663"/>
    <n v="3"/>
    <n v="9"/>
    <n v="12"/>
    <n v="30"/>
    <n v="90"/>
    <n v="120"/>
    <n v="0.8"/>
    <n v="7"/>
    <n v="0.46666666666666667"/>
    <n v="1"/>
    <n v="10"/>
    <n v="6.6666666666666666E-2"/>
    <n v="0"/>
    <n v="0"/>
    <n v="0"/>
    <n v="80"/>
    <x v="12"/>
    <n v="8"/>
    <n v="0.53333333333333333"/>
    <n v="5"/>
    <n v="0.33333333333333331"/>
    <n v="20"/>
    <n v="1.3333333333333333"/>
  </r>
  <r>
    <s v="Lavor Postell"/>
    <s v="2000-01"/>
    <x v="13"/>
    <n v="23"/>
    <n v="230"/>
    <n v="26"/>
    <n v="1680"/>
    <n v="24"/>
    <n v="0.92307692307692313"/>
    <n v="17"/>
    <n v="54"/>
    <n v="0.31481481481481483"/>
    <n v="30"/>
    <n v="110"/>
    <n v="0.27272727272727271"/>
    <n v="22"/>
    <n v="27"/>
    <n v="0.81481481481481477"/>
    <n v="8"/>
    <n v="17"/>
    <n v="25"/>
    <n v="80"/>
    <n v="170"/>
    <n v="250"/>
    <n v="0.96153846153846156"/>
    <n v="5"/>
    <n v="0.19230769230769232"/>
    <n v="4"/>
    <n v="40"/>
    <n v="0.15384615384615385"/>
    <n v="20"/>
    <n v="2"/>
    <n v="7.6923076923076927E-2"/>
    <n v="170"/>
    <x v="13"/>
    <n v="17"/>
    <n v="0.65384615384615385"/>
    <n v="12"/>
    <n v="0.46153846153846156"/>
    <n v="59"/>
    <n v="2.2692307692307692"/>
  </r>
  <r>
    <s v="Luc Longley"/>
    <s v="2000-01"/>
    <x v="14"/>
    <n v="32"/>
    <n v="320"/>
    <n v="25"/>
    <n v="2990"/>
    <n v="21"/>
    <n v="0.84"/>
    <n v="18"/>
    <n v="54"/>
    <n v="0.33333333333333331"/>
    <n v="0"/>
    <n v="0"/>
    <e v="#DIV/0!"/>
    <n v="13"/>
    <n v="17"/>
    <n v="0.76470588235294112"/>
    <n v="26"/>
    <n v="40"/>
    <n v="66"/>
    <n v="260"/>
    <n v="400"/>
    <n v="660"/>
    <n v="2.64"/>
    <n v="7"/>
    <n v="0.28000000000000003"/>
    <n v="3"/>
    <n v="30"/>
    <n v="0.12"/>
    <n v="90"/>
    <n v="9"/>
    <n v="0.36"/>
    <n v="220"/>
    <x v="14"/>
    <n v="22"/>
    <n v="0.88"/>
    <n v="51"/>
    <n v="2.04"/>
    <n v="49"/>
    <n v="1.96"/>
  </r>
  <r>
    <s v="Travis Knight"/>
    <s v="2000-01"/>
    <x v="15"/>
    <n v="26"/>
    <n v="260"/>
    <n v="45"/>
    <n v="2550"/>
    <n v="-6"/>
    <n v="-0.13333333333333333"/>
    <n v="10"/>
    <n v="53"/>
    <n v="0.18867924528301888"/>
    <n v="0"/>
    <n v="10"/>
    <n v="0"/>
    <n v="9"/>
    <n v="18"/>
    <n v="0.5"/>
    <n v="19"/>
    <n v="34"/>
    <n v="53"/>
    <n v="190"/>
    <n v="340"/>
    <n v="530"/>
    <n v="1.1777777777777778"/>
    <n v="5"/>
    <n v="0.1111111111111111"/>
    <n v="5"/>
    <n v="50"/>
    <n v="0.1111111111111111"/>
    <n v="110"/>
    <n v="11"/>
    <n v="0.24444444444444444"/>
    <n v="100"/>
    <x v="15"/>
    <n v="10"/>
    <n v="0.22222222222222221"/>
    <n v="47"/>
    <n v="1.0444444444444445"/>
    <n v="29"/>
    <n v="0.64444444444444449"/>
  </r>
  <r>
    <s v="Marcus Camby"/>
    <s v="2001-02"/>
    <x v="16"/>
    <n v="28"/>
    <n v="280"/>
    <n v="29"/>
    <n v="10070"/>
    <n v="415"/>
    <n v="14.310344827586206"/>
    <n v="130"/>
    <n v="290"/>
    <n v="0.44827586206896552"/>
    <n v="0"/>
    <n v="10"/>
    <n v="0"/>
    <n v="62"/>
    <n v="99"/>
    <n v="0.6262626262626263"/>
    <n v="89"/>
    <n v="233"/>
    <n v="322"/>
    <n v="890"/>
    <n v="2330"/>
    <n v="3220"/>
    <n v="11.103448275862069"/>
    <n v="33"/>
    <n v="1.1379310344827587"/>
    <n v="34"/>
    <n v="340"/>
    <n v="1.1724137931034482"/>
    <n v="500"/>
    <n v="50"/>
    <n v="1.7241379310344827"/>
    <n v="420"/>
    <x v="16"/>
    <n v="42"/>
    <n v="1.4482758620689655"/>
    <n v="107"/>
    <n v="3.6896551724137931"/>
    <n v="322"/>
    <n v="11.103448275862069"/>
  </r>
  <r>
    <s v="Kurt Thomas"/>
    <s v="2001-02"/>
    <x v="17"/>
    <n v="29"/>
    <n v="290"/>
    <n v="82"/>
    <n v="27690"/>
    <n v="1109"/>
    <n v="13.524390243902438"/>
    <n v="463"/>
    <n v="938"/>
    <n v="494"/>
    <n v="10"/>
    <n v="60"/>
    <n v="0.16666666666666666"/>
    <n v="216"/>
    <n v="265"/>
    <n v="0.81509433962264155"/>
    <n v="214"/>
    <n v="533"/>
    <n v="747"/>
    <n v="2140"/>
    <n v="5330"/>
    <n v="7470"/>
    <n v="9.1097560975609753"/>
    <n v="87"/>
    <n v="1.0609756097560976"/>
    <n v="71"/>
    <n v="710"/>
    <n v="0.86585365853658536"/>
    <n v="790"/>
    <n v="79"/>
    <n v="0.96341463414634143"/>
    <n v="1530"/>
    <x v="17"/>
    <n v="153"/>
    <n v="1.8658536585365855"/>
    <n v="341"/>
    <n v="4.1585365853658534"/>
    <n v="1143"/>
    <n v="13.939024390243903"/>
  </r>
  <r>
    <s v="Latrell Sprewell"/>
    <s v="2001-02"/>
    <x v="18"/>
    <n v="31"/>
    <n v="310"/>
    <n v="81"/>
    <n v="33280"/>
    <n v="1002"/>
    <n v="12.37037037037037"/>
    <n v="573"/>
    <n v="1419"/>
    <n v="0.40380549682875266"/>
    <n v="1450"/>
    <n v="4030"/>
    <n v="0.35980148883374691"/>
    <n v="284"/>
    <n v="346"/>
    <n v="0.82080924855491333"/>
    <n v="59"/>
    <n v="239"/>
    <n v="298"/>
    <n v="590"/>
    <n v="2390"/>
    <n v="2980"/>
    <n v="3.6790123456790123"/>
    <n v="313"/>
    <n v="3.8641975308641974"/>
    <n v="94"/>
    <n v="940"/>
    <n v="1.1604938271604939"/>
    <n v="140"/>
    <n v="14"/>
    <n v="0.1728395061728395"/>
    <n v="2230"/>
    <x v="18"/>
    <n v="223"/>
    <n v="2.7530864197530862"/>
    <n v="161"/>
    <n v="1.9876543209876543"/>
    <n v="1575"/>
    <n v="19.444444444444443"/>
  </r>
  <r>
    <s v="Mark Jackson"/>
    <s v="2001-02"/>
    <x v="19"/>
    <n v="37"/>
    <n v="370"/>
    <n v="82"/>
    <n v="23670"/>
    <n v="1008"/>
    <n v="12.292682926829269"/>
    <n v="260"/>
    <n v="592"/>
    <n v="439"/>
    <n v="790"/>
    <n v="1950"/>
    <n v="0.40512820512820513"/>
    <n v="87"/>
    <n v="110"/>
    <n v="0.79090909090909089"/>
    <n v="56"/>
    <n v="253"/>
    <n v="309"/>
    <n v="560"/>
    <n v="2530"/>
    <n v="3090"/>
    <n v="3.7682926829268291"/>
    <n v="605"/>
    <n v="7.3780487804878048"/>
    <n v="74"/>
    <n v="740"/>
    <n v="0.90243902439024393"/>
    <n v="10"/>
    <n v="1"/>
    <n v="1.2195121951219513E-2"/>
    <n v="1500"/>
    <x v="19"/>
    <n v="150"/>
    <n v="1.8292682926829269"/>
    <n v="162"/>
    <n v="1.975609756097561"/>
    <n v="686"/>
    <n v="8.3658536585365848"/>
  </r>
  <r>
    <s v="Allan Houston"/>
    <s v="2001-02"/>
    <x v="20"/>
    <n v="31"/>
    <n v="310"/>
    <n v="77"/>
    <n v="29150"/>
    <n v="944"/>
    <n v="12.25974025974026"/>
    <n v="568"/>
    <n v="1301"/>
    <n v="0.43658724058416604"/>
    <n v="1360"/>
    <n v="3460"/>
    <n v="0.39306358381502893"/>
    <n v="295"/>
    <n v="339"/>
    <n v="0.87020648967551617"/>
    <n v="37"/>
    <n v="215"/>
    <n v="252"/>
    <n v="370"/>
    <n v="2150"/>
    <n v="2520"/>
    <n v="3.2727272727272729"/>
    <n v="190"/>
    <n v="2.4675324675324677"/>
    <n v="54"/>
    <n v="540"/>
    <n v="0.70129870129870131"/>
    <n v="100"/>
    <n v="10"/>
    <n v="0.12987012987012986"/>
    <n v="1700"/>
    <x v="20"/>
    <n v="170"/>
    <n v="2.2077922077922079"/>
    <n v="182"/>
    <n v="2.3636363636363638"/>
    <n v="1567"/>
    <n v="20.350649350649352"/>
  </r>
  <r>
    <s v="Clar. Weatherspoon"/>
    <s v="2001-02"/>
    <x v="21"/>
    <n v="31"/>
    <n v="310"/>
    <n v="56"/>
    <n v="17260"/>
    <n v="627"/>
    <n v="11.196428571428571"/>
    <n v="189"/>
    <n v="452"/>
    <n v="418"/>
    <n v="0"/>
    <n v="0"/>
    <e v="#DIV/0!"/>
    <n v="116"/>
    <n v="146"/>
    <n v="0.79452054794520544"/>
    <n v="149"/>
    <n v="311"/>
    <n v="460"/>
    <n v="1490"/>
    <n v="3110"/>
    <n v="4600"/>
    <n v="8.2142857142857135"/>
    <n v="60"/>
    <n v="1.0714285714285714"/>
    <n v="37"/>
    <n v="370"/>
    <n v="0.6607142857142857"/>
    <n v="480"/>
    <n v="48"/>
    <n v="0.8571428571428571"/>
    <n v="470"/>
    <x v="21"/>
    <n v="47"/>
    <n v="0.8392857142857143"/>
    <n v="132"/>
    <n v="2.3571428571428572"/>
    <n v="494"/>
    <n v="8.8214285714285712"/>
  </r>
  <r>
    <s v="Charlie Ward"/>
    <s v="2001-02"/>
    <x v="22"/>
    <n v="31"/>
    <n v="310"/>
    <n v="63"/>
    <n v="10580"/>
    <n v="362"/>
    <n v="5.746031746031746"/>
    <n v="113"/>
    <n v="303"/>
    <n v="373"/>
    <n v="530"/>
    <n v="1640"/>
    <n v="0.32317073170731708"/>
    <n v="47"/>
    <n v="58"/>
    <n v="0.81034482758620685"/>
    <n v="15"/>
    <n v="112"/>
    <n v="127"/>
    <n v="150"/>
    <n v="1120"/>
    <n v="1270"/>
    <n v="2.0158730158730158"/>
    <n v="203"/>
    <n v="3.2222222222222223"/>
    <n v="68"/>
    <n v="680"/>
    <n v="1.0793650793650793"/>
    <n v="140"/>
    <n v="14"/>
    <n v="0.22222222222222221"/>
    <n v="750"/>
    <x v="22"/>
    <n v="75"/>
    <n v="1.1904761904761905"/>
    <n v="100"/>
    <n v="1.5873015873015872"/>
    <n v="326"/>
    <n v="5.1746031746031749"/>
  </r>
  <r>
    <s v="Othella Harrington"/>
    <s v="2001-02"/>
    <x v="23"/>
    <n v="28"/>
    <n v="280"/>
    <n v="77"/>
    <n v="15640"/>
    <n v="440"/>
    <n v="5.7142857142857144"/>
    <n v="237"/>
    <n v="450"/>
    <n v="0.52666666666666662"/>
    <n v="0"/>
    <n v="20"/>
    <n v="0"/>
    <n v="122"/>
    <n v="172"/>
    <n v="0.70930232558139539"/>
    <n v="125"/>
    <n v="224"/>
    <n v="349"/>
    <n v="1250"/>
    <n v="2240"/>
    <n v="3490"/>
    <n v="4.5324675324675328"/>
    <n v="37"/>
    <n v="0.48051948051948051"/>
    <n v="30"/>
    <n v="300"/>
    <n v="0.38961038961038963"/>
    <n v="360"/>
    <n v="36"/>
    <n v="0.46753246753246752"/>
    <n v="950"/>
    <x v="23"/>
    <n v="95"/>
    <n v="1.2337662337662338"/>
    <n v="250"/>
    <n v="3.2467532467532467"/>
    <n v="596"/>
    <n v="7.7402597402597406"/>
  </r>
  <r>
    <s v="Shandon Anderson"/>
    <s v="2001-02"/>
    <x v="24"/>
    <n v="28"/>
    <n v="280"/>
    <n v="82"/>
    <n v="15960"/>
    <n v="311"/>
    <n v="3.7926829268292681"/>
    <n v="149"/>
    <n v="373"/>
    <n v="0.39946380697050937"/>
    <n v="390"/>
    <n v="1410"/>
    <n v="0.27659574468085107"/>
    <n v="74"/>
    <n v="107"/>
    <n v="0.69158878504672894"/>
    <n v="57"/>
    <n v="192"/>
    <n v="249"/>
    <n v="570"/>
    <n v="1920"/>
    <n v="2490"/>
    <n v="3.0365853658536586"/>
    <n v="76"/>
    <n v="0.92682926829268297"/>
    <n v="48"/>
    <n v="480"/>
    <n v="0.58536585365853655"/>
    <n v="150"/>
    <n v="15"/>
    <n v="0.18292682926829268"/>
    <n v="970"/>
    <x v="24"/>
    <n v="97"/>
    <n v="1.1829268292682926"/>
    <n v="134"/>
    <n v="1.6341463414634145"/>
    <n v="411"/>
    <n v="5.0121951219512191"/>
  </r>
  <r>
    <s v="Howard Eisley"/>
    <s v="2001-02"/>
    <x v="25"/>
    <n v="29"/>
    <n v="290"/>
    <n v="39"/>
    <n v="6100"/>
    <n v="113"/>
    <n v="2.8974358974358974"/>
    <n v="59"/>
    <n v="175"/>
    <n v="0.33714285714285713"/>
    <n v="140"/>
    <n v="580"/>
    <n v="0.2413793103448276"/>
    <n v="39"/>
    <n v="49"/>
    <n v="0.79591836734693877"/>
    <n v="9"/>
    <n v="40"/>
    <n v="49"/>
    <n v="90"/>
    <n v="400"/>
    <n v="490"/>
    <n v="1.2564102564102564"/>
    <n v="100"/>
    <n v="2.5641025641025643"/>
    <n v="24"/>
    <n v="240"/>
    <n v="0.61538461538461542"/>
    <n v="30"/>
    <n v="3"/>
    <n v="7.6923076923076927E-2"/>
    <n v="530"/>
    <x v="25"/>
    <n v="53"/>
    <n v="1.358974358974359"/>
    <n v="55"/>
    <n v="1.4102564102564104"/>
    <n v="171"/>
    <n v="4.384615384615385"/>
  </r>
  <r>
    <s v="Lavor Postell"/>
    <s v="2001-02"/>
    <x v="26"/>
    <n v="24"/>
    <n v="240"/>
    <n v="23"/>
    <n v="1780"/>
    <n v="36"/>
    <n v="1.5652173913043479"/>
    <n v="28"/>
    <n v="84"/>
    <n v="0.33333333333333331"/>
    <n v="60"/>
    <n v="260"/>
    <n v="0.23076923076923078"/>
    <n v="31"/>
    <n v="41"/>
    <n v="0.75609756097560976"/>
    <n v="2"/>
    <n v="14"/>
    <n v="16"/>
    <n v="20"/>
    <n v="140"/>
    <n v="160"/>
    <n v="0.69565217391304346"/>
    <n v="5"/>
    <n v="0.21739130434782608"/>
    <n v="6"/>
    <n v="60"/>
    <n v="0.2608695652173913"/>
    <n v="0"/>
    <n v="0"/>
    <n v="0"/>
    <n v="110"/>
    <x v="26"/>
    <n v="11"/>
    <n v="0.47826086956521741"/>
    <n v="7"/>
    <n v="0.30434782608695654"/>
    <n v="93"/>
    <n v="4.0434782608695654"/>
  </r>
  <r>
    <s v="Travis Knight"/>
    <s v="2001-02"/>
    <x v="27"/>
    <n v="27"/>
    <n v="270"/>
    <n v="49"/>
    <n v="4300"/>
    <n v="32"/>
    <n v="0.65306122448979587"/>
    <n v="41"/>
    <n v="113"/>
    <n v="0.36283185840707965"/>
    <n v="0"/>
    <n v="0"/>
    <e v="#DIV/0!"/>
    <n v="16"/>
    <n v="21"/>
    <n v="0.76190476190476186"/>
    <n v="48"/>
    <n v="56"/>
    <n v="104"/>
    <n v="480"/>
    <n v="560"/>
    <n v="1040"/>
    <n v="2.1224489795918369"/>
    <n v="8"/>
    <n v="0.16326530612244897"/>
    <n v="11"/>
    <n v="110"/>
    <n v="0.22448979591836735"/>
    <n v="100"/>
    <n v="10"/>
    <n v="0.20408163265306123"/>
    <n v="270"/>
    <x v="27"/>
    <n v="27"/>
    <n v="0.55102040816326525"/>
    <n v="95"/>
    <n v="1.9387755102040816"/>
    <n v="98"/>
    <n v="2"/>
  </r>
  <r>
    <s v="Larry Robinson"/>
    <s v="2001-02"/>
    <x v="28"/>
    <n v="34"/>
    <n v="340"/>
    <n v="2"/>
    <n v="110"/>
    <n v="1"/>
    <n v="0.5"/>
    <n v="1"/>
    <n v="4"/>
    <n v="0.25"/>
    <n v="10"/>
    <n v="20"/>
    <n v="0.5"/>
    <n v="0"/>
    <n v="0"/>
    <e v="#DIV/0!"/>
    <n v="0"/>
    <n v="2"/>
    <n v="2"/>
    <n v="0"/>
    <n v="20"/>
    <n v="20"/>
    <n v="1"/>
    <n v="0"/>
    <n v="0"/>
    <n v="0"/>
    <n v="0"/>
    <n v="0"/>
    <n v="0"/>
    <n v="0"/>
    <n v="0"/>
    <n v="0"/>
    <x v="28"/>
    <n v="0"/>
    <n v="0"/>
    <n v="1"/>
    <n v="0.5"/>
    <n v="3"/>
    <n v="1.5"/>
  </r>
  <r>
    <s v="Felton Spencer"/>
    <s v="2001-02"/>
    <x v="29"/>
    <n v="34"/>
    <n v="340"/>
    <n v="32"/>
    <n v="2480"/>
    <n v="-24"/>
    <n v="-0.75"/>
    <n v="6"/>
    <n v="26"/>
    <n v="231"/>
    <n v="0"/>
    <n v="0"/>
    <e v="#DIV/0!"/>
    <n v="17"/>
    <n v="33"/>
    <n v="0.51515151515151514"/>
    <n v="16"/>
    <n v="34"/>
    <n v="50"/>
    <n v="160"/>
    <n v="340"/>
    <n v="500"/>
    <n v="1.5625"/>
    <n v="3"/>
    <n v="9.375E-2"/>
    <n v="7"/>
    <n v="70"/>
    <n v="0.21875"/>
    <n v="80"/>
    <n v="8"/>
    <n v="0.25"/>
    <n v="120"/>
    <x v="29"/>
    <n v="12"/>
    <n v="0.375"/>
    <n v="73"/>
    <n v="2.28125"/>
    <n v="29"/>
    <n v="0.90625"/>
  </r>
  <r>
    <s v="Allan Houston"/>
    <s v="2002-03"/>
    <x v="30"/>
    <n v="32"/>
    <n v="320"/>
    <n v="82"/>
    <n v="31100"/>
    <n v="1143"/>
    <n v="13.939024390243903"/>
    <n v="652"/>
    <n v="1465"/>
    <n v="0.44505119453924913"/>
    <n v="1780"/>
    <n v="4500"/>
    <n v="0.39555555555555555"/>
    <n v="363"/>
    <n v="395"/>
    <n v="0.91898734177215191"/>
    <n v="26"/>
    <n v="205"/>
    <n v="231"/>
    <n v="260"/>
    <n v="2050"/>
    <n v="2310"/>
    <n v="2.8170731707317072"/>
    <n v="220"/>
    <n v="2.6829268292682928"/>
    <n v="54"/>
    <n v="540"/>
    <n v="0.65853658536585369"/>
    <n v="70"/>
    <n v="7"/>
    <n v="8.5365853658536592E-2"/>
    <n v="1780"/>
    <x v="30"/>
    <n v="178"/>
    <n v="2.1707317073170733"/>
    <n v="191"/>
    <n v="2.3292682926829267"/>
    <n v="1845"/>
    <n v="22.5"/>
  </r>
  <r>
    <s v="Kurt Thomas"/>
    <s v="2002-03"/>
    <x v="31"/>
    <n v="30"/>
    <n v="300"/>
    <n v="81"/>
    <n v="25750"/>
    <n v="1052"/>
    <n v="12.987654320987655"/>
    <n v="497"/>
    <n v="1028"/>
    <n v="483"/>
    <n v="20"/>
    <n v="30"/>
    <n v="0.66666666666666663"/>
    <n v="138"/>
    <n v="184"/>
    <n v="0.75"/>
    <n v="160"/>
    <n v="477"/>
    <n v="637"/>
    <n v="1600"/>
    <n v="4770"/>
    <n v="6370"/>
    <n v="7.8641975308641978"/>
    <n v="162"/>
    <n v="2"/>
    <n v="81"/>
    <n v="810"/>
    <n v="1"/>
    <n v="970"/>
    <n v="97"/>
    <n v="1.1975308641975309"/>
    <n v="1380"/>
    <x v="31"/>
    <n v="138"/>
    <n v="1.7037037037037037"/>
    <n v="344"/>
    <n v="4.2469135802469138"/>
    <n v="1134"/>
    <n v="14"/>
  </r>
  <r>
    <s v="Latrell Sprewell"/>
    <s v="2002-03"/>
    <x v="32"/>
    <n v="32"/>
    <n v="320"/>
    <n v="74"/>
    <n v="28580"/>
    <n v="932"/>
    <n v="12.594594594594595"/>
    <n v="454"/>
    <n v="1127"/>
    <n v="0.4028393966282165"/>
    <n v="1340"/>
    <n v="3600"/>
    <n v="0.37222222222222223"/>
    <n v="173"/>
    <n v="218"/>
    <n v="0.79357798165137616"/>
    <n v="45"/>
    <n v="240"/>
    <n v="285"/>
    <n v="450"/>
    <n v="2400"/>
    <n v="2850"/>
    <n v="3.8513513513513513"/>
    <n v="332"/>
    <n v="4.4864864864864868"/>
    <n v="102"/>
    <n v="1020"/>
    <n v="1.3783783783783783"/>
    <n v="220"/>
    <n v="22"/>
    <n v="0.29729729729729731"/>
    <n v="1720"/>
    <x v="32"/>
    <n v="172"/>
    <n v="2.3243243243243241"/>
    <n v="134"/>
    <n v="1.8108108108108107"/>
    <n v="1215"/>
    <n v="16.418918918918919"/>
  </r>
  <r>
    <s v="Clar. Weatherspoon"/>
    <s v="2002-03"/>
    <x v="33"/>
    <n v="32"/>
    <n v="320"/>
    <n v="79"/>
    <n v="20260"/>
    <n v="783"/>
    <n v="9.9113924050632907"/>
    <n v="186"/>
    <n v="414"/>
    <n v="449"/>
    <n v="0"/>
    <n v="0"/>
    <e v="#DIV/0!"/>
    <n v="149"/>
    <n v="194"/>
    <n v="0.76804123711340211"/>
    <n v="214"/>
    <n v="385"/>
    <n v="599"/>
    <n v="2140"/>
    <n v="3850"/>
    <n v="5990"/>
    <n v="7.5822784810126587"/>
    <n v="68"/>
    <n v="0.86075949367088611"/>
    <n v="69"/>
    <n v="690"/>
    <n v="0.87341772151898733"/>
    <n v="360"/>
    <n v="36"/>
    <n v="0.45569620253164556"/>
    <n v="630"/>
    <x v="33"/>
    <n v="63"/>
    <n v="0.79746835443037978"/>
    <n v="174"/>
    <n v="2.2025316455696204"/>
    <n v="521"/>
    <n v="6.5949367088607591"/>
  </r>
  <r>
    <s v="Howard Eisley"/>
    <s v="2002-03"/>
    <x v="34"/>
    <n v="30"/>
    <n v="300"/>
    <n v="82"/>
    <n v="22430"/>
    <n v="701"/>
    <n v="8.5487804878048781"/>
    <n v="262"/>
    <n v="628"/>
    <n v="0.41719745222929938"/>
    <n v="1310"/>
    <n v="3370"/>
    <n v="0.38872403560830859"/>
    <n v="89"/>
    <n v="105"/>
    <n v="0.84761904761904761"/>
    <n v="24"/>
    <n v="162"/>
    <n v="186"/>
    <n v="240"/>
    <n v="1620"/>
    <n v="1860"/>
    <n v="2.2682926829268291"/>
    <n v="444"/>
    <n v="5.4146341463414638"/>
    <n v="71"/>
    <n v="710"/>
    <n v="0.86585365853658536"/>
    <n v="90"/>
    <n v="9"/>
    <n v="0.10975609756097561"/>
    <n v="1490"/>
    <x v="34"/>
    <n v="149"/>
    <n v="1.8170731707317074"/>
    <n v="222"/>
    <n v="2.7073170731707319"/>
    <n v="744"/>
    <n v="9.0731707317073162"/>
  </r>
  <r>
    <s v="Charlie Ward"/>
    <s v="2002-03"/>
    <x v="35"/>
    <n v="32"/>
    <n v="320"/>
    <n v="66"/>
    <n v="14670"/>
    <n v="542"/>
    <n v="8.2121212121212128"/>
    <n v="165"/>
    <n v="414"/>
    <n v="399"/>
    <n v="1010"/>
    <n v="2670"/>
    <n v="0.37827715355805241"/>
    <n v="41"/>
    <n v="53"/>
    <n v="0.77358490566037741"/>
    <n v="25"/>
    <n v="152"/>
    <n v="177"/>
    <n v="250"/>
    <n v="1520"/>
    <n v="1770"/>
    <n v="2.6818181818181817"/>
    <n v="306"/>
    <n v="4.6363636363636367"/>
    <n v="78"/>
    <n v="780"/>
    <n v="1.1818181818181819"/>
    <n v="110"/>
    <n v="11"/>
    <n v="0.16666666666666666"/>
    <n v="950"/>
    <x v="35"/>
    <n v="95"/>
    <n v="1.4393939393939394"/>
    <n v="146"/>
    <n v="2.2121212121212119"/>
    <n v="472"/>
    <n v="7.1515151515151514"/>
  </r>
  <r>
    <s v="Othella Harrington"/>
    <s v="2002-03"/>
    <x v="36"/>
    <n v="29"/>
    <n v="290"/>
    <n v="74"/>
    <n v="18460"/>
    <n v="580"/>
    <n v="7.8378378378378377"/>
    <n v="225"/>
    <n v="443"/>
    <n v="0.50790067720090293"/>
    <n v="0"/>
    <n v="0"/>
    <e v="#DIV/0!"/>
    <n v="123"/>
    <n v="150"/>
    <n v="0.82"/>
    <n v="165"/>
    <n v="311"/>
    <n v="476"/>
    <n v="1650"/>
    <n v="3110"/>
    <n v="4760"/>
    <n v="6.4324324324324325"/>
    <n v="62"/>
    <n v="0.83783783783783783"/>
    <n v="12"/>
    <n v="120"/>
    <n v="0.16216216216216217"/>
    <n v="230"/>
    <n v="23"/>
    <n v="0.3108108108108108"/>
    <n v="900"/>
    <x v="36"/>
    <n v="90"/>
    <n v="1.2162162162162162"/>
    <n v="231"/>
    <n v="3.1216216216216215"/>
    <n v="573"/>
    <n v="7.743243243243243"/>
  </r>
  <r>
    <s v="Shandon Anderson"/>
    <s v="2002-03"/>
    <x v="37"/>
    <n v="29"/>
    <n v="290"/>
    <n v="82"/>
    <n v="17290"/>
    <n v="490"/>
    <n v="5.975609756097561"/>
    <n v="248"/>
    <n v="537"/>
    <n v="0.46182495344506519"/>
    <n v="520"/>
    <n v="1400"/>
    <n v="0.37142857142857144"/>
    <n v="139"/>
    <n v="190"/>
    <n v="0.73157894736842111"/>
    <n v="64"/>
    <n v="190"/>
    <n v="254"/>
    <n v="640"/>
    <n v="1900"/>
    <n v="2540"/>
    <n v="3.0975609756097562"/>
    <n v="87"/>
    <n v="1.0609756097560976"/>
    <n v="73"/>
    <n v="730"/>
    <n v="0.8902439024390244"/>
    <n v="200"/>
    <n v="20"/>
    <n v="0.24390243902439024"/>
    <n v="1140"/>
    <x v="37"/>
    <n v="114"/>
    <n v="1.3902439024390243"/>
    <n v="177"/>
    <n v="2.1585365853658538"/>
    <n v="687"/>
    <n v="8.3780487804878057"/>
  </r>
  <r>
    <s v="Lee Nailon"/>
    <s v="2002-03"/>
    <x v="38"/>
    <n v="28"/>
    <n v="280"/>
    <n v="38"/>
    <n v="4060"/>
    <n v="122"/>
    <n v="3.2105263157894739"/>
    <n v="84"/>
    <n v="190"/>
    <n v="0.44210526315789472"/>
    <n v="0"/>
    <n v="10"/>
    <n v="0"/>
    <n v="42"/>
    <n v="51"/>
    <n v="0.82352941176470584"/>
    <n v="32"/>
    <n v="38"/>
    <n v="70"/>
    <n v="320"/>
    <n v="380"/>
    <n v="700"/>
    <n v="1.8421052631578947"/>
    <n v="26"/>
    <n v="0.68421052631578949"/>
    <n v="6"/>
    <n v="60"/>
    <n v="0.15789473684210525"/>
    <n v="30"/>
    <n v="3"/>
    <n v="7.8947368421052627E-2"/>
    <n v="320"/>
    <x v="38"/>
    <n v="32"/>
    <n v="0.84210526315789469"/>
    <n v="46"/>
    <n v="1.2105263157894737"/>
    <n v="210"/>
    <n v="5.5263157894736841"/>
  </r>
  <r>
    <s v="Michael Doleac"/>
    <s v="2002-03"/>
    <x v="39"/>
    <n v="26"/>
    <n v="260"/>
    <n v="75"/>
    <n v="10400"/>
    <n v="215"/>
    <n v="2.8666666666666667"/>
    <n v="146"/>
    <n v="343"/>
    <n v="0.42565597667638483"/>
    <n v="0"/>
    <n v="0"/>
    <e v="#DIV/0!"/>
    <n v="36"/>
    <n v="46"/>
    <n v="0.78260869565217395"/>
    <n v="65"/>
    <n v="154"/>
    <n v="219"/>
    <n v="650"/>
    <n v="1540"/>
    <n v="2190"/>
    <n v="2.92"/>
    <n v="42"/>
    <n v="0.56000000000000005"/>
    <n v="16"/>
    <n v="160"/>
    <n v="0.21333333333333335"/>
    <n v="160"/>
    <n v="16"/>
    <n v="0.21333333333333335"/>
    <n v="490"/>
    <x v="39"/>
    <n v="49"/>
    <n v="0.65333333333333332"/>
    <n v="150"/>
    <n v="2"/>
    <n v="328"/>
    <n v="4.3733333333333331"/>
  </r>
  <r>
    <s v="Travis Knight"/>
    <s v="2002-03"/>
    <x v="40"/>
    <n v="28"/>
    <n v="280"/>
    <n v="32"/>
    <n v="2870"/>
    <n v="56"/>
    <n v="1.75"/>
    <n v="25"/>
    <n v="65"/>
    <n v="0.38461538461538464"/>
    <n v="0"/>
    <n v="10"/>
    <n v="0"/>
    <n v="10"/>
    <n v="13"/>
    <n v="0.76923076923076927"/>
    <n v="18"/>
    <n v="44"/>
    <n v="62"/>
    <n v="180"/>
    <n v="440"/>
    <n v="620"/>
    <n v="1.9375"/>
    <n v="14"/>
    <n v="0.4375"/>
    <n v="8"/>
    <n v="80"/>
    <n v="0.25"/>
    <n v="90"/>
    <n v="9"/>
    <n v="0.28125"/>
    <n v="100"/>
    <x v="40"/>
    <n v="10"/>
    <n v="0.3125"/>
    <n v="44"/>
    <n v="1.375"/>
    <n v="60"/>
    <n v="1.875"/>
  </r>
  <r>
    <s v="Frank Williams"/>
    <s v="2002-03"/>
    <x v="41"/>
    <n v="23"/>
    <n v="230"/>
    <n v="21"/>
    <n v="1670"/>
    <n v="26"/>
    <n v="1.2380952380952381"/>
    <n v="9"/>
    <n v="33"/>
    <n v="273"/>
    <n v="60"/>
    <n v="160"/>
    <n v="0.375"/>
    <n v="4"/>
    <n v="6"/>
    <n v="0.66666666666666663"/>
    <n v="3"/>
    <n v="15"/>
    <n v="18"/>
    <n v="30"/>
    <n v="150"/>
    <n v="180"/>
    <n v="0.8571428571428571"/>
    <n v="34"/>
    <n v="1.6190476190476191"/>
    <n v="7"/>
    <n v="70"/>
    <n v="0.33333333333333331"/>
    <n v="20"/>
    <n v="2"/>
    <n v="9.5238095238095233E-2"/>
    <n v="170"/>
    <x v="41"/>
    <n v="17"/>
    <n v="0.80952380952380953"/>
    <n v="20"/>
    <n v="0.95238095238095233"/>
    <n v="28"/>
    <n v="1.3333333333333333"/>
  </r>
  <r>
    <s v="Lavor Postell"/>
    <s v="2002-03"/>
    <x v="42"/>
    <n v="25"/>
    <n v="250"/>
    <n v="12"/>
    <n v="990"/>
    <n v="10"/>
    <n v="0.83333333333333337"/>
    <n v="14"/>
    <n v="38"/>
    <n v="0.36842105263157893"/>
    <n v="20"/>
    <n v="70"/>
    <n v="0.2857142857142857"/>
    <n v="13"/>
    <n v="15"/>
    <n v="0.8666666666666667"/>
    <n v="1"/>
    <n v="3"/>
    <n v="4"/>
    <n v="10"/>
    <n v="30"/>
    <n v="40"/>
    <n v="0.33333333333333331"/>
    <n v="3"/>
    <n v="0.25"/>
    <n v="2"/>
    <n v="20"/>
    <n v="0.16666666666666666"/>
    <n v="0"/>
    <n v="0"/>
    <n v="0"/>
    <n v="70"/>
    <x v="42"/>
    <n v="7"/>
    <n v="0.58333333333333337"/>
    <n v="9"/>
    <n v="0.75"/>
    <n v="43"/>
    <n v="3.5833333333333335"/>
  </r>
  <r>
    <s v="Stephon Marbury"/>
    <s v="2003-04"/>
    <x v="43"/>
    <n v="27"/>
    <n v="270"/>
    <n v="47"/>
    <n v="18390"/>
    <n v="848"/>
    <n v="18.042553191489361"/>
    <n v="336"/>
    <n v="780"/>
    <n v="0.43076923076923079"/>
    <n v="500"/>
    <n v="1560"/>
    <n v="0.32051282051282054"/>
    <n v="209"/>
    <n v="251"/>
    <n v="0.83266932270916338"/>
    <n v="39"/>
    <n v="107"/>
    <n v="146"/>
    <n v="390"/>
    <n v="1070"/>
    <n v="1460"/>
    <n v="3.1063829787234041"/>
    <n v="438"/>
    <n v="9.3191489361702136"/>
    <n v="65"/>
    <n v="650"/>
    <n v="1.3829787234042554"/>
    <n v="40"/>
    <n v="4"/>
    <n v="8.5106382978723402E-2"/>
    <n v="1520"/>
    <x v="43"/>
    <n v="152"/>
    <n v="3.2340425531914891"/>
    <n v="98"/>
    <n v="2.0851063829787235"/>
    <n v="931"/>
    <n v="19.808510638297872"/>
  </r>
  <r>
    <s v="Keith Van Horn"/>
    <s v="2003-04"/>
    <x v="44"/>
    <n v="28"/>
    <n v="280"/>
    <n v="47"/>
    <n v="15780"/>
    <n v="619"/>
    <n v="13.170212765957446"/>
    <n v="273"/>
    <n v="613"/>
    <n v="445"/>
    <n v="600"/>
    <n v="1610"/>
    <n v="0.37267080745341613"/>
    <n v="163"/>
    <n v="199"/>
    <n v="0.81909547738693467"/>
    <n v="98"/>
    <n v="245"/>
    <n v="343"/>
    <n v="980"/>
    <n v="2450"/>
    <n v="3430"/>
    <n v="7.2978723404255321"/>
    <n v="83"/>
    <n v="1.7659574468085106"/>
    <n v="52"/>
    <n v="520"/>
    <n v="1.1063829787234043"/>
    <n v="180"/>
    <n v="18"/>
    <n v="0.38297872340425532"/>
    <n v="1190"/>
    <x v="44"/>
    <n v="119"/>
    <n v="2.5319148936170213"/>
    <n v="151"/>
    <n v="3.2127659574468086"/>
    <n v="769"/>
    <n v="16.361702127659573"/>
  </r>
  <r>
    <s v="Kurt Thomas"/>
    <s v="2003-04"/>
    <x v="45"/>
    <n v="31"/>
    <n v="310"/>
    <n v="80"/>
    <n v="25490"/>
    <n v="949"/>
    <n v="11.862500000000001"/>
    <n v="392"/>
    <n v="829"/>
    <n v="473"/>
    <n v="0"/>
    <n v="30"/>
    <n v="0"/>
    <n v="106"/>
    <n v="127"/>
    <n v="0.83464566929133854"/>
    <n v="145"/>
    <n v="517"/>
    <n v="662"/>
    <n v="1450"/>
    <n v="5170"/>
    <n v="6620"/>
    <n v="8.2750000000000004"/>
    <n v="149"/>
    <n v="1.8625"/>
    <n v="56"/>
    <n v="560"/>
    <n v="0.7"/>
    <n v="800"/>
    <n v="80"/>
    <n v="1"/>
    <n v="1320"/>
    <x v="45"/>
    <n v="132"/>
    <n v="1.65"/>
    <n v="298"/>
    <n v="3.7250000000000001"/>
    <n v="890"/>
    <n v="11.125"/>
  </r>
  <r>
    <s v="Nazr Mohammed"/>
    <s v="2003-04"/>
    <x v="46"/>
    <n v="26"/>
    <n v="260"/>
    <n v="27"/>
    <n v="6730"/>
    <n v="293"/>
    <n v="10.851851851851851"/>
    <n v="108"/>
    <n v="192"/>
    <n v="0.5625"/>
    <n v="0"/>
    <n v="0"/>
    <e v="#DIV/0!"/>
    <n v="31"/>
    <n v="59"/>
    <n v="0.52542372881355937"/>
    <n v="77"/>
    <n v="130"/>
    <n v="207"/>
    <n v="770"/>
    <n v="1300"/>
    <n v="2070"/>
    <n v="7.666666666666667"/>
    <n v="16"/>
    <n v="0.59259259259259256"/>
    <n v="33"/>
    <n v="330"/>
    <n v="1.2222222222222223"/>
    <n v="250"/>
    <n v="25"/>
    <n v="0.92592592592592593"/>
    <n v="410"/>
    <x v="46"/>
    <n v="41"/>
    <n v="1.5185185185185186"/>
    <n v="82"/>
    <n v="3.0370370370370372"/>
    <n v="247"/>
    <n v="9.1481481481481488"/>
  </r>
  <r>
    <s v="Tim Thomas"/>
    <s v="2003-04"/>
    <x v="47"/>
    <n v="27"/>
    <n v="270"/>
    <n v="24"/>
    <n v="7460"/>
    <n v="260"/>
    <n v="10.833333333333334"/>
    <n v="137"/>
    <n v="303"/>
    <n v="452"/>
    <n v="260"/>
    <n v="640"/>
    <n v="0.40625"/>
    <n v="78"/>
    <n v="96"/>
    <n v="0.8125"/>
    <n v="26"/>
    <n v="89"/>
    <n v="115"/>
    <n v="260"/>
    <n v="890"/>
    <n v="1150"/>
    <n v="4.791666666666667"/>
    <n v="34"/>
    <n v="1.4166666666666667"/>
    <n v="24"/>
    <n v="240"/>
    <n v="1"/>
    <n v="50"/>
    <n v="5"/>
    <n v="0.20833333333333334"/>
    <n v="430"/>
    <x v="47"/>
    <n v="43"/>
    <n v="1.7916666666666667"/>
    <n v="69"/>
    <n v="2.875"/>
    <n v="378"/>
    <n v="15.75"/>
  </r>
  <r>
    <s v="Allan Houston"/>
    <s v="2003-04"/>
    <x v="48"/>
    <n v="33"/>
    <n v="330"/>
    <n v="50"/>
    <n v="17970"/>
    <n v="521"/>
    <n v="10.42"/>
    <n v="340"/>
    <n v="781"/>
    <n v="0.4353393085787452"/>
    <n v="870"/>
    <n v="2020"/>
    <n v="0.43069306930693069"/>
    <n v="157"/>
    <n v="172"/>
    <n v="0.91279069767441856"/>
    <n v="20"/>
    <n v="101"/>
    <n v="121"/>
    <n v="200"/>
    <n v="1010"/>
    <n v="1210"/>
    <n v="2.42"/>
    <n v="99"/>
    <n v="1.98"/>
    <n v="38"/>
    <n v="380"/>
    <n v="0.76"/>
    <n v="20"/>
    <n v="2"/>
    <n v="0.04"/>
    <n v="1020"/>
    <x v="48"/>
    <n v="102"/>
    <n v="2.04"/>
    <n v="105"/>
    <n v="2.1"/>
    <n v="924"/>
    <n v="18.48"/>
  </r>
  <r>
    <s v="Charlie Ward"/>
    <s v="2003-04"/>
    <x v="49"/>
    <n v="33"/>
    <n v="330"/>
    <n v="35"/>
    <n v="8280"/>
    <n v="333"/>
    <n v="9.5142857142857142"/>
    <n v="115"/>
    <n v="260"/>
    <n v="442"/>
    <n v="590"/>
    <n v="1380"/>
    <n v="0.42753623188405798"/>
    <n v="16"/>
    <n v="21"/>
    <n v="0.76190476190476186"/>
    <n v="10"/>
    <n v="86"/>
    <n v="96"/>
    <n v="100"/>
    <n v="860"/>
    <n v="960"/>
    <n v="2.7428571428571429"/>
    <n v="170"/>
    <n v="4.8571428571428568"/>
    <n v="47"/>
    <n v="470"/>
    <n v="1.3428571428571427"/>
    <n v="80"/>
    <n v="8"/>
    <n v="0.22857142857142856"/>
    <n v="690"/>
    <x v="49"/>
    <n v="69"/>
    <n v="1.9714285714285715"/>
    <n v="74"/>
    <n v="2.1142857142857143"/>
    <n v="305"/>
    <n v="8.7142857142857135"/>
  </r>
  <r>
    <s v="Dikembe Mutombo"/>
    <s v="2003-04"/>
    <x v="50"/>
    <n v="38"/>
    <n v="380"/>
    <n v="65"/>
    <n v="14970"/>
    <n v="578"/>
    <n v="8.8923076923076927"/>
    <n v="141"/>
    <n v="295"/>
    <n v="0.47796610169491527"/>
    <n v="0"/>
    <n v="0"/>
    <e v="#DIV/0!"/>
    <n v="81"/>
    <n v="119"/>
    <n v="0.68067226890756305"/>
    <n v="145"/>
    <n v="292"/>
    <n v="437"/>
    <n v="1450"/>
    <n v="2920"/>
    <n v="4370"/>
    <n v="6.7230769230769232"/>
    <n v="25"/>
    <n v="0.38461538461538464"/>
    <n v="17"/>
    <n v="170"/>
    <n v="0.26153846153846155"/>
    <n v="1230"/>
    <n v="123"/>
    <n v="1.8923076923076922"/>
    <n v="540"/>
    <x v="50"/>
    <n v="54"/>
    <n v="0.83076923076923082"/>
    <n v="141"/>
    <n v="2.1692307692307691"/>
    <n v="363"/>
    <n v="5.5846153846153843"/>
  </r>
  <r>
    <s v="Antonio McDyess"/>
    <s v="2003-04"/>
    <x v="51"/>
    <n v="29"/>
    <n v="290"/>
    <n v="18"/>
    <n v="4220"/>
    <n v="148"/>
    <n v="8.2222222222222214"/>
    <n v="65"/>
    <n v="142"/>
    <n v="0.45774647887323944"/>
    <n v="0"/>
    <n v="0"/>
    <e v="#DIV/0!"/>
    <n v="22"/>
    <n v="38"/>
    <n v="0.57894736842105265"/>
    <n v="31"/>
    <n v="88"/>
    <n v="119"/>
    <n v="310"/>
    <n v="880"/>
    <n v="1190"/>
    <n v="6.6111111111111107"/>
    <n v="20"/>
    <n v="1.1111111111111112"/>
    <n v="12"/>
    <n v="120"/>
    <n v="0.66666666666666663"/>
    <n v="110"/>
    <n v="11"/>
    <n v="0.61111111111111116"/>
    <n v="270"/>
    <x v="51"/>
    <n v="27"/>
    <n v="1.5"/>
    <n v="46"/>
    <n v="2.5555555555555554"/>
    <n v="152"/>
    <n v="8.4444444444444446"/>
  </r>
  <r>
    <s v="Anfernee Hardaway"/>
    <s v="2003-04"/>
    <x v="52"/>
    <n v="32"/>
    <n v="320"/>
    <n v="42"/>
    <n v="12190"/>
    <n v="310"/>
    <n v="7.3809523809523814"/>
    <n v="159"/>
    <n v="408"/>
    <n v="0.38970588235294118"/>
    <n v="160"/>
    <n v="440"/>
    <n v="0.36363636363636365"/>
    <n v="69"/>
    <n v="89"/>
    <n v="0.7752808988764045"/>
    <n v="42"/>
    <n v="147"/>
    <n v="189"/>
    <n v="420"/>
    <n v="1470"/>
    <n v="1890"/>
    <n v="4.5"/>
    <n v="79"/>
    <n v="1.8809523809523809"/>
    <n v="42"/>
    <n v="420"/>
    <n v="1"/>
    <n v="120"/>
    <n v="12"/>
    <n v="0.2857142857142857"/>
    <n v="650"/>
    <x v="52"/>
    <n v="65"/>
    <n v="1.5476190476190477"/>
    <n v="81"/>
    <n v="1.9285714285714286"/>
    <n v="403"/>
    <n v="9.5952380952380949"/>
  </r>
  <r>
    <s v="Howard Eisley"/>
    <s v="2003-04"/>
    <x v="53"/>
    <n v="31"/>
    <n v="310"/>
    <n v="33"/>
    <n v="7300"/>
    <n v="214"/>
    <n v="6.4848484848484844"/>
    <n v="80"/>
    <n v="202"/>
    <n v="0.39603960396039606"/>
    <n v="280"/>
    <n v="850"/>
    <n v="0.32941176470588235"/>
    <n v="32"/>
    <n v="36"/>
    <n v="0.88888888888888884"/>
    <n v="7"/>
    <n v="59"/>
    <n v="66"/>
    <n v="70"/>
    <n v="590"/>
    <n v="660"/>
    <n v="2"/>
    <n v="156"/>
    <n v="4.7272727272727275"/>
    <n v="30"/>
    <n v="300"/>
    <n v="0.90909090909090906"/>
    <n v="30"/>
    <n v="3"/>
    <n v="9.0909090909090912E-2"/>
    <n v="500"/>
    <x v="53"/>
    <n v="50"/>
    <n v="1.5151515151515151"/>
    <n v="85"/>
    <n v="2.5757575757575757"/>
    <n v="220"/>
    <n v="6.666666666666667"/>
  </r>
  <r>
    <s v="Michael Doleac"/>
    <s v="2003-04"/>
    <x v="54"/>
    <n v="27"/>
    <n v="270"/>
    <n v="46"/>
    <n v="6810"/>
    <n v="246"/>
    <n v="5.3478260869565215"/>
    <n v="100"/>
    <n v="225"/>
    <n v="0.44444444444444442"/>
    <n v="0"/>
    <n v="0"/>
    <e v="#DIV/0!"/>
    <n v="31"/>
    <n v="36"/>
    <n v="0.86111111111111116"/>
    <n v="60"/>
    <n v="129"/>
    <n v="189"/>
    <n v="600"/>
    <n v="1290"/>
    <n v="1890"/>
    <n v="4.1086956521739131"/>
    <n v="30"/>
    <n v="0.65217391304347827"/>
    <n v="17"/>
    <n v="170"/>
    <n v="0.36956521739130432"/>
    <n v="300"/>
    <n v="30"/>
    <n v="0.65217391304347827"/>
    <n v="370"/>
    <x v="54"/>
    <n v="37"/>
    <n v="0.80434782608695654"/>
    <n v="84"/>
    <n v="1.826086956521739"/>
    <n v="231"/>
    <n v="5.0217391304347823"/>
  </r>
  <r>
    <s v="Clar. Weatherspoon"/>
    <s v="2003-04"/>
    <x v="55"/>
    <n v="33"/>
    <n v="330"/>
    <n v="15"/>
    <n v="2180"/>
    <n v="76"/>
    <n v="5.0666666666666664"/>
    <n v="18"/>
    <n v="40"/>
    <n v="45"/>
    <n v="0"/>
    <n v="0"/>
    <e v="#DIV/0!"/>
    <n v="18"/>
    <n v="19"/>
    <n v="0.94736842105263153"/>
    <n v="14"/>
    <n v="36"/>
    <n v="50"/>
    <n v="140"/>
    <n v="360"/>
    <n v="500"/>
    <n v="3.3333333333333335"/>
    <n v="13"/>
    <n v="0.8666666666666667"/>
    <n v="8"/>
    <n v="80"/>
    <n v="0.53333333333333333"/>
    <n v="20"/>
    <n v="2"/>
    <n v="0.13333333333333333"/>
    <n v="90"/>
    <x v="55"/>
    <n v="9"/>
    <n v="0.6"/>
    <n v="19"/>
    <n v="1.2666666666666666"/>
    <n v="54"/>
    <n v="3.6"/>
  </r>
  <r>
    <s v="Shandon Anderson"/>
    <s v="2003-04"/>
    <x v="56"/>
    <n v="30"/>
    <n v="300"/>
    <n v="80"/>
    <n v="19720"/>
    <n v="400"/>
    <n v="5"/>
    <n v="238"/>
    <n v="564"/>
    <n v="0.42198581560283688"/>
    <n v="360"/>
    <n v="1280"/>
    <n v="0.28125"/>
    <n v="123"/>
    <n v="161"/>
    <n v="0.7639751552795031"/>
    <n v="53"/>
    <n v="169"/>
    <n v="222"/>
    <n v="530"/>
    <n v="1690"/>
    <n v="2220"/>
    <n v="2.7749999999999999"/>
    <n v="122"/>
    <n v="1.5249999999999999"/>
    <n v="68"/>
    <n v="680"/>
    <n v="0.85"/>
    <n v="170"/>
    <n v="17"/>
    <n v="0.21249999999999999"/>
    <n v="1180"/>
    <x v="56"/>
    <n v="118"/>
    <n v="1.4750000000000001"/>
    <n v="182"/>
    <n v="2.2749999999999999"/>
    <n v="635"/>
    <n v="7.9375"/>
  </r>
  <r>
    <s v="Michael Sweetney"/>
    <s v="2003-04"/>
    <x v="57"/>
    <n v="21"/>
    <n v="210"/>
    <n v="42"/>
    <n v="4950"/>
    <n v="205"/>
    <n v="4.8809523809523814"/>
    <n v="69"/>
    <n v="140"/>
    <n v="493"/>
    <n v="0"/>
    <n v="10"/>
    <n v="0"/>
    <n v="42"/>
    <n v="58"/>
    <n v="0.72413793103448276"/>
    <n v="68"/>
    <n v="89"/>
    <n v="157"/>
    <n v="680"/>
    <n v="890"/>
    <n v="1570"/>
    <n v="3.7380952380952381"/>
    <n v="14"/>
    <n v="0.33333333333333331"/>
    <n v="18"/>
    <n v="180"/>
    <n v="0.42857142857142855"/>
    <n v="120"/>
    <n v="12"/>
    <n v="0.2857142857142857"/>
    <n v="320"/>
    <x v="57"/>
    <n v="32"/>
    <n v="0.76190476190476186"/>
    <n v="57"/>
    <n v="1.3571428571428572"/>
    <n v="180"/>
    <n v="4.2857142857142856"/>
  </r>
  <r>
    <s v="Moochie Norris"/>
    <s v="2003-04"/>
    <x v="58"/>
    <n v="30"/>
    <n v="300"/>
    <n v="36"/>
    <n v="4460"/>
    <n v="136"/>
    <n v="3.7777777777777777"/>
    <n v="53"/>
    <n v="130"/>
    <n v="0.40769230769230769"/>
    <n v="120"/>
    <n v="350"/>
    <n v="0.34285714285714286"/>
    <n v="36"/>
    <n v="47"/>
    <n v="0.76595744680851063"/>
    <n v="8"/>
    <n v="27"/>
    <n v="35"/>
    <n v="80"/>
    <n v="270"/>
    <n v="350"/>
    <n v="0.97222222222222221"/>
    <n v="73"/>
    <n v="2.0277777777777777"/>
    <n v="28"/>
    <n v="280"/>
    <n v="0.77777777777777779"/>
    <n v="30"/>
    <n v="3"/>
    <n v="8.3333333333333329E-2"/>
    <n v="340"/>
    <x v="58"/>
    <n v="34"/>
    <n v="0.94444444444444442"/>
    <n v="35"/>
    <n v="0.97222222222222221"/>
    <n v="154"/>
    <n v="4.2777777777777777"/>
  </r>
  <r>
    <s v="DerMarr Johnson"/>
    <s v="2003-04"/>
    <x v="59"/>
    <n v="24"/>
    <n v="240"/>
    <n v="21"/>
    <n v="2870"/>
    <n v="66"/>
    <n v="3.1428571428571428"/>
    <n v="36"/>
    <n v="97"/>
    <n v="371"/>
    <n v="130"/>
    <n v="360"/>
    <n v="0.3611111111111111"/>
    <n v="28"/>
    <n v="31"/>
    <n v="0.90322580645161288"/>
    <n v="5"/>
    <n v="34"/>
    <n v="39"/>
    <n v="50"/>
    <n v="340"/>
    <n v="390"/>
    <n v="1.8571428571428572"/>
    <n v="11"/>
    <n v="0.52380952380952384"/>
    <n v="8"/>
    <n v="80"/>
    <n v="0.38095238095238093"/>
    <n v="70"/>
    <n v="7"/>
    <n v="0.33333333333333331"/>
    <n v="160"/>
    <x v="59"/>
    <n v="16"/>
    <n v="0.76190476190476186"/>
    <n v="32"/>
    <n v="1.5238095238095237"/>
    <n v="113"/>
    <n v="5.3809523809523814"/>
  </r>
  <r>
    <s v="Vin Baker"/>
    <s v="2003-04"/>
    <x v="60"/>
    <n v="32"/>
    <n v="320"/>
    <n v="17"/>
    <n v="3130"/>
    <n v="52"/>
    <n v="3.0588235294117645"/>
    <n v="40"/>
    <n v="99"/>
    <n v="0.40404040404040403"/>
    <n v="10"/>
    <n v="20"/>
    <n v="0.5"/>
    <n v="32"/>
    <n v="45"/>
    <n v="0.71111111111111114"/>
    <n v="36"/>
    <n v="34"/>
    <n v="70"/>
    <n v="360"/>
    <n v="340"/>
    <n v="700"/>
    <n v="4.117647058823529"/>
    <n v="12"/>
    <n v="0.70588235294117652"/>
    <n v="7"/>
    <n v="70"/>
    <n v="0.41176470588235292"/>
    <n v="90"/>
    <n v="9"/>
    <n v="0.52941176470588236"/>
    <n v="250"/>
    <x v="60"/>
    <n v="25"/>
    <n v="1.4705882352941178"/>
    <n v="62"/>
    <n v="3.6470588235294117"/>
    <n v="113"/>
    <n v="6.6470588235294121"/>
  </r>
  <r>
    <s v="Othella Harrington"/>
    <s v="2003-04"/>
    <x v="61"/>
    <n v="30"/>
    <n v="300"/>
    <n v="56"/>
    <n v="8710"/>
    <n v="169"/>
    <n v="3.0178571428571428"/>
    <n v="100"/>
    <n v="202"/>
    <n v="0.49504950495049505"/>
    <n v="0"/>
    <n v="0"/>
    <e v="#DIV/0!"/>
    <n v="58"/>
    <n v="78"/>
    <n v="0.74358974358974361"/>
    <n v="58"/>
    <n v="119"/>
    <n v="177"/>
    <n v="580"/>
    <n v="1190"/>
    <n v="1770"/>
    <n v="3.1607142857142856"/>
    <n v="29"/>
    <n v="0.5178571428571429"/>
    <n v="12"/>
    <n v="120"/>
    <n v="0.21428571428571427"/>
    <n v="140"/>
    <n v="14"/>
    <n v="0.25"/>
    <n v="650"/>
    <x v="61"/>
    <n v="65"/>
    <n v="1.1607142857142858"/>
    <n v="134"/>
    <n v="2.3928571428571428"/>
    <n v="258"/>
    <n v="4.6071428571428568"/>
  </r>
  <r>
    <s v="Frank Williams"/>
    <s v="2003-04"/>
    <x v="62"/>
    <n v="24"/>
    <n v="240"/>
    <n v="56"/>
    <n v="7110"/>
    <n v="168"/>
    <n v="3"/>
    <n v="80"/>
    <n v="208"/>
    <n v="385"/>
    <n v="180"/>
    <n v="600"/>
    <n v="0.3"/>
    <n v="41"/>
    <n v="48"/>
    <n v="0.85416666666666663"/>
    <n v="8"/>
    <n v="45"/>
    <n v="53"/>
    <n v="80"/>
    <n v="450"/>
    <n v="530"/>
    <n v="0.9464285714285714"/>
    <n v="121"/>
    <n v="2.1607142857142856"/>
    <n v="25"/>
    <n v="250"/>
    <n v="0.44642857142857145"/>
    <n v="60"/>
    <n v="6"/>
    <n v="0.10714285714285714"/>
    <n v="630"/>
    <x v="62"/>
    <n v="63"/>
    <n v="1.125"/>
    <n v="58"/>
    <n v="1.0357142857142858"/>
    <n v="219"/>
    <n v="3.9107142857142856"/>
  </r>
  <r>
    <s v="Bruno Sundov"/>
    <s v="2003-04"/>
    <x v="63"/>
    <n v="24"/>
    <n v="240"/>
    <n v="1"/>
    <n v="40"/>
    <n v="1"/>
    <n v="1"/>
    <n v="1"/>
    <n v="1"/>
    <n v="10"/>
    <n v="0"/>
    <n v="0"/>
    <e v="#DIV/0!"/>
    <n v="0"/>
    <n v="0"/>
    <e v="#DIV/0!"/>
    <n v="0"/>
    <n v="0"/>
    <n v="0"/>
    <n v="0"/>
    <n v="0"/>
    <n v="0"/>
    <n v="0"/>
    <n v="1"/>
    <n v="1"/>
    <n v="0"/>
    <n v="0"/>
    <n v="0"/>
    <n v="0"/>
    <n v="0"/>
    <n v="0"/>
    <n v="0"/>
    <x v="63"/>
    <n v="0"/>
    <n v="0"/>
    <n v="2"/>
    <n v="2"/>
    <n v="2"/>
    <n v="2"/>
  </r>
  <r>
    <s v="Cezary Trybanski"/>
    <s v="2003-04"/>
    <x v="64"/>
    <n v="24"/>
    <n v="240"/>
    <n v="3"/>
    <n v="50"/>
    <n v="-3"/>
    <n v="-1"/>
    <n v="0"/>
    <n v="2"/>
    <n v="0"/>
    <n v="0"/>
    <n v="0"/>
    <e v="#DIV/0!"/>
    <n v="1"/>
    <n v="2"/>
    <n v="0.5"/>
    <n v="0"/>
    <n v="0"/>
    <n v="0"/>
    <n v="0"/>
    <n v="0"/>
    <n v="0"/>
    <n v="0"/>
    <n v="0"/>
    <n v="0"/>
    <n v="1"/>
    <n v="10"/>
    <n v="0.33333333333333331"/>
    <n v="0"/>
    <n v="0"/>
    <n v="0"/>
    <n v="0"/>
    <x v="64"/>
    <n v="0"/>
    <n v="0"/>
    <n v="2"/>
    <n v="0.66666666666666663"/>
    <n v="1"/>
    <n v="0.33333333333333331"/>
  </r>
  <r>
    <s v="Stephon Marbury"/>
    <s v="2004-05"/>
    <x v="65"/>
    <n v="28"/>
    <n v="280"/>
    <n v="82"/>
    <n v="32810"/>
    <n v="1611"/>
    <n v="19.646341463414632"/>
    <n v="604"/>
    <n v="1308"/>
    <n v="0.46177370030581039"/>
    <n v="1150"/>
    <n v="3250"/>
    <n v="0.35384615384615387"/>
    <n v="458"/>
    <n v="549"/>
    <n v="0.83424408014571949"/>
    <n v="50"/>
    <n v="198"/>
    <n v="248"/>
    <n v="500"/>
    <n v="1980"/>
    <n v="2480"/>
    <n v="3.024390243902439"/>
    <n v="668"/>
    <n v="8.1463414634146343"/>
    <n v="122"/>
    <n v="1220"/>
    <n v="1.4878048780487805"/>
    <n v="60"/>
    <n v="6"/>
    <n v="7.3170731707317069E-2"/>
    <n v="2330"/>
    <x v="65"/>
    <n v="233"/>
    <n v="2.8414634146341462"/>
    <n v="186"/>
    <n v="2.2682926829268291"/>
    <n v="1781"/>
    <n v="21.719512195121951"/>
  </r>
  <r>
    <s v="Kurt Thomas"/>
    <s v="2004-05"/>
    <x v="66"/>
    <n v="32"/>
    <n v="320"/>
    <n v="80"/>
    <n v="28550"/>
    <n v="1152"/>
    <n v="14.4"/>
    <n v="424"/>
    <n v="901"/>
    <n v="471"/>
    <n v="20"/>
    <n v="40"/>
    <n v="0.5"/>
    <n v="66"/>
    <n v="84"/>
    <n v="0.7857142857142857"/>
    <n v="170"/>
    <n v="661"/>
    <n v="831"/>
    <n v="1700"/>
    <n v="6610"/>
    <n v="8310"/>
    <n v="10.387499999999999"/>
    <n v="160"/>
    <n v="2"/>
    <n v="70"/>
    <n v="700"/>
    <n v="0.875"/>
    <n v="790"/>
    <n v="79"/>
    <n v="0.98750000000000004"/>
    <n v="990"/>
    <x v="66"/>
    <n v="99"/>
    <n v="1.2375"/>
    <n v="310"/>
    <n v="3.875"/>
    <n v="916"/>
    <n v="11.45"/>
  </r>
  <r>
    <s v="Jamal Crawford"/>
    <s v="2004-05"/>
    <x v="67"/>
    <n v="25"/>
    <n v="250"/>
    <n v="70"/>
    <n v="26880"/>
    <n v="880"/>
    <n v="12.571428571428571"/>
    <n v="437"/>
    <n v="1097"/>
    <n v="398"/>
    <n v="1850"/>
    <n v="5120"/>
    <n v="0.361328125"/>
    <n v="182"/>
    <n v="216"/>
    <n v="0.84259259259259256"/>
    <n v="33"/>
    <n v="170"/>
    <n v="203"/>
    <n v="330"/>
    <n v="1700"/>
    <n v="2030"/>
    <n v="2.9"/>
    <n v="302"/>
    <n v="4.3142857142857141"/>
    <n v="92"/>
    <n v="920"/>
    <n v="1.3142857142857143"/>
    <n v="190"/>
    <n v="19"/>
    <n v="0.27142857142857141"/>
    <n v="1480"/>
    <x v="67"/>
    <n v="148"/>
    <n v="2.1142857142857143"/>
    <n v="135"/>
    <n v="1.9285714285714286"/>
    <n v="1241"/>
    <n v="17.728571428571428"/>
  </r>
  <r>
    <s v="Nazr Mohammed"/>
    <s v="2004-05"/>
    <x v="68"/>
    <n v="27"/>
    <n v="270"/>
    <n v="54"/>
    <n v="15190"/>
    <n v="631"/>
    <n v="11.685185185185185"/>
    <n v="234"/>
    <n v="460"/>
    <n v="0.50869565217391299"/>
    <n v="0"/>
    <n v="10"/>
    <n v="0"/>
    <n v="121"/>
    <n v="171"/>
    <n v="0.70760233918128657"/>
    <n v="169"/>
    <n v="270"/>
    <n v="439"/>
    <n v="1690"/>
    <n v="2700"/>
    <n v="4390"/>
    <n v="8.1296296296296298"/>
    <n v="26"/>
    <n v="0.48148148148148145"/>
    <n v="53"/>
    <n v="530"/>
    <n v="0.98148148148148151"/>
    <n v="530"/>
    <n v="53"/>
    <n v="0.98148148148148151"/>
    <n v="810"/>
    <x v="68"/>
    <n v="81"/>
    <n v="1.5"/>
    <n v="172"/>
    <n v="3.1851851851851851"/>
    <n v="589"/>
    <n v="10.907407407407407"/>
  </r>
  <r>
    <s v="Michael Sweetney"/>
    <s v="2004-05"/>
    <x v="69"/>
    <n v="22"/>
    <n v="220"/>
    <n v="77"/>
    <n v="15090"/>
    <n v="567"/>
    <n v="7.3636363636363633"/>
    <n v="237"/>
    <n v="446"/>
    <n v="531"/>
    <n v="0"/>
    <n v="10"/>
    <n v="0"/>
    <n v="176"/>
    <n v="235"/>
    <n v="0.74893617021276593"/>
    <n v="169"/>
    <n v="249"/>
    <n v="418"/>
    <n v="1690"/>
    <n v="2490"/>
    <n v="4180"/>
    <n v="5.4285714285714288"/>
    <n v="44"/>
    <n v="0.5714285714285714"/>
    <n v="27"/>
    <n v="270"/>
    <n v="0.35064935064935066"/>
    <n v="280"/>
    <n v="28"/>
    <n v="0.36363636363636365"/>
    <n v="1080"/>
    <x v="69"/>
    <n v="108"/>
    <n v="1.4025974025974026"/>
    <n v="224"/>
    <n v="2.9090909090909092"/>
    <n v="650"/>
    <n v="8.4415584415584419"/>
  </r>
  <r>
    <s v="Tim Thomas"/>
    <s v="2004-05"/>
    <x v="70"/>
    <n v="28"/>
    <n v="280"/>
    <n v="71"/>
    <n v="19400"/>
    <n v="481"/>
    <n v="6.774647887323944"/>
    <n v="315"/>
    <n v="718"/>
    <n v="439"/>
    <n v="850"/>
    <n v="2080"/>
    <n v="0.40865384615384615"/>
    <n v="136"/>
    <n v="173"/>
    <n v="0.78612716763005785"/>
    <n v="45"/>
    <n v="192"/>
    <n v="237"/>
    <n v="450"/>
    <n v="1920"/>
    <n v="2370"/>
    <n v="3.3380281690140845"/>
    <n v="110"/>
    <n v="1.5492957746478873"/>
    <n v="41"/>
    <n v="410"/>
    <n v="0.57746478873239437"/>
    <n v="170"/>
    <n v="17"/>
    <n v="0.23943661971830985"/>
    <n v="1130"/>
    <x v="70"/>
    <n v="113"/>
    <n v="1.591549295774648"/>
    <n v="222"/>
    <n v="3.1267605633802815"/>
    <n v="851"/>
    <n v="11.985915492957746"/>
  </r>
  <r>
    <s v="Allan Houston"/>
    <s v="2004-05"/>
    <x v="71"/>
    <n v="34"/>
    <n v="340"/>
    <n v="20"/>
    <n v="5320"/>
    <n v="124"/>
    <n v="6.2"/>
    <n v="85"/>
    <n v="205"/>
    <n v="0.41463414634146339"/>
    <n v="310"/>
    <n v="800"/>
    <n v="0.38750000000000001"/>
    <n v="36"/>
    <n v="43"/>
    <n v="0.83720930232558144"/>
    <n v="4"/>
    <n v="19"/>
    <n v="23"/>
    <n v="40"/>
    <n v="190"/>
    <n v="230"/>
    <n v="1.1499999999999999"/>
    <n v="42"/>
    <n v="2.1"/>
    <n v="8"/>
    <n v="80"/>
    <n v="0.4"/>
    <n v="20"/>
    <n v="2"/>
    <n v="0.1"/>
    <n v="210"/>
    <x v="71"/>
    <n v="21"/>
    <n v="1.05"/>
    <n v="40"/>
    <n v="2"/>
    <n v="237"/>
    <n v="11.85"/>
  </r>
  <r>
    <s v="Trevor Ariza"/>
    <s v="2004-05"/>
    <x v="72"/>
    <n v="20"/>
    <n v="200"/>
    <n v="80"/>
    <n v="13850"/>
    <n v="390"/>
    <n v="4.875"/>
    <n v="172"/>
    <n v="389"/>
    <n v="0.44215938303341901"/>
    <n v="30"/>
    <n v="130"/>
    <n v="0.23076923076923078"/>
    <n v="121"/>
    <n v="174"/>
    <n v="0.6954022988505747"/>
    <n v="89"/>
    <n v="153"/>
    <n v="242"/>
    <n v="890"/>
    <n v="1530"/>
    <n v="2420"/>
    <n v="3.0249999999999999"/>
    <n v="85"/>
    <n v="1.0625"/>
    <n v="70"/>
    <n v="700"/>
    <n v="0.875"/>
    <n v="180"/>
    <n v="18"/>
    <n v="0.22500000000000001"/>
    <n v="730"/>
    <x v="72"/>
    <n v="73"/>
    <n v="0.91249999999999998"/>
    <n v="150"/>
    <n v="1.875"/>
    <n v="468"/>
    <n v="5.85"/>
  </r>
  <r>
    <s v="Malik Rose"/>
    <s v="2004-05"/>
    <x v="73"/>
    <n v="30"/>
    <n v="300"/>
    <n v="26"/>
    <n v="6120"/>
    <n v="122"/>
    <n v="4.6923076923076925"/>
    <n v="74"/>
    <n v="174"/>
    <n v="425"/>
    <n v="10"/>
    <n v="60"/>
    <n v="0.16666666666666666"/>
    <n v="68"/>
    <n v="87"/>
    <n v="0.7816091954022989"/>
    <n v="34"/>
    <n v="80"/>
    <n v="114"/>
    <n v="340"/>
    <n v="800"/>
    <n v="1140"/>
    <n v="4.384615384615385"/>
    <n v="18"/>
    <n v="0.69230769230769229"/>
    <n v="15"/>
    <n v="150"/>
    <n v="0.57692307692307687"/>
    <n v="70"/>
    <n v="7"/>
    <n v="0.26923076923076922"/>
    <n v="460"/>
    <x v="73"/>
    <n v="46"/>
    <n v="1.7692307692307692"/>
    <n v="84"/>
    <n v="3.2307692307692308"/>
    <n v="217"/>
    <n v="8.3461538461538467"/>
  </r>
  <r>
    <s v="Anfernee Hardaway"/>
    <s v="2004-05"/>
    <x v="74"/>
    <n v="33"/>
    <n v="330"/>
    <n v="37"/>
    <n v="8950"/>
    <n v="172"/>
    <n v="4.6486486486486482"/>
    <n v="110"/>
    <n v="260"/>
    <n v="0.42307692307692307"/>
    <n v="150"/>
    <n v="500"/>
    <n v="0.3"/>
    <n v="34"/>
    <n v="46"/>
    <n v="0.73913043478260865"/>
    <n v="19"/>
    <n v="70"/>
    <n v="89"/>
    <n v="190"/>
    <n v="700"/>
    <n v="890"/>
    <n v="2.4054054054054053"/>
    <n v="74"/>
    <n v="2"/>
    <n v="28"/>
    <n v="280"/>
    <n v="0.7567567567567568"/>
    <n v="30"/>
    <n v="3"/>
    <n v="8.1081081081081086E-2"/>
    <n v="500"/>
    <x v="74"/>
    <n v="50"/>
    <n v="1.3513513513513513"/>
    <n v="79"/>
    <n v="2.1351351351351351"/>
    <n v="269"/>
    <n v="7.2702702702702702"/>
  </r>
  <r>
    <s v="Jerome Williams"/>
    <s v="2004-05"/>
    <x v="75"/>
    <n v="32"/>
    <n v="320"/>
    <n v="79"/>
    <n v="12110"/>
    <n v="350"/>
    <n v="4.4303797468354427"/>
    <n v="122"/>
    <n v="243"/>
    <n v="502"/>
    <n v="0"/>
    <n v="50"/>
    <n v="0"/>
    <n v="115"/>
    <n v="172"/>
    <n v="0.66860465116279066"/>
    <n v="115"/>
    <n v="168"/>
    <n v="283"/>
    <n v="1150"/>
    <n v="1680"/>
    <n v="2830"/>
    <n v="3.5822784810126582"/>
    <n v="41"/>
    <n v="0.51898734177215189"/>
    <n v="55"/>
    <n v="550"/>
    <n v="0.69620253164556967"/>
    <n v="100"/>
    <n v="10"/>
    <n v="0.12658227848101267"/>
    <n v="650"/>
    <x v="75"/>
    <n v="65"/>
    <n v="0.82278481012658233"/>
    <n v="155"/>
    <n v="1.9620253164556962"/>
    <n v="359"/>
    <n v="4.5443037974683547"/>
  </r>
  <r>
    <s v="Maurice Taylor"/>
    <s v="2004-05"/>
    <x v="76"/>
    <n v="28"/>
    <n v="280"/>
    <n v="27"/>
    <n v="4310"/>
    <n v="117"/>
    <n v="4.333333333333333"/>
    <n v="76"/>
    <n v="154"/>
    <n v="494"/>
    <n v="0"/>
    <n v="10"/>
    <n v="0"/>
    <n v="24"/>
    <n v="43"/>
    <n v="0.55813953488372092"/>
    <n v="26"/>
    <n v="67"/>
    <n v="93"/>
    <n v="260"/>
    <n v="670"/>
    <n v="930"/>
    <n v="3.4444444444444446"/>
    <n v="14"/>
    <n v="0.51851851851851849"/>
    <n v="11"/>
    <n v="110"/>
    <n v="0.40740740740740738"/>
    <n v="80"/>
    <n v="8"/>
    <n v="0.29629629629629628"/>
    <n v="310"/>
    <x v="76"/>
    <n v="31"/>
    <n v="1.1481481481481481"/>
    <n v="57"/>
    <n v="2.1111111111111112"/>
    <n v="176"/>
    <n v="6.5185185185185182"/>
  </r>
  <r>
    <s v="Jackie Butler"/>
    <s v="2004-05"/>
    <x v="77"/>
    <n v="20"/>
    <n v="200"/>
    <n v="3"/>
    <n v="50"/>
    <n v="10"/>
    <n v="3.3333333333333335"/>
    <n v="4"/>
    <n v="4"/>
    <n v="1"/>
    <n v="0"/>
    <n v="0"/>
    <e v="#DIV/0!"/>
    <n v="2"/>
    <n v="2"/>
    <n v="1"/>
    <n v="0"/>
    <n v="0"/>
    <n v="0"/>
    <n v="0"/>
    <n v="0"/>
    <n v="0"/>
    <n v="0"/>
    <n v="0"/>
    <n v="0"/>
    <n v="1"/>
    <n v="10"/>
    <n v="0.33333333333333331"/>
    <n v="0"/>
    <n v="0"/>
    <n v="0"/>
    <n v="10"/>
    <x v="64"/>
    <n v="1"/>
    <n v="0.33333333333333331"/>
    <n v="0"/>
    <n v="0"/>
    <n v="10"/>
    <n v="3.3333333333333335"/>
  </r>
  <r>
    <s v="Jermaine Jackson"/>
    <s v="2004-05"/>
    <x v="78"/>
    <n v="29"/>
    <n v="290"/>
    <n v="21"/>
    <n v="2300"/>
    <n v="40"/>
    <n v="1.9047619047619047"/>
    <n v="17"/>
    <n v="33"/>
    <n v="515"/>
    <n v="0"/>
    <n v="20"/>
    <n v="0"/>
    <n v="8"/>
    <n v="13"/>
    <n v="0.61538461538461542"/>
    <n v="3"/>
    <n v="20"/>
    <n v="23"/>
    <n v="30"/>
    <n v="200"/>
    <n v="230"/>
    <n v="1.0952380952380953"/>
    <n v="24"/>
    <n v="1.1428571428571428"/>
    <n v="7"/>
    <n v="70"/>
    <n v="0.33333333333333331"/>
    <n v="10"/>
    <n v="1"/>
    <n v="4.7619047619047616E-2"/>
    <n v="100"/>
    <x v="77"/>
    <n v="10"/>
    <n v="0.47619047619047616"/>
    <n v="26"/>
    <n v="1.2380952380952381"/>
    <n v="42"/>
    <n v="2"/>
  </r>
  <r>
    <s v="Moochie Norris"/>
    <s v="2004-05"/>
    <x v="79"/>
    <n v="31"/>
    <n v="310"/>
    <n v="32"/>
    <n v="3210"/>
    <n v="45"/>
    <n v="1.40625"/>
    <n v="32"/>
    <n v="93"/>
    <n v="0.34408602150537637"/>
    <n v="0"/>
    <n v="120"/>
    <n v="0"/>
    <n v="18"/>
    <n v="22"/>
    <n v="0.81818181818181823"/>
    <n v="9"/>
    <n v="33"/>
    <n v="42"/>
    <n v="90"/>
    <n v="330"/>
    <n v="420"/>
    <n v="1.3125"/>
    <n v="34"/>
    <n v="1.0625"/>
    <n v="17"/>
    <n v="170"/>
    <n v="0.53125"/>
    <n v="20"/>
    <n v="2"/>
    <n v="6.25E-2"/>
    <n v="250"/>
    <x v="78"/>
    <n v="25"/>
    <n v="0.78125"/>
    <n v="42"/>
    <n v="1.3125"/>
    <n v="82"/>
    <n v="2.5625"/>
  </r>
  <r>
    <s v="Jamison Brewer"/>
    <s v="2004-05"/>
    <x v="80"/>
    <n v="24"/>
    <n v="240"/>
    <n v="18"/>
    <n v="1840"/>
    <n v="17"/>
    <n v="0.94444444444444442"/>
    <n v="11"/>
    <n v="37"/>
    <n v="0.29729729729729731"/>
    <n v="30"/>
    <n v="150"/>
    <n v="0.2"/>
    <n v="6"/>
    <n v="13"/>
    <n v="0.46153846153846156"/>
    <n v="6"/>
    <n v="16"/>
    <n v="22"/>
    <n v="60"/>
    <n v="160"/>
    <n v="220"/>
    <n v="1.2222222222222223"/>
    <n v="12"/>
    <n v="0.66666666666666663"/>
    <n v="8"/>
    <n v="80"/>
    <n v="0.44444444444444442"/>
    <n v="10"/>
    <n v="1"/>
    <n v="5.5555555555555552E-2"/>
    <n v="130"/>
    <x v="79"/>
    <n v="13"/>
    <n v="0.72222222222222221"/>
    <n v="11"/>
    <n v="0.61111111111111116"/>
    <n v="31"/>
    <n v="1.7222222222222223"/>
  </r>
  <r>
    <s v="Vin Baker"/>
    <s v="2004-05"/>
    <x v="81"/>
    <n v="33"/>
    <n v="330"/>
    <n v="24"/>
    <n v="1910"/>
    <n v="6"/>
    <n v="0.25"/>
    <n v="13"/>
    <n v="38"/>
    <n v="0.34210526315789475"/>
    <n v="0"/>
    <n v="10"/>
    <n v="0"/>
    <n v="7"/>
    <n v="15"/>
    <n v="0.46666666666666667"/>
    <n v="17"/>
    <n v="20"/>
    <n v="37"/>
    <n v="170"/>
    <n v="200"/>
    <n v="370"/>
    <n v="1.5416666666666667"/>
    <n v="9"/>
    <n v="0.375"/>
    <n v="2"/>
    <n v="20"/>
    <n v="8.3333333333333329E-2"/>
    <n v="40"/>
    <n v="4"/>
    <n v="0.16666666666666666"/>
    <n v="150"/>
    <x v="80"/>
    <n v="15"/>
    <n v="0.625"/>
    <n v="31"/>
    <n v="1.2916666666666667"/>
    <n v="33"/>
    <n v="1.375"/>
  </r>
  <r>
    <s v="Bruno Sundov"/>
    <s v="2004-05"/>
    <x v="82"/>
    <n v="25"/>
    <n v="250"/>
    <n v="21"/>
    <n v="730"/>
    <n v="-4"/>
    <n v="-0.19047619047619047"/>
    <n v="11"/>
    <n v="37"/>
    <n v="297"/>
    <n v="10"/>
    <n v="30"/>
    <n v="0.33333333333333331"/>
    <n v="2"/>
    <n v="2"/>
    <n v="1"/>
    <n v="6"/>
    <n v="7"/>
    <n v="13"/>
    <n v="60"/>
    <n v="70"/>
    <n v="130"/>
    <n v="0.61904761904761907"/>
    <n v="2"/>
    <n v="9.5238095238095233E-2"/>
    <n v="2"/>
    <n v="20"/>
    <n v="9.5238095238095233E-2"/>
    <n v="20"/>
    <n v="2"/>
    <n v="9.5238095238095233E-2"/>
    <n v="60"/>
    <x v="81"/>
    <n v="6"/>
    <n v="0.2857142857142857"/>
    <n v="16"/>
    <n v="0.76190476190476186"/>
    <n v="25"/>
    <n v="1.1904761904761905"/>
  </r>
  <r>
    <s v="Shandon Anderson"/>
    <s v="2004-05"/>
    <x v="83"/>
    <n v="31"/>
    <n v="310"/>
    <n v="1"/>
    <n v="200"/>
    <n v="-4"/>
    <n v="-4"/>
    <n v="0"/>
    <n v="2"/>
    <n v="0"/>
    <n v="0"/>
    <n v="10"/>
    <n v="0"/>
    <n v="0"/>
    <n v="0"/>
    <e v="#DIV/0!"/>
    <n v="1"/>
    <n v="0"/>
    <n v="1"/>
    <n v="10"/>
    <n v="0"/>
    <n v="10"/>
    <n v="1"/>
    <n v="0"/>
    <n v="0"/>
    <n v="0"/>
    <n v="0"/>
    <n v="0"/>
    <n v="0"/>
    <n v="0"/>
    <n v="0"/>
    <n v="10"/>
    <x v="28"/>
    <n v="1"/>
    <n v="1"/>
    <n v="2"/>
    <n v="2"/>
    <n v="0"/>
    <n v="0"/>
  </r>
  <r>
    <s v="Stephon Marbury"/>
    <s v="2005-06"/>
    <x v="84"/>
    <n v="29"/>
    <n v="290"/>
    <n v="60"/>
    <n v="21930"/>
    <n v="796"/>
    <n v="13.266666666666667"/>
    <n v="349"/>
    <n v="774"/>
    <n v="0.45090439276485789"/>
    <n v="330"/>
    <n v="1040"/>
    <n v="0.31730769230769229"/>
    <n v="246"/>
    <n v="326"/>
    <n v="0.754601226993865"/>
    <n v="25"/>
    <n v="150"/>
    <n v="175"/>
    <n v="250"/>
    <n v="1500"/>
    <n v="1750"/>
    <n v="2.9166666666666665"/>
    <n v="382"/>
    <n v="6.3666666666666663"/>
    <n v="63"/>
    <n v="630"/>
    <n v="1.05"/>
    <n v="40"/>
    <n v="4"/>
    <n v="6.6666666666666666E-2"/>
    <n v="1570"/>
    <x v="82"/>
    <n v="157"/>
    <n v="2.6166666666666667"/>
    <n v="143"/>
    <n v="2.3833333333333333"/>
    <n v="977"/>
    <n v="16.283333333333335"/>
  </r>
  <r>
    <s v="Jamal Crawford"/>
    <s v="2005-06"/>
    <x v="85"/>
    <n v="26"/>
    <n v="260"/>
    <n v="79"/>
    <n v="25550"/>
    <n v="879"/>
    <n v="11.126582278481013"/>
    <n v="366"/>
    <n v="879"/>
    <n v="416"/>
    <n v="1010"/>
    <n v="2930"/>
    <n v="0.34470989761092152"/>
    <n v="295"/>
    <n v="357"/>
    <n v="0.8263305322128851"/>
    <n v="36"/>
    <n v="212"/>
    <n v="248"/>
    <n v="360"/>
    <n v="2120"/>
    <n v="2480"/>
    <n v="3.1392405063291138"/>
    <n v="301"/>
    <n v="3.8101265822784809"/>
    <n v="87"/>
    <n v="870"/>
    <n v="1.1012658227848102"/>
    <n v="150"/>
    <n v="15"/>
    <n v="0.189873417721519"/>
    <n v="1750"/>
    <x v="83"/>
    <n v="175"/>
    <n v="2.2151898734177213"/>
    <n v="150"/>
    <n v="1.8987341772151898"/>
    <n v="1128"/>
    <n v="14.278481012658228"/>
  </r>
  <r>
    <s v="Channing Frye"/>
    <s v="2005-06"/>
    <x v="86"/>
    <n v="23"/>
    <n v="230"/>
    <n v="65"/>
    <n v="15720"/>
    <n v="634"/>
    <n v="9.7538461538461547"/>
    <n v="305"/>
    <n v="640"/>
    <n v="477"/>
    <n v="30"/>
    <n v="90"/>
    <n v="0.33333333333333331"/>
    <n v="189"/>
    <n v="229"/>
    <n v="0.8253275109170306"/>
    <n v="138"/>
    <n v="236"/>
    <n v="374"/>
    <n v="1380"/>
    <n v="2360"/>
    <n v="3740"/>
    <n v="5.7538461538461538"/>
    <n v="53"/>
    <n v="0.81538461538461537"/>
    <n v="30"/>
    <n v="300"/>
    <n v="0.46153846153846156"/>
    <n v="470"/>
    <n v="47"/>
    <n v="0.72307692307692306"/>
    <n v="970"/>
    <x v="84"/>
    <n v="97"/>
    <n v="1.4923076923076923"/>
    <n v="200"/>
    <n v="3.0769230769230771"/>
    <n v="802"/>
    <n v="12.338461538461539"/>
  </r>
  <r>
    <s v="Jalen Rose"/>
    <s v="2005-06"/>
    <x v="87"/>
    <n v="33"/>
    <n v="330"/>
    <n v="26"/>
    <n v="7460"/>
    <n v="240"/>
    <n v="9.2307692307692299"/>
    <n v="110"/>
    <n v="239"/>
    <n v="0.46025104602510458"/>
    <n v="280"/>
    <n v="570"/>
    <n v="0.49122807017543857"/>
    <n v="82"/>
    <n v="101"/>
    <n v="0.81188118811881194"/>
    <n v="13"/>
    <n v="69"/>
    <n v="82"/>
    <n v="130"/>
    <n v="690"/>
    <n v="820"/>
    <n v="3.1538461538461537"/>
    <n v="68"/>
    <n v="2.6153846153846154"/>
    <n v="10"/>
    <n v="100"/>
    <n v="0.38461538461538464"/>
    <n v="30"/>
    <n v="3"/>
    <n v="0.11538461538461539"/>
    <n v="500"/>
    <x v="85"/>
    <n v="50"/>
    <n v="1.9230769230769231"/>
    <n v="55"/>
    <n v="2.1153846153846154"/>
    <n v="330"/>
    <n v="12.692307692307692"/>
  </r>
  <r>
    <s v="Eddy Curry"/>
    <s v="2005-06"/>
    <x v="88"/>
    <n v="23"/>
    <n v="230"/>
    <n v="72"/>
    <n v="18660"/>
    <n v="656"/>
    <n v="9.1111111111111107"/>
    <n v="336"/>
    <n v="597"/>
    <n v="563"/>
    <n v="0"/>
    <n v="0"/>
    <e v="#DIV/0!"/>
    <n v="307"/>
    <n v="486"/>
    <n v="0.63168724279835387"/>
    <n v="145"/>
    <n v="287"/>
    <n v="432"/>
    <n v="1450"/>
    <n v="2870"/>
    <n v="4320"/>
    <n v="6"/>
    <n v="19"/>
    <n v="0.2638888888888889"/>
    <n v="28"/>
    <n v="280"/>
    <n v="0.3888888888888889"/>
    <n v="560"/>
    <n v="56"/>
    <n v="0.77777777777777779"/>
    <n v="1790"/>
    <x v="86"/>
    <n v="179"/>
    <n v="2.4861111111111112"/>
    <n v="239"/>
    <n v="3.3194444444444446"/>
    <n v="979"/>
    <n v="13.597222222222221"/>
  </r>
  <r>
    <s v="Steve Francis"/>
    <s v="2005-06"/>
    <x v="89"/>
    <n v="29"/>
    <n v="290"/>
    <n v="24"/>
    <n v="6590"/>
    <n v="189"/>
    <n v="7.875"/>
    <n v="84"/>
    <n v="190"/>
    <n v="0.44210526315789472"/>
    <n v="70"/>
    <n v="130"/>
    <n v="0.53846153846153844"/>
    <n v="83"/>
    <n v="109"/>
    <n v="0.76146788990825687"/>
    <n v="14"/>
    <n v="57"/>
    <n v="71"/>
    <n v="140"/>
    <n v="570"/>
    <n v="710"/>
    <n v="2.9583333333333335"/>
    <n v="83"/>
    <n v="3.4583333333333335"/>
    <n v="23"/>
    <n v="230"/>
    <n v="0.95833333333333337"/>
    <n v="60"/>
    <n v="6"/>
    <n v="0.25"/>
    <n v="580"/>
    <x v="87"/>
    <n v="58"/>
    <n v="2.4166666666666665"/>
    <n v="62"/>
    <n v="2.5833333333333335"/>
    <n v="258"/>
    <n v="10.75"/>
  </r>
  <r>
    <s v="David Lee"/>
    <s v="2005-06"/>
    <x v="90"/>
    <n v="23"/>
    <n v="230"/>
    <n v="67"/>
    <n v="11290"/>
    <n v="421"/>
    <n v="6.2835820895522385"/>
    <n v="137"/>
    <n v="230"/>
    <n v="0.59565217391304348"/>
    <n v="0"/>
    <n v="0"/>
    <e v="#DIV/0!"/>
    <n v="71"/>
    <n v="123"/>
    <n v="0.57723577235772361"/>
    <n v="109"/>
    <n v="194"/>
    <n v="303"/>
    <n v="1090"/>
    <n v="1940"/>
    <n v="3030"/>
    <n v="4.5223880597014929"/>
    <n v="43"/>
    <n v="0.64179104477611937"/>
    <n v="30"/>
    <n v="300"/>
    <n v="0.44776119402985076"/>
    <n v="200"/>
    <n v="20"/>
    <n v="0.29850746268656714"/>
    <n v="510"/>
    <x v="88"/>
    <n v="51"/>
    <n v="0.76119402985074625"/>
    <n v="124"/>
    <n v="1.8507462686567164"/>
    <n v="345"/>
    <n v="5.1492537313432836"/>
  </r>
  <r>
    <s v="Qyntel Woods"/>
    <s v="2005-06"/>
    <x v="91"/>
    <n v="25"/>
    <n v="250"/>
    <n v="49"/>
    <n v="10130"/>
    <n v="302"/>
    <n v="6.1632653061224492"/>
    <n v="129"/>
    <n v="254"/>
    <n v="508"/>
    <n v="220"/>
    <n v="600"/>
    <n v="0.36666666666666664"/>
    <n v="49"/>
    <n v="76"/>
    <n v="0.64473684210526316"/>
    <n v="44"/>
    <n v="146"/>
    <n v="190"/>
    <n v="440"/>
    <n v="1460"/>
    <n v="1900"/>
    <n v="3.8775510204081631"/>
    <n v="47"/>
    <n v="0.95918367346938771"/>
    <n v="32"/>
    <n v="320"/>
    <n v="0.65306122448979587"/>
    <n v="130"/>
    <n v="13"/>
    <n v="0.26530612244897961"/>
    <n v="610"/>
    <x v="89"/>
    <n v="61"/>
    <n v="1.2448979591836735"/>
    <n v="96"/>
    <n v="1.9591836734693877"/>
    <n v="329"/>
    <n v="6.7142857142857144"/>
  </r>
  <r>
    <s v="Quentin Richardson"/>
    <s v="2005-06"/>
    <x v="92"/>
    <n v="26"/>
    <n v="260"/>
    <n v="55"/>
    <n v="14420"/>
    <n v="298"/>
    <n v="5.418181818181818"/>
    <n v="163"/>
    <n v="459"/>
    <n v="355"/>
    <n v="640"/>
    <n v="1880"/>
    <n v="0.34042553191489361"/>
    <n v="61"/>
    <n v="91"/>
    <n v="0.67032967032967028"/>
    <n v="65"/>
    <n v="165"/>
    <n v="230"/>
    <n v="650"/>
    <n v="1650"/>
    <n v="2300"/>
    <n v="4.1818181818181817"/>
    <n v="88"/>
    <n v="1.6"/>
    <n v="39"/>
    <n v="390"/>
    <n v="0.70909090909090911"/>
    <n v="60"/>
    <n v="6"/>
    <n v="0.10909090909090909"/>
    <n v="560"/>
    <x v="90"/>
    <n v="56"/>
    <n v="1.0181818181818181"/>
    <n v="134"/>
    <n v="2.4363636363636365"/>
    <n v="451"/>
    <n v="8.1999999999999993"/>
  </r>
  <r>
    <s v="Nate Robinson"/>
    <s v="2005-06"/>
    <x v="93"/>
    <n v="22"/>
    <n v="220"/>
    <n v="72"/>
    <n v="15440"/>
    <n v="344"/>
    <n v="4.7777777777777777"/>
    <n v="230"/>
    <n v="565"/>
    <n v="0.40707964601769914"/>
    <n v="580"/>
    <n v="1460"/>
    <n v="0.39726027397260272"/>
    <n v="152"/>
    <n v="202"/>
    <n v="0.75247524752475248"/>
    <n v="56"/>
    <n v="111"/>
    <n v="167"/>
    <n v="560"/>
    <n v="1110"/>
    <n v="1670"/>
    <n v="2.3194444444444446"/>
    <n v="147"/>
    <n v="2.0416666666666665"/>
    <n v="59"/>
    <n v="590"/>
    <n v="0.81944444444444442"/>
    <n v="10"/>
    <n v="1"/>
    <n v="1.3888888888888888E-2"/>
    <n v="1140"/>
    <x v="91"/>
    <n v="114"/>
    <n v="1.5833333333333333"/>
    <n v="201"/>
    <n v="2.7916666666666665"/>
    <n v="670"/>
    <n v="9.3055555555555554"/>
  </r>
  <r>
    <s v="Jackie Butler"/>
    <s v="2005-06"/>
    <x v="94"/>
    <n v="21"/>
    <n v="210"/>
    <n v="55"/>
    <n v="7400"/>
    <n v="242"/>
    <n v="4.4000000000000004"/>
    <n v="117"/>
    <n v="215"/>
    <n v="0.54418604651162794"/>
    <n v="0"/>
    <n v="0"/>
    <e v="#DIV/0!"/>
    <n v="58"/>
    <n v="77"/>
    <n v="0.75324675324675328"/>
    <n v="67"/>
    <n v="116"/>
    <n v="183"/>
    <n v="670"/>
    <n v="1160"/>
    <n v="1830"/>
    <n v="3.3272727272727272"/>
    <n v="25"/>
    <n v="0.45454545454545453"/>
    <n v="17"/>
    <n v="170"/>
    <n v="0.30909090909090908"/>
    <n v="310"/>
    <n v="31"/>
    <n v="0.5636363636363636"/>
    <n v="620"/>
    <x v="92"/>
    <n v="62"/>
    <n v="1.1272727272727272"/>
    <n v="127"/>
    <n v="2.3090909090909091"/>
    <n v="292"/>
    <n v="5.3090909090909095"/>
  </r>
  <r>
    <s v="Trevor Ariza"/>
    <s v="2005-06"/>
    <x v="95"/>
    <n v="20"/>
    <n v="200"/>
    <n v="36"/>
    <n v="7090"/>
    <n v="156"/>
    <n v="4.333333333333333"/>
    <n v="61"/>
    <n v="146"/>
    <n v="0.4178082191780822"/>
    <n v="10"/>
    <n v="30"/>
    <n v="0.33333333333333331"/>
    <n v="42"/>
    <n v="77"/>
    <n v="0.54545454545454541"/>
    <n v="49"/>
    <n v="88"/>
    <n v="137"/>
    <n v="490"/>
    <n v="880"/>
    <n v="1370"/>
    <n v="3.8055555555555554"/>
    <n v="46"/>
    <n v="1.2777777777777777"/>
    <n v="43"/>
    <n v="430"/>
    <n v="1.1944444444444444"/>
    <n v="90"/>
    <n v="9"/>
    <n v="0.25"/>
    <n v="460"/>
    <x v="93"/>
    <n v="46"/>
    <n v="1.2777777777777777"/>
    <n v="78"/>
    <n v="2.1666666666666665"/>
    <n v="165"/>
    <n v="4.583333333333333"/>
  </r>
  <r>
    <s v="Matt Barnes"/>
    <s v="2005-06"/>
    <x v="96"/>
    <n v="26"/>
    <n v="260"/>
    <n v="6"/>
    <n v="930"/>
    <n v="26"/>
    <n v="4.333333333333333"/>
    <n v="11"/>
    <n v="30"/>
    <n v="0.36666666666666664"/>
    <n v="10"/>
    <n v="40"/>
    <n v="0.25"/>
    <n v="3"/>
    <n v="4"/>
    <n v="0.75"/>
    <n v="7"/>
    <n v="17"/>
    <n v="24"/>
    <n v="70"/>
    <n v="170"/>
    <n v="240"/>
    <n v="4"/>
    <n v="6"/>
    <n v="1"/>
    <n v="4"/>
    <n v="40"/>
    <n v="0.66666666666666663"/>
    <n v="0"/>
    <n v="0"/>
    <n v="0"/>
    <n v="60"/>
    <x v="94"/>
    <n v="6"/>
    <n v="1"/>
    <n v="8"/>
    <n v="1.3333333333333333"/>
    <n v="26"/>
    <n v="4.333333333333333"/>
  </r>
  <r>
    <s v="Antonio Davis"/>
    <s v="2005-06"/>
    <x v="97"/>
    <n v="37"/>
    <n v="370"/>
    <n v="36"/>
    <n v="7490"/>
    <n v="147"/>
    <n v="4.083333333333333"/>
    <n v="68"/>
    <n v="159"/>
    <n v="428"/>
    <n v="0"/>
    <n v="10"/>
    <n v="0"/>
    <n v="45"/>
    <n v="61"/>
    <n v="0.73770491803278693"/>
    <n v="75"/>
    <n v="97"/>
    <n v="172"/>
    <n v="750"/>
    <n v="970"/>
    <n v="1720"/>
    <n v="4.7777777777777777"/>
    <n v="14"/>
    <n v="0.3888888888888889"/>
    <n v="20"/>
    <n v="200"/>
    <n v="0.55555555555555558"/>
    <n v="90"/>
    <n v="9"/>
    <n v="0.25"/>
    <n v="430"/>
    <x v="95"/>
    <n v="43"/>
    <n v="1.1944444444444444"/>
    <n v="99"/>
    <n v="2.75"/>
    <n v="181"/>
    <n v="5.0277777777777777"/>
  </r>
  <r>
    <s v="Malik Rose"/>
    <s v="2005-06"/>
    <x v="98"/>
    <n v="31"/>
    <n v="310"/>
    <n v="72"/>
    <n v="11190"/>
    <n v="270"/>
    <n v="3.75"/>
    <n v="105"/>
    <n v="281"/>
    <n v="374"/>
    <n v="10"/>
    <n v="10"/>
    <n v="1"/>
    <n v="107"/>
    <n v="137"/>
    <n v="0.78102189781021902"/>
    <n v="84"/>
    <n v="175"/>
    <n v="259"/>
    <n v="840"/>
    <n v="1750"/>
    <n v="2590"/>
    <n v="3.5972222222222223"/>
    <n v="67"/>
    <n v="0.93055555555555558"/>
    <n v="43"/>
    <n v="430"/>
    <n v="0.59722222222222221"/>
    <n v="140"/>
    <n v="14"/>
    <n v="0.19444444444444445"/>
    <n v="800"/>
    <x v="96"/>
    <n v="80"/>
    <n v="1.1111111111111112"/>
    <n v="145"/>
    <n v="2.0138888888888888"/>
    <n v="318"/>
    <n v="4.416666666666667"/>
  </r>
  <r>
    <s v="Maurice Taylor"/>
    <s v="2005-06"/>
    <x v="99"/>
    <n v="29"/>
    <n v="290"/>
    <n v="67"/>
    <n v="12100"/>
    <n v="227"/>
    <n v="3.3880597014925371"/>
    <n v="182"/>
    <n v="389"/>
    <n v="468"/>
    <n v="0"/>
    <n v="10"/>
    <n v="0"/>
    <n v="58"/>
    <n v="83"/>
    <n v="0.6987951807228916"/>
    <n v="65"/>
    <n v="164"/>
    <n v="229"/>
    <n v="650"/>
    <n v="1640"/>
    <n v="2290"/>
    <n v="3.4179104477611939"/>
    <n v="53"/>
    <n v="0.79104477611940294"/>
    <n v="21"/>
    <n v="210"/>
    <n v="0.31343283582089554"/>
    <n v="140"/>
    <n v="14"/>
    <n v="0.20895522388059701"/>
    <n v="1030"/>
    <x v="97"/>
    <n v="103"/>
    <n v="1.5373134328358209"/>
    <n v="177"/>
    <n v="2.6417910447761193"/>
    <n v="422"/>
    <n v="6.2985074626865671"/>
  </r>
  <r>
    <s v="Ime Udoka"/>
    <s v="2005-06"/>
    <x v="100"/>
    <n v="28"/>
    <n v="280"/>
    <n v="8"/>
    <n v="1140"/>
    <n v="18"/>
    <n v="2.25"/>
    <n v="9"/>
    <n v="24"/>
    <n v="375"/>
    <n v="10"/>
    <n v="30"/>
    <n v="0.33333333333333331"/>
    <n v="3"/>
    <n v="6"/>
    <n v="0.5"/>
    <n v="3"/>
    <n v="14"/>
    <n v="17"/>
    <n v="30"/>
    <n v="140"/>
    <n v="170"/>
    <n v="2.125"/>
    <n v="6"/>
    <n v="0.75"/>
    <n v="1"/>
    <n v="10"/>
    <n v="0.125"/>
    <n v="0"/>
    <n v="0"/>
    <n v="0"/>
    <n v="20"/>
    <x v="98"/>
    <n v="2"/>
    <n v="0.25"/>
    <n v="8"/>
    <n v="1"/>
    <n v="22"/>
    <n v="2.75"/>
  </r>
  <r>
    <s v="Anfernee Hardaway"/>
    <s v="2005-06"/>
    <x v="101"/>
    <n v="34"/>
    <n v="340"/>
    <n v="4"/>
    <n v="720"/>
    <n v="7"/>
    <n v="1.75"/>
    <n v="4"/>
    <n v="14"/>
    <n v="0.2857142857142857"/>
    <n v="0"/>
    <n v="10"/>
    <n v="0"/>
    <n v="2"/>
    <n v="2"/>
    <n v="1"/>
    <n v="0"/>
    <n v="10"/>
    <n v="10"/>
    <n v="0"/>
    <n v="100"/>
    <n v="100"/>
    <n v="2.5"/>
    <n v="8"/>
    <n v="2"/>
    <n v="2"/>
    <n v="20"/>
    <n v="0.5"/>
    <n v="0"/>
    <n v="0"/>
    <n v="0"/>
    <n v="60"/>
    <x v="53"/>
    <n v="6"/>
    <n v="1.5"/>
    <n v="7"/>
    <n v="1.75"/>
    <n v="10"/>
    <n v="2.5"/>
  </r>
  <r>
    <s v="Jerome James"/>
    <s v="2005-06"/>
    <x v="102"/>
    <n v="30"/>
    <n v="300"/>
    <n v="45"/>
    <n v="4060"/>
    <n v="31"/>
    <n v="0.68888888888888888"/>
    <n v="56"/>
    <n v="121"/>
    <n v="463"/>
    <n v="0"/>
    <n v="0"/>
    <e v="#DIV/0!"/>
    <n v="25"/>
    <n v="40"/>
    <n v="0.625"/>
    <n v="39"/>
    <n v="52"/>
    <n v="91"/>
    <n v="390"/>
    <n v="520"/>
    <n v="910"/>
    <n v="2.0222222222222221"/>
    <n v="12"/>
    <n v="0.26666666666666666"/>
    <n v="3"/>
    <n v="30"/>
    <n v="6.6666666666666666E-2"/>
    <n v="230"/>
    <n v="23"/>
    <n v="0.51111111111111107"/>
    <n v="510"/>
    <x v="99"/>
    <n v="51"/>
    <n v="1.1333333333333333"/>
    <n v="104"/>
    <n v="2.3111111111111109"/>
    <n v="137"/>
    <n v="3.0444444444444443"/>
  </r>
  <r>
    <s v="David Lee"/>
    <s v="2006-07"/>
    <x v="103"/>
    <n v="24"/>
    <n v="240"/>
    <n v="58"/>
    <n v="17270"/>
    <n v="959"/>
    <n v="16.53448275862069"/>
    <n v="240"/>
    <n v="400"/>
    <n v="0.6"/>
    <n v="0"/>
    <n v="0"/>
    <e v="#DIV/0!"/>
    <n v="141"/>
    <n v="173"/>
    <n v="0.81502890173410403"/>
    <n v="196"/>
    <n v="406"/>
    <n v="602"/>
    <n v="1960"/>
    <n v="4060"/>
    <n v="6020"/>
    <n v="10.379310344827585"/>
    <n v="104"/>
    <n v="1.7931034482758621"/>
    <n v="48"/>
    <n v="480"/>
    <n v="0.82758620689655171"/>
    <n v="230"/>
    <n v="23"/>
    <n v="0.39655172413793105"/>
    <n v="920"/>
    <x v="100"/>
    <n v="92"/>
    <n v="1.5862068965517242"/>
    <n v="155"/>
    <n v="2.6724137931034484"/>
    <n v="621"/>
    <n v="10.706896551724139"/>
  </r>
  <r>
    <s v="Eddy Curry"/>
    <s v="2006-07"/>
    <x v="104"/>
    <n v="24"/>
    <n v="240"/>
    <n v="81"/>
    <n v="28490"/>
    <n v="1044"/>
    <n v="12.888888888888889"/>
    <n v="585"/>
    <n v="1016"/>
    <n v="576"/>
    <n v="10"/>
    <n v="10"/>
    <n v="1"/>
    <n v="405"/>
    <n v="659"/>
    <n v="0.61456752655538693"/>
    <n v="195"/>
    <n v="376"/>
    <n v="571"/>
    <n v="1950"/>
    <n v="3760"/>
    <n v="5710"/>
    <n v="7.0493827160493829"/>
    <n v="68"/>
    <n v="0.83950617283950613"/>
    <n v="34"/>
    <n v="340"/>
    <n v="0.41975308641975306"/>
    <n v="400"/>
    <n v="40"/>
    <n v="0.49382716049382713"/>
    <n v="2950"/>
    <x v="101"/>
    <n v="295"/>
    <n v="3.6419753086419755"/>
    <n v="265"/>
    <n v="3.2716049382716048"/>
    <n v="1576"/>
    <n v="19.456790123456791"/>
  </r>
  <r>
    <s v="Stephon Marbury"/>
    <s v="2006-07"/>
    <x v="105"/>
    <n v="30"/>
    <n v="300"/>
    <n v="74"/>
    <n v="27480"/>
    <n v="897"/>
    <n v="12.121621621621621"/>
    <n v="395"/>
    <n v="952"/>
    <n v="0.41491596638655465"/>
    <n v="1230"/>
    <n v="3450"/>
    <n v="0.35652173913043478"/>
    <n v="297"/>
    <n v="386"/>
    <n v="0.76943005181347146"/>
    <n v="36"/>
    <n v="177"/>
    <n v="213"/>
    <n v="360"/>
    <n v="1770"/>
    <n v="2130"/>
    <n v="2.8783783783783785"/>
    <n v="403"/>
    <n v="5.4459459459459456"/>
    <n v="71"/>
    <n v="710"/>
    <n v="0.95945945945945943"/>
    <n v="100"/>
    <n v="10"/>
    <n v="0.13513513513513514"/>
    <n v="1790"/>
    <x v="102"/>
    <n v="179"/>
    <n v="2.4189189189189189"/>
    <n v="185"/>
    <n v="2.5"/>
    <n v="1210"/>
    <n v="16.351351351351351"/>
  </r>
  <r>
    <s v="Quentin Richardson"/>
    <s v="2006-07"/>
    <x v="106"/>
    <n v="27"/>
    <n v="270"/>
    <n v="49"/>
    <n v="16210"/>
    <n v="582"/>
    <n v="11.877551020408163"/>
    <n v="228"/>
    <n v="545"/>
    <n v="418"/>
    <n v="970"/>
    <n v="2580"/>
    <n v="0.37596899224806202"/>
    <n v="83"/>
    <n v="120"/>
    <n v="0.69166666666666665"/>
    <n v="65"/>
    <n v="287"/>
    <n v="352"/>
    <n v="650"/>
    <n v="2870"/>
    <n v="3520"/>
    <n v="7.1836734693877551"/>
    <n v="108"/>
    <n v="2.204081632653061"/>
    <n v="36"/>
    <n v="360"/>
    <n v="0.73469387755102045"/>
    <n v="70"/>
    <n v="7"/>
    <n v="0.14285714285714285"/>
    <n v="700"/>
    <x v="103"/>
    <n v="70"/>
    <n v="1.4285714285714286"/>
    <n v="133"/>
    <n v="2.7142857142857144"/>
    <n v="636"/>
    <n v="12.979591836734693"/>
  </r>
  <r>
    <s v="Jamal Crawford"/>
    <s v="2006-07"/>
    <x v="107"/>
    <n v="27"/>
    <n v="270"/>
    <n v="59"/>
    <n v="21980"/>
    <n v="700"/>
    <n v="11.864406779661017"/>
    <n v="354"/>
    <n v="886"/>
    <n v="4"/>
    <n v="1030"/>
    <n v="3220"/>
    <n v="0.31987577639751552"/>
    <n v="228"/>
    <n v="272"/>
    <n v="0.83823529411764708"/>
    <n v="44"/>
    <n v="145"/>
    <n v="189"/>
    <n v="440"/>
    <n v="1450"/>
    <n v="1890"/>
    <n v="3.2033898305084745"/>
    <n v="259"/>
    <n v="4.3898305084745761"/>
    <n v="57"/>
    <n v="570"/>
    <n v="0.96610169491525422"/>
    <n v="80"/>
    <n v="8"/>
    <n v="0.13559322033898305"/>
    <n v="1620"/>
    <x v="104"/>
    <n v="162"/>
    <n v="2.7457627118644066"/>
    <n v="114"/>
    <n v="1.9322033898305084"/>
    <n v="1039"/>
    <n v="17.610169491525422"/>
  </r>
  <r>
    <s v="Steve Francis"/>
    <s v="2006-07"/>
    <x v="108"/>
    <n v="30"/>
    <n v="300"/>
    <n v="44"/>
    <n v="12370"/>
    <n v="412"/>
    <n v="9.3636363636363633"/>
    <n v="140"/>
    <n v="343"/>
    <n v="0.40816326530612246"/>
    <n v="420"/>
    <n v="1110"/>
    <n v="0.3783783783783784"/>
    <n v="175"/>
    <n v="211"/>
    <n v="0.82938388625592419"/>
    <n v="33"/>
    <n v="124"/>
    <n v="157"/>
    <n v="330"/>
    <n v="1240"/>
    <n v="1570"/>
    <n v="3.5681818181818183"/>
    <n v="170"/>
    <n v="3.8636363636363638"/>
    <n v="41"/>
    <n v="410"/>
    <n v="0.93181818181818177"/>
    <n v="120"/>
    <n v="12"/>
    <n v="0.27272727272727271"/>
    <n v="1000"/>
    <x v="105"/>
    <n v="100"/>
    <n v="2.2727272727272729"/>
    <n v="126"/>
    <n v="2.8636363636363638"/>
    <n v="497"/>
    <n v="11.295454545454545"/>
  </r>
  <r>
    <s v="Channing Frye"/>
    <s v="2006-07"/>
    <x v="109"/>
    <n v="24"/>
    <n v="240"/>
    <n v="72"/>
    <n v="18990"/>
    <n v="494"/>
    <n v="6.8611111111111107"/>
    <n v="298"/>
    <n v="689"/>
    <n v="433"/>
    <n v="30"/>
    <n v="180"/>
    <n v="0.16666666666666666"/>
    <n v="85"/>
    <n v="108"/>
    <n v="0.78703703703703709"/>
    <n v="91"/>
    <n v="304"/>
    <n v="395"/>
    <n v="910"/>
    <n v="3040"/>
    <n v="3950"/>
    <n v="5.4861111111111107"/>
    <n v="67"/>
    <n v="0.93055555555555558"/>
    <n v="36"/>
    <n v="360"/>
    <n v="0.5"/>
    <n v="420"/>
    <n v="42"/>
    <n v="0.58333333333333337"/>
    <n v="1000"/>
    <x v="106"/>
    <n v="100"/>
    <n v="1.3888888888888888"/>
    <n v="216"/>
    <n v="3"/>
    <n v="684"/>
    <n v="9.5"/>
  </r>
  <r>
    <s v="Nate Robinson"/>
    <s v="2006-07"/>
    <x v="110"/>
    <n v="23"/>
    <n v="230"/>
    <n v="64"/>
    <n v="13560"/>
    <n v="384"/>
    <n v="6"/>
    <n v="227"/>
    <n v="523"/>
    <n v="0.4340344168260038"/>
    <n v="830"/>
    <n v="2130"/>
    <n v="0.38967136150234744"/>
    <n v="108"/>
    <n v="139"/>
    <n v="0.7769784172661871"/>
    <n v="55"/>
    <n v="97"/>
    <n v="152"/>
    <n v="550"/>
    <n v="970"/>
    <n v="1520"/>
    <n v="2.375"/>
    <n v="90"/>
    <n v="1.40625"/>
    <n v="50"/>
    <n v="500"/>
    <n v="0.78125"/>
    <n v="60"/>
    <n v="6"/>
    <n v="9.375E-2"/>
    <n v="720"/>
    <x v="107"/>
    <n v="72"/>
    <n v="1.125"/>
    <n v="160"/>
    <n v="2.5"/>
    <n v="645"/>
    <n v="10.078125"/>
  </r>
  <r>
    <s v="Renaldo Balkman"/>
    <s v="2006-07"/>
    <x v="111"/>
    <n v="22"/>
    <n v="220"/>
    <n v="68"/>
    <n v="10640"/>
    <n v="403"/>
    <n v="5.9264705882352944"/>
    <n v="139"/>
    <n v="275"/>
    <n v="0.50545454545454549"/>
    <n v="50"/>
    <n v="270"/>
    <n v="0.18518518518518517"/>
    <n v="51"/>
    <n v="90"/>
    <n v="0.56666666666666665"/>
    <n v="97"/>
    <n v="197"/>
    <n v="294"/>
    <n v="970"/>
    <n v="1970"/>
    <n v="2940"/>
    <n v="4.3235294117647056"/>
    <n v="44"/>
    <n v="0.6470588235294118"/>
    <n v="57"/>
    <n v="570"/>
    <n v="0.83823529411764708"/>
    <n v="440"/>
    <n v="44"/>
    <n v="0.6470588235294118"/>
    <n v="490"/>
    <x v="108"/>
    <n v="49"/>
    <n v="0.72058823529411764"/>
    <n v="146"/>
    <n v="2.1470588235294117"/>
    <n v="334"/>
    <n v="4.9117647058823533"/>
  </r>
  <r>
    <s v="Jared Jeffries"/>
    <s v="2006-07"/>
    <x v="112"/>
    <n v="25"/>
    <n v="250"/>
    <n v="55"/>
    <n v="13070"/>
    <n v="243"/>
    <n v="4.418181818181818"/>
    <n v="95"/>
    <n v="206"/>
    <n v="461"/>
    <n v="20"/>
    <n v="200"/>
    <n v="0.1"/>
    <n v="31"/>
    <n v="68"/>
    <n v="0.45588235294117646"/>
    <n v="111"/>
    <n v="127"/>
    <n v="238"/>
    <n v="1110"/>
    <n v="1270"/>
    <n v="2380"/>
    <n v="4.3272727272727272"/>
    <n v="67"/>
    <n v="1.2181818181818183"/>
    <n v="44"/>
    <n v="440"/>
    <n v="0.8"/>
    <n v="300"/>
    <n v="30"/>
    <n v="0.54545454545454541"/>
    <n v="610"/>
    <x v="109"/>
    <n v="61"/>
    <n v="1.1090909090909091"/>
    <n v="150"/>
    <n v="2.7272727272727271"/>
    <n v="223"/>
    <n v="4.0545454545454547"/>
  </r>
  <r>
    <s v="Mardy Collins"/>
    <s v="2006-07"/>
    <x v="113"/>
    <n v="22"/>
    <n v="220"/>
    <n v="52"/>
    <n v="7770"/>
    <n v="150"/>
    <n v="2.8846153846153846"/>
    <n v="87"/>
    <n v="228"/>
    <n v="382"/>
    <n v="130"/>
    <n v="470"/>
    <n v="0.27659574468085107"/>
    <n v="48"/>
    <n v="82"/>
    <n v="0.58536585365853655"/>
    <n v="28"/>
    <n v="76"/>
    <n v="104"/>
    <n v="280"/>
    <n v="760"/>
    <n v="1040"/>
    <n v="2"/>
    <n v="83"/>
    <n v="1.5961538461538463"/>
    <n v="32"/>
    <n v="320"/>
    <n v="0.61538461538461542"/>
    <n v="30"/>
    <n v="3"/>
    <n v="5.7692307692307696E-2"/>
    <n v="570"/>
    <x v="110"/>
    <n v="57"/>
    <n v="1.0961538461538463"/>
    <n v="75"/>
    <n v="1.4423076923076923"/>
    <n v="235"/>
    <n v="4.5192307692307692"/>
  </r>
  <r>
    <s v="Malik Rose"/>
    <s v="2006-07"/>
    <x v="114"/>
    <n v="32"/>
    <n v="320"/>
    <n v="65"/>
    <n v="8100"/>
    <n v="160"/>
    <n v="2.4615384615384617"/>
    <n v="74"/>
    <n v="186"/>
    <n v="398"/>
    <n v="20"/>
    <n v="80"/>
    <n v="0.25"/>
    <n v="42"/>
    <n v="52"/>
    <n v="0.80769230769230771"/>
    <n v="47"/>
    <n v="128"/>
    <n v="175"/>
    <n v="470"/>
    <n v="1280"/>
    <n v="1750"/>
    <n v="2.6923076923076925"/>
    <n v="65"/>
    <n v="1"/>
    <n v="26"/>
    <n v="260"/>
    <n v="0.4"/>
    <n v="90"/>
    <n v="9"/>
    <n v="0.13846153846153847"/>
    <n v="650"/>
    <x v="111"/>
    <n v="65"/>
    <n v="1"/>
    <n v="120"/>
    <n v="1.8461538461538463"/>
    <n v="192"/>
    <n v="2.953846153846154"/>
  </r>
  <r>
    <s v="Kelvin Cato"/>
    <s v="2006-07"/>
    <x v="115"/>
    <n v="32"/>
    <n v="320"/>
    <n v="18"/>
    <n v="950"/>
    <n v="31"/>
    <n v="1.7222222222222223"/>
    <n v="7"/>
    <n v="22"/>
    <n v="0.31818181818181818"/>
    <n v="0"/>
    <n v="0"/>
    <e v="#DIV/0!"/>
    <n v="8"/>
    <n v="12"/>
    <n v="0.66666666666666663"/>
    <n v="12"/>
    <n v="19"/>
    <n v="31"/>
    <n v="120"/>
    <n v="190"/>
    <n v="310"/>
    <n v="1.7222222222222223"/>
    <n v="0"/>
    <n v="0"/>
    <n v="3"/>
    <n v="30"/>
    <n v="0.16666666666666666"/>
    <n v="100"/>
    <n v="10"/>
    <n v="0.55555555555555558"/>
    <n v="60"/>
    <x v="112"/>
    <n v="6"/>
    <n v="0.33333333333333331"/>
    <n v="10"/>
    <n v="0.55555555555555558"/>
    <n v="22"/>
    <n v="1.2222222222222223"/>
  </r>
  <r>
    <s v="Randolph Morris"/>
    <s v="2006-07"/>
    <x v="116"/>
    <n v="21"/>
    <n v="210"/>
    <n v="5"/>
    <n v="440"/>
    <n v="2"/>
    <n v="0.4"/>
    <n v="1"/>
    <n v="6"/>
    <n v="0.16666666666666666"/>
    <n v="0"/>
    <n v="0"/>
    <e v="#DIV/0!"/>
    <n v="2"/>
    <n v="6"/>
    <n v="0.33333333333333331"/>
    <n v="1"/>
    <n v="8"/>
    <n v="9"/>
    <n v="10"/>
    <n v="80"/>
    <n v="90"/>
    <n v="1.8"/>
    <n v="1"/>
    <n v="0.2"/>
    <n v="2"/>
    <n v="20"/>
    <n v="0.4"/>
    <n v="10"/>
    <n v="1"/>
    <n v="0.2"/>
    <n v="20"/>
    <x v="113"/>
    <n v="2"/>
    <n v="0.4"/>
    <n v="4"/>
    <n v="0.8"/>
    <n v="4"/>
    <n v="0.8"/>
  </r>
  <r>
    <s v="Jerome James"/>
    <s v="2006-07"/>
    <x v="117"/>
    <n v="31"/>
    <n v="310"/>
    <n v="41"/>
    <n v="2730"/>
    <n v="16"/>
    <n v="0.3902439024390244"/>
    <n v="33"/>
    <n v="79"/>
    <n v="418"/>
    <n v="0"/>
    <n v="0"/>
    <e v="#DIV/0!"/>
    <n v="10"/>
    <n v="18"/>
    <n v="0.55555555555555558"/>
    <n v="21"/>
    <n v="45"/>
    <n v="66"/>
    <n v="210"/>
    <n v="450"/>
    <n v="660"/>
    <n v="1.6097560975609757"/>
    <n v="3"/>
    <n v="7.3170731707317069E-2"/>
    <n v="6"/>
    <n v="60"/>
    <n v="0.14634146341463414"/>
    <n v="150"/>
    <n v="15"/>
    <n v="0.36585365853658536"/>
    <n v="230"/>
    <x v="114"/>
    <n v="23"/>
    <n v="0.56097560975609762"/>
    <n v="73"/>
    <n v="1.7804878048780488"/>
    <n v="76"/>
    <n v="1.8536585365853659"/>
  </r>
  <r>
    <s v="Zach Randolph"/>
    <s v="2007-08"/>
    <x v="118"/>
    <n v="26"/>
    <n v="260"/>
    <n v="69"/>
    <n v="22440"/>
    <n v="1124"/>
    <n v="16.289855072463769"/>
    <n v="486"/>
    <n v="1058"/>
    <n v="459"/>
    <n v="220"/>
    <n v="800"/>
    <n v="0.27500000000000002"/>
    <n v="223"/>
    <n v="289"/>
    <n v="0.77162629757785473"/>
    <n v="184"/>
    <n v="526"/>
    <n v="710"/>
    <n v="1840"/>
    <n v="5260"/>
    <n v="7100"/>
    <n v="10.289855072463768"/>
    <n v="140"/>
    <n v="2.0289855072463769"/>
    <n v="59"/>
    <n v="590"/>
    <n v="0.85507246376811596"/>
    <n v="160"/>
    <n v="16"/>
    <n v="0.2318840579710145"/>
    <n v="1860"/>
    <x v="115"/>
    <n v="186"/>
    <n v="2.6956521739130435"/>
    <n v="194"/>
    <n v="2.8115942028985508"/>
    <n v="1217"/>
    <n v="17.637681159420289"/>
  </r>
  <r>
    <s v="Jamal Crawford"/>
    <s v="2007-08"/>
    <x v="119"/>
    <n v="28"/>
    <n v="280"/>
    <n v="80"/>
    <n v="31900"/>
    <n v="1139"/>
    <n v="14.237500000000001"/>
    <n v="570"/>
    <n v="1391"/>
    <n v="41"/>
    <n v="1760"/>
    <n v="4940"/>
    <n v="0.35627530364372467"/>
    <n v="329"/>
    <n v="381"/>
    <n v="0.86351706036745401"/>
    <n v="37"/>
    <n v="170"/>
    <n v="207"/>
    <n v="370"/>
    <n v="1700"/>
    <n v="2070"/>
    <n v="2.5874999999999999"/>
    <n v="398"/>
    <n v="4.9749999999999996"/>
    <n v="81"/>
    <n v="810"/>
    <n v="1.0125"/>
    <n v="170"/>
    <n v="17"/>
    <n v="0.21249999999999999"/>
    <n v="1920"/>
    <x v="116"/>
    <n v="192"/>
    <n v="2.4"/>
    <n v="144"/>
    <n v="1.8"/>
    <n v="1645"/>
    <n v="20.5625"/>
  </r>
  <r>
    <s v="David Lee"/>
    <s v="2007-08"/>
    <x v="120"/>
    <n v="25"/>
    <n v="250"/>
    <n v="81"/>
    <n v="23560"/>
    <n v="1152"/>
    <n v="14.222222222222221"/>
    <n v="341"/>
    <n v="618"/>
    <n v="0.55177993527508096"/>
    <n v="0"/>
    <n v="20"/>
    <n v="0"/>
    <n v="194"/>
    <n v="237"/>
    <n v="0.81856540084388185"/>
    <n v="242"/>
    <n v="482"/>
    <n v="724"/>
    <n v="2420"/>
    <n v="4820"/>
    <n v="7240"/>
    <n v="8.9382716049382722"/>
    <n v="95"/>
    <n v="1.1728395061728396"/>
    <n v="55"/>
    <n v="550"/>
    <n v="0.67901234567901236"/>
    <n v="290"/>
    <n v="29"/>
    <n v="0.35802469135802467"/>
    <n v="970"/>
    <x v="117"/>
    <n v="97"/>
    <n v="1.1975308641975309"/>
    <n v="210"/>
    <n v="2.5925925925925926"/>
    <n v="876"/>
    <n v="10.814814814814815"/>
  </r>
  <r>
    <s v="Stephon Marbury"/>
    <s v="2007-08"/>
    <x v="121"/>
    <n v="31"/>
    <n v="310"/>
    <n v="24"/>
    <n v="8050"/>
    <n v="236"/>
    <n v="9.8333333333333339"/>
    <n v="111"/>
    <n v="265"/>
    <n v="0.4188679245283019"/>
    <n v="280"/>
    <n v="740"/>
    <n v="0.3783783783783784"/>
    <n v="83"/>
    <n v="116"/>
    <n v="0.71551724137931039"/>
    <n v="17"/>
    <n v="42"/>
    <n v="59"/>
    <n v="170"/>
    <n v="420"/>
    <n v="590"/>
    <n v="2.4583333333333335"/>
    <n v="113"/>
    <n v="4.708333333333333"/>
    <n v="21"/>
    <n v="210"/>
    <n v="0.875"/>
    <n v="20"/>
    <n v="2"/>
    <n v="8.3333333333333329E-2"/>
    <n v="480"/>
    <x v="118"/>
    <n v="48"/>
    <n v="2"/>
    <n v="57"/>
    <n v="2.375"/>
    <n v="333"/>
    <n v="13.875"/>
  </r>
  <r>
    <s v="Nate Robinson"/>
    <s v="2007-08"/>
    <x v="122"/>
    <n v="24"/>
    <n v="240"/>
    <n v="72"/>
    <n v="18830"/>
    <n v="626"/>
    <n v="8.6944444444444446"/>
    <n v="331"/>
    <n v="782"/>
    <n v="0.42327365728900257"/>
    <n v="970"/>
    <n v="2920"/>
    <n v="0.3321917808219178"/>
    <n v="154"/>
    <n v="196"/>
    <n v="0.7857142857142857"/>
    <n v="51"/>
    <n v="171"/>
    <n v="222"/>
    <n v="510"/>
    <n v="1710"/>
    <n v="2220"/>
    <n v="3.0833333333333335"/>
    <n v="212"/>
    <n v="2.9444444444444446"/>
    <n v="60"/>
    <n v="600"/>
    <n v="0.83333333333333337"/>
    <n v="10"/>
    <n v="1"/>
    <n v="1.3888888888888888E-2"/>
    <n v="1030"/>
    <x v="119"/>
    <n v="103"/>
    <n v="1.4305555555555556"/>
    <n v="186"/>
    <n v="2.5833333333333335"/>
    <n v="913"/>
    <n v="12.680555555555555"/>
  </r>
  <r>
    <s v="Eddy Curry"/>
    <s v="2007-08"/>
    <x v="123"/>
    <n v="25"/>
    <n v="250"/>
    <n v="59"/>
    <n v="15300"/>
    <n v="488"/>
    <n v="8.2711864406779654"/>
    <n v="297"/>
    <n v="544"/>
    <n v="546"/>
    <n v="0"/>
    <n v="0"/>
    <e v="#DIV/0!"/>
    <n v="187"/>
    <n v="300"/>
    <n v="0.62333333333333329"/>
    <n v="111"/>
    <n v="164"/>
    <n v="275"/>
    <n v="1110"/>
    <n v="1640"/>
    <n v="2750"/>
    <n v="4.6610169491525424"/>
    <n v="32"/>
    <n v="0.5423728813559322"/>
    <n v="14"/>
    <n v="140"/>
    <n v="0.23728813559322035"/>
    <n v="290"/>
    <n v="29"/>
    <n v="0.49152542372881358"/>
    <n v="1260"/>
    <x v="120"/>
    <n v="126"/>
    <n v="2.1355932203389831"/>
    <n v="157"/>
    <n v="2.6610169491525424"/>
    <n v="781"/>
    <n v="13.23728813559322"/>
  </r>
  <r>
    <s v="Quentin Richardson"/>
    <s v="2007-08"/>
    <x v="124"/>
    <n v="28"/>
    <n v="280"/>
    <n v="65"/>
    <n v="18410"/>
    <n v="411"/>
    <n v="6.3230769230769228"/>
    <n v="199"/>
    <n v="555"/>
    <n v="359"/>
    <n v="690"/>
    <n v="2140"/>
    <n v="0.32242990654205606"/>
    <n v="60"/>
    <n v="88"/>
    <n v="0.68181818181818177"/>
    <n v="56"/>
    <n v="259"/>
    <n v="315"/>
    <n v="560"/>
    <n v="2590"/>
    <n v="3150"/>
    <n v="4.8461538461538458"/>
    <n v="116"/>
    <n v="1.7846153846153847"/>
    <n v="44"/>
    <n v="440"/>
    <n v="0.67692307692307696"/>
    <n v="150"/>
    <n v="15"/>
    <n v="0.23076923076923078"/>
    <n v="690"/>
    <x v="121"/>
    <n v="69"/>
    <n v="1.0615384615384615"/>
    <n v="153"/>
    <n v="2.3538461538461539"/>
    <n v="527"/>
    <n v="8.1076923076923073"/>
  </r>
  <r>
    <s v="Fred Jones"/>
    <s v="2007-08"/>
    <x v="125"/>
    <n v="29"/>
    <n v="290"/>
    <n v="70"/>
    <n v="17570"/>
    <n v="434"/>
    <n v="6.2"/>
    <n v="182"/>
    <n v="432"/>
    <n v="421"/>
    <n v="740"/>
    <n v="1920"/>
    <n v="0.38541666666666669"/>
    <n v="94"/>
    <n v="126"/>
    <n v="0.74603174603174605"/>
    <n v="30"/>
    <n v="140"/>
    <n v="170"/>
    <n v="300"/>
    <n v="1400"/>
    <n v="1700"/>
    <n v="2.4285714285714284"/>
    <n v="166"/>
    <n v="2.3714285714285714"/>
    <n v="48"/>
    <n v="480"/>
    <n v="0.68571428571428572"/>
    <n v="180"/>
    <n v="18"/>
    <n v="0.25714285714285712"/>
    <n v="780"/>
    <x v="122"/>
    <n v="78"/>
    <n v="1.1142857142857143"/>
    <n v="140"/>
    <n v="2"/>
    <n v="532"/>
    <n v="7.6"/>
  </r>
  <r>
    <s v="Wilson Chandler"/>
    <s v="2007-08"/>
    <x v="126"/>
    <n v="21"/>
    <n v="210"/>
    <n v="35"/>
    <n v="6850"/>
    <n v="180"/>
    <n v="5.1428571428571432"/>
    <n v="106"/>
    <n v="242"/>
    <n v="0.43801652892561982"/>
    <n v="90"/>
    <n v="300"/>
    <n v="0.3"/>
    <n v="34"/>
    <n v="54"/>
    <n v="0.62962962962962965"/>
    <n v="38"/>
    <n v="89"/>
    <n v="127"/>
    <n v="380"/>
    <n v="890"/>
    <n v="1270"/>
    <n v="3.6285714285714286"/>
    <n v="33"/>
    <n v="0.94285714285714284"/>
    <n v="15"/>
    <n v="150"/>
    <n v="0.42857142857142855"/>
    <n v="160"/>
    <n v="16"/>
    <n v="0.45714285714285713"/>
    <n v="270"/>
    <x v="123"/>
    <n v="27"/>
    <n v="0.77142857142857146"/>
    <n v="83"/>
    <n v="2.3714285714285714"/>
    <n v="255"/>
    <n v="7.2857142857142856"/>
  </r>
  <r>
    <s v="Renaldo Balkman"/>
    <s v="2007-08"/>
    <x v="127"/>
    <n v="23"/>
    <n v="230"/>
    <n v="65"/>
    <n v="9520"/>
    <n v="236"/>
    <n v="3.6307692307692307"/>
    <n v="91"/>
    <n v="186"/>
    <n v="0.489247311827957"/>
    <n v="10"/>
    <n v="120"/>
    <n v="8.3333333333333329E-2"/>
    <n v="41"/>
    <n v="95"/>
    <n v="0.43157894736842106"/>
    <n v="83"/>
    <n v="133"/>
    <n v="216"/>
    <n v="830"/>
    <n v="1330"/>
    <n v="2160"/>
    <n v="3.3230769230769233"/>
    <n v="40"/>
    <n v="0.61538461538461542"/>
    <n v="44"/>
    <n v="440"/>
    <n v="0.67692307692307696"/>
    <n v="300"/>
    <n v="30"/>
    <n v="0.46153846153846156"/>
    <n v="370"/>
    <x v="124"/>
    <n v="37"/>
    <n v="0.56923076923076921"/>
    <n v="132"/>
    <n v="2.0307692307692307"/>
    <n v="224"/>
    <n v="3.4461538461538463"/>
  </r>
  <r>
    <s v="Jerome James"/>
    <s v="2007-08"/>
    <x v="128"/>
    <n v="32"/>
    <n v="320"/>
    <n v="2"/>
    <n v="50"/>
    <n v="7"/>
    <n v="3.5"/>
    <n v="1"/>
    <n v="1"/>
    <n v="10"/>
    <n v="0"/>
    <n v="0"/>
    <e v="#DIV/0!"/>
    <n v="2"/>
    <n v="2"/>
    <n v="1"/>
    <n v="0"/>
    <n v="3"/>
    <n v="3"/>
    <n v="0"/>
    <n v="30"/>
    <n v="30"/>
    <n v="1.5"/>
    <n v="0"/>
    <n v="0"/>
    <n v="0"/>
    <n v="0"/>
    <n v="0"/>
    <n v="0"/>
    <n v="0"/>
    <n v="0"/>
    <n v="0"/>
    <x v="62"/>
    <n v="0"/>
    <n v="0"/>
    <n v="0"/>
    <n v="0"/>
    <n v="4"/>
    <n v="2"/>
  </r>
  <r>
    <s v="Jared Jeffries"/>
    <s v="2007-08"/>
    <x v="129"/>
    <n v="26"/>
    <n v="260"/>
    <n v="73"/>
    <n v="13250"/>
    <n v="235"/>
    <n v="3.2191780821917808"/>
    <n v="108"/>
    <n v="270"/>
    <n v="4"/>
    <n v="40"/>
    <n v="250"/>
    <n v="0.16"/>
    <n v="49"/>
    <n v="93"/>
    <n v="0.5268817204301075"/>
    <n v="118"/>
    <n v="125"/>
    <n v="243"/>
    <n v="1180"/>
    <n v="1250"/>
    <n v="2430"/>
    <n v="3.3287671232876712"/>
    <n v="66"/>
    <n v="0.90410958904109584"/>
    <n v="36"/>
    <n v="360"/>
    <n v="0.49315068493150682"/>
    <n v="230"/>
    <n v="23"/>
    <n v="0.31506849315068491"/>
    <n v="640"/>
    <x v="125"/>
    <n v="64"/>
    <n v="0.87671232876712324"/>
    <n v="132"/>
    <n v="1.8082191780821917"/>
    <n v="269"/>
    <n v="3.6849315068493151"/>
  </r>
  <r>
    <s v="Mardy Collins"/>
    <s v="2007-08"/>
    <x v="130"/>
    <n v="23"/>
    <n v="230"/>
    <n v="46"/>
    <n v="6340"/>
    <n v="96"/>
    <n v="2.0869565217391304"/>
    <n v="57"/>
    <n v="175"/>
    <n v="326"/>
    <n v="80"/>
    <n v="320"/>
    <n v="0.25"/>
    <n v="23"/>
    <n v="38"/>
    <n v="0.60526315789473684"/>
    <n v="19"/>
    <n v="56"/>
    <n v="75"/>
    <n v="190"/>
    <n v="560"/>
    <n v="750"/>
    <n v="1.6304347826086956"/>
    <n v="89"/>
    <n v="1.9347826086956521"/>
    <n v="24"/>
    <n v="240"/>
    <n v="0.52173913043478259"/>
    <n v="80"/>
    <n v="8"/>
    <n v="0.17391304347826086"/>
    <n v="560"/>
    <x v="126"/>
    <n v="56"/>
    <n v="1.2173913043478262"/>
    <n v="56"/>
    <n v="1.2173913043478262"/>
    <n v="145"/>
    <n v="3.152173913043478"/>
  </r>
  <r>
    <s v="Malik Rose"/>
    <s v="2007-08"/>
    <x v="131"/>
    <n v="33"/>
    <n v="330"/>
    <n v="49"/>
    <n v="4940"/>
    <n v="77"/>
    <n v="1.5714285714285714"/>
    <n v="66"/>
    <n v="180"/>
    <n v="367"/>
    <n v="20"/>
    <n v="70"/>
    <n v="0.2857142857142857"/>
    <n v="37"/>
    <n v="51"/>
    <n v="0.72549019607843135"/>
    <n v="31"/>
    <n v="72"/>
    <n v="103"/>
    <n v="310"/>
    <n v="720"/>
    <n v="1030"/>
    <n v="2.1020408163265305"/>
    <n v="28"/>
    <n v="0.5714285714285714"/>
    <n v="16"/>
    <n v="160"/>
    <n v="0.32653061224489793"/>
    <n v="70"/>
    <n v="7"/>
    <n v="0.14285714285714285"/>
    <n v="400"/>
    <x v="59"/>
    <n v="40"/>
    <n v="0.81632653061224492"/>
    <n v="80"/>
    <n v="1.6326530612244898"/>
    <n v="171"/>
    <n v="3.489795918367347"/>
  </r>
  <r>
    <s v="Randolph Morris"/>
    <s v="2007-08"/>
    <x v="132"/>
    <n v="22"/>
    <n v="220"/>
    <n v="18"/>
    <n v="1810"/>
    <n v="3"/>
    <n v="0.16666666666666666"/>
    <n v="21"/>
    <n v="58"/>
    <n v="0.36206896551724138"/>
    <n v="0"/>
    <n v="0"/>
    <e v="#DIV/0!"/>
    <n v="14"/>
    <n v="29"/>
    <n v="0.48275862068965519"/>
    <n v="12"/>
    <n v="25"/>
    <n v="37"/>
    <n v="120"/>
    <n v="250"/>
    <n v="370"/>
    <n v="2.0555555555555554"/>
    <n v="2"/>
    <n v="0.1111111111111111"/>
    <n v="4"/>
    <n v="40"/>
    <n v="0.22222222222222221"/>
    <n v="20"/>
    <n v="2"/>
    <n v="0.1111111111111111"/>
    <n v="90"/>
    <x v="127"/>
    <n v="9"/>
    <n v="0.5"/>
    <n v="37"/>
    <n v="2.0555555555555554"/>
    <n v="56"/>
    <n v="3.1111111111111112"/>
  </r>
  <r>
    <s v="Zach Randolph"/>
    <s v="2008-09"/>
    <x v="133"/>
    <n v="27"/>
    <n v="270"/>
    <n v="11"/>
    <n v="3880"/>
    <n v="224"/>
    <n v="20.363636363636363"/>
    <n v="82"/>
    <n v="189"/>
    <n v="434"/>
    <n v="70"/>
    <n v="240"/>
    <n v="0.29166666666666669"/>
    <n v="55"/>
    <n v="67"/>
    <n v="0.82089552238805974"/>
    <n v="40"/>
    <n v="97"/>
    <n v="137"/>
    <n v="400"/>
    <n v="970"/>
    <n v="1370"/>
    <n v="12.454545454545455"/>
    <n v="15"/>
    <n v="1.3636363636363635"/>
    <n v="13"/>
    <n v="130"/>
    <n v="1.1818181818181819"/>
    <n v="30"/>
    <n v="3"/>
    <n v="0.27272727272727271"/>
    <n v="230"/>
    <x v="128"/>
    <n v="23"/>
    <n v="2.0909090909090908"/>
    <n v="28"/>
    <n v="2.5454545454545454"/>
    <n v="226"/>
    <n v="20.545454545454547"/>
  </r>
  <r>
    <s v="David Lee"/>
    <s v="2008-09"/>
    <x v="134"/>
    <n v="26"/>
    <n v="260"/>
    <n v="81"/>
    <n v="28240"/>
    <n v="1600"/>
    <n v="19.753086419753085"/>
    <n v="522"/>
    <n v="951"/>
    <n v="0.54889589905362779"/>
    <n v="0"/>
    <n v="30"/>
    <n v="0"/>
    <n v="249"/>
    <n v="330"/>
    <n v="0.75454545454545452"/>
    <n v="256"/>
    <n v="695"/>
    <n v="951"/>
    <n v="2560"/>
    <n v="6950"/>
    <n v="9510"/>
    <n v="11.74074074074074"/>
    <n v="174"/>
    <n v="2.1481481481481484"/>
    <n v="80"/>
    <n v="800"/>
    <n v="0.98765432098765427"/>
    <n v="220"/>
    <n v="22"/>
    <n v="0.27160493827160492"/>
    <n v="1500"/>
    <x v="129"/>
    <n v="150"/>
    <n v="1.8518518518518519"/>
    <n v="260"/>
    <n v="3.2098765432098766"/>
    <n v="1293"/>
    <n v="15.962962962962964"/>
  </r>
  <r>
    <s v="Al Harrington"/>
    <s v="2008-09"/>
    <x v="135"/>
    <n v="29"/>
    <n v="290"/>
    <n v="68"/>
    <n v="23800"/>
    <n v="973"/>
    <n v="14.308823529411764"/>
    <n v="509"/>
    <n v="1142"/>
    <n v="0.44570928196147108"/>
    <n v="1600"/>
    <n v="4420"/>
    <n v="0.36199095022624433"/>
    <n v="229"/>
    <n v="285"/>
    <n v="0.80350877192982462"/>
    <n v="89"/>
    <n v="338"/>
    <n v="427"/>
    <n v="890"/>
    <n v="3380"/>
    <n v="4270"/>
    <n v="6.2794117647058822"/>
    <n v="92"/>
    <n v="1.3529411764705883"/>
    <n v="81"/>
    <n v="810"/>
    <n v="1.1911764705882353"/>
    <n v="220"/>
    <n v="22"/>
    <n v="0.3235294117647059"/>
    <n v="1540"/>
    <x v="130"/>
    <n v="154"/>
    <n v="2.2647058823529411"/>
    <n v="213"/>
    <n v="3.1323529411764706"/>
    <n v="1407"/>
    <n v="20.691176470588236"/>
  </r>
  <r>
    <s v="Nate Robinson"/>
    <s v="2008-09"/>
    <x v="136"/>
    <n v="25"/>
    <n v="250"/>
    <n v="74"/>
    <n v="22090"/>
    <n v="993"/>
    <n v="13.418918918918919"/>
    <n v="449"/>
    <n v="1028"/>
    <n v="0.4367704280155642"/>
    <n v="1250"/>
    <n v="3850"/>
    <n v="0.32467532467532467"/>
    <n v="249"/>
    <n v="296"/>
    <n v="0.84121621621621623"/>
    <n v="98"/>
    <n v="192"/>
    <n v="290"/>
    <n v="980"/>
    <n v="1920"/>
    <n v="2900"/>
    <n v="3.9189189189189189"/>
    <n v="301"/>
    <n v="4.0675675675675675"/>
    <n v="95"/>
    <n v="950"/>
    <n v="1.2837837837837838"/>
    <n v="60"/>
    <n v="6"/>
    <n v="8.1081081081081086E-2"/>
    <n v="1390"/>
    <x v="131"/>
    <n v="139"/>
    <n v="1.8783783783783783"/>
    <n v="206"/>
    <n v="2.7837837837837838"/>
    <n v="1272"/>
    <n v="17.189189189189189"/>
  </r>
  <r>
    <s v="Jamal Crawford"/>
    <s v="2008-09"/>
    <x v="137"/>
    <n v="29"/>
    <n v="290"/>
    <n v="11"/>
    <n v="3920"/>
    <n v="144"/>
    <n v="13.090909090909092"/>
    <n v="73"/>
    <n v="169"/>
    <n v="432"/>
    <n v="350"/>
    <n v="770"/>
    <n v="0.45454545454545453"/>
    <n v="35"/>
    <n v="46"/>
    <n v="0.76086956521739135"/>
    <n v="2"/>
    <n v="15"/>
    <n v="17"/>
    <n v="20"/>
    <n v="150"/>
    <n v="170"/>
    <n v="1.5454545454545454"/>
    <n v="48"/>
    <n v="4.3636363636363633"/>
    <n v="9"/>
    <n v="90"/>
    <n v="0.81818181818181823"/>
    <n v="0"/>
    <n v="0"/>
    <n v="0"/>
    <n v="260"/>
    <x v="132"/>
    <n v="26"/>
    <n v="2.3636363636363638"/>
    <n v="13"/>
    <n v="1.1818181818181819"/>
    <n v="216"/>
    <n v="19.636363636363637"/>
  </r>
  <r>
    <s v="Chris Duhon"/>
    <s v="2008-09"/>
    <x v="138"/>
    <n v="26"/>
    <n v="260"/>
    <n v="79"/>
    <n v="29060"/>
    <n v="1000"/>
    <n v="12.658227848101266"/>
    <n v="287"/>
    <n v="681"/>
    <n v="0.42143906020558003"/>
    <n v="1270"/>
    <n v="3250"/>
    <n v="0.39076923076923076"/>
    <n v="179"/>
    <n v="209"/>
    <n v="0.8564593301435407"/>
    <n v="45"/>
    <n v="201"/>
    <n v="246"/>
    <n v="450"/>
    <n v="2010"/>
    <n v="2460"/>
    <n v="3.1139240506329116"/>
    <n v="566"/>
    <n v="7.1645569620253164"/>
    <n v="72"/>
    <n v="720"/>
    <n v="0.91139240506329111"/>
    <n v="70"/>
    <n v="7"/>
    <n v="8.8607594936708861E-2"/>
    <n v="2210"/>
    <x v="133"/>
    <n v="221"/>
    <n v="2.7974683544303796"/>
    <n v="126"/>
    <n v="1.5949367088607596"/>
    <n v="880"/>
    <n v="11.139240506329115"/>
  </r>
  <r>
    <s v="Wilson Chandler"/>
    <s v="2008-09"/>
    <x v="139"/>
    <n v="22"/>
    <n v="220"/>
    <n v="82"/>
    <n v="27350"/>
    <n v="913"/>
    <n v="11.134146341463415"/>
    <n v="455"/>
    <n v="1054"/>
    <n v="0.43168880455407971"/>
    <n v="1030"/>
    <n v="3140"/>
    <n v="0.32802547770700635"/>
    <n v="171"/>
    <n v="215"/>
    <n v="0.79534883720930227"/>
    <n v="91"/>
    <n v="354"/>
    <n v="445"/>
    <n v="910"/>
    <n v="3540"/>
    <n v="4450"/>
    <n v="5.4268292682926829"/>
    <n v="170"/>
    <n v="2.0731707317073171"/>
    <n v="71"/>
    <n v="710"/>
    <n v="0.86585365853658536"/>
    <n v="750"/>
    <n v="75"/>
    <n v="0.91463414634146345"/>
    <n v="1390"/>
    <x v="134"/>
    <n v="139"/>
    <n v="1.6951219512195121"/>
    <n v="250"/>
    <n v="3.0487804878048781"/>
    <n v="1184"/>
    <n v="14.439024390243903"/>
  </r>
  <r>
    <s v="Quentin Richardson"/>
    <s v="2008-09"/>
    <x v="140"/>
    <n v="29"/>
    <n v="290"/>
    <n v="72"/>
    <n v="18940"/>
    <n v="584"/>
    <n v="8.1111111111111107"/>
    <n v="262"/>
    <n v="667"/>
    <n v="393"/>
    <n v="1200"/>
    <n v="3290"/>
    <n v="0.36474164133738601"/>
    <n v="89"/>
    <n v="117"/>
    <n v="0.76068376068376065"/>
    <n v="71"/>
    <n v="248"/>
    <n v="319"/>
    <n v="710"/>
    <n v="2480"/>
    <n v="3190"/>
    <n v="4.4305555555555554"/>
    <n v="117"/>
    <n v="1.625"/>
    <n v="47"/>
    <n v="470"/>
    <n v="0.65277777777777779"/>
    <n v="70"/>
    <n v="7"/>
    <n v="9.7222222222222224E-2"/>
    <n v="740"/>
    <x v="135"/>
    <n v="74"/>
    <n v="1.0277777777777777"/>
    <n v="132"/>
    <n v="1.8333333333333333"/>
    <n v="733"/>
    <n v="10.180555555555555"/>
  </r>
  <r>
    <s v="Larry Hughes"/>
    <s v="2008-09"/>
    <x v="141"/>
    <n v="30"/>
    <n v="300"/>
    <n v="25"/>
    <n v="6870"/>
    <n v="200"/>
    <n v="8"/>
    <n v="97"/>
    <n v="249"/>
    <n v="0.38955823293172692"/>
    <n v="350"/>
    <n v="910"/>
    <n v="0.38461538461538464"/>
    <n v="50"/>
    <n v="63"/>
    <n v="0.79365079365079361"/>
    <n v="10"/>
    <n v="55"/>
    <n v="65"/>
    <n v="100"/>
    <n v="550"/>
    <n v="650"/>
    <n v="2.6"/>
    <n v="60"/>
    <n v="2.4"/>
    <n v="36"/>
    <n v="360"/>
    <n v="1.44"/>
    <n v="50"/>
    <n v="5"/>
    <n v="0.2"/>
    <n v="350"/>
    <x v="136"/>
    <n v="35"/>
    <n v="1.4"/>
    <n v="45"/>
    <n v="1.8"/>
    <n v="279"/>
    <n v="11.16"/>
  </r>
  <r>
    <s v="Mouhamed Sene"/>
    <s v="2008-09"/>
    <x v="142"/>
    <n v="23"/>
    <n v="230"/>
    <n v="1"/>
    <n v="60"/>
    <n v="7"/>
    <n v="7"/>
    <n v="1"/>
    <n v="2"/>
    <n v="5"/>
    <n v="0"/>
    <n v="0"/>
    <e v="#DIV/0!"/>
    <n v="1"/>
    <n v="1"/>
    <n v="1"/>
    <n v="2"/>
    <n v="3"/>
    <n v="5"/>
    <n v="20"/>
    <n v="30"/>
    <n v="50"/>
    <n v="5"/>
    <n v="0"/>
    <n v="0"/>
    <n v="0"/>
    <n v="0"/>
    <n v="0"/>
    <n v="10"/>
    <n v="1"/>
    <n v="1"/>
    <n v="10"/>
    <x v="47"/>
    <n v="1"/>
    <n v="1"/>
    <n v="0"/>
    <n v="0"/>
    <n v="3"/>
    <n v="3"/>
  </r>
  <r>
    <s v="Tim Thomas"/>
    <s v="2008-09"/>
    <x v="143"/>
    <n v="32"/>
    <n v="320"/>
    <n v="36"/>
    <n v="7730"/>
    <n v="247"/>
    <n v="6.8611111111111107"/>
    <n v="119"/>
    <n v="258"/>
    <n v="461"/>
    <n v="530"/>
    <n v="1260"/>
    <n v="0.42063492063492064"/>
    <n v="54"/>
    <n v="67"/>
    <n v="0.80597014925373134"/>
    <n v="20"/>
    <n v="93"/>
    <n v="113"/>
    <n v="200"/>
    <n v="930"/>
    <n v="1130"/>
    <n v="3.1388888888888888"/>
    <n v="46"/>
    <n v="1.2777777777777777"/>
    <n v="22"/>
    <n v="220"/>
    <n v="0.61111111111111116"/>
    <n v="100"/>
    <n v="10"/>
    <n v="0.27777777777777779"/>
    <n v="460"/>
    <x v="137"/>
    <n v="46"/>
    <n v="1.2777777777777777"/>
    <n v="91"/>
    <n v="2.5277777777777777"/>
    <n v="345"/>
    <n v="9.5833333333333339"/>
  </r>
  <r>
    <s v="Courtney Sims"/>
    <s v="2008-09"/>
    <x v="144"/>
    <n v="25"/>
    <n v="250"/>
    <n v="1"/>
    <n v="110"/>
    <n v="6"/>
    <n v="6"/>
    <n v="3"/>
    <n v="6"/>
    <n v="0.5"/>
    <n v="0"/>
    <n v="0"/>
    <e v="#DIV/0!"/>
    <n v="0"/>
    <n v="0"/>
    <e v="#DIV/0!"/>
    <n v="2"/>
    <n v="2"/>
    <n v="4"/>
    <n v="20"/>
    <n v="20"/>
    <n v="40"/>
    <n v="4"/>
    <n v="0"/>
    <n v="0"/>
    <n v="0"/>
    <n v="0"/>
    <n v="0"/>
    <n v="0"/>
    <n v="0"/>
    <n v="0"/>
    <n v="0"/>
    <x v="55"/>
    <n v="0"/>
    <n v="0"/>
    <n v="1"/>
    <n v="1"/>
    <n v="6"/>
    <n v="6"/>
  </r>
  <r>
    <s v="Jared Jeffries"/>
    <s v="2008-09"/>
    <x v="145"/>
    <n v="27"/>
    <n v="270"/>
    <n v="56"/>
    <n v="13100"/>
    <n v="281"/>
    <n v="5.0178571428571432"/>
    <n v="120"/>
    <n v="273"/>
    <n v="44"/>
    <n v="10"/>
    <n v="120"/>
    <n v="8.3333333333333329E-2"/>
    <n v="55"/>
    <n v="90"/>
    <n v="0.61111111111111116"/>
    <n v="128"/>
    <n v="103"/>
    <n v="231"/>
    <n v="1280"/>
    <n v="1030"/>
    <n v="2310"/>
    <n v="4.125"/>
    <n v="80"/>
    <n v="1.4285714285714286"/>
    <n v="47"/>
    <n v="470"/>
    <n v="0.8392857142857143"/>
    <n v="330"/>
    <n v="33"/>
    <n v="0.5892857142857143"/>
    <n v="650"/>
    <x v="138"/>
    <n v="65"/>
    <n v="1.1607142857142858"/>
    <n v="153"/>
    <n v="2.7321428571428572"/>
    <n v="296"/>
    <n v="5.2857142857142856"/>
  </r>
  <r>
    <s v="Danilo Gallinari"/>
    <s v="2008-09"/>
    <x v="146"/>
    <n v="20"/>
    <n v="200"/>
    <n v="28"/>
    <n v="4120"/>
    <n v="125"/>
    <n v="4.4642857142857144"/>
    <n v="56"/>
    <n v="125"/>
    <n v="448"/>
    <n v="320"/>
    <n v="720"/>
    <n v="0.44444444444444442"/>
    <n v="26"/>
    <n v="27"/>
    <n v="0.96296296296296291"/>
    <n v="13"/>
    <n v="42"/>
    <n v="55"/>
    <n v="130"/>
    <n v="420"/>
    <n v="550"/>
    <n v="1.9642857142857142"/>
    <n v="15"/>
    <n v="0.5357142857142857"/>
    <n v="14"/>
    <n v="140"/>
    <n v="0.5"/>
    <n v="40"/>
    <n v="4"/>
    <n v="0.14285714285714285"/>
    <n v="150"/>
    <x v="139"/>
    <n v="15"/>
    <n v="0.5357142857142857"/>
    <n v="48"/>
    <n v="1.7142857142857142"/>
    <n v="170"/>
    <n v="6.0714285714285712"/>
  </r>
  <r>
    <s v="Chris Wilcox"/>
    <s v="2008-09"/>
    <x v="147"/>
    <n v="26"/>
    <n v="260"/>
    <n v="25"/>
    <n v="3300"/>
    <n v="102"/>
    <n v="4.08"/>
    <n v="54"/>
    <n v="102"/>
    <n v="529"/>
    <n v="0"/>
    <n v="10"/>
    <n v="0"/>
    <n v="27"/>
    <n v="53"/>
    <n v="0.50943396226415094"/>
    <n v="31"/>
    <n v="51"/>
    <n v="82"/>
    <n v="310"/>
    <n v="510"/>
    <n v="820"/>
    <n v="3.28"/>
    <n v="14"/>
    <n v="0.56000000000000005"/>
    <n v="8"/>
    <n v="80"/>
    <n v="0.32"/>
    <n v="50"/>
    <n v="5"/>
    <n v="0.2"/>
    <n v="200"/>
    <x v="140"/>
    <n v="20"/>
    <n v="0.8"/>
    <n v="48"/>
    <n v="1.92"/>
    <n v="135"/>
    <n v="5.4"/>
  </r>
  <r>
    <s v="Joe Crawford"/>
    <s v="2008-09"/>
    <x v="148"/>
    <n v="23"/>
    <n v="230"/>
    <n v="2"/>
    <n v="230"/>
    <n v="6"/>
    <n v="3"/>
    <n v="3"/>
    <n v="10"/>
    <n v="3"/>
    <n v="10"/>
    <n v="40"/>
    <n v="0.25"/>
    <n v="2"/>
    <n v="2"/>
    <n v="1"/>
    <n v="1"/>
    <n v="3"/>
    <n v="4"/>
    <n v="10"/>
    <n v="30"/>
    <n v="40"/>
    <n v="2"/>
    <n v="1"/>
    <n v="0.5"/>
    <n v="1"/>
    <n v="10"/>
    <n v="0.5"/>
    <n v="0"/>
    <n v="0"/>
    <n v="0"/>
    <n v="0"/>
    <x v="141"/>
    <n v="0"/>
    <n v="0"/>
    <n v="2"/>
    <n v="1"/>
    <n v="9"/>
    <n v="4.5"/>
  </r>
  <r>
    <s v="Anthony Roberson"/>
    <s v="2008-09"/>
    <x v="149"/>
    <n v="26"/>
    <n v="260"/>
    <n v="23"/>
    <n v="2530"/>
    <n v="63"/>
    <n v="2.7391304347826089"/>
    <n v="39"/>
    <n v="103"/>
    <n v="379"/>
    <n v="240"/>
    <n v="710"/>
    <n v="0.3380281690140845"/>
    <n v="5"/>
    <n v="5"/>
    <n v="1"/>
    <n v="4"/>
    <n v="11"/>
    <n v="15"/>
    <n v="40"/>
    <n v="110"/>
    <n v="150"/>
    <n v="0.65217391304347827"/>
    <n v="19"/>
    <n v="0.82608695652173914"/>
    <n v="10"/>
    <n v="100"/>
    <n v="0.43478260869565216"/>
    <n v="10"/>
    <n v="1"/>
    <n v="4.3478260869565216E-2"/>
    <n v="70"/>
    <x v="142"/>
    <n v="7"/>
    <n v="0.30434782608695654"/>
    <n v="18"/>
    <n v="0.78260869565217395"/>
    <n v="107"/>
    <n v="4.6521739130434785"/>
  </r>
  <r>
    <s v="Demetris Nichols"/>
    <s v="2008-09"/>
    <x v="150"/>
    <n v="24"/>
    <n v="240"/>
    <n v="2"/>
    <n v="90"/>
    <n v="4"/>
    <n v="2"/>
    <n v="2"/>
    <n v="5"/>
    <n v="0.4"/>
    <n v="0"/>
    <n v="10"/>
    <n v="0"/>
    <n v="1"/>
    <n v="2"/>
    <n v="0.5"/>
    <n v="0"/>
    <n v="2"/>
    <n v="2"/>
    <n v="0"/>
    <n v="20"/>
    <n v="20"/>
    <n v="1"/>
    <n v="0"/>
    <n v="0"/>
    <n v="0"/>
    <n v="0"/>
    <n v="0"/>
    <n v="10"/>
    <n v="1"/>
    <n v="0.5"/>
    <n v="0"/>
    <x v="62"/>
    <n v="0"/>
    <n v="0"/>
    <n v="0"/>
    <n v="0"/>
    <n v="5"/>
    <n v="2.5"/>
  </r>
  <r>
    <s v="Jerome James"/>
    <s v="2008-09"/>
    <x v="151"/>
    <n v="33"/>
    <n v="330"/>
    <n v="2"/>
    <n v="100"/>
    <n v="3"/>
    <n v="1.5"/>
    <n v="3"/>
    <n v="8"/>
    <n v="375"/>
    <n v="0"/>
    <n v="0"/>
    <e v="#DIV/0!"/>
    <n v="0"/>
    <n v="0"/>
    <e v="#DIV/0!"/>
    <n v="1"/>
    <n v="2"/>
    <n v="3"/>
    <n v="10"/>
    <n v="20"/>
    <n v="30"/>
    <n v="1.5"/>
    <n v="0"/>
    <n v="0"/>
    <n v="1"/>
    <n v="10"/>
    <n v="0.5"/>
    <n v="10"/>
    <n v="1"/>
    <n v="0.5"/>
    <n v="10"/>
    <x v="141"/>
    <n v="1"/>
    <n v="0.5"/>
    <n v="2"/>
    <n v="1"/>
    <n v="6"/>
    <n v="3"/>
  </r>
  <r>
    <s v="Mardy Collins"/>
    <s v="2008-09"/>
    <x v="152"/>
    <n v="24"/>
    <n v="240"/>
    <n v="9"/>
    <n v="750"/>
    <n v="8"/>
    <n v="0.88888888888888884"/>
    <n v="8"/>
    <n v="23"/>
    <n v="348"/>
    <n v="0"/>
    <n v="30"/>
    <n v="0"/>
    <n v="4"/>
    <n v="9"/>
    <n v="0.44444444444444442"/>
    <n v="2"/>
    <n v="6"/>
    <n v="8"/>
    <n v="20"/>
    <n v="60"/>
    <n v="80"/>
    <n v="0.88888888888888884"/>
    <n v="10"/>
    <n v="1.1111111111111112"/>
    <n v="2"/>
    <n v="20"/>
    <n v="0.22222222222222221"/>
    <n v="0"/>
    <n v="0"/>
    <n v="0"/>
    <n v="50"/>
    <x v="143"/>
    <n v="5"/>
    <n v="0.55555555555555558"/>
    <n v="7"/>
    <n v="0.77777777777777779"/>
    <n v="20"/>
    <n v="2.2222222222222223"/>
  </r>
  <r>
    <s v="Eddy Curry"/>
    <s v="2008-09"/>
    <x v="153"/>
    <n v="26"/>
    <n v="260"/>
    <n v="3"/>
    <n v="120"/>
    <n v="0"/>
    <n v="0"/>
    <n v="2"/>
    <n v="2"/>
    <n v="10"/>
    <n v="0"/>
    <n v="0"/>
    <e v="#DIV/0!"/>
    <n v="1"/>
    <n v="3"/>
    <n v="0.33333333333333331"/>
    <n v="0"/>
    <n v="4"/>
    <n v="4"/>
    <n v="0"/>
    <n v="40"/>
    <n v="40"/>
    <n v="1.3333333333333333"/>
    <n v="0"/>
    <n v="0"/>
    <n v="0"/>
    <n v="0"/>
    <n v="0"/>
    <n v="0"/>
    <n v="0"/>
    <n v="0"/>
    <n v="20"/>
    <x v="144"/>
    <n v="2"/>
    <n v="0.66666666666666663"/>
    <n v="5"/>
    <n v="1.6666666666666667"/>
    <n v="5"/>
    <n v="1.6666666666666667"/>
  </r>
  <r>
    <s v="Malik Rose"/>
    <s v="2008-09"/>
    <x v="154"/>
    <n v="34"/>
    <n v="340"/>
    <n v="18"/>
    <n v="1600"/>
    <n v="-1"/>
    <n v="-5.5555555555555552E-2"/>
    <n v="11"/>
    <n v="41"/>
    <n v="268"/>
    <n v="0"/>
    <n v="40"/>
    <n v="0"/>
    <n v="8"/>
    <n v="11"/>
    <n v="0.72727272727272729"/>
    <n v="4"/>
    <n v="27"/>
    <n v="31"/>
    <n v="40"/>
    <n v="270"/>
    <n v="310"/>
    <n v="1.7222222222222223"/>
    <n v="10"/>
    <n v="0.55555555555555558"/>
    <n v="1"/>
    <n v="10"/>
    <n v="5.5555555555555552E-2"/>
    <n v="10"/>
    <n v="1"/>
    <n v="5.5555555555555552E-2"/>
    <n v="170"/>
    <x v="58"/>
    <n v="17"/>
    <n v="0.94444444444444442"/>
    <n v="24"/>
    <n v="1.3333333333333333"/>
    <n v="30"/>
    <n v="1.6666666666666667"/>
  </r>
  <r>
    <s v="Cheikh Samb"/>
    <s v="2008-09"/>
    <x v="155"/>
    <n v="24"/>
    <n v="240"/>
    <n v="2"/>
    <n v="80"/>
    <n v="-3"/>
    <n v="-1.5"/>
    <n v="0"/>
    <n v="3"/>
    <n v="0"/>
    <n v="0"/>
    <n v="0"/>
    <e v="#DIV/0!"/>
    <n v="0"/>
    <n v="2"/>
    <n v="0"/>
    <n v="1"/>
    <n v="1"/>
    <n v="2"/>
    <n v="10"/>
    <n v="10"/>
    <n v="20"/>
    <n v="1"/>
    <n v="0"/>
    <n v="0"/>
    <n v="0"/>
    <n v="0"/>
    <n v="0"/>
    <n v="0"/>
    <n v="0"/>
    <n v="0"/>
    <n v="0"/>
    <x v="28"/>
    <n v="0"/>
    <n v="0"/>
    <n v="0"/>
    <n v="0"/>
    <n v="0"/>
    <n v="0"/>
  </r>
  <r>
    <s v="David Lee"/>
    <s v="2009-10"/>
    <x v="156"/>
    <n v="27"/>
    <n v="270"/>
    <n v="81"/>
    <n v="30190"/>
    <n v="1929"/>
    <n v="23.814814814814813"/>
    <n v="686"/>
    <n v="1258"/>
    <n v="0.54531001589825123"/>
    <n v="0"/>
    <n v="80"/>
    <n v="0"/>
    <n v="268"/>
    <n v="330"/>
    <n v="0.81212121212121213"/>
    <n v="228"/>
    <n v="721"/>
    <n v="949"/>
    <n v="2280"/>
    <n v="7210"/>
    <n v="9490"/>
    <n v="11.716049382716049"/>
    <n v="295"/>
    <n v="3.6419753086419755"/>
    <n v="85"/>
    <n v="850"/>
    <n v="1.0493827160493827"/>
    <n v="400"/>
    <n v="40"/>
    <n v="0.49382716049382713"/>
    <n v="1890"/>
    <x v="145"/>
    <n v="189"/>
    <n v="2.3333333333333335"/>
    <n v="257"/>
    <n v="3.1728395061728394"/>
    <n v="1640"/>
    <n v="20.246913580246915"/>
  </r>
  <r>
    <s v="Earl Barron"/>
    <s v="2009-10"/>
    <x v="157"/>
    <n v="28"/>
    <n v="280"/>
    <n v="7"/>
    <n v="2320"/>
    <n v="95"/>
    <n v="13.571428571428571"/>
    <n v="30"/>
    <n v="68"/>
    <n v="0.44117647058823528"/>
    <n v="0"/>
    <n v="0"/>
    <e v="#DIV/0!"/>
    <n v="22"/>
    <n v="29"/>
    <n v="0.75862068965517238"/>
    <n v="31"/>
    <n v="46"/>
    <n v="77"/>
    <n v="310"/>
    <n v="460"/>
    <n v="770"/>
    <n v="11"/>
    <n v="8"/>
    <n v="1.1428571428571428"/>
    <n v="4"/>
    <n v="40"/>
    <n v="0.5714285714285714"/>
    <n v="40"/>
    <n v="4"/>
    <n v="0.5714285714285714"/>
    <n v="110"/>
    <x v="146"/>
    <n v="11"/>
    <n v="1.5714285714285714"/>
    <n v="24"/>
    <n v="3.4285714285714284"/>
    <n v="82"/>
    <n v="11.714285714285714"/>
  </r>
  <r>
    <s v="Wilson Chandler"/>
    <s v="2009-10"/>
    <x v="158"/>
    <n v="23"/>
    <n v="230"/>
    <n v="65"/>
    <n v="23200"/>
    <n v="803"/>
    <n v="12.353846153846154"/>
    <n v="412"/>
    <n v="860"/>
    <n v="0.47906976744186047"/>
    <n v="400"/>
    <n v="1500"/>
    <n v="0.26666666666666666"/>
    <n v="129"/>
    <n v="160"/>
    <n v="0.80625000000000002"/>
    <n v="93"/>
    <n v="255"/>
    <n v="348"/>
    <n v="930"/>
    <n v="2550"/>
    <n v="3480"/>
    <n v="5.3538461538461535"/>
    <n v="138"/>
    <n v="2.1230769230769231"/>
    <n v="46"/>
    <n v="460"/>
    <n v="0.70769230769230773"/>
    <n v="490"/>
    <n v="49"/>
    <n v="0.75384615384615383"/>
    <n v="1080"/>
    <x v="147"/>
    <n v="108"/>
    <n v="1.6615384615384616"/>
    <n v="184"/>
    <n v="2.8307692307692309"/>
    <n v="993"/>
    <n v="15.276923076923078"/>
  </r>
  <r>
    <s v="Danilo Gallinari"/>
    <s v="2009-10"/>
    <x v="159"/>
    <n v="21"/>
    <n v="210"/>
    <n v="81"/>
    <n v="27470"/>
    <n v="995"/>
    <n v="12.283950617283951"/>
    <n v="392"/>
    <n v="927"/>
    <n v="423"/>
    <n v="1860"/>
    <n v="4880"/>
    <n v="0.38114754098360654"/>
    <n v="251"/>
    <n v="307"/>
    <n v="0.8175895765472313"/>
    <n v="65"/>
    <n v="333"/>
    <n v="398"/>
    <n v="650"/>
    <n v="3330"/>
    <n v="3980"/>
    <n v="4.9135802469135799"/>
    <n v="135"/>
    <n v="1.6666666666666667"/>
    <n v="75"/>
    <n v="750"/>
    <n v="0.92592592592592593"/>
    <n v="580"/>
    <n v="58"/>
    <n v="0.71604938271604934"/>
    <n v="1100"/>
    <x v="148"/>
    <n v="110"/>
    <n v="1.3580246913580247"/>
    <n v="191"/>
    <n v="2.3580246913580245"/>
    <n v="1221"/>
    <n v="15.074074074074074"/>
  </r>
  <r>
    <s v="Al Harrington"/>
    <s v="2009-10"/>
    <x v="160"/>
    <n v="30"/>
    <n v="300"/>
    <n v="72"/>
    <n v="21950"/>
    <n v="879"/>
    <n v="12.208333333333334"/>
    <n v="448"/>
    <n v="1030"/>
    <n v="0.43495145631067961"/>
    <n v="1400"/>
    <n v="4090"/>
    <n v="0.34229828850855748"/>
    <n v="240"/>
    <n v="317"/>
    <n v="0.75709779179810721"/>
    <n v="88"/>
    <n v="317"/>
    <n v="405"/>
    <n v="880"/>
    <n v="3170"/>
    <n v="4050"/>
    <n v="5.625"/>
    <n v="110"/>
    <n v="1.5277777777777777"/>
    <n v="62"/>
    <n v="620"/>
    <n v="0.86111111111111116"/>
    <n v="260"/>
    <n v="26"/>
    <n v="0.3611111111111111"/>
    <n v="1320"/>
    <x v="149"/>
    <n v="132"/>
    <n v="1.8333333333333333"/>
    <n v="209"/>
    <n v="2.9027777777777777"/>
    <n v="1276"/>
    <n v="17.722222222222221"/>
  </r>
  <r>
    <s v="Nate Robinson"/>
    <s v="2009-10"/>
    <x v="161"/>
    <n v="26"/>
    <n v="260"/>
    <n v="30"/>
    <n v="7330"/>
    <n v="298"/>
    <n v="9.9333333333333336"/>
    <n v="152"/>
    <n v="336"/>
    <n v="0.45238095238095238"/>
    <n v="510"/>
    <n v="1360"/>
    <n v="0.375"/>
    <n v="42"/>
    <n v="54"/>
    <n v="0.77777777777777779"/>
    <n v="23"/>
    <n v="49"/>
    <n v="72"/>
    <n v="230"/>
    <n v="490"/>
    <n v="720"/>
    <n v="2.4"/>
    <n v="112"/>
    <n v="3.7333333333333334"/>
    <n v="27"/>
    <n v="270"/>
    <n v="0.9"/>
    <n v="50"/>
    <n v="5"/>
    <n v="0.16666666666666666"/>
    <n v="530"/>
    <x v="150"/>
    <n v="53"/>
    <n v="1.7666666666666666"/>
    <n v="66"/>
    <n v="2.2000000000000002"/>
    <n v="397"/>
    <n v="13.233333333333333"/>
  </r>
  <r>
    <s v="Chris Duhon"/>
    <s v="2009-10"/>
    <x v="162"/>
    <n v="27"/>
    <n v="270"/>
    <n v="67"/>
    <n v="20720"/>
    <n v="609"/>
    <n v="9.08955223880597"/>
    <n v="168"/>
    <n v="451"/>
    <n v="0.37250554323725055"/>
    <n v="900"/>
    <n v="2580"/>
    <n v="0.34883720930232559"/>
    <n v="68"/>
    <n v="95"/>
    <n v="0.71578947368421053"/>
    <n v="28"/>
    <n v="150"/>
    <n v="178"/>
    <n v="280"/>
    <n v="1500"/>
    <n v="1780"/>
    <n v="2.6567164179104479"/>
    <n v="378"/>
    <n v="5.6417910447761193"/>
    <n v="59"/>
    <n v="590"/>
    <n v="0.88059701492537312"/>
    <n v="30"/>
    <n v="3"/>
    <n v="4.4776119402985072E-2"/>
    <n v="1100"/>
    <x v="151"/>
    <n v="110"/>
    <n v="1.6417910447761195"/>
    <n v="83"/>
    <n v="1.2388059701492538"/>
    <n v="494"/>
    <n v="7.3731343283582094"/>
  </r>
  <r>
    <s v="Henry Walker"/>
    <s v="2009-10"/>
    <x v="163"/>
    <n v="22"/>
    <n v="220"/>
    <n v="27"/>
    <n v="7390"/>
    <n v="243"/>
    <n v="9"/>
    <n v="117"/>
    <n v="226"/>
    <n v="518"/>
    <n v="500"/>
    <n v="1160"/>
    <n v="0.43103448275862066"/>
    <n v="37"/>
    <n v="47"/>
    <n v="0.78723404255319152"/>
    <n v="15"/>
    <n v="68"/>
    <n v="83"/>
    <n v="150"/>
    <n v="680"/>
    <n v="830"/>
    <n v="3.074074074074074"/>
    <n v="37"/>
    <n v="1.3703703703703705"/>
    <n v="23"/>
    <n v="230"/>
    <n v="0.85185185185185186"/>
    <n v="30"/>
    <n v="3"/>
    <n v="0.1111111111111111"/>
    <n v="260"/>
    <x v="152"/>
    <n v="26"/>
    <n v="0.96296296296296291"/>
    <n v="79"/>
    <n v="2.925925925925926"/>
    <n v="321"/>
    <n v="11.888888888888889"/>
  </r>
  <r>
    <s v="Tracy McGrady"/>
    <s v="2009-10"/>
    <x v="164"/>
    <n v="31"/>
    <n v="310"/>
    <n v="24"/>
    <n v="6270"/>
    <n v="208"/>
    <n v="8.6666666666666661"/>
    <n v="84"/>
    <n v="216"/>
    <n v="0.3888888888888889"/>
    <n v="150"/>
    <n v="620"/>
    <n v="0.24193548387096775"/>
    <n v="43"/>
    <n v="57"/>
    <n v="0.75438596491228072"/>
    <n v="22"/>
    <n v="67"/>
    <n v="89"/>
    <n v="220"/>
    <n v="670"/>
    <n v="890"/>
    <n v="3.7083333333333335"/>
    <n v="93"/>
    <n v="3.875"/>
    <n v="15"/>
    <n v="150"/>
    <n v="0.625"/>
    <n v="120"/>
    <n v="12"/>
    <n v="0.5"/>
    <n v="430"/>
    <x v="153"/>
    <n v="43"/>
    <n v="1.7916666666666667"/>
    <n v="38"/>
    <n v="1.5833333333333333"/>
    <n v="226"/>
    <n v="9.4166666666666661"/>
  </r>
  <r>
    <s v="Larry Hughes"/>
    <s v="2009-10"/>
    <x v="165"/>
    <n v="31"/>
    <n v="310"/>
    <n v="31"/>
    <n v="8200"/>
    <n v="267"/>
    <n v="8.612903225806452"/>
    <n v="102"/>
    <n v="279"/>
    <n v="0.36559139784946237"/>
    <n v="280"/>
    <n v="970"/>
    <n v="0.28865979381443296"/>
    <n v="65"/>
    <n v="79"/>
    <n v="0.82278481012658233"/>
    <n v="16"/>
    <n v="94"/>
    <n v="110"/>
    <n v="160"/>
    <n v="940"/>
    <n v="1100"/>
    <n v="3.5483870967741935"/>
    <n v="109"/>
    <n v="3.5161290322580645"/>
    <n v="40"/>
    <n v="400"/>
    <n v="1.2903225806451613"/>
    <n v="110"/>
    <n v="11"/>
    <n v="0.35483870967741937"/>
    <n v="560"/>
    <x v="154"/>
    <n v="56"/>
    <n v="1.8064516129032258"/>
    <n v="53"/>
    <n v="1.7096774193548387"/>
    <n v="297"/>
    <n v="9.5806451612903221"/>
  </r>
  <r>
    <s v="Sergio Rodriguez"/>
    <s v="2009-10"/>
    <x v="166"/>
    <n v="24"/>
    <n v="240"/>
    <n v="27"/>
    <n v="5310"/>
    <n v="172"/>
    <n v="6.3703703703703702"/>
    <n v="79"/>
    <n v="161"/>
    <n v="0.49068322981366458"/>
    <n v="170"/>
    <n v="490"/>
    <n v="0.34693877551020408"/>
    <n v="25"/>
    <n v="31"/>
    <n v="0.80645161290322576"/>
    <n v="9"/>
    <n v="30"/>
    <n v="39"/>
    <n v="90"/>
    <n v="300"/>
    <n v="390"/>
    <n v="1.4444444444444444"/>
    <n v="91"/>
    <n v="3.3703703703703702"/>
    <n v="21"/>
    <n v="210"/>
    <n v="0.77777777777777779"/>
    <n v="20"/>
    <n v="2"/>
    <n v="7.407407407407407E-2"/>
    <n v="550"/>
    <x v="155"/>
    <n v="55"/>
    <n v="2.0370370370370372"/>
    <n v="38"/>
    <n v="1.4074074074074074"/>
    <n v="200"/>
    <n v="7.4074074074074074"/>
  </r>
  <r>
    <s v="Toney Douglas"/>
    <s v="2009-10"/>
    <x v="167"/>
    <n v="24"/>
    <n v="240"/>
    <n v="56"/>
    <n v="10870"/>
    <n v="350"/>
    <n v="6.25"/>
    <n v="179"/>
    <n v="391"/>
    <n v="0.4578005115089514"/>
    <n v="680"/>
    <n v="1750"/>
    <n v="0.38857142857142857"/>
    <n v="55"/>
    <n v="68"/>
    <n v="0.80882352941176472"/>
    <n v="40"/>
    <n v="68"/>
    <n v="108"/>
    <n v="400"/>
    <n v="680"/>
    <n v="1080"/>
    <n v="1.9285714285714286"/>
    <n v="112"/>
    <n v="2"/>
    <n v="42"/>
    <n v="420"/>
    <n v="0.75"/>
    <n v="30"/>
    <n v="3"/>
    <n v="5.3571428571428568E-2"/>
    <n v="550"/>
    <x v="156"/>
    <n v="55"/>
    <n v="0.9821428571428571"/>
    <n v="116"/>
    <n v="2.0714285714285716"/>
    <n v="481"/>
    <n v="8.5892857142857135"/>
  </r>
  <r>
    <s v="Jared Jeffries"/>
    <s v="2009-10"/>
    <x v="168"/>
    <n v="28"/>
    <n v="280"/>
    <n v="52"/>
    <n v="14620"/>
    <n v="321"/>
    <n v="6.1730769230769234"/>
    <n v="102"/>
    <n v="230"/>
    <n v="443"/>
    <n v="200"/>
    <n v="620"/>
    <n v="0.32258064516129031"/>
    <n v="60"/>
    <n v="93"/>
    <n v="0.64516129032258063"/>
    <n v="99"/>
    <n v="124"/>
    <n v="223"/>
    <n v="990"/>
    <n v="1240"/>
    <n v="2230"/>
    <n v="4.2884615384615383"/>
    <n v="83"/>
    <n v="1.5961538461538463"/>
    <n v="53"/>
    <n v="530"/>
    <n v="1.0192307692307692"/>
    <n v="580"/>
    <n v="58"/>
    <n v="1.1153846153846154"/>
    <n v="620"/>
    <x v="157"/>
    <n v="62"/>
    <n v="1.1923076923076923"/>
    <n v="157"/>
    <n v="3.0192307692307692"/>
    <n v="284"/>
    <n v="5.4615384615384617"/>
  </r>
  <r>
    <s v="Eddie House"/>
    <s v="2009-10"/>
    <x v="169"/>
    <n v="32"/>
    <n v="320"/>
    <n v="18"/>
    <n v="3710"/>
    <n v="75"/>
    <n v="4.166666666666667"/>
    <n v="44"/>
    <n v="133"/>
    <n v="0.33082706766917291"/>
    <n v="150"/>
    <n v="600"/>
    <n v="0.25"/>
    <n v="12"/>
    <n v="12"/>
    <n v="1"/>
    <n v="6"/>
    <n v="34"/>
    <n v="40"/>
    <n v="60"/>
    <n v="340"/>
    <n v="400"/>
    <n v="2.2222222222222223"/>
    <n v="37"/>
    <n v="2.0555555555555554"/>
    <n v="12"/>
    <n v="120"/>
    <n v="0.66666666666666663"/>
    <n v="0"/>
    <n v="0"/>
    <n v="0"/>
    <n v="200"/>
    <x v="158"/>
    <n v="20"/>
    <n v="1.1111111111111112"/>
    <n v="20"/>
    <n v="1.1111111111111112"/>
    <n v="115"/>
    <n v="6.3888888888888893"/>
  </r>
  <r>
    <s v="Jonathan Bender"/>
    <s v="2009-10"/>
    <x v="170"/>
    <n v="29"/>
    <n v="290"/>
    <n v="25"/>
    <n v="2920"/>
    <n v="82"/>
    <n v="3.28"/>
    <n v="40"/>
    <n v="100"/>
    <n v="4"/>
    <n v="140"/>
    <n v="390"/>
    <n v="0.35897435897435898"/>
    <n v="24"/>
    <n v="26"/>
    <n v="0.92307692307692313"/>
    <n v="15"/>
    <n v="37"/>
    <n v="52"/>
    <n v="150"/>
    <n v="370"/>
    <n v="520"/>
    <n v="2.08"/>
    <n v="16"/>
    <n v="0.64"/>
    <n v="2"/>
    <n v="20"/>
    <n v="0.08"/>
    <n v="170"/>
    <n v="17"/>
    <n v="0.68"/>
    <n v="280"/>
    <x v="159"/>
    <n v="28"/>
    <n v="1.1200000000000001"/>
    <n v="33"/>
    <n v="1.32"/>
    <n v="118"/>
    <n v="4.72"/>
  </r>
  <r>
    <s v="J.R. Giddens"/>
    <s v="2009-10"/>
    <x v="171"/>
    <n v="25"/>
    <n v="250"/>
    <n v="11"/>
    <n v="1400"/>
    <n v="36"/>
    <n v="3.2727272727272729"/>
    <n v="19"/>
    <n v="39"/>
    <n v="487"/>
    <n v="0"/>
    <n v="80"/>
    <n v="0"/>
    <n v="7"/>
    <n v="11"/>
    <n v="0.63636363636363635"/>
    <n v="12"/>
    <n v="19"/>
    <n v="31"/>
    <n v="120"/>
    <n v="190"/>
    <n v="310"/>
    <n v="2.8181818181818183"/>
    <n v="7"/>
    <n v="0.63636363636363635"/>
    <n v="5"/>
    <n v="50"/>
    <n v="0.45454545454545453"/>
    <n v="10"/>
    <n v="1"/>
    <n v="9.0909090909090912E-2"/>
    <n v="100"/>
    <x v="160"/>
    <n v="10"/>
    <n v="0.90909090909090906"/>
    <n v="19"/>
    <n v="1.7272727272727273"/>
    <n v="45"/>
    <n v="4.0909090909090908"/>
  </r>
  <r>
    <s v="Jordan Hill"/>
    <s v="2009-10"/>
    <x v="172"/>
    <n v="22"/>
    <n v="220"/>
    <n v="24"/>
    <n v="2520"/>
    <n v="78"/>
    <n v="3.25"/>
    <n v="41"/>
    <n v="92"/>
    <n v="0.44565217391304346"/>
    <n v="0"/>
    <n v="20"/>
    <n v="0"/>
    <n v="15"/>
    <n v="21"/>
    <n v="0.7142857142857143"/>
    <n v="32"/>
    <n v="29"/>
    <n v="61"/>
    <n v="320"/>
    <n v="290"/>
    <n v="610"/>
    <n v="2.5416666666666665"/>
    <n v="7"/>
    <n v="0.29166666666666669"/>
    <n v="10"/>
    <n v="100"/>
    <n v="0.41666666666666669"/>
    <n v="90"/>
    <n v="9"/>
    <n v="0.375"/>
    <n v="120"/>
    <x v="161"/>
    <n v="12"/>
    <n v="0.5"/>
    <n v="37"/>
    <n v="1.5416666666666667"/>
    <n v="97"/>
    <n v="4.041666666666667"/>
  </r>
  <r>
    <s v="Darko Milicic"/>
    <s v="2009-10"/>
    <x v="173"/>
    <n v="25"/>
    <n v="250"/>
    <n v="8"/>
    <n v="710"/>
    <n v="25"/>
    <n v="3.125"/>
    <n v="8"/>
    <n v="17"/>
    <n v="0.47058823529411764"/>
    <n v="0"/>
    <n v="0"/>
    <e v="#DIV/0!"/>
    <n v="0"/>
    <n v="0"/>
    <e v="#DIV/0!"/>
    <n v="5"/>
    <n v="13"/>
    <n v="18"/>
    <n v="50"/>
    <n v="130"/>
    <n v="180"/>
    <n v="2.25"/>
    <n v="4"/>
    <n v="0.5"/>
    <n v="4"/>
    <n v="40"/>
    <n v="0.5"/>
    <n v="10"/>
    <n v="1"/>
    <n v="0.125"/>
    <n v="20"/>
    <x v="162"/>
    <n v="2"/>
    <n v="0.25"/>
    <n v="7"/>
    <n v="0.875"/>
    <n v="16"/>
    <n v="2"/>
  </r>
  <r>
    <s v="Marcus Landry"/>
    <s v="2009-10"/>
    <x v="174"/>
    <n v="24"/>
    <n v="240"/>
    <n v="17"/>
    <n v="1080"/>
    <n v="19"/>
    <n v="1.1176470588235294"/>
    <n v="16"/>
    <n v="41"/>
    <n v="0.3902439024390244"/>
    <n v="90"/>
    <n v="260"/>
    <n v="0.34615384615384615"/>
    <n v="3"/>
    <n v="5"/>
    <n v="0.6"/>
    <n v="5"/>
    <n v="14"/>
    <n v="19"/>
    <n v="50"/>
    <n v="140"/>
    <n v="190"/>
    <n v="1.1176470588235294"/>
    <n v="0"/>
    <n v="0"/>
    <n v="1"/>
    <n v="10"/>
    <n v="5.8823529411764705E-2"/>
    <n v="20"/>
    <n v="2"/>
    <n v="0.11764705882352941"/>
    <n v="60"/>
    <x v="163"/>
    <n v="6"/>
    <n v="0.35294117647058826"/>
    <n v="14"/>
    <n v="0.82352941176470584"/>
    <n v="44"/>
    <n v="2.5882352941176472"/>
  </r>
  <r>
    <s v="Eddy Curry"/>
    <s v="2009-10"/>
    <x v="175"/>
    <n v="27"/>
    <n v="270"/>
    <n v="7"/>
    <n v="620"/>
    <n v="-6"/>
    <n v="-0.8571428571428571"/>
    <n v="8"/>
    <n v="21"/>
    <n v="381"/>
    <n v="0"/>
    <n v="0"/>
    <e v="#DIV/0!"/>
    <n v="10"/>
    <n v="17"/>
    <n v="0.58823529411764708"/>
    <n v="4"/>
    <n v="9"/>
    <n v="13"/>
    <n v="40"/>
    <n v="90"/>
    <n v="130"/>
    <n v="1.8571428571428572"/>
    <n v="0"/>
    <n v="0"/>
    <n v="0"/>
    <n v="0"/>
    <n v="0"/>
    <n v="10"/>
    <n v="1"/>
    <n v="0.14285714285714285"/>
    <n v="130"/>
    <x v="164"/>
    <n v="13"/>
    <n v="1.8571428571428572"/>
    <n v="13"/>
    <n v="1.8571428571428572"/>
    <n v="26"/>
    <n v="3.7142857142857144"/>
  </r>
  <r>
    <s v="Amar'e Stoudemire"/>
    <s v="2010-11"/>
    <x v="176"/>
    <n v="28"/>
    <n v="280"/>
    <n v="78"/>
    <n v="28700"/>
    <n v="1644"/>
    <n v="21.076923076923077"/>
    <n v="744"/>
    <n v="1482"/>
    <n v="502"/>
    <n v="100"/>
    <n v="230"/>
    <n v="0.43478260869565216"/>
    <n v="473"/>
    <n v="597"/>
    <n v="0.79229480737018421"/>
    <n v="198"/>
    <n v="438"/>
    <n v="636"/>
    <n v="1980"/>
    <n v="4380"/>
    <n v="6360"/>
    <n v="8.1538461538461533"/>
    <n v="202"/>
    <n v="2.5897435897435899"/>
    <n v="71"/>
    <n v="710"/>
    <n v="0.91025641025641024"/>
    <n v="1500"/>
    <n v="150"/>
    <n v="1.9230769230769231"/>
    <n v="2500"/>
    <x v="165"/>
    <n v="250"/>
    <n v="3.2051282051282053"/>
    <n v="274"/>
    <n v="3.5128205128205128"/>
    <n v="1971"/>
    <n v="25.26923076923077"/>
  </r>
  <r>
    <s v="Carmelo Anthony"/>
    <s v="2010-11"/>
    <x v="177"/>
    <n v="27"/>
    <n v="270"/>
    <n v="27"/>
    <n v="9770"/>
    <n v="546"/>
    <n v="20.222222222222221"/>
    <n v="247"/>
    <n v="536"/>
    <n v="0.46082089552238809"/>
    <n v="530"/>
    <n v="1250"/>
    <n v="0.42399999999999999"/>
    <n v="164"/>
    <n v="188"/>
    <n v="0.87234042553191493"/>
    <n v="41"/>
    <n v="140"/>
    <n v="181"/>
    <n v="410"/>
    <n v="1400"/>
    <n v="1810"/>
    <n v="6.7037037037037033"/>
    <n v="81"/>
    <n v="3"/>
    <n v="25"/>
    <n v="250"/>
    <n v="0.92592592592592593"/>
    <n v="150"/>
    <n v="15"/>
    <n v="0.55555555555555558"/>
    <n v="640"/>
    <x v="166"/>
    <n v="64"/>
    <n v="2.3703703703703702"/>
    <n v="90"/>
    <n v="3.3333333333333335"/>
    <n v="711"/>
    <n v="26.333333333333332"/>
  </r>
  <r>
    <s v="Raymond Felton"/>
    <s v="2010-11"/>
    <x v="178"/>
    <n v="27"/>
    <n v="270"/>
    <n v="54"/>
    <n v="20740"/>
    <n v="938"/>
    <n v="17.37037037037037"/>
    <n v="339"/>
    <n v="801"/>
    <n v="0.42322097378277151"/>
    <n v="880"/>
    <n v="2680"/>
    <n v="0.32835820895522388"/>
    <n v="157"/>
    <n v="181"/>
    <n v="0.86740331491712708"/>
    <n v="40"/>
    <n v="154"/>
    <n v="194"/>
    <n v="400"/>
    <n v="1540"/>
    <n v="1940"/>
    <n v="3.5925925925925926"/>
    <n v="488"/>
    <n v="9.0370370370370363"/>
    <n v="97"/>
    <n v="970"/>
    <n v="1.7962962962962963"/>
    <n v="110"/>
    <n v="11"/>
    <n v="0.20370370370370369"/>
    <n v="1760"/>
    <x v="167"/>
    <n v="176"/>
    <n v="3.2592592592592591"/>
    <n v="113"/>
    <n v="2.0925925925925926"/>
    <n v="923"/>
    <n v="17.092592592592592"/>
  </r>
  <r>
    <s v="Chauncey Billups"/>
    <s v="2010-11"/>
    <x v="179"/>
    <n v="34"/>
    <n v="340"/>
    <n v="21"/>
    <n v="6640"/>
    <n v="303"/>
    <n v="14.428571428571429"/>
    <n v="104"/>
    <n v="258"/>
    <n v="0.40310077519379844"/>
    <n v="410"/>
    <n v="1250"/>
    <n v="0.32800000000000001"/>
    <n v="119"/>
    <n v="132"/>
    <n v="0.90151515151515149"/>
    <n v="13"/>
    <n v="52"/>
    <n v="65"/>
    <n v="130"/>
    <n v="520"/>
    <n v="650"/>
    <n v="3.0952380952380953"/>
    <n v="116"/>
    <n v="5.5238095238095237"/>
    <n v="19"/>
    <n v="190"/>
    <n v="0.90476190476190477"/>
    <n v="20"/>
    <n v="2"/>
    <n v="9.5238095238095233E-2"/>
    <n v="480"/>
    <x v="168"/>
    <n v="48"/>
    <n v="2.2857142857142856"/>
    <n v="52"/>
    <n v="2.4761904761904763"/>
    <n v="368"/>
    <n v="17.523809523809526"/>
  </r>
  <r>
    <s v="Wilson Chandler"/>
    <s v="2010-11"/>
    <x v="180"/>
    <n v="24"/>
    <n v="240"/>
    <n v="51"/>
    <n v="17590"/>
    <n v="705"/>
    <n v="13.823529411764707"/>
    <n v="328"/>
    <n v="712"/>
    <n v="0.4606741573033708"/>
    <n v="860"/>
    <n v="2450"/>
    <n v="0.3510204081632653"/>
    <n v="96"/>
    <n v="119"/>
    <n v="0.80672268907563027"/>
    <n v="62"/>
    <n v="241"/>
    <n v="303"/>
    <n v="620"/>
    <n v="2410"/>
    <n v="3030"/>
    <n v="5.9411764705882355"/>
    <n v="86"/>
    <n v="1.6862745098039216"/>
    <n v="34"/>
    <n v="340"/>
    <n v="0.66666666666666663"/>
    <n v="700"/>
    <n v="70"/>
    <n v="1.3725490196078431"/>
    <n v="670"/>
    <x v="169"/>
    <n v="67"/>
    <n v="1.3137254901960784"/>
    <n v="152"/>
    <n v="2.9803921568627452"/>
    <n v="838"/>
    <n v="16.431372549019606"/>
  </r>
  <r>
    <s v="Danilo Gallinari"/>
    <s v="2010-11"/>
    <x v="181"/>
    <n v="22"/>
    <n v="220"/>
    <n v="48"/>
    <n v="16710"/>
    <n v="627"/>
    <n v="13.0625"/>
    <n v="211"/>
    <n v="509"/>
    <n v="415"/>
    <n v="830"/>
    <n v="2390"/>
    <n v="0.34728033472803349"/>
    <n v="259"/>
    <n v="290"/>
    <n v="0.89310344827586208"/>
    <n v="48"/>
    <n v="181"/>
    <n v="229"/>
    <n v="480"/>
    <n v="1810"/>
    <n v="2290"/>
    <n v="4.770833333333333"/>
    <n v="82"/>
    <n v="1.7083333333333333"/>
    <n v="38"/>
    <n v="380"/>
    <n v="0.79166666666666663"/>
    <n v="180"/>
    <n v="18"/>
    <n v="0.375"/>
    <n v="580"/>
    <x v="170"/>
    <n v="58"/>
    <n v="1.2083333333333333"/>
    <n v="117"/>
    <n v="2.4375"/>
    <n v="764"/>
    <n v="15.916666666666666"/>
  </r>
  <r>
    <s v="Landry Fields"/>
    <s v="2010-11"/>
    <x v="182"/>
    <n v="23"/>
    <n v="230"/>
    <n v="82"/>
    <n v="25410"/>
    <n v="1012"/>
    <n v="12.341463414634147"/>
    <n v="299"/>
    <n v="602"/>
    <n v="0.49667774086378735"/>
    <n v="860"/>
    <n v="2190"/>
    <n v="0.39269406392694062"/>
    <n v="113"/>
    <n v="147"/>
    <n v="0.76870748299319724"/>
    <n v="105"/>
    <n v="416"/>
    <n v="521"/>
    <n v="1050"/>
    <n v="4160"/>
    <n v="5210"/>
    <n v="6.3536585365853657"/>
    <n v="155"/>
    <n v="1.8902439024390243"/>
    <n v="80"/>
    <n v="800"/>
    <n v="0.97560975609756095"/>
    <n v="170"/>
    <n v="17"/>
    <n v="0.2073170731707317"/>
    <n v="1070"/>
    <x v="171"/>
    <n v="107"/>
    <n v="1.3048780487804879"/>
    <n v="114"/>
    <n v="1.3902439024390243"/>
    <n v="797"/>
    <n v="9.7195121951219505"/>
  </r>
  <r>
    <s v="Toney Douglas"/>
    <s v="2010-11"/>
    <x v="183"/>
    <n v="25"/>
    <n v="250"/>
    <n v="81"/>
    <n v="19710"/>
    <n v="708"/>
    <n v="8.7407407407407405"/>
    <n v="314"/>
    <n v="755"/>
    <n v="0.41589403973509936"/>
    <n v="1430"/>
    <n v="3830"/>
    <n v="0.37336814621409919"/>
    <n v="85"/>
    <n v="107"/>
    <n v="0.79439252336448596"/>
    <n v="65"/>
    <n v="179"/>
    <n v="244"/>
    <n v="650"/>
    <n v="1790"/>
    <n v="2440"/>
    <n v="3.0123456790123457"/>
    <n v="244"/>
    <n v="3.0123456790123457"/>
    <n v="89"/>
    <n v="890"/>
    <n v="1.0987654320987654"/>
    <n v="40"/>
    <n v="4"/>
    <n v="4.9382716049382713E-2"/>
    <n v="890"/>
    <x v="172"/>
    <n v="89"/>
    <n v="1.0987654320987654"/>
    <n v="177"/>
    <n v="2.1851851851851851"/>
    <n v="856"/>
    <n v="10.567901234567902"/>
  </r>
  <r>
    <s v="Shawne Williams"/>
    <s v="2010-11"/>
    <x v="184"/>
    <n v="25"/>
    <n v="250"/>
    <n v="64"/>
    <n v="13230"/>
    <n v="391"/>
    <n v="6.109375"/>
    <n v="164"/>
    <n v="385"/>
    <n v="426"/>
    <n v="850"/>
    <n v="2120"/>
    <n v="0.40094339622641512"/>
    <n v="41"/>
    <n v="49"/>
    <n v="0.83673469387755106"/>
    <n v="60"/>
    <n v="179"/>
    <n v="239"/>
    <n v="600"/>
    <n v="1790"/>
    <n v="2390"/>
    <n v="3.734375"/>
    <n v="47"/>
    <n v="0.734375"/>
    <n v="39"/>
    <n v="390"/>
    <n v="0.609375"/>
    <n v="510"/>
    <n v="51"/>
    <n v="0.796875"/>
    <n v="460"/>
    <x v="173"/>
    <n v="46"/>
    <n v="0.71875"/>
    <n v="164"/>
    <n v="2.5625"/>
    <n v="454"/>
    <n v="7.09375"/>
  </r>
  <r>
    <s v="Ronny Turiaf"/>
    <s v="2010-11"/>
    <x v="185"/>
    <n v="28"/>
    <n v="280"/>
    <n v="64"/>
    <n v="11410"/>
    <n v="376"/>
    <n v="5.875"/>
    <n v="103"/>
    <n v="163"/>
    <n v="632"/>
    <n v="0"/>
    <n v="0"/>
    <e v="#DIV/0!"/>
    <n v="61"/>
    <n v="98"/>
    <n v="0.62244897959183676"/>
    <n v="64"/>
    <n v="143"/>
    <n v="207"/>
    <n v="640"/>
    <n v="1430"/>
    <n v="2070"/>
    <n v="3.234375"/>
    <n v="92"/>
    <n v="1.4375"/>
    <n v="35"/>
    <n v="350"/>
    <n v="0.546875"/>
    <n v="730"/>
    <n v="73"/>
    <n v="1.140625"/>
    <n v="410"/>
    <x v="174"/>
    <n v="41"/>
    <n v="0.640625"/>
    <n v="160"/>
    <n v="2.5"/>
    <n v="267"/>
    <n v="4.171875"/>
  </r>
  <r>
    <s v="Anthony Carter"/>
    <s v="2010-11"/>
    <x v="186"/>
    <n v="36"/>
    <n v="360"/>
    <n v="19"/>
    <n v="3100"/>
    <n v="93"/>
    <n v="4.8947368421052628"/>
    <n v="35"/>
    <n v="76"/>
    <n v="0.46052631578947367"/>
    <n v="80"/>
    <n v="280"/>
    <n v="0.2857142857142857"/>
    <n v="6"/>
    <n v="6"/>
    <n v="1"/>
    <n v="7"/>
    <n v="32"/>
    <n v="39"/>
    <n v="70"/>
    <n v="320"/>
    <n v="390"/>
    <n v="2.0526315789473686"/>
    <n v="43"/>
    <n v="2.263157894736842"/>
    <n v="18"/>
    <n v="180"/>
    <n v="0.94736842105263153"/>
    <n v="50"/>
    <n v="5"/>
    <n v="0.26315789473684209"/>
    <n v="250"/>
    <x v="175"/>
    <n v="25"/>
    <n v="1.3157894736842106"/>
    <n v="30"/>
    <n v="1.5789473684210527"/>
    <n v="84"/>
    <n v="4.4210526315789478"/>
  </r>
  <r>
    <s v="Shelden Williams"/>
    <s v="2010-11"/>
    <x v="187"/>
    <n v="27"/>
    <n v="270"/>
    <n v="17"/>
    <n v="1980"/>
    <n v="75"/>
    <n v="4.4117647058823533"/>
    <n v="21"/>
    <n v="39"/>
    <n v="538"/>
    <n v="0"/>
    <n v="0"/>
    <e v="#DIV/0!"/>
    <n v="24"/>
    <n v="29"/>
    <n v="0.82758620689655171"/>
    <n v="19"/>
    <n v="31"/>
    <n v="50"/>
    <n v="190"/>
    <n v="310"/>
    <n v="500"/>
    <n v="2.9411764705882355"/>
    <n v="13"/>
    <n v="0.76470588235294112"/>
    <n v="5"/>
    <n v="50"/>
    <n v="0.29411764705882354"/>
    <n v="40"/>
    <n v="4"/>
    <n v="0.23529411764705882"/>
    <n v="60"/>
    <x v="176"/>
    <n v="6"/>
    <n v="0.35294117647058826"/>
    <n v="34"/>
    <n v="2"/>
    <n v="66"/>
    <n v="3.8823529411764706"/>
  </r>
  <r>
    <s v="Derrick Brown"/>
    <s v="2010-11"/>
    <x v="188"/>
    <n v="23"/>
    <n v="230"/>
    <n v="8"/>
    <n v="880"/>
    <n v="29"/>
    <n v="3.625"/>
    <n v="12"/>
    <n v="18"/>
    <n v="0.66666666666666663"/>
    <n v="30"/>
    <n v="40"/>
    <n v="0.75"/>
    <n v="7"/>
    <n v="13"/>
    <n v="0.53846153846153844"/>
    <n v="9"/>
    <n v="6"/>
    <n v="15"/>
    <n v="90"/>
    <n v="60"/>
    <n v="150"/>
    <n v="1.875"/>
    <n v="4"/>
    <n v="0.5"/>
    <n v="4"/>
    <n v="40"/>
    <n v="0.5"/>
    <n v="20"/>
    <n v="2"/>
    <n v="0.25"/>
    <n v="70"/>
    <x v="177"/>
    <n v="7"/>
    <n v="0.875"/>
    <n v="11"/>
    <n v="1.375"/>
    <n v="34"/>
    <n v="4.25"/>
  </r>
  <r>
    <s v="Henry Walker"/>
    <s v="2010-11"/>
    <x v="189"/>
    <n v="23"/>
    <n v="230"/>
    <n v="61"/>
    <n v="7840"/>
    <n v="218"/>
    <n v="3.5737704918032787"/>
    <n v="104"/>
    <n v="236"/>
    <n v="441"/>
    <n v="590"/>
    <n v="1530"/>
    <n v="0.38562091503267976"/>
    <n v="31"/>
    <n v="44"/>
    <n v="0.70454545454545459"/>
    <n v="16"/>
    <n v="106"/>
    <n v="122"/>
    <n v="160"/>
    <n v="1060"/>
    <n v="1220"/>
    <n v="2"/>
    <n v="34"/>
    <n v="0.55737704918032782"/>
    <n v="21"/>
    <n v="210"/>
    <n v="0.34426229508196721"/>
    <n v="60"/>
    <n v="6"/>
    <n v="9.8360655737704916E-2"/>
    <n v="370"/>
    <x v="178"/>
    <n v="37"/>
    <n v="0.60655737704918034"/>
    <n v="81"/>
    <n v="1.3278688524590163"/>
    <n v="298"/>
    <n v="4.8852459016393439"/>
  </r>
  <r>
    <s v="Jared Jeffries"/>
    <s v="2010-11"/>
    <x v="190"/>
    <n v="29"/>
    <n v="290"/>
    <n v="24"/>
    <n v="4630"/>
    <n v="78"/>
    <n v="3.25"/>
    <n v="19"/>
    <n v="50"/>
    <n v="38"/>
    <n v="10"/>
    <n v="30"/>
    <n v="0.33333333333333331"/>
    <n v="8"/>
    <n v="19"/>
    <n v="0.42105263157894735"/>
    <n v="42"/>
    <n v="39"/>
    <n v="81"/>
    <n v="420"/>
    <n v="390"/>
    <n v="810"/>
    <n v="3.375"/>
    <n v="25"/>
    <n v="1.0416666666666667"/>
    <n v="24"/>
    <n v="240"/>
    <n v="1"/>
    <n v="140"/>
    <n v="14"/>
    <n v="0.58333333333333337"/>
    <n v="170"/>
    <x v="179"/>
    <n v="17"/>
    <n v="0.70833333333333337"/>
    <n v="54"/>
    <n v="2.25"/>
    <n v="47"/>
    <n v="1.9583333333333333"/>
  </r>
  <r>
    <s v="Timofey Mozgov"/>
    <s v="2010-11"/>
    <x v="191"/>
    <n v="24"/>
    <n v="240"/>
    <n v="34"/>
    <n v="4580"/>
    <n v="110"/>
    <n v="3.2352941176470589"/>
    <n v="52"/>
    <n v="112"/>
    <n v="0.4642857142857143"/>
    <n v="0"/>
    <n v="0"/>
    <e v="#DIV/0!"/>
    <n v="31"/>
    <n v="44"/>
    <n v="0.70454545454545459"/>
    <n v="41"/>
    <n v="63"/>
    <n v="104"/>
    <n v="410"/>
    <n v="630"/>
    <n v="1040"/>
    <n v="3.0588235294117645"/>
    <n v="15"/>
    <n v="0.44117647058823528"/>
    <n v="14"/>
    <n v="140"/>
    <n v="0.41176470588235292"/>
    <n v="230"/>
    <n v="23"/>
    <n v="0.67647058823529416"/>
    <n v="320"/>
    <x v="180"/>
    <n v="32"/>
    <n v="0.94117647058823528"/>
    <n v="76"/>
    <n v="2.2352941176470589"/>
    <n v="135"/>
    <n v="3.9705882352941178"/>
  </r>
  <r>
    <s v="Roger Mason Jr."/>
    <s v="2010-11"/>
    <x v="192"/>
    <n v="30"/>
    <n v="300"/>
    <n v="26"/>
    <n v="3190"/>
    <n v="61"/>
    <n v="2.3461538461538463"/>
    <n v="26"/>
    <n v="77"/>
    <n v="0.33766233766233766"/>
    <n v="160"/>
    <n v="440"/>
    <n v="0.36363636363636365"/>
    <n v="7"/>
    <n v="10"/>
    <n v="0.7"/>
    <n v="5"/>
    <n v="38"/>
    <n v="43"/>
    <n v="50"/>
    <n v="380"/>
    <n v="430"/>
    <n v="1.6538461538461537"/>
    <n v="20"/>
    <n v="0.76923076923076927"/>
    <n v="6"/>
    <n v="60"/>
    <n v="0.23076923076923078"/>
    <n v="20"/>
    <n v="2"/>
    <n v="7.6923076923076927E-2"/>
    <n v="60"/>
    <x v="181"/>
    <n v="6"/>
    <n v="0.23076923076923078"/>
    <n v="25"/>
    <n v="0.96153846153846156"/>
    <n v="75"/>
    <n v="2.8846153846153846"/>
  </r>
  <r>
    <s v="Anthony Randolph"/>
    <s v="2010-11"/>
    <x v="193"/>
    <n v="21"/>
    <n v="210"/>
    <n v="17"/>
    <n v="1270"/>
    <n v="32"/>
    <n v="1.8823529411764706"/>
    <n v="14"/>
    <n v="45"/>
    <n v="0.31111111111111112"/>
    <n v="10"/>
    <n v="40"/>
    <n v="0.25"/>
    <n v="6"/>
    <n v="12"/>
    <n v="0.5"/>
    <n v="11"/>
    <n v="29"/>
    <n v="40"/>
    <n v="110"/>
    <n v="290"/>
    <n v="400"/>
    <n v="2.3529411764705883"/>
    <n v="7"/>
    <n v="0.41176470588235292"/>
    <n v="4"/>
    <n v="40"/>
    <n v="0.23529411764705882"/>
    <n v="80"/>
    <n v="8"/>
    <n v="0.47058823529411764"/>
    <n v="100"/>
    <x v="182"/>
    <n v="10"/>
    <n v="0.58823529411764708"/>
    <n v="15"/>
    <n v="0.88235294117647056"/>
    <n v="35"/>
    <n v="2.0588235294117645"/>
  </r>
  <r>
    <s v="Andy Rautins"/>
    <s v="2010-11"/>
    <x v="194"/>
    <n v="24"/>
    <n v="240"/>
    <n v="5"/>
    <n v="240"/>
    <n v="1"/>
    <n v="0.2"/>
    <n v="3"/>
    <n v="7"/>
    <n v="429"/>
    <n v="10"/>
    <n v="40"/>
    <n v="0.25"/>
    <n v="1"/>
    <n v="2"/>
    <n v="0.5"/>
    <n v="0"/>
    <n v="1"/>
    <n v="1"/>
    <n v="0"/>
    <n v="10"/>
    <n v="10"/>
    <n v="0.2"/>
    <n v="3"/>
    <n v="0.6"/>
    <n v="1"/>
    <n v="10"/>
    <n v="0.2"/>
    <n v="0"/>
    <n v="0"/>
    <n v="0"/>
    <n v="70"/>
    <x v="183"/>
    <n v="7"/>
    <n v="1.4"/>
    <n v="0"/>
    <n v="0"/>
    <n v="8"/>
    <n v="1.6"/>
  </r>
  <r>
    <s v="Renaldo Balkman"/>
    <s v="2010-11"/>
    <x v="195"/>
    <n v="26"/>
    <n v="260"/>
    <n v="3"/>
    <n v="180"/>
    <n v="-1"/>
    <n v="-0.33333333333333331"/>
    <n v="1"/>
    <n v="4"/>
    <n v="0.25"/>
    <n v="10"/>
    <n v="20"/>
    <n v="0.5"/>
    <n v="0"/>
    <n v="0"/>
    <e v="#DIV/0!"/>
    <n v="1"/>
    <n v="2"/>
    <n v="3"/>
    <n v="10"/>
    <n v="20"/>
    <n v="30"/>
    <n v="1"/>
    <n v="0"/>
    <n v="0"/>
    <n v="1"/>
    <n v="10"/>
    <n v="0.33333333333333331"/>
    <n v="0"/>
    <n v="0"/>
    <n v="0"/>
    <n v="10"/>
    <x v="144"/>
    <n v="1"/>
    <n v="0.33333333333333331"/>
    <n v="4"/>
    <n v="1.3333333333333333"/>
    <n v="3"/>
    <n v="1"/>
  </r>
  <r>
    <s v="Carmelo Anthony"/>
    <s v="2011-12"/>
    <x v="196"/>
    <n v="28"/>
    <n v="280"/>
    <n v="55"/>
    <n v="18760"/>
    <n v="919"/>
    <n v="16.709090909090911"/>
    <n v="441"/>
    <n v="1025"/>
    <n v="0.43024390243902438"/>
    <n v="680"/>
    <n v="2030"/>
    <n v="0.33497536945812806"/>
    <n v="295"/>
    <n v="367"/>
    <n v="0.80381471389645776"/>
    <n v="88"/>
    <n v="256"/>
    <n v="344"/>
    <n v="880"/>
    <n v="2560"/>
    <n v="3440"/>
    <n v="6.2545454545454549"/>
    <n v="200"/>
    <n v="3.6363636363636362"/>
    <n v="62"/>
    <n v="620"/>
    <n v="1.1272727272727272"/>
    <n v="240"/>
    <n v="24"/>
    <n v="0.43636363636363634"/>
    <n v="1440"/>
    <x v="184"/>
    <n v="144"/>
    <n v="2.6181818181818182"/>
    <n v="156"/>
    <n v="2.8363636363636364"/>
    <n v="1245"/>
    <n v="22.636363636363637"/>
  </r>
  <r>
    <s v="Tyson Chandler"/>
    <s v="2011-12"/>
    <x v="197"/>
    <n v="29"/>
    <n v="290"/>
    <n v="62"/>
    <n v="20610"/>
    <n v="1012"/>
    <n v="16.322580645161292"/>
    <n v="241"/>
    <n v="355"/>
    <n v="0.6788732394366197"/>
    <n v="0"/>
    <n v="20"/>
    <n v="0"/>
    <n v="217"/>
    <n v="315"/>
    <n v="0.68888888888888888"/>
    <n v="212"/>
    <n v="400"/>
    <n v="612"/>
    <n v="2120"/>
    <n v="4000"/>
    <n v="6120"/>
    <n v="9.870967741935484"/>
    <n v="56"/>
    <n v="0.90322580645161288"/>
    <n v="56"/>
    <n v="560"/>
    <n v="0.90322580645161288"/>
    <n v="890"/>
    <n v="89"/>
    <n v="1.435483870967742"/>
    <n v="1020"/>
    <x v="185"/>
    <n v="102"/>
    <n v="1.6451612903225807"/>
    <n v="186"/>
    <n v="3"/>
    <n v="699"/>
    <n v="11.274193548387096"/>
  </r>
  <r>
    <s v="Amar'e Stoudemire"/>
    <s v="2011-12"/>
    <x v="198"/>
    <n v="29"/>
    <n v="290"/>
    <n v="47"/>
    <n v="15430"/>
    <n v="680"/>
    <n v="14.468085106382979"/>
    <n v="316"/>
    <n v="654"/>
    <n v="483"/>
    <n v="50"/>
    <n v="210"/>
    <n v="0.23809523809523808"/>
    <n v="186"/>
    <n v="243"/>
    <n v="0.76543209876543206"/>
    <n v="106"/>
    <n v="261"/>
    <n v="367"/>
    <n v="1060"/>
    <n v="2610"/>
    <n v="3670"/>
    <n v="7.8085106382978724"/>
    <n v="52"/>
    <n v="1.1063829787234043"/>
    <n v="38"/>
    <n v="380"/>
    <n v="0.80851063829787229"/>
    <n v="450"/>
    <n v="45"/>
    <n v="0.95744680851063835"/>
    <n v="1120"/>
    <x v="186"/>
    <n v="112"/>
    <n v="2.3829787234042552"/>
    <n v="138"/>
    <n v="2.9361702127659575"/>
    <n v="823"/>
    <n v="17.51063829787234"/>
  </r>
  <r>
    <s v="Jeremy Lin"/>
    <s v="2011-12"/>
    <x v="199"/>
    <n v="23"/>
    <n v="230"/>
    <n v="35"/>
    <n v="9400"/>
    <n v="446"/>
    <n v="12.742857142857142"/>
    <n v="171"/>
    <n v="383"/>
    <n v="0.44647519582245432"/>
    <n v="240"/>
    <n v="750"/>
    <n v="0.32"/>
    <n v="146"/>
    <n v="183"/>
    <n v="0.79781420765027322"/>
    <n v="18"/>
    <n v="89"/>
    <n v="107"/>
    <n v="180"/>
    <n v="890"/>
    <n v="1070"/>
    <n v="3.0571428571428569"/>
    <n v="216"/>
    <n v="6.1714285714285717"/>
    <n v="55"/>
    <n v="550"/>
    <n v="1.5714285714285714"/>
    <n v="90"/>
    <n v="9"/>
    <n v="0.25714285714285712"/>
    <n v="1260"/>
    <x v="187"/>
    <n v="126"/>
    <n v="3.6"/>
    <n v="78"/>
    <n v="2.2285714285714286"/>
    <n v="512"/>
    <n v="14.628571428571428"/>
  </r>
  <r>
    <s v="JR Smith"/>
    <s v="2011-12"/>
    <x v="200"/>
    <n v="26"/>
    <n v="260"/>
    <n v="35"/>
    <n v="9670"/>
    <n v="327"/>
    <n v="9.3428571428571434"/>
    <n v="165"/>
    <n v="405"/>
    <n v="0.40740740740740738"/>
    <n v="670"/>
    <n v="1930"/>
    <n v="0.34715025906735753"/>
    <n v="39"/>
    <n v="55"/>
    <n v="0.70909090909090911"/>
    <n v="29"/>
    <n v="107"/>
    <n v="136"/>
    <n v="290"/>
    <n v="1070"/>
    <n v="1360"/>
    <n v="3.8857142857142857"/>
    <n v="84"/>
    <n v="2.4"/>
    <n v="54"/>
    <n v="540"/>
    <n v="1.5428571428571429"/>
    <n v="60"/>
    <n v="6"/>
    <n v="0.17142857142857143"/>
    <n v="460"/>
    <x v="188"/>
    <n v="46"/>
    <n v="1.3142857142857143"/>
    <n v="87"/>
    <n v="2.4857142857142858"/>
    <n v="436"/>
    <n v="12.457142857142857"/>
  </r>
  <r>
    <s v="Landry Fields"/>
    <s v="2011-12"/>
    <x v="201"/>
    <n v="24"/>
    <n v="240"/>
    <n v="66"/>
    <n v="18940"/>
    <n v="585"/>
    <n v="8.8636363636363633"/>
    <n v="236"/>
    <n v="513"/>
    <n v="0.4600389863547758"/>
    <n v="310"/>
    <n v="1210"/>
    <n v="0.256198347107438"/>
    <n v="77"/>
    <n v="137"/>
    <n v="0.56204379562043794"/>
    <n v="59"/>
    <n v="219"/>
    <n v="278"/>
    <n v="590"/>
    <n v="2190"/>
    <n v="2780"/>
    <n v="4.2121212121212119"/>
    <n v="169"/>
    <n v="2.5606060606060606"/>
    <n v="79"/>
    <n v="790"/>
    <n v="1.196969696969697"/>
    <n v="170"/>
    <n v="17"/>
    <n v="0.25757575757575757"/>
    <n v="1020"/>
    <x v="189"/>
    <n v="102"/>
    <n v="1.5454545454545454"/>
    <n v="99"/>
    <n v="1.5"/>
    <n v="580"/>
    <n v="8.7878787878787872"/>
  </r>
  <r>
    <s v="Iman Shumpert"/>
    <s v="2011-12"/>
    <x v="202"/>
    <n v="22"/>
    <n v="220"/>
    <n v="59"/>
    <n v="17050"/>
    <n v="396"/>
    <n v="6.7118644067796609"/>
    <n v="214"/>
    <n v="534"/>
    <n v="401"/>
    <n v="480"/>
    <n v="1570"/>
    <n v="0.30573248407643311"/>
    <n v="87"/>
    <n v="109"/>
    <n v="0.79816513761467889"/>
    <n v="42"/>
    <n v="144"/>
    <n v="186"/>
    <n v="420"/>
    <n v="1440"/>
    <n v="1860"/>
    <n v="3.152542372881356"/>
    <n v="164"/>
    <n v="2.7796610169491527"/>
    <n v="101"/>
    <n v="1010"/>
    <n v="1.7118644067796611"/>
    <n v="80"/>
    <n v="8"/>
    <n v="0.13559322033898305"/>
    <n v="1110"/>
    <x v="90"/>
    <n v="111"/>
    <n v="1.8813559322033899"/>
    <n v="173"/>
    <n v="2.9322033898305087"/>
    <n v="563"/>
    <n v="9.5423728813559325"/>
  </r>
  <r>
    <s v="Steve Novak"/>
    <s v="2011-12"/>
    <x v="203"/>
    <n v="29"/>
    <n v="290"/>
    <n v="54"/>
    <n v="10200"/>
    <n v="358"/>
    <n v="6.6296296296296298"/>
    <n v="161"/>
    <n v="337"/>
    <n v="0.47774480712166173"/>
    <n v="1330"/>
    <n v="2820"/>
    <n v="0.47163120567375888"/>
    <n v="22"/>
    <n v="26"/>
    <n v="0.84615384615384615"/>
    <n v="9"/>
    <n v="95"/>
    <n v="104"/>
    <n v="90"/>
    <n v="950"/>
    <n v="1040"/>
    <n v="1.9259259259259258"/>
    <n v="12"/>
    <n v="0.22222222222222221"/>
    <n v="16"/>
    <n v="160"/>
    <n v="0.29629629629629628"/>
    <n v="90"/>
    <n v="9"/>
    <n v="0.16666666666666666"/>
    <n v="210"/>
    <x v="127"/>
    <n v="21"/>
    <n v="0.3888888888888889"/>
    <n v="59"/>
    <n v="1.0925925925925926"/>
    <n v="477"/>
    <n v="8.8333333333333339"/>
  </r>
  <r>
    <s v="Josh Harrellson"/>
    <s v="2011-12"/>
    <x v="204"/>
    <n v="23"/>
    <n v="230"/>
    <n v="37"/>
    <n v="5400"/>
    <n v="196"/>
    <n v="5.2972972972972974"/>
    <n v="63"/>
    <n v="149"/>
    <n v="0.42281879194630873"/>
    <n v="200"/>
    <n v="590"/>
    <n v="0.33898305084745761"/>
    <n v="16"/>
    <n v="26"/>
    <n v="0.61538461538461542"/>
    <n v="47"/>
    <n v="97"/>
    <n v="144"/>
    <n v="470"/>
    <n v="970"/>
    <n v="1440"/>
    <n v="3.8918918918918921"/>
    <n v="11"/>
    <n v="0.29729729729729731"/>
    <n v="23"/>
    <n v="230"/>
    <n v="0.6216216216216216"/>
    <n v="200"/>
    <n v="20"/>
    <n v="0.54054054054054057"/>
    <n v="200"/>
    <x v="190"/>
    <n v="20"/>
    <n v="0.54054054054054057"/>
    <n v="48"/>
    <n v="1.2972972972972974"/>
    <n v="162"/>
    <n v="4.3783783783783781"/>
  </r>
  <r>
    <s v="Baron Davis"/>
    <s v="2011-12"/>
    <x v="205"/>
    <n v="33"/>
    <n v="330"/>
    <n v="29"/>
    <n v="5950"/>
    <n v="145"/>
    <n v="5"/>
    <n v="68"/>
    <n v="184"/>
    <n v="37"/>
    <n v="260"/>
    <n v="850"/>
    <n v="0.30588235294117649"/>
    <n v="16"/>
    <n v="24"/>
    <n v="0.66666666666666663"/>
    <n v="13"/>
    <n v="43"/>
    <n v="56"/>
    <n v="130"/>
    <n v="430"/>
    <n v="560"/>
    <n v="1.9310344827586208"/>
    <n v="135"/>
    <n v="4.6551724137931032"/>
    <n v="34"/>
    <n v="340"/>
    <n v="1.1724137931034482"/>
    <n v="30"/>
    <n v="3"/>
    <n v="0.10344827586206896"/>
    <n v="760"/>
    <x v="191"/>
    <n v="76"/>
    <n v="2.6206896551724137"/>
    <n v="61"/>
    <n v="2.103448275862069"/>
    <n v="178"/>
    <n v="6.1379310344827589"/>
  </r>
  <r>
    <s v="Jared Jeffries"/>
    <s v="2011-12"/>
    <x v="206"/>
    <n v="30"/>
    <n v="300"/>
    <n v="39"/>
    <n v="7290"/>
    <n v="176"/>
    <n v="4.5128205128205128"/>
    <n v="59"/>
    <n v="144"/>
    <n v="41"/>
    <n v="30"/>
    <n v="160"/>
    <n v="0.1875"/>
    <n v="49"/>
    <n v="72"/>
    <n v="0.68055555555555558"/>
    <n v="69"/>
    <n v="83"/>
    <n v="152"/>
    <n v="690"/>
    <n v="830"/>
    <n v="1520"/>
    <n v="3.8974358974358974"/>
    <n v="26"/>
    <n v="0.66666666666666663"/>
    <n v="29"/>
    <n v="290"/>
    <n v="0.74358974358974361"/>
    <n v="250"/>
    <n v="25"/>
    <n v="0.64102564102564108"/>
    <n v="290"/>
    <x v="192"/>
    <n v="29"/>
    <n v="0.74358974358974361"/>
    <n v="89"/>
    <n v="2.2820512820512819"/>
    <n v="170"/>
    <n v="4.3589743589743586"/>
  </r>
  <r>
    <s v="Henry Walker"/>
    <s v="2011-12"/>
    <x v="207"/>
    <n v="24"/>
    <n v="240"/>
    <n v="32"/>
    <n v="6200"/>
    <n v="107"/>
    <n v="3.34375"/>
    <n v="68"/>
    <n v="171"/>
    <n v="398"/>
    <n v="360"/>
    <n v="1130"/>
    <n v="0.31858407079646017"/>
    <n v="17"/>
    <n v="20"/>
    <n v="0.85"/>
    <n v="9"/>
    <n v="71"/>
    <n v="80"/>
    <n v="90"/>
    <n v="710"/>
    <n v="800"/>
    <n v="2.5"/>
    <n v="37"/>
    <n v="1.15625"/>
    <n v="19"/>
    <n v="190"/>
    <n v="0.59375"/>
    <n v="70"/>
    <n v="7"/>
    <n v="0.21875"/>
    <n v="350"/>
    <x v="193"/>
    <n v="35"/>
    <n v="1.09375"/>
    <n v="84"/>
    <n v="2.625"/>
    <n v="189"/>
    <n v="5.90625"/>
  </r>
  <r>
    <s v="Renaldo Balkman"/>
    <s v="2011-12"/>
    <x v="208"/>
    <n v="27"/>
    <n v="270"/>
    <n v="14"/>
    <n v="1150"/>
    <n v="41"/>
    <n v="2.9285714285714284"/>
    <n v="16"/>
    <n v="32"/>
    <n v="0.5"/>
    <n v="20"/>
    <n v="90"/>
    <n v="0.22222222222222221"/>
    <n v="8"/>
    <n v="11"/>
    <n v="0.72727272727272729"/>
    <n v="6"/>
    <n v="20"/>
    <n v="26"/>
    <n v="60"/>
    <n v="200"/>
    <n v="260"/>
    <n v="1.8571428571428572"/>
    <n v="5"/>
    <n v="0.35714285714285715"/>
    <n v="4"/>
    <n v="40"/>
    <n v="0.2857142857142857"/>
    <n v="30"/>
    <n v="3"/>
    <n v="0.21428571428571427"/>
    <n v="60"/>
    <x v="194"/>
    <n v="6"/>
    <n v="0.42857142857142855"/>
    <n v="14"/>
    <n v="1"/>
    <n v="42"/>
    <n v="3"/>
  </r>
  <r>
    <s v="Mike Bibby"/>
    <s v="2011-12"/>
    <x v="209"/>
    <n v="34"/>
    <n v="340"/>
    <n v="39"/>
    <n v="5570"/>
    <n v="110"/>
    <n v="2.8205128205128207"/>
    <n v="35"/>
    <n v="124"/>
    <n v="0.28225806451612906"/>
    <n v="270"/>
    <n v="850"/>
    <n v="0.31764705882352939"/>
    <n v="6"/>
    <n v="8"/>
    <n v="0.75"/>
    <n v="5"/>
    <n v="54"/>
    <n v="59"/>
    <n v="50"/>
    <n v="540"/>
    <n v="590"/>
    <n v="1.5128205128205128"/>
    <n v="80"/>
    <n v="2.0512820512820511"/>
    <n v="21"/>
    <n v="210"/>
    <n v="0.53846153846153844"/>
    <n v="30"/>
    <n v="3"/>
    <n v="7.6923076923076927E-2"/>
    <n v="200"/>
    <x v="195"/>
    <n v="20"/>
    <n v="0.51282051282051277"/>
    <n v="45"/>
    <n v="1.1538461538461537"/>
    <n v="103"/>
    <n v="2.641025641025641"/>
  </r>
  <r>
    <s v="Toney Douglas"/>
    <s v="2011-12"/>
    <x v="210"/>
    <n v="26"/>
    <n v="260"/>
    <n v="38"/>
    <n v="6560"/>
    <n v="105"/>
    <n v="2.763157894736842"/>
    <n v="94"/>
    <n v="290"/>
    <n v="0.32413793103448274"/>
    <n v="270"/>
    <n v="1170"/>
    <n v="0.23076923076923078"/>
    <n v="22"/>
    <n v="26"/>
    <n v="0.84615384615384615"/>
    <n v="16"/>
    <n v="56"/>
    <n v="72"/>
    <n v="160"/>
    <n v="560"/>
    <n v="720"/>
    <n v="1.8947368421052631"/>
    <n v="77"/>
    <n v="2.0263157894736841"/>
    <n v="29"/>
    <n v="290"/>
    <n v="0.76315789473684215"/>
    <n v="10"/>
    <n v="1"/>
    <n v="2.6315789473684209E-2"/>
    <n v="560"/>
    <x v="196"/>
    <n v="56"/>
    <n v="1.4736842105263157"/>
    <n v="55"/>
    <n v="1.4473684210526316"/>
    <n v="237"/>
    <n v="6.2368421052631575"/>
  </r>
  <r>
    <s v="Jerome Jordan"/>
    <s v="2011-12"/>
    <x v="211"/>
    <n v="25"/>
    <n v="250"/>
    <n v="21"/>
    <n v="1080"/>
    <n v="45"/>
    <n v="2.1428571428571428"/>
    <n v="17"/>
    <n v="33"/>
    <n v="515"/>
    <n v="0"/>
    <n v="0"/>
    <e v="#DIV/0!"/>
    <n v="8"/>
    <n v="10"/>
    <n v="0.8"/>
    <n v="14"/>
    <n v="13"/>
    <n v="27"/>
    <n v="140"/>
    <n v="130"/>
    <n v="270"/>
    <n v="1.2857142857142858"/>
    <n v="4"/>
    <n v="0.19047619047619047"/>
    <n v="1"/>
    <n v="10"/>
    <n v="4.7619047619047616E-2"/>
    <n v="60"/>
    <n v="6"/>
    <n v="0.2857142857142857"/>
    <n v="20"/>
    <x v="197"/>
    <n v="2"/>
    <n v="9.5238095238095233E-2"/>
    <n v="15"/>
    <n v="0.7142857142857143"/>
    <n v="42"/>
    <n v="2"/>
  </r>
  <r>
    <s v="Dan Gadzuric"/>
    <s v="2011-12"/>
    <x v="212"/>
    <n v="34"/>
    <n v="340"/>
    <n v="2"/>
    <n v="130"/>
    <n v="-2"/>
    <n v="-1"/>
    <n v="0"/>
    <n v="2"/>
    <n v="0"/>
    <n v="0"/>
    <n v="0"/>
    <e v="#DIV/0!"/>
    <n v="0"/>
    <n v="2"/>
    <n v="0"/>
    <n v="1"/>
    <n v="4"/>
    <n v="5"/>
    <n v="10"/>
    <n v="40"/>
    <n v="50"/>
    <n v="2.5"/>
    <n v="0"/>
    <n v="0"/>
    <n v="1"/>
    <n v="10"/>
    <n v="0.5"/>
    <n v="10"/>
    <n v="1"/>
    <n v="0.5"/>
    <n v="10"/>
    <x v="198"/>
    <n v="1"/>
    <n v="0.5"/>
    <n v="4"/>
    <n v="2"/>
    <n v="0"/>
    <n v="0"/>
  </r>
  <r>
    <s v="Carmelo Anthony"/>
    <s v="2012-13"/>
    <x v="213"/>
    <n v="29"/>
    <n v="290"/>
    <n v="67"/>
    <n v="24820"/>
    <n v="1348"/>
    <n v="20.119402985074625"/>
    <n v="669"/>
    <n v="1489"/>
    <n v="0.44929482874412358"/>
    <n v="1570"/>
    <n v="4140"/>
    <n v="0.37922705314009664"/>
    <n v="425"/>
    <n v="512"/>
    <n v="0.830078125"/>
    <n v="134"/>
    <n v="326"/>
    <n v="460"/>
    <n v="1340"/>
    <n v="3260"/>
    <n v="4600"/>
    <n v="6.8656716417910451"/>
    <n v="171"/>
    <n v="2.5522388059701493"/>
    <n v="52"/>
    <n v="520"/>
    <n v="0.77611940298507465"/>
    <n v="320"/>
    <n v="32"/>
    <n v="0.47761194029850745"/>
    <n v="1750"/>
    <x v="199"/>
    <n v="175"/>
    <n v="2.6119402985074629"/>
    <n v="205"/>
    <n v="3.0597014925373136"/>
    <n v="1920"/>
    <n v="28.656716417910449"/>
  </r>
  <r>
    <s v="Earl Barron"/>
    <s v="2012-13"/>
    <x v="214"/>
    <n v="31"/>
    <n v="310"/>
    <n v="1"/>
    <n v="370"/>
    <n v="20"/>
    <n v="20"/>
    <n v="5"/>
    <n v="14"/>
    <n v="0.35714285714285715"/>
    <n v="0"/>
    <n v="0"/>
    <e v="#DIV/0!"/>
    <n v="1"/>
    <n v="2"/>
    <n v="0.5"/>
    <n v="6"/>
    <n v="12"/>
    <n v="18"/>
    <n v="60"/>
    <n v="120"/>
    <n v="180"/>
    <n v="18"/>
    <n v="2"/>
    <n v="2"/>
    <n v="0"/>
    <n v="0"/>
    <n v="0"/>
    <n v="10"/>
    <n v="1"/>
    <n v="1"/>
    <n v="10"/>
    <x v="200"/>
    <n v="1"/>
    <n v="1"/>
    <n v="1"/>
    <n v="1"/>
    <n v="11"/>
    <n v="11"/>
  </r>
  <r>
    <s v="Tyson Chandler"/>
    <s v="2012-13"/>
    <x v="215"/>
    <n v="30"/>
    <n v="300"/>
    <n v="66"/>
    <n v="21640"/>
    <n v="1072"/>
    <n v="16.242424242424242"/>
    <n v="255"/>
    <n v="400"/>
    <n v="0.63749999999999996"/>
    <n v="0"/>
    <n v="0"/>
    <e v="#DIV/0!"/>
    <n v="179"/>
    <n v="258"/>
    <n v="0.69379844961240311"/>
    <n v="269"/>
    <n v="434"/>
    <n v="703"/>
    <n v="2690"/>
    <n v="4340"/>
    <n v="7030"/>
    <n v="10.651515151515152"/>
    <n v="62"/>
    <n v="0.93939393939393945"/>
    <n v="42"/>
    <n v="420"/>
    <n v="0.63636363636363635"/>
    <n v="750"/>
    <n v="75"/>
    <n v="1.1363636363636365"/>
    <n v="870"/>
    <x v="201"/>
    <n v="87"/>
    <n v="1.3181818181818181"/>
    <n v="188"/>
    <n v="2.8484848484848486"/>
    <n v="689"/>
    <n v="10.439393939393939"/>
  </r>
  <r>
    <s v="JR Smith"/>
    <s v="2012-13"/>
    <x v="216"/>
    <n v="27"/>
    <n v="270"/>
    <n v="80"/>
    <n v="26780"/>
    <n v="1057"/>
    <n v="13.2125"/>
    <n v="527"/>
    <n v="1249"/>
    <n v="0.42193755004003203"/>
    <n v="1550"/>
    <n v="4360"/>
    <n v="0.35550458715596328"/>
    <n v="237"/>
    <n v="311"/>
    <n v="0.76205787781350487"/>
    <n v="64"/>
    <n v="361"/>
    <n v="425"/>
    <n v="640"/>
    <n v="3610"/>
    <n v="4250"/>
    <n v="5.3125"/>
    <n v="218"/>
    <n v="2.7250000000000001"/>
    <n v="100"/>
    <n v="1000"/>
    <n v="1.25"/>
    <n v="240"/>
    <n v="24"/>
    <n v="0.3"/>
    <n v="1340"/>
    <x v="202"/>
    <n v="134"/>
    <n v="1.675"/>
    <n v="226"/>
    <n v="2.8250000000000002"/>
    <n v="1446"/>
    <n v="18.074999999999999"/>
  </r>
  <r>
    <s v="Raymond Felton"/>
    <s v="2012-13"/>
    <x v="217"/>
    <n v="29"/>
    <n v="290"/>
    <n v="68"/>
    <n v="23130"/>
    <n v="805"/>
    <n v="11.838235294117647"/>
    <n v="377"/>
    <n v="882"/>
    <n v="0.42743764172335602"/>
    <n v="930"/>
    <n v="2580"/>
    <n v="0.36046511627906974"/>
    <n v="101"/>
    <n v="128"/>
    <n v="0.7890625"/>
    <n v="51"/>
    <n v="143"/>
    <n v="194"/>
    <n v="510"/>
    <n v="1430"/>
    <n v="1940"/>
    <n v="2.8529411764705883"/>
    <n v="372"/>
    <n v="5.4705882352941178"/>
    <n v="94"/>
    <n v="940"/>
    <n v="1.3823529411764706"/>
    <n v="140"/>
    <n v="14"/>
    <n v="0.20588235294117646"/>
    <n v="1550"/>
    <x v="203"/>
    <n v="155"/>
    <n v="2.2794117647058822"/>
    <n v="130"/>
    <n v="1.911764705882353"/>
    <n v="948"/>
    <n v="13.941176470588236"/>
  </r>
  <r>
    <s v="Amar'e Stoudemire"/>
    <s v="2012-13"/>
    <x v="218"/>
    <n v="30"/>
    <n v="300"/>
    <n v="29"/>
    <n v="6820"/>
    <n v="325"/>
    <n v="11.206896551724139"/>
    <n v="154"/>
    <n v="267"/>
    <n v="577"/>
    <n v="0"/>
    <n v="0"/>
    <e v="#DIV/0!"/>
    <n v="105"/>
    <n v="130"/>
    <n v="0.80769230769230771"/>
    <n v="60"/>
    <n v="85"/>
    <n v="145"/>
    <n v="600"/>
    <n v="850"/>
    <n v="1450"/>
    <n v="5"/>
    <n v="13"/>
    <n v="0.44827586206896552"/>
    <n v="10"/>
    <n v="100"/>
    <n v="0.34482758620689657"/>
    <n v="210"/>
    <n v="21"/>
    <n v="0.72413793103448276"/>
    <n v="500"/>
    <x v="204"/>
    <n v="50"/>
    <n v="1.7241379310344827"/>
    <n v="89"/>
    <n v="3.0689655172413794"/>
    <n v="413"/>
    <n v="14.241379310344827"/>
  </r>
  <r>
    <s v="Jason Kidd"/>
    <s v="2012-13"/>
    <x v="219"/>
    <n v="40"/>
    <n v="400"/>
    <n v="76"/>
    <n v="20430"/>
    <n v="714"/>
    <n v="9.3947368421052637"/>
    <n v="152"/>
    <n v="409"/>
    <n v="372"/>
    <n v="1140"/>
    <n v="3250"/>
    <n v="0.35076923076923078"/>
    <n v="40"/>
    <n v="48"/>
    <n v="0.83333333333333337"/>
    <n v="50"/>
    <n v="273"/>
    <n v="323"/>
    <n v="500"/>
    <n v="2730"/>
    <n v="3230"/>
    <n v="4.25"/>
    <n v="249"/>
    <n v="3.2763157894736841"/>
    <n v="125"/>
    <n v="1250"/>
    <n v="1.6447368421052631"/>
    <n v="250"/>
    <n v="25"/>
    <n v="0.32894736842105265"/>
    <n v="760"/>
    <x v="205"/>
    <n v="76"/>
    <n v="1"/>
    <n v="125"/>
    <n v="1.6447368421052631"/>
    <n v="458"/>
    <n v="6.0263157894736841"/>
  </r>
  <r>
    <s v="Kenyon Martin"/>
    <s v="2012-13"/>
    <x v="220"/>
    <n v="35"/>
    <n v="350"/>
    <n v="18"/>
    <n v="4310"/>
    <n v="125"/>
    <n v="6.9444444444444446"/>
    <n v="56"/>
    <n v="93"/>
    <n v="0.60215053763440862"/>
    <n v="0"/>
    <n v="0"/>
    <e v="#DIV/0!"/>
    <n v="17"/>
    <n v="40"/>
    <n v="0.42499999999999999"/>
    <n v="34"/>
    <n v="61"/>
    <n v="95"/>
    <n v="340"/>
    <n v="610"/>
    <n v="950"/>
    <n v="5.2777777777777777"/>
    <n v="8"/>
    <n v="0.44444444444444442"/>
    <n v="16"/>
    <n v="160"/>
    <n v="0.88888888888888884"/>
    <n v="170"/>
    <n v="17"/>
    <n v="0.94444444444444442"/>
    <n v="160"/>
    <x v="206"/>
    <n v="16"/>
    <n v="0.88888888888888884"/>
    <n v="64"/>
    <n v="3.5555555555555554"/>
    <n v="129"/>
    <n v="7.166666666666667"/>
  </r>
  <r>
    <s v="Rasheed Wallace"/>
    <s v="2012-13"/>
    <x v="221"/>
    <n v="38"/>
    <n v="380"/>
    <n v="21"/>
    <n v="2960"/>
    <n v="120"/>
    <n v="5.7142857142857144"/>
    <n v="55"/>
    <n v="142"/>
    <n v="387"/>
    <n v="220"/>
    <n v="690"/>
    <n v="0.3188405797101449"/>
    <n v="14"/>
    <n v="20"/>
    <n v="0.7"/>
    <n v="11"/>
    <n v="72"/>
    <n v="83"/>
    <n v="110"/>
    <n v="720"/>
    <n v="830"/>
    <n v="3.9523809523809526"/>
    <n v="6"/>
    <n v="0.2857142857142857"/>
    <n v="13"/>
    <n v="130"/>
    <n v="0.61904761904761907"/>
    <n v="150"/>
    <n v="15"/>
    <n v="0.7142857142857143"/>
    <n v="100"/>
    <x v="207"/>
    <n v="10"/>
    <n v="0.47619047619047616"/>
    <n v="40"/>
    <n v="1.9047619047619047"/>
    <n v="146"/>
    <n v="6.9523809523809526"/>
  </r>
  <r>
    <s v="Iman Shumpert"/>
    <s v="2012-13"/>
    <x v="222"/>
    <n v="23"/>
    <n v="230"/>
    <n v="45"/>
    <n v="9960"/>
    <n v="253"/>
    <n v="5.6222222222222218"/>
    <n v="109"/>
    <n v="275"/>
    <n v="396"/>
    <n v="510"/>
    <n v="1270"/>
    <n v="0.40157480314960631"/>
    <n v="36"/>
    <n v="47"/>
    <n v="0.76595744680851063"/>
    <n v="31"/>
    <n v="105"/>
    <n v="136"/>
    <n v="310"/>
    <n v="1050"/>
    <n v="1360"/>
    <n v="3.0222222222222221"/>
    <n v="75"/>
    <n v="1.6666666666666667"/>
    <n v="43"/>
    <n v="430"/>
    <n v="0.9555555555555556"/>
    <n v="70"/>
    <n v="7"/>
    <n v="0.15555555555555556"/>
    <n v="370"/>
    <x v="208"/>
    <n v="37"/>
    <n v="0.82222222222222219"/>
    <n v="99"/>
    <n v="2.2000000000000002"/>
    <n v="305"/>
    <n v="6.7777777777777777"/>
  </r>
  <r>
    <s v="Chris Copeland"/>
    <s v="2012-13"/>
    <x v="223"/>
    <n v="29"/>
    <n v="290"/>
    <n v="56"/>
    <n v="8620"/>
    <n v="288"/>
    <n v="5.1428571428571432"/>
    <n v="182"/>
    <n v="380"/>
    <n v="479"/>
    <n v="590"/>
    <n v="1400"/>
    <n v="0.42142857142857143"/>
    <n v="63"/>
    <n v="83"/>
    <n v="0.75903614457831325"/>
    <n v="34"/>
    <n v="85"/>
    <n v="119"/>
    <n v="340"/>
    <n v="850"/>
    <n v="1190"/>
    <n v="2.125"/>
    <n v="27"/>
    <n v="0.48214285714285715"/>
    <n v="16"/>
    <n v="160"/>
    <n v="0.2857142857142857"/>
    <n v="120"/>
    <n v="12"/>
    <n v="0.21428571428571427"/>
    <n v="500"/>
    <x v="177"/>
    <n v="50"/>
    <n v="0.8928571428571429"/>
    <n v="104"/>
    <n v="1.8571428571428572"/>
    <n v="486"/>
    <n v="8.6785714285714288"/>
  </r>
  <r>
    <s v="Pablo Prigioni"/>
    <s v="2012-13"/>
    <x v="224"/>
    <n v="36"/>
    <n v="360"/>
    <n v="78"/>
    <n v="12630"/>
    <n v="389"/>
    <n v="4.9871794871794872"/>
    <n v="100"/>
    <n v="220"/>
    <n v="0.45454545454545453"/>
    <n v="530"/>
    <n v="1340"/>
    <n v="0.39552238805970147"/>
    <n v="22"/>
    <n v="25"/>
    <n v="0.88"/>
    <n v="41"/>
    <n v="102"/>
    <n v="143"/>
    <n v="410"/>
    <n v="1020"/>
    <n v="1430"/>
    <n v="1.8333333333333333"/>
    <n v="236"/>
    <n v="3.0256410256410255"/>
    <n v="69"/>
    <n v="690"/>
    <n v="0.88461538461538458"/>
    <n v="20"/>
    <n v="2"/>
    <n v="2.564102564102564E-2"/>
    <n v="860"/>
    <x v="209"/>
    <n v="86"/>
    <n v="1.1025641025641026"/>
    <n v="127"/>
    <n v="1.6282051282051282"/>
    <n v="275"/>
    <n v="3.5256410256410255"/>
  </r>
  <r>
    <s v="Steve Novak"/>
    <s v="2012-13"/>
    <x v="225"/>
    <n v="30"/>
    <n v="300"/>
    <n v="81"/>
    <n v="16410"/>
    <n v="394"/>
    <n v="4.8641975308641978"/>
    <n v="178"/>
    <n v="430"/>
    <n v="0.413953488372093"/>
    <n v="1490"/>
    <n v="3510"/>
    <n v="0.42450142450142453"/>
    <n v="30"/>
    <n v="33"/>
    <n v="0.90909090909090906"/>
    <n v="17"/>
    <n v="135"/>
    <n v="152"/>
    <n v="170"/>
    <n v="1350"/>
    <n v="1520"/>
    <n v="1.8765432098765431"/>
    <n v="35"/>
    <n v="0.43209876543209874"/>
    <n v="28"/>
    <n v="280"/>
    <n v="0.34567901234567899"/>
    <n v="80"/>
    <n v="8"/>
    <n v="9.8765432098765427E-2"/>
    <n v="120"/>
    <x v="210"/>
    <n v="12"/>
    <n v="0.14814814814814814"/>
    <n v="97"/>
    <n v="1.1975308641975309"/>
    <n v="535"/>
    <n v="6.6049382716049383"/>
  </r>
  <r>
    <s v="Ronnie Brewer"/>
    <s v="2012-13"/>
    <x v="226"/>
    <n v="28"/>
    <n v="280"/>
    <n v="46"/>
    <n v="7110"/>
    <n v="171"/>
    <n v="3.7173913043478262"/>
    <n v="64"/>
    <n v="175"/>
    <n v="0.36571428571428571"/>
    <n v="220"/>
    <n v="710"/>
    <n v="0.30985915492957744"/>
    <n v="16"/>
    <n v="39"/>
    <n v="0.41025641025641024"/>
    <n v="29"/>
    <n v="71"/>
    <n v="100"/>
    <n v="290"/>
    <n v="710"/>
    <n v="1000"/>
    <n v="2.1739130434782608"/>
    <n v="40"/>
    <n v="0.86956521739130432"/>
    <n v="34"/>
    <n v="340"/>
    <n v="0.73913043478260865"/>
    <n v="60"/>
    <n v="6"/>
    <n v="0.13043478260869565"/>
    <n v="140"/>
    <x v="211"/>
    <n v="14"/>
    <n v="0.30434782608695654"/>
    <n v="27"/>
    <n v="0.58695652173913049"/>
    <n v="166"/>
    <n v="3.6086956521739131"/>
  </r>
  <r>
    <s v="Kurt Thomas"/>
    <s v="2012-13"/>
    <x v="227"/>
    <n v="40"/>
    <n v="400"/>
    <n v="39"/>
    <n v="3920"/>
    <n v="128"/>
    <n v="3.2820512820512819"/>
    <n v="45"/>
    <n v="83"/>
    <n v="542"/>
    <n v="10"/>
    <n v="10"/>
    <n v="1"/>
    <n v="6"/>
    <n v="13"/>
    <n v="0.46153846153846156"/>
    <n v="24"/>
    <n v="65"/>
    <n v="89"/>
    <n v="240"/>
    <n v="650"/>
    <n v="890"/>
    <n v="2.2820512820512819"/>
    <n v="21"/>
    <n v="0.53846153846153844"/>
    <n v="10"/>
    <n v="100"/>
    <n v="0.25641025641025639"/>
    <n v="160"/>
    <n v="16"/>
    <n v="0.41025641025641024"/>
    <n v="80"/>
    <x v="212"/>
    <n v="8"/>
    <n v="0.20512820512820512"/>
    <n v="52"/>
    <n v="1.3333333333333333"/>
    <n v="97"/>
    <n v="2.4871794871794872"/>
  </r>
  <r>
    <s v="Quentin Richardson"/>
    <s v="2012-13"/>
    <x v="228"/>
    <n v="33"/>
    <n v="330"/>
    <n v="1"/>
    <n v="290"/>
    <n v="3"/>
    <n v="3"/>
    <n v="1"/>
    <n v="11"/>
    <n v="91"/>
    <n v="10"/>
    <n v="40"/>
    <n v="0.25"/>
    <n v="2"/>
    <n v="2"/>
    <n v="1"/>
    <n v="5"/>
    <n v="5"/>
    <n v="10"/>
    <n v="50"/>
    <n v="50"/>
    <n v="100"/>
    <n v="10"/>
    <n v="1"/>
    <n v="1"/>
    <n v="0"/>
    <n v="0"/>
    <n v="0"/>
    <n v="0"/>
    <n v="0"/>
    <n v="0"/>
    <n v="20"/>
    <x v="213"/>
    <n v="2"/>
    <n v="2"/>
    <n v="1"/>
    <n v="1"/>
    <n v="5"/>
    <n v="5"/>
  </r>
  <r>
    <s v="Marcus Camby"/>
    <s v="2012-13"/>
    <x v="229"/>
    <n v="39"/>
    <n v="390"/>
    <n v="24"/>
    <n v="2500"/>
    <n v="67"/>
    <n v="2.7916666666666665"/>
    <n v="17"/>
    <n v="53"/>
    <n v="0.32075471698113206"/>
    <n v="0"/>
    <n v="0"/>
    <e v="#DIV/0!"/>
    <n v="8"/>
    <n v="19"/>
    <n v="0.42105263157894735"/>
    <n v="24"/>
    <n v="56"/>
    <n v="80"/>
    <n v="240"/>
    <n v="560"/>
    <n v="800"/>
    <n v="3.3333333333333335"/>
    <n v="14"/>
    <n v="0.58333333333333337"/>
    <n v="7"/>
    <n v="70"/>
    <n v="0.29166666666666669"/>
    <n v="140"/>
    <n v="14"/>
    <n v="0.58333333333333337"/>
    <n v="150"/>
    <x v="214"/>
    <n v="15"/>
    <n v="0.625"/>
    <n v="28"/>
    <n v="1.1666666666666667"/>
    <n v="42"/>
    <n v="1.75"/>
  </r>
  <r>
    <s v="James White"/>
    <s v="2012-13"/>
    <x v="230"/>
    <n v="30"/>
    <n v="300"/>
    <n v="57"/>
    <n v="4350"/>
    <n v="84"/>
    <n v="1.4736842105263157"/>
    <n v="50"/>
    <n v="116"/>
    <n v="431"/>
    <n v="140"/>
    <n v="410"/>
    <n v="0.34146341463414637"/>
    <n v="11"/>
    <n v="19"/>
    <n v="0.57894736842105265"/>
    <n v="5"/>
    <n v="43"/>
    <n v="48"/>
    <n v="50"/>
    <n v="430"/>
    <n v="480"/>
    <n v="0.84210526315789469"/>
    <n v="29"/>
    <n v="0.50877192982456143"/>
    <n v="13"/>
    <n v="130"/>
    <n v="0.22807017543859648"/>
    <n v="40"/>
    <n v="4"/>
    <n v="7.0175438596491224E-2"/>
    <n v="170"/>
    <x v="215"/>
    <n v="17"/>
    <n v="0.2982456140350877"/>
    <n v="44"/>
    <n v="0.77192982456140347"/>
    <n v="125"/>
    <n v="2.192982456140351"/>
  </r>
  <r>
    <s v="Solomon Jones"/>
    <s v="2012-13"/>
    <x v="231"/>
    <n v="28"/>
    <n v="280"/>
    <n v="2"/>
    <n v="260"/>
    <n v="-3"/>
    <n v="-1.5"/>
    <n v="0"/>
    <n v="1"/>
    <n v="0"/>
    <n v="0"/>
    <n v="0"/>
    <e v="#DIV/0!"/>
    <n v="0"/>
    <n v="0"/>
    <e v="#DIV/0!"/>
    <n v="1"/>
    <n v="2"/>
    <n v="3"/>
    <n v="10"/>
    <n v="20"/>
    <n v="30"/>
    <n v="1.5"/>
    <n v="0"/>
    <n v="0"/>
    <n v="0"/>
    <n v="0"/>
    <n v="0"/>
    <n v="10"/>
    <n v="1"/>
    <n v="0.5"/>
    <n v="30"/>
    <x v="164"/>
    <n v="3"/>
    <n v="1.5"/>
    <n v="3"/>
    <n v="1.5"/>
    <n v="0"/>
    <n v="0"/>
  </r>
  <r>
    <s v="Carmelo Anthony"/>
    <s v="2013-14"/>
    <x v="232"/>
    <n v="30"/>
    <n v="300"/>
    <n v="77"/>
    <n v="29820"/>
    <n v="1718"/>
    <n v="22.311688311688311"/>
    <n v="743"/>
    <n v="1643"/>
    <n v="0.45222154595252589"/>
    <n v="1670"/>
    <n v="4150"/>
    <n v="0.40240963855421685"/>
    <n v="459"/>
    <n v="541"/>
    <n v="0.84842883548983361"/>
    <n v="145"/>
    <n v="477"/>
    <n v="622"/>
    <n v="1450"/>
    <n v="4770"/>
    <n v="6220"/>
    <n v="8.0779220779220786"/>
    <n v="242"/>
    <n v="3.1428571428571428"/>
    <n v="95"/>
    <n v="950"/>
    <n v="1.2337662337662338"/>
    <n v="510"/>
    <n v="51"/>
    <n v="0.66233766233766234"/>
    <n v="1980"/>
    <x v="216"/>
    <n v="198"/>
    <n v="2.5714285714285716"/>
    <n v="224"/>
    <n v="2.9090909090909092"/>
    <n v="2112"/>
    <n v="27.428571428571427"/>
  </r>
  <r>
    <s v="Tyson Chandler"/>
    <s v="2013-14"/>
    <x v="233"/>
    <n v="31"/>
    <n v="310"/>
    <n v="55"/>
    <n v="16620"/>
    <n v="763"/>
    <n v="13.872727272727273"/>
    <n v="191"/>
    <n v="322"/>
    <n v="0.59316770186335399"/>
    <n v="0"/>
    <n v="10"/>
    <n v="0"/>
    <n v="98"/>
    <n v="155"/>
    <n v="0.63225806451612898"/>
    <n v="159"/>
    <n v="370"/>
    <n v="529"/>
    <n v="1590"/>
    <n v="3700"/>
    <n v="5290"/>
    <n v="9.6181818181818191"/>
    <n v="59"/>
    <n v="1.0727272727272728"/>
    <n v="36"/>
    <n v="360"/>
    <n v="0.65454545454545454"/>
    <n v="630"/>
    <n v="63"/>
    <n v="1.1454545454545455"/>
    <n v="710"/>
    <x v="217"/>
    <n v="71"/>
    <n v="1.290909090909091"/>
    <n v="145"/>
    <n v="2.6363636363636362"/>
    <n v="480"/>
    <n v="8.7272727272727266"/>
  </r>
  <r>
    <s v="Andrea Bargnani"/>
    <s v="2013-14"/>
    <x v="234"/>
    <n v="28"/>
    <n v="280"/>
    <n v="42"/>
    <n v="12570"/>
    <n v="435"/>
    <n v="10.357142857142858"/>
    <n v="222"/>
    <n v="502"/>
    <n v="0.44223107569721115"/>
    <n v="300"/>
    <n v="1080"/>
    <n v="0.27777777777777779"/>
    <n v="84"/>
    <n v="102"/>
    <n v="0.82352941176470584"/>
    <n v="69"/>
    <n v="153"/>
    <n v="222"/>
    <n v="690"/>
    <n v="1530"/>
    <n v="2220"/>
    <n v="5.2857142857142856"/>
    <n v="45"/>
    <n v="1.0714285714285714"/>
    <n v="14"/>
    <n v="140"/>
    <n v="0.33333333333333331"/>
    <n v="520"/>
    <n v="52"/>
    <n v="1.2380952380952381"/>
    <n v="580"/>
    <x v="218"/>
    <n v="58"/>
    <n v="1.3809523809523809"/>
    <n v="100"/>
    <n v="2.3809523809523809"/>
    <n v="558"/>
    <n v="13.285714285714286"/>
  </r>
  <r>
    <s v="JR Smith"/>
    <s v="2013-14"/>
    <x v="235"/>
    <n v="28"/>
    <n v="280"/>
    <n v="74"/>
    <n v="24210"/>
    <n v="760"/>
    <n v="10.27027027027027"/>
    <n v="396"/>
    <n v="955"/>
    <n v="0.41465968586387436"/>
    <n v="1890"/>
    <n v="4800"/>
    <n v="0.39374999999999999"/>
    <n v="90"/>
    <n v="138"/>
    <n v="0.65217391304347827"/>
    <n v="35"/>
    <n v="261"/>
    <n v="296"/>
    <n v="350"/>
    <n v="2610"/>
    <n v="2960"/>
    <n v="4"/>
    <n v="219"/>
    <n v="2.9594594594594597"/>
    <n v="65"/>
    <n v="650"/>
    <n v="0.8783783783783784"/>
    <n v="200"/>
    <n v="20"/>
    <n v="0.27027027027027029"/>
    <n v="1080"/>
    <x v="219"/>
    <n v="108"/>
    <n v="1.4594594594594594"/>
    <n v="196"/>
    <n v="2.6486486486486487"/>
    <n v="1071"/>
    <n v="14.472972972972974"/>
  </r>
  <r>
    <s v="Amar'e Stoudemire"/>
    <s v="2013-14"/>
    <x v="236"/>
    <n v="31"/>
    <n v="310"/>
    <n v="65"/>
    <n v="14660"/>
    <n v="636"/>
    <n v="9.7846153846153854"/>
    <n v="311"/>
    <n v="558"/>
    <n v="557"/>
    <n v="0"/>
    <n v="0"/>
    <e v="#DIV/0!"/>
    <n v="150"/>
    <n v="203"/>
    <n v="0.73891625615763545"/>
    <n v="112"/>
    <n v="208"/>
    <n v="320"/>
    <n v="1120"/>
    <n v="2080"/>
    <n v="3200"/>
    <n v="4.9230769230769234"/>
    <n v="34"/>
    <n v="0.52307692307692311"/>
    <n v="23"/>
    <n v="230"/>
    <n v="0.35384615384615387"/>
    <n v="370"/>
    <n v="37"/>
    <n v="0.56923076923076921"/>
    <n v="910"/>
    <x v="220"/>
    <n v="91"/>
    <n v="1.4"/>
    <n v="159"/>
    <n v="2.4461538461538463"/>
    <n v="772"/>
    <n v="11.876923076923077"/>
  </r>
  <r>
    <s v="Raymond Felton"/>
    <s v="2013-14"/>
    <x v="237"/>
    <n v="30"/>
    <n v="300"/>
    <n v="65"/>
    <n v="20170"/>
    <n v="609"/>
    <n v="9.3692307692307697"/>
    <n v="240"/>
    <n v="608"/>
    <n v="0.39473684210526316"/>
    <n v="620"/>
    <n v="1950"/>
    <n v="0.31794871794871793"/>
    <n v="88"/>
    <n v="122"/>
    <n v="0.72131147540983609"/>
    <n v="54"/>
    <n v="143"/>
    <n v="197"/>
    <n v="540"/>
    <n v="1430"/>
    <n v="1970"/>
    <n v="3.0307692307692307"/>
    <n v="365"/>
    <n v="5.615384615384615"/>
    <n v="78"/>
    <n v="780"/>
    <n v="1.2"/>
    <n v="270"/>
    <n v="27"/>
    <n v="0.41538461538461541"/>
    <n v="1290"/>
    <x v="221"/>
    <n v="129"/>
    <n v="1.9846153846153847"/>
    <n v="157"/>
    <n v="2.4153846153846152"/>
    <n v="630"/>
    <n v="9.6923076923076916"/>
  </r>
  <r>
    <s v="Kenyon Martin"/>
    <s v="2013-14"/>
    <x v="238"/>
    <n v="36"/>
    <n v="360"/>
    <n v="32"/>
    <n v="6330"/>
    <n v="194"/>
    <n v="6.0625"/>
    <n v="63"/>
    <n v="123"/>
    <n v="0.51219512195121952"/>
    <n v="0"/>
    <n v="10"/>
    <n v="0"/>
    <n v="11"/>
    <n v="19"/>
    <n v="0.57894736842105265"/>
    <n v="36"/>
    <n v="98"/>
    <n v="134"/>
    <n v="360"/>
    <n v="980"/>
    <n v="1340"/>
    <n v="4.1875"/>
    <n v="50"/>
    <n v="1.5625"/>
    <n v="25"/>
    <n v="250"/>
    <n v="0.78125"/>
    <n v="270"/>
    <n v="27"/>
    <n v="0.84375"/>
    <n v="260"/>
    <x v="222"/>
    <n v="26"/>
    <n v="0.8125"/>
    <n v="85"/>
    <n v="2.65625"/>
    <n v="137"/>
    <n v="4.28125"/>
  </r>
  <r>
    <s v="Beno Udrih"/>
    <s v="2013-14"/>
    <x v="239"/>
    <n v="31"/>
    <n v="310"/>
    <n v="31"/>
    <n v="5880"/>
    <n v="181"/>
    <n v="5.838709677419355"/>
    <n v="68"/>
    <n v="160"/>
    <n v="425"/>
    <n v="170"/>
    <n v="400"/>
    <n v="0.42499999999999999"/>
    <n v="20"/>
    <n v="24"/>
    <n v="0.83333333333333337"/>
    <n v="10"/>
    <n v="47"/>
    <n v="57"/>
    <n v="100"/>
    <n v="470"/>
    <n v="570"/>
    <n v="1.8387096774193548"/>
    <n v="110"/>
    <n v="3.5483870967741935"/>
    <n v="22"/>
    <n v="220"/>
    <n v="0.70967741935483875"/>
    <n v="30"/>
    <n v="3"/>
    <n v="9.6774193548387094E-2"/>
    <n v="420"/>
    <x v="223"/>
    <n v="42"/>
    <n v="1.3548387096774193"/>
    <n v="46"/>
    <n v="1.4838709677419355"/>
    <n v="173"/>
    <n v="5.580645161290323"/>
  </r>
  <r>
    <s v="Iman Shumpert"/>
    <s v="2013-14"/>
    <x v="240"/>
    <n v="24"/>
    <n v="240"/>
    <n v="74"/>
    <n v="19620"/>
    <n v="430"/>
    <n v="5.8108108108108105"/>
    <n v="183"/>
    <n v="484"/>
    <n v="378"/>
    <n v="760"/>
    <n v="2280"/>
    <n v="0.33333333333333331"/>
    <n v="53"/>
    <n v="71"/>
    <n v="0.74647887323943662"/>
    <n v="81"/>
    <n v="227"/>
    <n v="308"/>
    <n v="810"/>
    <n v="2270"/>
    <n v="3080"/>
    <n v="4.1621621621621623"/>
    <n v="129"/>
    <n v="1.7432432432432432"/>
    <n v="92"/>
    <n v="920"/>
    <n v="1.2432432432432432"/>
    <n v="130"/>
    <n v="13"/>
    <n v="0.17567567567567569"/>
    <n v="790"/>
    <x v="224"/>
    <n v="79"/>
    <n v="1.0675675675675675"/>
    <n v="209"/>
    <n v="2.8243243243243241"/>
    <n v="495"/>
    <n v="6.6891891891891895"/>
  </r>
  <r>
    <s v="Pablo Prigioni"/>
    <s v="2013-14"/>
    <x v="241"/>
    <n v="37"/>
    <n v="370"/>
    <n v="66"/>
    <n v="12830"/>
    <n v="382"/>
    <n v="5.7878787878787881"/>
    <n v="88"/>
    <n v="191"/>
    <n v="0.4607329842931937"/>
    <n v="650"/>
    <n v="1400"/>
    <n v="0.4642857142857143"/>
    <n v="11"/>
    <n v="12"/>
    <n v="0.91666666666666663"/>
    <n v="36"/>
    <n v="93"/>
    <n v="129"/>
    <n v="360"/>
    <n v="930"/>
    <n v="1290"/>
    <n v="1.9545454545454546"/>
    <n v="228"/>
    <n v="3.4545454545454546"/>
    <n v="67"/>
    <n v="670"/>
    <n v="1.0151515151515151"/>
    <n v="20"/>
    <n v="2"/>
    <n v="3.0303030303030304E-2"/>
    <n v="600"/>
    <x v="53"/>
    <n v="60"/>
    <n v="0.90909090909090906"/>
    <n v="132"/>
    <n v="2"/>
    <n v="252"/>
    <n v="3.8181818181818183"/>
  </r>
  <r>
    <s v="Tim Hardaway Jr."/>
    <s v="2013-14"/>
    <x v="242"/>
    <n v="22"/>
    <n v="220"/>
    <n v="81"/>
    <n v="18750"/>
    <n v="456"/>
    <n v="5.6296296296296298"/>
    <n v="294"/>
    <n v="687"/>
    <n v="0.42794759825327511"/>
    <n v="1300"/>
    <n v="3580"/>
    <n v="0.36312849162011174"/>
    <n v="106"/>
    <n v="128"/>
    <n v="0.828125"/>
    <n v="19"/>
    <n v="102"/>
    <n v="121"/>
    <n v="190"/>
    <n v="1020"/>
    <n v="1210"/>
    <n v="1.4938271604938271"/>
    <n v="66"/>
    <n v="0.81481481481481477"/>
    <n v="44"/>
    <n v="440"/>
    <n v="0.54320987654320985"/>
    <n v="70"/>
    <n v="7"/>
    <n v="8.6419753086419748E-2"/>
    <n v="470"/>
    <x v="225"/>
    <n v="47"/>
    <n v="0.58024691358024694"/>
    <n v="144"/>
    <n v="1.7777777777777777"/>
    <n v="824"/>
    <n v="10.17283950617284"/>
  </r>
  <r>
    <s v="Cole Aldrich"/>
    <s v="2013-14"/>
    <x v="243"/>
    <n v="25"/>
    <n v="250"/>
    <n v="46"/>
    <n v="3300"/>
    <n v="183"/>
    <n v="3.9782608695652173"/>
    <n v="33"/>
    <n v="61"/>
    <n v="0.54098360655737709"/>
    <n v="0"/>
    <n v="0"/>
    <e v="#DIV/0!"/>
    <n v="26"/>
    <n v="30"/>
    <n v="0.8666666666666667"/>
    <n v="37"/>
    <n v="92"/>
    <n v="129"/>
    <n v="370"/>
    <n v="920"/>
    <n v="1290"/>
    <n v="2.8043478260869565"/>
    <n v="14"/>
    <n v="0.30434782608695654"/>
    <n v="8"/>
    <n v="80"/>
    <n v="0.17391304347826086"/>
    <n v="300"/>
    <n v="30"/>
    <n v="0.65217391304347827"/>
    <n v="180"/>
    <x v="226"/>
    <n v="18"/>
    <n v="0.39130434782608697"/>
    <n v="40"/>
    <n v="0.86956521739130432"/>
    <n v="92"/>
    <n v="2"/>
  </r>
  <r>
    <s v="Metta World Peace"/>
    <s v="2013-14"/>
    <x v="244"/>
    <n v="34"/>
    <n v="340"/>
    <n v="29"/>
    <n v="3880"/>
    <n v="93"/>
    <n v="3.2068965517241379"/>
    <n v="56"/>
    <n v="141"/>
    <n v="397"/>
    <n v="170"/>
    <n v="540"/>
    <n v="0.31481481481481483"/>
    <n v="10"/>
    <n v="16"/>
    <n v="0.625"/>
    <n v="18"/>
    <n v="41"/>
    <n v="59"/>
    <n v="180"/>
    <n v="410"/>
    <n v="590"/>
    <n v="2.0344827586206895"/>
    <n v="17"/>
    <n v="0.58620689655172409"/>
    <n v="24"/>
    <n v="240"/>
    <n v="0.82758620689655171"/>
    <n v="80"/>
    <n v="8"/>
    <n v="0.27586206896551724"/>
    <n v="190"/>
    <x v="227"/>
    <n v="19"/>
    <n v="0.65517241379310343"/>
    <n v="44"/>
    <n v="1.5172413793103448"/>
    <n v="139"/>
    <n v="4.7931034482758621"/>
  </r>
  <r>
    <s v="Jeremy Tyler"/>
    <s v="2013-14"/>
    <x v="245"/>
    <n v="23"/>
    <n v="230"/>
    <n v="41"/>
    <n v="3980"/>
    <n v="115"/>
    <n v="2.8048780487804876"/>
    <n v="60"/>
    <n v="116"/>
    <n v="517"/>
    <n v="0"/>
    <n v="0"/>
    <e v="#DIV/0!"/>
    <n v="26"/>
    <n v="48"/>
    <n v="0.54166666666666663"/>
    <n v="38"/>
    <n v="71"/>
    <n v="109"/>
    <n v="380"/>
    <n v="710"/>
    <n v="1090"/>
    <n v="2.6585365853658538"/>
    <n v="8"/>
    <n v="0.1951219512195122"/>
    <n v="6"/>
    <n v="60"/>
    <n v="0.14634146341463414"/>
    <n v="200"/>
    <n v="20"/>
    <n v="0.48780487804878048"/>
    <n v="260"/>
    <x v="228"/>
    <n v="26"/>
    <n v="0.63414634146341464"/>
    <n v="70"/>
    <n v="1.7073170731707317"/>
    <n v="146"/>
    <n v="3.5609756097560976"/>
  </r>
  <r>
    <s v="Earl Clark"/>
    <s v="2013-14"/>
    <x v="246"/>
    <n v="26"/>
    <n v="260"/>
    <n v="9"/>
    <n v="700"/>
    <n v="25"/>
    <n v="2.7777777777777777"/>
    <n v="7"/>
    <n v="21"/>
    <n v="333"/>
    <n v="10"/>
    <n v="60"/>
    <n v="0.16666666666666666"/>
    <n v="8"/>
    <n v="10"/>
    <n v="0.8"/>
    <n v="2"/>
    <n v="14"/>
    <n v="16"/>
    <n v="20"/>
    <n v="140"/>
    <n v="160"/>
    <n v="1.7777777777777777"/>
    <n v="2"/>
    <n v="0.22222222222222221"/>
    <n v="1"/>
    <n v="10"/>
    <n v="0.1111111111111111"/>
    <n v="60"/>
    <n v="6"/>
    <n v="0.66666666666666663"/>
    <n v="10"/>
    <x v="229"/>
    <n v="1"/>
    <n v="0.1111111111111111"/>
    <n v="6"/>
    <n v="0.66666666666666663"/>
    <n v="23"/>
    <n v="2.5555555555555554"/>
  </r>
  <r>
    <s v="Toure' Murry"/>
    <s v="2013-14"/>
    <x v="247"/>
    <n v="24"/>
    <n v="240"/>
    <n v="51"/>
    <n v="3720"/>
    <n v="84"/>
    <n v="1.6470588235294117"/>
    <n v="56"/>
    <n v="129"/>
    <n v="0.43410852713178294"/>
    <n v="50"/>
    <n v="120"/>
    <n v="0.41666666666666669"/>
    <n v="23"/>
    <n v="39"/>
    <n v="0.58974358974358976"/>
    <n v="13"/>
    <n v="31"/>
    <n v="44"/>
    <n v="130"/>
    <n v="310"/>
    <n v="440"/>
    <n v="0.86274509803921573"/>
    <n v="49"/>
    <n v="0.96078431372549022"/>
    <n v="19"/>
    <n v="190"/>
    <n v="0.37254901960784315"/>
    <n v="10"/>
    <n v="1"/>
    <n v="1.9607843137254902E-2"/>
    <n v="340"/>
    <x v="230"/>
    <n v="34"/>
    <n v="0.66666666666666663"/>
    <n v="46"/>
    <n v="0.90196078431372551"/>
    <n v="140"/>
    <n v="2.7450980392156863"/>
  </r>
  <r>
    <s v="Shannon Brown"/>
    <s v="2013-14"/>
    <x v="248"/>
    <n v="28"/>
    <n v="280"/>
    <n v="19"/>
    <n v="1480"/>
    <n v="23"/>
    <n v="1.2105263157894737"/>
    <n v="16"/>
    <n v="38"/>
    <n v="0.42105263157894735"/>
    <n v="0"/>
    <n v="0"/>
    <e v="#DIV/0!"/>
    <n v="8"/>
    <n v="12"/>
    <n v="0.66666666666666663"/>
    <n v="6"/>
    <n v="9"/>
    <n v="15"/>
    <n v="60"/>
    <n v="90"/>
    <n v="150"/>
    <n v="0.78947368421052633"/>
    <n v="4"/>
    <n v="0.21052631578947367"/>
    <n v="12"/>
    <n v="120"/>
    <n v="0.63157894736842102"/>
    <n v="0"/>
    <n v="0"/>
    <n v="0"/>
    <n v="100"/>
    <x v="231"/>
    <n v="10"/>
    <n v="0.52631578947368418"/>
    <n v="12"/>
    <n v="0.63157894736842102"/>
    <n v="40"/>
    <n v="2.1052631578947367"/>
  </r>
  <r>
    <s v="Chris Smith"/>
    <s v="2013-14"/>
    <x v="249"/>
    <n v="26"/>
    <n v="260"/>
    <n v="2"/>
    <n v="20"/>
    <n v="0"/>
    <n v="0"/>
    <n v="0"/>
    <n v="0"/>
    <n v="0"/>
    <n v="0"/>
    <n v="0"/>
    <e v="#DIV/0!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x v="63"/>
    <n v="0"/>
    <n v="0"/>
    <n v="0"/>
    <n v="0"/>
    <n v="0"/>
    <n v="0"/>
  </r>
  <r>
    <s v="Carmelo Anthony"/>
    <s v="2014-15"/>
    <x v="250"/>
    <n v="31"/>
    <n v="310"/>
    <n v="40"/>
    <n v="14280"/>
    <n v="737"/>
    <n v="18.425000000000001"/>
    <n v="358"/>
    <n v="806"/>
    <n v="0.44416873449131511"/>
    <n v="610"/>
    <n v="1790"/>
    <n v="0.34078212290502791"/>
    <n v="189"/>
    <n v="237"/>
    <n v="0.79746835443037978"/>
    <n v="72"/>
    <n v="192"/>
    <n v="264"/>
    <n v="720"/>
    <n v="1920"/>
    <n v="2640"/>
    <n v="6.6"/>
    <n v="122"/>
    <n v="3.05"/>
    <n v="40"/>
    <n v="400"/>
    <n v="1"/>
    <n v="170"/>
    <n v="17"/>
    <n v="0.42499999999999999"/>
    <n v="890"/>
    <x v="232"/>
    <n v="89"/>
    <n v="2.2250000000000001"/>
    <n v="87"/>
    <n v="2.1749999999999998"/>
    <n v="966"/>
    <n v="24.15"/>
  </r>
  <r>
    <s v="Alexey Shved"/>
    <s v="2014-15"/>
    <x v="251"/>
    <n v="26"/>
    <n v="260"/>
    <n v="16"/>
    <n v="4230"/>
    <n v="210"/>
    <n v="13.125"/>
    <n v="73"/>
    <n v="181"/>
    <n v="0.40331491712707185"/>
    <n v="260"/>
    <n v="700"/>
    <n v="0.37142857142857144"/>
    <n v="64"/>
    <n v="82"/>
    <n v="0.78048780487804881"/>
    <n v="14"/>
    <n v="59"/>
    <n v="73"/>
    <n v="140"/>
    <n v="590"/>
    <n v="730"/>
    <n v="4.5625"/>
    <n v="57"/>
    <n v="3.5625"/>
    <n v="15"/>
    <n v="150"/>
    <n v="0.9375"/>
    <n v="50"/>
    <n v="5"/>
    <n v="0.3125"/>
    <n v="250"/>
    <x v="222"/>
    <n v="25"/>
    <n v="1.5625"/>
    <n v="25"/>
    <n v="1.5625"/>
    <n v="236"/>
    <n v="14.75"/>
  </r>
  <r>
    <s v="Amar'e Stoudemire"/>
    <s v="2014-15"/>
    <x v="252"/>
    <n v="32"/>
    <n v="320"/>
    <n v="36"/>
    <n v="8650"/>
    <n v="419"/>
    <n v="11.638888888888889"/>
    <n v="169"/>
    <n v="311"/>
    <n v="543"/>
    <n v="0"/>
    <n v="30"/>
    <n v="0"/>
    <n v="94"/>
    <n v="127"/>
    <n v="0.74015748031496065"/>
    <n v="83"/>
    <n v="162"/>
    <n v="245"/>
    <n v="830"/>
    <n v="1620"/>
    <n v="2450"/>
    <n v="6.8055555555555554"/>
    <n v="37"/>
    <n v="1.0277777777777777"/>
    <n v="20"/>
    <n v="200"/>
    <n v="0.55555555555555558"/>
    <n v="340"/>
    <n v="34"/>
    <n v="0.94444444444444442"/>
    <n v="630"/>
    <x v="233"/>
    <n v="63"/>
    <n v="1.75"/>
    <n v="111"/>
    <n v="3.0833333333333335"/>
    <n v="432"/>
    <n v="12"/>
  </r>
  <r>
    <s v="Andrea Bargnani"/>
    <s v="2014-15"/>
    <x v="253"/>
    <n v="29"/>
    <n v="290"/>
    <n v="29"/>
    <n v="7850"/>
    <n v="320"/>
    <n v="11.03448275862069"/>
    <n v="164"/>
    <n v="361"/>
    <n v="0.45429362880886426"/>
    <n v="150"/>
    <n v="410"/>
    <n v="0.36585365853658536"/>
    <n v="87"/>
    <n v="107"/>
    <n v="0.81308411214953269"/>
    <n v="32"/>
    <n v="95"/>
    <n v="127"/>
    <n v="320"/>
    <n v="950"/>
    <n v="1270"/>
    <n v="4.3793103448275863"/>
    <n v="46"/>
    <n v="1.5862068965517242"/>
    <n v="2"/>
    <n v="20"/>
    <n v="6.8965517241379309E-2"/>
    <n v="270"/>
    <n v="27"/>
    <n v="0.93103448275862066"/>
    <n v="420"/>
    <x v="234"/>
    <n v="42"/>
    <n v="1.4482758620689655"/>
    <n v="53"/>
    <n v="1.8275862068965518"/>
    <n v="430"/>
    <n v="14.827586206896552"/>
  </r>
  <r>
    <s v="Langston Galloway"/>
    <s v="2014-15"/>
    <x v="254"/>
    <n v="23"/>
    <n v="230"/>
    <n v="45"/>
    <n v="14570"/>
    <n v="425"/>
    <n v="9.4444444444444446"/>
    <n v="204"/>
    <n v="511"/>
    <n v="399"/>
    <n v="620"/>
    <n v="1760"/>
    <n v="0.35227272727272729"/>
    <n v="63"/>
    <n v="78"/>
    <n v="0.80769230769230771"/>
    <n v="37"/>
    <n v="153"/>
    <n v="190"/>
    <n v="370"/>
    <n v="1530"/>
    <n v="1900"/>
    <n v="4.2222222222222223"/>
    <n v="150"/>
    <n v="3.3333333333333335"/>
    <n v="52"/>
    <n v="520"/>
    <n v="1.1555555555555554"/>
    <n v="120"/>
    <n v="12"/>
    <n v="0.26666666666666666"/>
    <n v="610"/>
    <x v="235"/>
    <n v="61"/>
    <n v="1.3555555555555556"/>
    <n v="129"/>
    <n v="2.8666666666666667"/>
    <n v="533"/>
    <n v="11.844444444444445"/>
  </r>
  <r>
    <s v="Jose Calderon"/>
    <s v="2014-15"/>
    <x v="255"/>
    <n v="33"/>
    <n v="330"/>
    <n v="42"/>
    <n v="12700"/>
    <n v="374"/>
    <n v="8.9047619047619051"/>
    <n v="147"/>
    <n v="354"/>
    <n v="0.4152542372881356"/>
    <n v="590"/>
    <n v="1420"/>
    <n v="0.41549295774647887"/>
    <n v="29"/>
    <n v="32"/>
    <n v="0.90625"/>
    <n v="19"/>
    <n v="105"/>
    <n v="124"/>
    <n v="190"/>
    <n v="1050"/>
    <n v="1240"/>
    <n v="2.9523809523809526"/>
    <n v="198"/>
    <n v="4.7142857142857144"/>
    <n v="31"/>
    <n v="310"/>
    <n v="0.73809523809523814"/>
    <n v="0"/>
    <n v="0"/>
    <n v="0"/>
    <n v="750"/>
    <x v="236"/>
    <n v="75"/>
    <n v="1.7857142857142858"/>
    <n v="76"/>
    <n v="1.8095238095238095"/>
    <n v="382"/>
    <n v="9.0952380952380949"/>
  </r>
  <r>
    <s v="Cole Aldrich"/>
    <s v="2014-15"/>
    <x v="256"/>
    <n v="26"/>
    <n v="260"/>
    <n v="61"/>
    <n v="9760"/>
    <n v="501"/>
    <n v="8.2131147540983598"/>
    <n v="144"/>
    <n v="301"/>
    <n v="0.47840531561461797"/>
    <n v="0"/>
    <n v="0"/>
    <e v="#DIV/0!"/>
    <n v="50"/>
    <n v="64"/>
    <n v="0.78125"/>
    <n v="101"/>
    <n v="237"/>
    <n v="338"/>
    <n v="1010"/>
    <n v="2370"/>
    <n v="3380"/>
    <n v="5.5409836065573774"/>
    <n v="75"/>
    <n v="1.2295081967213115"/>
    <n v="37"/>
    <n v="370"/>
    <n v="0.60655737704918034"/>
    <n v="650"/>
    <n v="65"/>
    <n v="1.0655737704918034"/>
    <n v="590"/>
    <x v="237"/>
    <n v="59"/>
    <n v="0.96721311475409832"/>
    <n v="122"/>
    <n v="2"/>
    <n v="338"/>
    <n v="5.5409836065573774"/>
  </r>
  <r>
    <s v="JR Smith"/>
    <s v="2014-15"/>
    <x v="257"/>
    <n v="29"/>
    <n v="290"/>
    <n v="24"/>
    <n v="6190"/>
    <n v="171"/>
    <n v="7.125"/>
    <n v="101"/>
    <n v="251"/>
    <n v="0.40239043824701193"/>
    <n v="320"/>
    <n v="900"/>
    <n v="0.35555555555555557"/>
    <n v="27"/>
    <n v="39"/>
    <n v="0.69230769230769229"/>
    <n v="4"/>
    <n v="54"/>
    <n v="58"/>
    <n v="40"/>
    <n v="540"/>
    <n v="580"/>
    <n v="2.4166666666666665"/>
    <n v="81"/>
    <n v="3.375"/>
    <n v="18"/>
    <n v="180"/>
    <n v="0.75"/>
    <n v="40"/>
    <n v="4"/>
    <n v="0.16666666666666666"/>
    <n v="450"/>
    <x v="161"/>
    <n v="45"/>
    <n v="1.875"/>
    <n v="44"/>
    <n v="1.8333333333333333"/>
    <n v="261"/>
    <n v="10.875"/>
  </r>
  <r>
    <s v="Iman Shumpert"/>
    <s v="2014-15"/>
    <x v="258"/>
    <n v="25"/>
    <n v="250"/>
    <n v="24"/>
    <n v="6250"/>
    <n v="168"/>
    <n v="7"/>
    <n v="88"/>
    <n v="215"/>
    <n v="409"/>
    <n v="230"/>
    <n v="660"/>
    <n v="0.34848484848484851"/>
    <n v="25"/>
    <n v="37"/>
    <n v="0.67567567567567566"/>
    <n v="22"/>
    <n v="59"/>
    <n v="81"/>
    <n v="220"/>
    <n v="590"/>
    <n v="810"/>
    <n v="3.375"/>
    <n v="78"/>
    <n v="3.25"/>
    <n v="30"/>
    <n v="300"/>
    <n v="1.25"/>
    <n v="30"/>
    <n v="3"/>
    <n v="0.125"/>
    <n v="420"/>
    <x v="238"/>
    <n v="42"/>
    <n v="1.75"/>
    <n v="67"/>
    <n v="2.7916666666666665"/>
    <n v="224"/>
    <n v="9.3333333333333339"/>
  </r>
  <r>
    <s v="Lou Amundson"/>
    <s v="2014-15"/>
    <x v="259"/>
    <n v="32"/>
    <n v="320"/>
    <n v="41"/>
    <n v="8580"/>
    <n v="280"/>
    <n v="6.8292682926829267"/>
    <n v="105"/>
    <n v="243"/>
    <n v="432"/>
    <n v="0"/>
    <n v="10"/>
    <n v="0"/>
    <n v="38"/>
    <n v="82"/>
    <n v="0.46341463414634149"/>
    <n v="89"/>
    <n v="159"/>
    <n v="248"/>
    <n v="890"/>
    <n v="1590"/>
    <n v="2480"/>
    <n v="6.0487804878048781"/>
    <n v="65"/>
    <n v="1.5853658536585367"/>
    <n v="21"/>
    <n v="210"/>
    <n v="0.51219512195121952"/>
    <n v="520"/>
    <n v="52"/>
    <n v="1.2682926829268293"/>
    <n v="570"/>
    <x v="239"/>
    <n v="57"/>
    <n v="1.3902439024390243"/>
    <n v="115"/>
    <n v="2.8048780487804876"/>
    <n v="248"/>
    <n v="6.0487804878048781"/>
  </r>
  <r>
    <s v="Tim Hardaway Jr."/>
    <s v="2014-15"/>
    <x v="260"/>
    <n v="23"/>
    <n v="230"/>
    <n v="70"/>
    <n v="16810"/>
    <n v="451"/>
    <n v="6.4428571428571431"/>
    <n v="279"/>
    <n v="717"/>
    <n v="0.38912133891213391"/>
    <n v="1210"/>
    <n v="3540"/>
    <n v="0.34180790960451979"/>
    <n v="125"/>
    <n v="156"/>
    <n v="0.80128205128205132"/>
    <n v="12"/>
    <n v="144"/>
    <n v="156"/>
    <n v="120"/>
    <n v="1440"/>
    <n v="1560"/>
    <n v="2.2285714285714286"/>
    <n v="127"/>
    <n v="1.8142857142857143"/>
    <n v="20"/>
    <n v="200"/>
    <n v="0.2857142857142857"/>
    <n v="140"/>
    <n v="14"/>
    <n v="0.2"/>
    <n v="820"/>
    <x v="240"/>
    <n v="82"/>
    <n v="1.1714285714285715"/>
    <n v="119"/>
    <n v="1.7"/>
    <n v="804"/>
    <n v="11.485714285714286"/>
  </r>
  <r>
    <s v="Jason Smith"/>
    <s v="2014-15"/>
    <x v="261"/>
    <n v="29"/>
    <n v="290"/>
    <n v="82"/>
    <n v="17850"/>
    <n v="526"/>
    <n v="6.4146341463414638"/>
    <n v="257"/>
    <n v="592"/>
    <n v="0.4341216216216216"/>
    <n v="150"/>
    <n v="420"/>
    <n v="0.35714285714285715"/>
    <n v="127"/>
    <n v="153"/>
    <n v="0.83006535947712423"/>
    <n v="98"/>
    <n v="226"/>
    <n v="324"/>
    <n v="980"/>
    <n v="2260"/>
    <n v="3240"/>
    <n v="3.9512195121951219"/>
    <n v="140"/>
    <n v="1.7073170731707317"/>
    <n v="32"/>
    <n v="320"/>
    <n v="0.3902439024390244"/>
    <n v="440"/>
    <n v="44"/>
    <n v="0.53658536585365857"/>
    <n v="1040"/>
    <x v="241"/>
    <n v="104"/>
    <n v="1.2682926829268293"/>
    <n v="205"/>
    <n v="2.5"/>
    <n v="656"/>
    <n v="8"/>
  </r>
  <r>
    <s v="Shane Larkin"/>
    <s v="2014-15"/>
    <x v="262"/>
    <n v="22"/>
    <n v="220"/>
    <n v="76"/>
    <n v="18650"/>
    <n v="479"/>
    <n v="6.3026315789473681"/>
    <n v="187"/>
    <n v="432"/>
    <n v="0.43287037037037035"/>
    <n v="350"/>
    <n v="1160"/>
    <n v="0.30172413793103448"/>
    <n v="61"/>
    <n v="78"/>
    <n v="0.78205128205128205"/>
    <n v="29"/>
    <n v="147"/>
    <n v="176"/>
    <n v="290"/>
    <n v="1470"/>
    <n v="1760"/>
    <n v="2.3157894736842106"/>
    <n v="226"/>
    <n v="2.9736842105263159"/>
    <n v="93"/>
    <n v="930"/>
    <n v="1.2236842105263157"/>
    <n v="90"/>
    <n v="9"/>
    <n v="0.11842105263157894"/>
    <n v="830"/>
    <x v="242"/>
    <n v="83"/>
    <n v="1.0921052631578947"/>
    <n v="150"/>
    <n v="1.9736842105263157"/>
    <n v="470"/>
    <n v="6.1842105263157894"/>
  </r>
  <r>
    <s v="Quincy Acy"/>
    <s v="2014-15"/>
    <x v="263"/>
    <n v="24"/>
    <n v="240"/>
    <n v="68"/>
    <n v="12870"/>
    <n v="409"/>
    <n v="6.0147058823529411"/>
    <n v="152"/>
    <n v="331"/>
    <n v="459"/>
    <n v="180"/>
    <n v="600"/>
    <n v="0.3"/>
    <n v="76"/>
    <n v="97"/>
    <n v="0.78350515463917525"/>
    <n v="79"/>
    <n v="222"/>
    <n v="301"/>
    <n v="790"/>
    <n v="2220"/>
    <n v="3010"/>
    <n v="4.4264705882352944"/>
    <n v="68"/>
    <n v="1"/>
    <n v="27"/>
    <n v="270"/>
    <n v="0.39705882352941174"/>
    <n v="220"/>
    <n v="22"/>
    <n v="0.3235294117647059"/>
    <n v="600"/>
    <x v="243"/>
    <n v="60"/>
    <n v="0.88235294117647056"/>
    <n v="147"/>
    <n v="2.1617647058823528"/>
    <n v="398"/>
    <n v="5.8529411764705879"/>
  </r>
  <r>
    <s v="Samuel Dalembert"/>
    <s v="2014-15"/>
    <x v="264"/>
    <n v="35"/>
    <n v="350"/>
    <n v="32"/>
    <n v="5440"/>
    <n v="192"/>
    <n v="6"/>
    <n v="57"/>
    <n v="130"/>
    <n v="438"/>
    <n v="0"/>
    <n v="0"/>
    <e v="#DIV/0!"/>
    <n v="14"/>
    <n v="20"/>
    <n v="0.7"/>
    <n v="53"/>
    <n v="115"/>
    <n v="168"/>
    <n v="530"/>
    <n v="1150"/>
    <n v="1680"/>
    <n v="5.25"/>
    <n v="29"/>
    <n v="0.90625"/>
    <n v="14"/>
    <n v="140"/>
    <n v="0.4375"/>
    <n v="410"/>
    <n v="41"/>
    <n v="1.28125"/>
    <n v="390"/>
    <x v="244"/>
    <n v="39"/>
    <n v="1.21875"/>
    <n v="70"/>
    <n v="2.1875"/>
    <n v="128"/>
    <n v="4"/>
  </r>
  <r>
    <s v="Pablo Prigioni"/>
    <s v="2014-15"/>
    <x v="265"/>
    <n v="38"/>
    <n v="380"/>
    <n v="43"/>
    <n v="7950"/>
    <n v="241"/>
    <n v="5.6046511627906979"/>
    <n v="68"/>
    <n v="161"/>
    <n v="0.42236024844720499"/>
    <n v="430"/>
    <n v="1150"/>
    <n v="0.37391304347826088"/>
    <n v="22"/>
    <n v="26"/>
    <n v="0.84615384615384615"/>
    <n v="18"/>
    <n v="62"/>
    <n v="80"/>
    <n v="180"/>
    <n v="620"/>
    <n v="800"/>
    <n v="1.8604651162790697"/>
    <n v="104"/>
    <n v="2.4186046511627906"/>
    <n v="52"/>
    <n v="520"/>
    <n v="1.2093023255813953"/>
    <n v="10"/>
    <n v="1"/>
    <n v="2.3255813953488372E-2"/>
    <n v="470"/>
    <x v="245"/>
    <n v="47"/>
    <n v="1.0930232558139534"/>
    <n v="53"/>
    <n v="1.2325581395348837"/>
    <n v="201"/>
    <n v="4.6744186046511631"/>
  </r>
  <r>
    <s v="Lance Thomas"/>
    <s v="2014-15"/>
    <x v="266"/>
    <n v="27"/>
    <n v="270"/>
    <n v="40"/>
    <n v="10400"/>
    <n v="217"/>
    <n v="5.4249999999999998"/>
    <n v="137"/>
    <n v="316"/>
    <n v="434"/>
    <n v="70"/>
    <n v="210"/>
    <n v="0.33333333333333331"/>
    <n v="49"/>
    <n v="66"/>
    <n v="0.74242424242424243"/>
    <n v="37"/>
    <n v="83"/>
    <n v="120"/>
    <n v="370"/>
    <n v="830"/>
    <n v="1200"/>
    <n v="3"/>
    <n v="49"/>
    <n v="1.2250000000000001"/>
    <n v="26"/>
    <n v="260"/>
    <n v="0.65"/>
    <n v="80"/>
    <n v="8"/>
    <n v="0.2"/>
    <n v="570"/>
    <x v="246"/>
    <n v="57"/>
    <n v="1.425"/>
    <n v="63"/>
    <n v="1.575"/>
    <n v="330"/>
    <n v="8.25"/>
  </r>
  <r>
    <s v="Ricky Ledo"/>
    <s v="2014-15"/>
    <x v="267"/>
    <n v="22"/>
    <n v="220"/>
    <n v="12"/>
    <n v="2330"/>
    <n v="41"/>
    <n v="3.4166666666666665"/>
    <n v="32"/>
    <n v="90"/>
    <n v="0.35555555555555557"/>
    <n v="100"/>
    <n v="240"/>
    <n v="0.41666666666666669"/>
    <n v="15"/>
    <n v="20"/>
    <n v="0.75"/>
    <n v="15"/>
    <n v="19"/>
    <n v="34"/>
    <n v="150"/>
    <n v="190"/>
    <n v="340"/>
    <n v="2.8333333333333335"/>
    <n v="18"/>
    <n v="1.5"/>
    <n v="6"/>
    <n v="60"/>
    <n v="0.5"/>
    <n v="10"/>
    <n v="1"/>
    <n v="8.3333333333333329E-2"/>
    <n v="240"/>
    <x v="118"/>
    <n v="24"/>
    <n v="2"/>
    <n v="20"/>
    <n v="1.6666666666666667"/>
    <n v="89"/>
    <n v="7.416666666666667"/>
  </r>
  <r>
    <s v="Cleanthony Early"/>
    <s v="2014-15"/>
    <x v="268"/>
    <n v="24"/>
    <n v="240"/>
    <n v="39"/>
    <n v="6470"/>
    <n v="132"/>
    <n v="3.3846153846153846"/>
    <n v="76"/>
    <n v="214"/>
    <n v="0.35514018691588783"/>
    <n v="220"/>
    <n v="840"/>
    <n v="0.26190476190476192"/>
    <n v="36"/>
    <n v="48"/>
    <n v="0.75"/>
    <n v="22"/>
    <n v="75"/>
    <n v="97"/>
    <n v="220"/>
    <n v="750"/>
    <n v="970"/>
    <n v="2.4871794871794872"/>
    <n v="36"/>
    <n v="0.92307692307692313"/>
    <n v="24"/>
    <n v="240"/>
    <n v="0.61538461538461542"/>
    <n v="120"/>
    <n v="12"/>
    <n v="0.30769230769230771"/>
    <n v="400"/>
    <x v="247"/>
    <n v="40"/>
    <n v="1.0256410256410255"/>
    <n v="57"/>
    <n v="1.4615384615384615"/>
    <n v="210"/>
    <n v="5.384615384615385"/>
  </r>
  <r>
    <s v="Travis Wear"/>
    <s v="2014-15"/>
    <x v="269"/>
    <n v="24"/>
    <n v="240"/>
    <n v="51"/>
    <n v="6720"/>
    <n v="150"/>
    <n v="2.9411764705882355"/>
    <n v="84"/>
    <n v="209"/>
    <n v="402"/>
    <n v="110"/>
    <n v="300"/>
    <n v="0.36666666666666664"/>
    <n v="20"/>
    <n v="26"/>
    <n v="0.76923076923076927"/>
    <n v="31"/>
    <n v="75"/>
    <n v="106"/>
    <n v="310"/>
    <n v="750"/>
    <n v="1060"/>
    <n v="2.0784313725490198"/>
    <n v="40"/>
    <n v="0.78431372549019607"/>
    <n v="15"/>
    <n v="150"/>
    <n v="0.29411764705882354"/>
    <n v="110"/>
    <n v="11"/>
    <n v="0.21568627450980393"/>
    <n v="350"/>
    <x v="248"/>
    <n v="35"/>
    <n v="0.68627450980392157"/>
    <n v="55"/>
    <n v="1.0784313725490196"/>
    <n v="199"/>
    <n v="3.9019607843137254"/>
  </r>
  <r>
    <s v="Carmelo Anthony"/>
    <s v="2015-16"/>
    <x v="270"/>
    <n v="32"/>
    <n v="320"/>
    <n v="72"/>
    <n v="25300"/>
    <n v="1363"/>
    <n v="18.930555555555557"/>
    <n v="567"/>
    <n v="1307"/>
    <n v="0.4338179035960214"/>
    <n v="1050"/>
    <n v="3100"/>
    <n v="0.33870967741935482"/>
    <n v="334"/>
    <n v="403"/>
    <n v="0.8287841191066998"/>
    <n v="98"/>
    <n v="458"/>
    <n v="556"/>
    <n v="980"/>
    <n v="4580"/>
    <n v="5560"/>
    <n v="7.7222222222222223"/>
    <n v="299"/>
    <n v="4.1527777777777777"/>
    <n v="62"/>
    <n v="620"/>
    <n v="0.86111111111111116"/>
    <n v="380"/>
    <n v="38"/>
    <n v="0.52777777777777779"/>
    <n v="1760"/>
    <x v="249"/>
    <n v="176"/>
    <n v="2.4444444444444446"/>
    <n v="180"/>
    <n v="2.5"/>
    <n v="1573"/>
    <n v="21.847222222222221"/>
  </r>
  <r>
    <s v="Kristaps Porzingis"/>
    <s v="2015-16"/>
    <x v="271"/>
    <n v="20"/>
    <n v="200"/>
    <n v="72"/>
    <n v="20470"/>
    <n v="957"/>
    <n v="13.291666666666666"/>
    <n v="373"/>
    <n v="886"/>
    <n v="0.42099322799097066"/>
    <n v="810"/>
    <n v="2430"/>
    <n v="0.33333333333333331"/>
    <n v="201"/>
    <n v="240"/>
    <n v="0.83750000000000002"/>
    <n v="132"/>
    <n v="394"/>
    <n v="526"/>
    <n v="1320"/>
    <n v="3940"/>
    <n v="5260"/>
    <n v="7.3055555555555554"/>
    <n v="94"/>
    <n v="1.3055555555555556"/>
    <n v="53"/>
    <n v="530"/>
    <n v="0.73611111111111116"/>
    <n v="1340"/>
    <n v="134"/>
    <n v="1.8611111111111112"/>
    <n v="1210"/>
    <x v="250"/>
    <n v="121"/>
    <n v="1.6805555555555556"/>
    <n v="205"/>
    <n v="2.8472222222222223"/>
    <n v="1028"/>
    <n v="14.277777777777779"/>
  </r>
  <r>
    <s v="Robin Lopez"/>
    <s v="2015-16"/>
    <x v="272"/>
    <n v="28"/>
    <n v="280"/>
    <n v="82"/>
    <n v="22190"/>
    <n v="1050"/>
    <n v="12.804878048780488"/>
    <n v="357"/>
    <n v="662"/>
    <n v="0.5392749244712991"/>
    <n v="0"/>
    <n v="10"/>
    <n v="0"/>
    <n v="128"/>
    <n v="161"/>
    <n v="0.79503105590062106"/>
    <n v="268"/>
    <n v="334"/>
    <n v="602"/>
    <n v="2680"/>
    <n v="3340"/>
    <n v="6020"/>
    <n v="7.3414634146341466"/>
    <n v="114"/>
    <n v="1.3902439024390243"/>
    <n v="16"/>
    <n v="160"/>
    <n v="0.1951219512195122"/>
    <n v="1290"/>
    <n v="129"/>
    <n v="1.5731707317073171"/>
    <n v="1330"/>
    <x v="251"/>
    <n v="133"/>
    <n v="1.6219512195121952"/>
    <n v="182"/>
    <n v="2.2195121951219514"/>
    <n v="842"/>
    <n v="10.268292682926829"/>
  </r>
  <r>
    <s v="Arron Afflalo"/>
    <s v="2015-16"/>
    <x v="273"/>
    <n v="30"/>
    <n v="300"/>
    <n v="71"/>
    <n v="23710"/>
    <n v="664"/>
    <n v="9.352112676056338"/>
    <n v="354"/>
    <n v="799"/>
    <n v="0.44305381727158949"/>
    <n v="910"/>
    <n v="2380"/>
    <n v="0.38235294117647056"/>
    <n v="110"/>
    <n v="131"/>
    <n v="0.83969465648854957"/>
    <n v="23"/>
    <n v="243"/>
    <n v="266"/>
    <n v="230"/>
    <n v="2430"/>
    <n v="2660"/>
    <n v="3.7464788732394365"/>
    <n v="144"/>
    <n v="2.028169014084507"/>
    <n v="25"/>
    <n v="250"/>
    <n v="0.352112676056338"/>
    <n v="100"/>
    <n v="10"/>
    <n v="0.14084507042253522"/>
    <n v="820"/>
    <x v="252"/>
    <n v="82"/>
    <n v="1.1549295774647887"/>
    <n v="142"/>
    <n v="2"/>
    <n v="909"/>
    <n v="12.80281690140845"/>
  </r>
  <r>
    <s v="Jose Calderon"/>
    <s v="2015-16"/>
    <x v="274"/>
    <n v="34"/>
    <n v="340"/>
    <n v="72"/>
    <n v="20240"/>
    <n v="667"/>
    <n v="9.2638888888888893"/>
    <n v="209"/>
    <n v="455"/>
    <n v="0.45934065934065932"/>
    <n v="840"/>
    <n v="2030"/>
    <n v="0.41379310344827586"/>
    <n v="42"/>
    <n v="48"/>
    <n v="0.875"/>
    <n v="22"/>
    <n v="207"/>
    <n v="229"/>
    <n v="220"/>
    <n v="2070"/>
    <n v="2290"/>
    <n v="3.1805555555555554"/>
    <n v="298"/>
    <n v="4.1388888888888893"/>
    <n v="63"/>
    <n v="630"/>
    <n v="0.875"/>
    <n v="70"/>
    <n v="7"/>
    <n v="9.7222222222222224E-2"/>
    <n v="870"/>
    <x v="253"/>
    <n v="87"/>
    <n v="1.2083333333333333"/>
    <n v="135"/>
    <n v="1.875"/>
    <n v="544"/>
    <n v="7.5555555555555554"/>
  </r>
  <r>
    <s v="Derrick Williams"/>
    <s v="2015-16"/>
    <x v="275"/>
    <n v="25"/>
    <n v="250"/>
    <n v="80"/>
    <n v="14350"/>
    <n v="652"/>
    <n v="8.15"/>
    <n v="254"/>
    <n v="565"/>
    <n v="45"/>
    <n v="440"/>
    <n v="1500"/>
    <n v="0.29333333333333333"/>
    <n v="194"/>
    <n v="256"/>
    <n v="0.7578125"/>
    <n v="47"/>
    <n v="249"/>
    <n v="296"/>
    <n v="470"/>
    <n v="2490"/>
    <n v="2960"/>
    <n v="3.7"/>
    <n v="75"/>
    <n v="0.9375"/>
    <n v="29"/>
    <n v="290"/>
    <n v="0.36249999999999999"/>
    <n v="90"/>
    <n v="9"/>
    <n v="0.1125"/>
    <n v="610"/>
    <x v="254"/>
    <n v="61"/>
    <n v="0.76249999999999996"/>
    <n v="69"/>
    <n v="0.86250000000000004"/>
    <n v="746"/>
    <n v="9.3249999999999993"/>
  </r>
  <r>
    <s v="Langston Galloway"/>
    <s v="2015-16"/>
    <x v="276"/>
    <n v="24"/>
    <n v="240"/>
    <n v="82"/>
    <n v="20330"/>
    <n v="596"/>
    <n v="7.2682926829268295"/>
    <n v="231"/>
    <n v="588"/>
    <n v="393"/>
    <n v="770"/>
    <n v="2240"/>
    <n v="0.34375"/>
    <n v="86"/>
    <n v="114"/>
    <n v="0.75438596491228072"/>
    <n v="43"/>
    <n v="245"/>
    <n v="288"/>
    <n v="430"/>
    <n v="2450"/>
    <n v="2880"/>
    <n v="3.5121951219512195"/>
    <n v="207"/>
    <n v="2.524390243902439"/>
    <n v="77"/>
    <n v="770"/>
    <n v="0.93902439024390238"/>
    <n v="220"/>
    <n v="22"/>
    <n v="0.26829268292682928"/>
    <n v="610"/>
    <x v="255"/>
    <n v="61"/>
    <n v="0.74390243902439024"/>
    <n v="177"/>
    <n v="2.1585365853658538"/>
    <n v="625"/>
    <n v="7.6219512195121952"/>
  </r>
  <r>
    <s v="Kyle O'Quinn"/>
    <s v="2015-16"/>
    <x v="277"/>
    <n v="26"/>
    <n v="260"/>
    <n v="65"/>
    <n v="7640"/>
    <n v="376"/>
    <n v="5.7846153846153845"/>
    <n v="129"/>
    <n v="271"/>
    <n v="0.47601476014760147"/>
    <n v="50"/>
    <n v="220"/>
    <n v="0.22727272727272727"/>
    <n v="46"/>
    <n v="60"/>
    <n v="0.76666666666666672"/>
    <n v="76"/>
    <n v="174"/>
    <n v="250"/>
    <n v="760"/>
    <n v="1740"/>
    <n v="2500"/>
    <n v="3.8461538461538463"/>
    <n v="72"/>
    <n v="1.1076923076923078"/>
    <n v="20"/>
    <n v="200"/>
    <n v="0.30769230769230771"/>
    <n v="490"/>
    <n v="49"/>
    <n v="0.75384615384615383"/>
    <n v="610"/>
    <x v="256"/>
    <n v="61"/>
    <n v="0.93846153846153846"/>
    <n v="107"/>
    <n v="1.6461538461538461"/>
    <n v="309"/>
    <n v="4.7538461538461538"/>
  </r>
  <r>
    <s v="Lance Thomas"/>
    <s v="2015-16"/>
    <x v="278"/>
    <n v="28"/>
    <n v="280"/>
    <n v="59"/>
    <n v="13130"/>
    <n v="301"/>
    <n v="5.101694915254237"/>
    <n v="169"/>
    <n v="382"/>
    <n v="442"/>
    <n v="440"/>
    <n v="1090"/>
    <n v="0.40366972477064222"/>
    <n v="102"/>
    <n v="119"/>
    <n v="0.8571428571428571"/>
    <n v="34"/>
    <n v="97"/>
    <n v="131"/>
    <n v="340"/>
    <n v="970"/>
    <n v="1310"/>
    <n v="2.2203389830508473"/>
    <n v="53"/>
    <n v="0.89830508474576276"/>
    <n v="22"/>
    <n v="220"/>
    <n v="0.3728813559322034"/>
    <n v="70"/>
    <n v="7"/>
    <n v="0.11864406779661017"/>
    <n v="570"/>
    <x v="257"/>
    <n v="57"/>
    <n v="0.96610169491525422"/>
    <n v="109"/>
    <n v="1.847457627118644"/>
    <n v="484"/>
    <n v="8.203389830508474"/>
  </r>
  <r>
    <s v="Jerian Grant"/>
    <s v="2015-16"/>
    <x v="279"/>
    <n v="23"/>
    <n v="230"/>
    <n v="76"/>
    <n v="12650"/>
    <n v="358"/>
    <n v="4.7105263157894735"/>
    <n v="154"/>
    <n v="391"/>
    <n v="394"/>
    <n v="220"/>
    <n v="1000"/>
    <n v="0.22"/>
    <n v="96"/>
    <n v="123"/>
    <n v="0.78048780487804881"/>
    <n v="23"/>
    <n v="120"/>
    <n v="143"/>
    <n v="230"/>
    <n v="1200"/>
    <n v="1430"/>
    <n v="1.881578947368421"/>
    <n v="177"/>
    <n v="2.3289473684210527"/>
    <n v="50"/>
    <n v="500"/>
    <n v="0.65789473684210531"/>
    <n v="100"/>
    <n v="10"/>
    <n v="0.13157894736842105"/>
    <n v="870"/>
    <x v="258"/>
    <n v="87"/>
    <n v="1.1447368421052631"/>
    <n v="97"/>
    <n v="1.2763157894736843"/>
    <n v="426"/>
    <n v="5.6052631578947372"/>
  </r>
  <r>
    <s v="Sasha Vujacic"/>
    <s v="2015-16"/>
    <x v="280"/>
    <n v="32"/>
    <n v="320"/>
    <n v="61"/>
    <n v="9080"/>
    <n v="263"/>
    <n v="4.3114754098360653"/>
    <n v="106"/>
    <n v="277"/>
    <n v="383"/>
    <n v="520"/>
    <n v="1430"/>
    <n v="0.36363636363636365"/>
    <n v="32"/>
    <n v="39"/>
    <n v="0.82051282051282048"/>
    <n v="26"/>
    <n v="123"/>
    <n v="149"/>
    <n v="260"/>
    <n v="1230"/>
    <n v="1490"/>
    <n v="2.442622950819672"/>
    <n v="84"/>
    <n v="1.3770491803278688"/>
    <n v="34"/>
    <n v="340"/>
    <n v="0.55737704918032782"/>
    <n v="50"/>
    <n v="5"/>
    <n v="8.1967213114754092E-2"/>
    <n v="440"/>
    <x v="259"/>
    <n v="44"/>
    <n v="0.72131147540983609"/>
    <n v="83"/>
    <n v="1.360655737704918"/>
    <n v="296"/>
    <n v="4.8524590163934427"/>
  </r>
  <r>
    <s v="Kevin Seraphin"/>
    <s v="2015-16"/>
    <x v="281"/>
    <n v="26"/>
    <n v="260"/>
    <n v="48"/>
    <n v="5260"/>
    <n v="169"/>
    <n v="3.5208333333333335"/>
    <n v="84"/>
    <n v="205"/>
    <n v="0.40975609756097559"/>
    <n v="0"/>
    <n v="20"/>
    <n v="0"/>
    <n v="19"/>
    <n v="23"/>
    <n v="0.82608695652173914"/>
    <n v="31"/>
    <n v="95"/>
    <n v="126"/>
    <n v="310"/>
    <n v="950"/>
    <n v="1260"/>
    <n v="2.625"/>
    <n v="47"/>
    <n v="0.97916666666666663"/>
    <n v="8"/>
    <n v="80"/>
    <n v="0.16666666666666666"/>
    <n v="360"/>
    <n v="36"/>
    <n v="0.75"/>
    <n v="430"/>
    <x v="260"/>
    <n v="43"/>
    <n v="0.89583333333333337"/>
    <n v="67"/>
    <n v="1.3958333333333333"/>
    <n v="187"/>
    <n v="3.8958333333333335"/>
  </r>
  <r>
    <s v="Thanasis Antetokounmpo"/>
    <s v="2015-16"/>
    <x v="282"/>
    <n v="23"/>
    <n v="230"/>
    <n v="2"/>
    <n v="60"/>
    <n v="4"/>
    <n v="2"/>
    <n v="3"/>
    <n v="4"/>
    <n v="0.75"/>
    <n v="0"/>
    <n v="10"/>
    <n v="0"/>
    <n v="0"/>
    <n v="0"/>
    <e v="#DIV/0!"/>
    <n v="0"/>
    <n v="1"/>
    <n v="1"/>
    <n v="0"/>
    <n v="10"/>
    <n v="10"/>
    <n v="0.5"/>
    <n v="0"/>
    <n v="0"/>
    <n v="0"/>
    <n v="0"/>
    <n v="0"/>
    <n v="0"/>
    <n v="0"/>
    <n v="0"/>
    <n v="0"/>
    <x v="42"/>
    <n v="0"/>
    <n v="0"/>
    <n v="2"/>
    <n v="1"/>
    <n v="6"/>
    <n v="3"/>
  </r>
  <r>
    <s v="Jimmer Fredette"/>
    <s v="2015-16"/>
    <x v="283"/>
    <n v="27"/>
    <n v="270"/>
    <n v="2"/>
    <n v="50"/>
    <n v="4"/>
    <n v="2"/>
    <n v="1"/>
    <n v="1"/>
    <n v="10"/>
    <n v="10"/>
    <n v="10"/>
    <n v="1"/>
    <n v="4"/>
    <n v="5"/>
    <n v="0.8"/>
    <n v="0"/>
    <n v="0"/>
    <n v="0"/>
    <n v="0"/>
    <n v="0"/>
    <n v="0"/>
    <n v="0"/>
    <n v="0"/>
    <n v="0"/>
    <n v="0"/>
    <n v="0"/>
    <n v="0"/>
    <n v="0"/>
    <n v="0"/>
    <n v="0"/>
    <n v="10"/>
    <x v="63"/>
    <n v="1"/>
    <n v="0.5"/>
    <n v="1"/>
    <n v="0.5"/>
    <n v="7"/>
    <n v="3.5"/>
  </r>
  <r>
    <s v="Cleanthony Early"/>
    <s v="2015-16"/>
    <x v="284"/>
    <n v="25"/>
    <n v="250"/>
    <n v="17"/>
    <n v="1540"/>
    <n v="14"/>
    <n v="0.82352941176470584"/>
    <n v="12"/>
    <n v="40"/>
    <n v="0.3"/>
    <n v="40"/>
    <n v="150"/>
    <n v="0.26666666666666666"/>
    <n v="3"/>
    <n v="4"/>
    <n v="0.75"/>
    <n v="4"/>
    <n v="22"/>
    <n v="26"/>
    <n v="40"/>
    <n v="220"/>
    <n v="260"/>
    <n v="1.5294117647058822"/>
    <n v="6"/>
    <n v="0.35294117647058826"/>
    <n v="2"/>
    <n v="20"/>
    <n v="0.11764705882352941"/>
    <n v="30"/>
    <n v="3"/>
    <n v="0.17647058823529413"/>
    <n v="90"/>
    <x v="261"/>
    <n v="9"/>
    <n v="0.52941176470588236"/>
    <n v="16"/>
    <n v="0.94117647058823528"/>
    <n v="31"/>
    <n v="1.8235294117647058"/>
  </r>
  <r>
    <s v="Lou Amundson"/>
    <s v="2015-16"/>
    <x v="285"/>
    <n v="33"/>
    <n v="330"/>
    <n v="29"/>
    <n v="2040"/>
    <n v="20"/>
    <n v="0.68965517241379315"/>
    <n v="19"/>
    <n v="53"/>
    <n v="358"/>
    <n v="0"/>
    <n v="0"/>
    <e v="#DIV/0!"/>
    <n v="14"/>
    <n v="27"/>
    <n v="0.51851851851851849"/>
    <n v="23"/>
    <n v="26"/>
    <n v="49"/>
    <n v="230"/>
    <n v="260"/>
    <n v="490"/>
    <n v="1.6896551724137931"/>
    <n v="12"/>
    <n v="0.41379310344827586"/>
    <n v="6"/>
    <n v="60"/>
    <n v="0.20689655172413793"/>
    <n v="70"/>
    <n v="7"/>
    <n v="0.2413793103448276"/>
    <n v="150"/>
    <x v="262"/>
    <n v="15"/>
    <n v="0.51724137931034486"/>
    <n v="44"/>
    <n v="1.5172413793103448"/>
    <n v="52"/>
    <n v="1.7931034482758621"/>
  </r>
  <r>
    <s v="Carmelo Anthony"/>
    <s v="2016-17"/>
    <x v="286"/>
    <n v="33"/>
    <n v="330"/>
    <n v="74"/>
    <n v="25380"/>
    <n v="1205"/>
    <n v="16.283783783783782"/>
    <n v="602"/>
    <n v="1389"/>
    <n v="0.43340532757379407"/>
    <n v="1510"/>
    <n v="4210"/>
    <n v="0.35866983372921613"/>
    <n v="304"/>
    <n v="365"/>
    <n v="0.83287671232876714"/>
    <n v="62"/>
    <n v="376"/>
    <n v="438"/>
    <n v="620"/>
    <n v="3760"/>
    <n v="4380"/>
    <n v="5.9189189189189193"/>
    <n v="213"/>
    <n v="2.8783783783783785"/>
    <n v="60"/>
    <n v="600"/>
    <n v="0.81081081081081086"/>
    <n v="340"/>
    <n v="34"/>
    <n v="0.45945945945945948"/>
    <n v="1530"/>
    <x v="263"/>
    <n v="153"/>
    <n v="2.0675675675675675"/>
    <n v="198"/>
    <n v="2.6756756756756759"/>
    <n v="1659"/>
    <n v="22.418918918918919"/>
  </r>
  <r>
    <s v="Derrick Rose"/>
    <s v="2016-17"/>
    <x v="287"/>
    <n v="28"/>
    <n v="280"/>
    <n v="64"/>
    <n v="20820"/>
    <n v="964"/>
    <n v="15.0625"/>
    <n v="460"/>
    <n v="977"/>
    <n v="0.47082906857727735"/>
    <n v="130"/>
    <n v="600"/>
    <n v="0.21666666666666667"/>
    <n v="221"/>
    <n v="253"/>
    <n v="0.87351778656126478"/>
    <n v="66"/>
    <n v="180"/>
    <n v="246"/>
    <n v="660"/>
    <n v="1800"/>
    <n v="2460"/>
    <n v="3.84375"/>
    <n v="283"/>
    <n v="4.421875"/>
    <n v="44"/>
    <n v="440"/>
    <n v="0.6875"/>
    <n v="170"/>
    <n v="17"/>
    <n v="0.265625"/>
    <n v="1470"/>
    <x v="264"/>
    <n v="147"/>
    <n v="2.296875"/>
    <n v="84"/>
    <n v="1.3125"/>
    <n v="1154"/>
    <n v="18.03125"/>
  </r>
  <r>
    <s v="Kristaps Porzingis"/>
    <s v="2016-17"/>
    <x v="288"/>
    <n v="21"/>
    <n v="210"/>
    <n v="66"/>
    <n v="21640"/>
    <n v="986"/>
    <n v="14.939393939393939"/>
    <n v="443"/>
    <n v="985"/>
    <n v="0.44974619289340101"/>
    <n v="1120"/>
    <n v="3140"/>
    <n v="0.35668789808917195"/>
    <n v="198"/>
    <n v="252"/>
    <n v="0.7857142857142857"/>
    <n v="111"/>
    <n v="364"/>
    <n v="475"/>
    <n v="1110"/>
    <n v="3640"/>
    <n v="4750"/>
    <n v="7.1969696969696972"/>
    <n v="97"/>
    <n v="1.4696969696969697"/>
    <n v="47"/>
    <n v="470"/>
    <n v="0.71212121212121215"/>
    <n v="1290"/>
    <n v="129"/>
    <n v="1.9545454545454546"/>
    <n v="1180"/>
    <x v="265"/>
    <n v="118"/>
    <n v="1.7878787878787878"/>
    <n v="244"/>
    <n v="3.6969696969696968"/>
    <n v="1196"/>
    <n v="18.121212121212121"/>
  </r>
  <r>
    <s v="Willy Hernangomez"/>
    <s v="2016-17"/>
    <x v="289"/>
    <n v="23"/>
    <n v="230"/>
    <n v="72"/>
    <n v="13240"/>
    <n v="759"/>
    <n v="10.541666666666666"/>
    <n v="246"/>
    <n v="465"/>
    <n v="0.52903225806451615"/>
    <n v="40"/>
    <n v="150"/>
    <n v="0.26666666666666666"/>
    <n v="91"/>
    <n v="125"/>
    <n v="0.72799999999999998"/>
    <n v="170"/>
    <n v="332"/>
    <n v="502"/>
    <n v="1700"/>
    <n v="3320"/>
    <n v="5020"/>
    <n v="6.9722222222222223"/>
    <n v="96"/>
    <n v="1.3333333333333333"/>
    <n v="41"/>
    <n v="410"/>
    <n v="0.56944444444444442"/>
    <n v="360"/>
    <n v="36"/>
    <n v="0.5"/>
    <n v="1000"/>
    <x v="266"/>
    <n v="100"/>
    <n v="1.3888888888888888"/>
    <n v="150"/>
    <n v="2.0833333333333335"/>
    <n v="587"/>
    <n v="8.1527777777777786"/>
  </r>
  <r>
    <s v="Joakim Noah"/>
    <s v="2016-17"/>
    <x v="290"/>
    <n v="32"/>
    <n v="320"/>
    <n v="46"/>
    <n v="10150"/>
    <n v="473"/>
    <n v="10.282608695652174"/>
    <n v="99"/>
    <n v="202"/>
    <n v="0.49009900990099009"/>
    <n v="0"/>
    <n v="10"/>
    <n v="0"/>
    <n v="34"/>
    <n v="78"/>
    <n v="0.4358974358974359"/>
    <n v="162"/>
    <n v="241"/>
    <n v="403"/>
    <n v="1620"/>
    <n v="2410"/>
    <n v="4030"/>
    <n v="8.7608695652173907"/>
    <n v="103"/>
    <n v="2.2391304347826089"/>
    <n v="30"/>
    <n v="300"/>
    <n v="0.65217391304347827"/>
    <n v="370"/>
    <n v="37"/>
    <n v="0.80434782608695654"/>
    <n v="580"/>
    <x v="267"/>
    <n v="58"/>
    <n v="1.2608695652173914"/>
    <n v="127"/>
    <n v="2.7608695652173911"/>
    <n v="232"/>
    <n v="5.0434782608695654"/>
  </r>
  <r>
    <s v="Courtney Lee"/>
    <s v="2016-17"/>
    <x v="291"/>
    <n v="31"/>
    <n v="310"/>
    <n v="77"/>
    <n v="24590"/>
    <n v="772"/>
    <n v="10.025974025974026"/>
    <n v="321"/>
    <n v="704"/>
    <n v="0.45596590909090912"/>
    <n v="1080"/>
    <n v="2690"/>
    <n v="0.40148698884758366"/>
    <n v="85"/>
    <n v="98"/>
    <n v="0.86734693877551017"/>
    <n v="53"/>
    <n v="206"/>
    <n v="259"/>
    <n v="530"/>
    <n v="2060"/>
    <n v="2590"/>
    <n v="3.3636363636363638"/>
    <n v="179"/>
    <n v="2.3246753246753249"/>
    <n v="81"/>
    <n v="810"/>
    <n v="1.051948051948052"/>
    <n v="240"/>
    <n v="24"/>
    <n v="0.31168831168831168"/>
    <n v="690"/>
    <x v="268"/>
    <n v="69"/>
    <n v="0.89610389610389607"/>
    <n v="141"/>
    <n v="1.8311688311688312"/>
    <n v="835"/>
    <n v="10.844155844155845"/>
  </r>
  <r>
    <s v="Kyle O'Quinn"/>
    <s v="2016-17"/>
    <x v="292"/>
    <n v="27"/>
    <n v="270"/>
    <n v="79"/>
    <n v="12290"/>
    <n v="725"/>
    <n v="9.1772151898734169"/>
    <n v="215"/>
    <n v="413"/>
    <n v="0.52058111380145278"/>
    <n v="20"/>
    <n v="170"/>
    <n v="0.11764705882352941"/>
    <n v="64"/>
    <n v="83"/>
    <n v="0.77108433734939763"/>
    <n v="157"/>
    <n v="282"/>
    <n v="439"/>
    <n v="1570"/>
    <n v="2820"/>
    <n v="4390"/>
    <n v="5.556962025316456"/>
    <n v="117"/>
    <n v="1.481012658227848"/>
    <n v="36"/>
    <n v="360"/>
    <n v="0.45569620253164556"/>
    <n v="1040"/>
    <n v="104"/>
    <n v="1.3164556962025316"/>
    <n v="760"/>
    <x v="269"/>
    <n v="76"/>
    <n v="0.96202531645569622"/>
    <n v="174"/>
    <n v="2.2025316455696204"/>
    <n v="496"/>
    <n v="6.2784810126582276"/>
  </r>
  <r>
    <s v="Brandon Jennings"/>
    <s v="2016-17"/>
    <x v="293"/>
    <n v="27"/>
    <n v="270"/>
    <n v="58"/>
    <n v="14280"/>
    <n v="505"/>
    <n v="8.7068965517241388"/>
    <n v="163"/>
    <n v="429"/>
    <n v="38"/>
    <n v="680"/>
    <n v="2000"/>
    <n v="0.34"/>
    <n v="102"/>
    <n v="135"/>
    <n v="0.75555555555555554"/>
    <n v="21"/>
    <n v="131"/>
    <n v="152"/>
    <n v="210"/>
    <n v="1310"/>
    <n v="1520"/>
    <n v="2.6206896551724137"/>
    <n v="287"/>
    <n v="4.9482758620689653"/>
    <n v="55"/>
    <n v="550"/>
    <n v="0.94827586206896552"/>
    <n v="40"/>
    <n v="4"/>
    <n v="6.8965517241379309E-2"/>
    <n v="1060"/>
    <x v="270"/>
    <n v="106"/>
    <n v="1.8275862068965518"/>
    <n v="84"/>
    <n v="1.4482758620689655"/>
    <n v="496"/>
    <n v="8.5517241379310338"/>
  </r>
  <r>
    <s v="Justin Holiday"/>
    <s v="2016-17"/>
    <x v="294"/>
    <n v="28"/>
    <n v="280"/>
    <n v="82"/>
    <n v="16390"/>
    <n v="558"/>
    <n v="6.8048780487804876"/>
    <n v="233"/>
    <n v="538"/>
    <n v="0.43308550185873607"/>
    <n v="970"/>
    <n v="2730"/>
    <n v="0.35531135531135533"/>
    <n v="66"/>
    <n v="80"/>
    <n v="0.82499999999999996"/>
    <n v="27"/>
    <n v="198"/>
    <n v="225"/>
    <n v="270"/>
    <n v="1980"/>
    <n v="2250"/>
    <n v="2.7439024390243905"/>
    <n v="102"/>
    <n v="1.2439024390243902"/>
    <n v="65"/>
    <n v="650"/>
    <n v="0.79268292682926833"/>
    <n v="310"/>
    <n v="31"/>
    <n v="0.37804878048780488"/>
    <n v="660"/>
    <x v="271"/>
    <n v="66"/>
    <n v="0.80487804878048785"/>
    <n v="109"/>
    <n v="1.3292682926829269"/>
    <n v="629"/>
    <n v="7.6707317073170733"/>
  </r>
  <r>
    <s v="Lance Thomas"/>
    <s v="2016-17"/>
    <x v="295"/>
    <n v="29"/>
    <n v="290"/>
    <n v="46"/>
    <n v="9680"/>
    <n v="213"/>
    <n v="4.6304347826086953"/>
    <n v="97"/>
    <n v="244"/>
    <n v="398"/>
    <n v="380"/>
    <n v="850"/>
    <n v="0.44705882352941179"/>
    <n v="43"/>
    <n v="51"/>
    <n v="0.84313725490196079"/>
    <n v="32"/>
    <n v="110"/>
    <n v="142"/>
    <n v="320"/>
    <n v="1100"/>
    <n v="1420"/>
    <n v="3.0869565217391304"/>
    <n v="35"/>
    <n v="0.76086956521739135"/>
    <n v="21"/>
    <n v="210"/>
    <n v="0.45652173913043476"/>
    <n v="50"/>
    <n v="5"/>
    <n v="0.10869565217391304"/>
    <n v="250"/>
    <x v="272"/>
    <n v="25"/>
    <n v="0.54347826086956519"/>
    <n v="85"/>
    <n v="1.8478260869565217"/>
    <n v="275"/>
    <n v="5.9782608695652177"/>
  </r>
  <r>
    <s v="Mindaugas Kuzminskas"/>
    <s v="2016-17"/>
    <x v="296"/>
    <n v="27"/>
    <n v="270"/>
    <n v="68"/>
    <n v="10160"/>
    <n v="306"/>
    <n v="4.5"/>
    <n v="158"/>
    <n v="369"/>
    <n v="0.42818428184281843"/>
    <n v="540"/>
    <n v="1680"/>
    <n v="0.32142857142857145"/>
    <n v="55"/>
    <n v="68"/>
    <n v="0.80882352941176472"/>
    <n v="47"/>
    <n v="79"/>
    <n v="126"/>
    <n v="470"/>
    <n v="790"/>
    <n v="1260"/>
    <n v="1.8529411764705883"/>
    <n v="69"/>
    <n v="1.0147058823529411"/>
    <n v="29"/>
    <n v="290"/>
    <n v="0.4264705882352941"/>
    <n v="110"/>
    <n v="11"/>
    <n v="0.16176470588235295"/>
    <n v="510"/>
    <x v="273"/>
    <n v="51"/>
    <n v="0.75"/>
    <n v="79"/>
    <n v="1.161764705882353"/>
    <n v="425"/>
    <n v="6.25"/>
  </r>
  <r>
    <s v="Chasson Randle"/>
    <s v="2016-17"/>
    <x v="297"/>
    <n v="24"/>
    <n v="240"/>
    <n v="18"/>
    <n v="2250"/>
    <n v="67"/>
    <n v="3.7222222222222223"/>
    <n v="28"/>
    <n v="72"/>
    <n v="0.3888888888888889"/>
    <n v="100"/>
    <n v="320"/>
    <n v="0.3125"/>
    <n v="29"/>
    <n v="31"/>
    <n v="0.93548387096774188"/>
    <n v="6"/>
    <n v="21"/>
    <n v="27"/>
    <n v="60"/>
    <n v="210"/>
    <n v="270"/>
    <n v="1.5"/>
    <n v="28"/>
    <n v="1.5555555555555556"/>
    <n v="6"/>
    <n v="60"/>
    <n v="0.33333333333333331"/>
    <n v="10"/>
    <n v="1"/>
    <n v="5.5555555555555552E-2"/>
    <n v="160"/>
    <x v="274"/>
    <n v="16"/>
    <n v="0.88888888888888884"/>
    <n v="28"/>
    <n v="1.5555555555555556"/>
    <n v="95"/>
    <n v="5.2777777777777777"/>
  </r>
  <r>
    <s v="Ron Baker"/>
    <s v="2016-17"/>
    <x v="298"/>
    <n v="24"/>
    <n v="240"/>
    <n v="52"/>
    <n v="8570"/>
    <n v="182"/>
    <n v="3.5"/>
    <n v="82"/>
    <n v="217"/>
    <n v="0.37788018433179721"/>
    <n v="230"/>
    <n v="860"/>
    <n v="0.26744186046511625"/>
    <n v="28"/>
    <n v="43"/>
    <n v="0.65116279069767447"/>
    <n v="12"/>
    <n v="86"/>
    <n v="98"/>
    <n v="120"/>
    <n v="860"/>
    <n v="980"/>
    <n v="1.8846153846153846"/>
    <n v="107"/>
    <n v="2.0576923076923075"/>
    <n v="34"/>
    <n v="340"/>
    <n v="0.65384615384615385"/>
    <n v="80"/>
    <n v="8"/>
    <n v="0.15384615384615385"/>
    <n v="560"/>
    <x v="275"/>
    <n v="56"/>
    <n v="1.0769230769230769"/>
    <n v="74"/>
    <n v="1.4230769230769231"/>
    <n v="215"/>
    <n v="4.134615384615385"/>
  </r>
  <r>
    <s v="Maurice Ndour"/>
    <s v="2016-17"/>
    <x v="299"/>
    <n v="25"/>
    <n v="250"/>
    <n v="32"/>
    <n v="3310"/>
    <n v="97"/>
    <n v="3.03125"/>
    <n v="39"/>
    <n v="86"/>
    <n v="0.45348837209302323"/>
    <n v="10"/>
    <n v="70"/>
    <n v="0.14285714285714285"/>
    <n v="19"/>
    <n v="26"/>
    <n v="0.73076923076923073"/>
    <n v="22"/>
    <n v="42"/>
    <n v="64"/>
    <n v="220"/>
    <n v="420"/>
    <n v="640"/>
    <n v="2"/>
    <n v="8"/>
    <n v="0.25"/>
    <n v="15"/>
    <n v="150"/>
    <n v="0.46875"/>
    <n v="80"/>
    <n v="8"/>
    <n v="0.25"/>
    <n v="120"/>
    <x v="276"/>
    <n v="12"/>
    <n v="0.375"/>
    <n v="30"/>
    <n v="0.9375"/>
    <n v="98"/>
    <n v="3.0625"/>
  </r>
  <r>
    <s v="Marshall Plumlee"/>
    <s v="2016-17"/>
    <x v="300"/>
    <n v="24"/>
    <n v="240"/>
    <n v="21"/>
    <n v="1700"/>
    <n v="49"/>
    <n v="2.3333333333333335"/>
    <n v="16"/>
    <n v="30"/>
    <n v="533"/>
    <n v="0"/>
    <n v="0"/>
    <e v="#DIV/0!"/>
    <n v="8"/>
    <n v="19"/>
    <n v="0.42105263157894735"/>
    <n v="23"/>
    <n v="28"/>
    <n v="51"/>
    <n v="230"/>
    <n v="280"/>
    <n v="510"/>
    <n v="2.4285714285714284"/>
    <n v="10"/>
    <n v="0.47619047619047616"/>
    <n v="4"/>
    <n v="40"/>
    <n v="0.19047619047619047"/>
    <n v="40"/>
    <n v="4"/>
    <n v="0.19047619047619047"/>
    <n v="120"/>
    <x v="277"/>
    <n v="12"/>
    <n v="0.5714285714285714"/>
    <n v="23"/>
    <n v="1.0952380952380953"/>
    <n v="40"/>
    <n v="1.9047619047619047"/>
  </r>
  <r>
    <s v="Sasha Vujacic"/>
    <s v="2016-17"/>
    <x v="301"/>
    <n v="33"/>
    <n v="330"/>
    <n v="42"/>
    <n v="4080"/>
    <n v="95"/>
    <n v="2.2619047619047619"/>
    <n v="42"/>
    <n v="136"/>
    <n v="309"/>
    <n v="230"/>
    <n v="740"/>
    <n v="0.3108108108108108"/>
    <n v="17"/>
    <n v="24"/>
    <n v="0.70833333333333337"/>
    <n v="12"/>
    <n v="47"/>
    <n v="59"/>
    <n v="120"/>
    <n v="470"/>
    <n v="590"/>
    <n v="1.4047619047619047"/>
    <n v="52"/>
    <n v="1.2380952380952381"/>
    <n v="13"/>
    <n v="130"/>
    <n v="0.30952380952380953"/>
    <n v="20"/>
    <n v="2"/>
    <n v="4.7619047619047616E-2"/>
    <n v="160"/>
    <x v="278"/>
    <n v="16"/>
    <n v="0.38095238095238093"/>
    <n v="38"/>
    <n v="0.90476190476190477"/>
    <n v="124"/>
    <n v="2.9523809523809526"/>
  </r>
  <r>
    <s v="Enes Freedom"/>
    <s v="2017-18"/>
    <x v="302"/>
    <n v="26"/>
    <n v="260"/>
    <n v="71"/>
    <n v="18300"/>
    <n v="1330"/>
    <n v="18.732394366197184"/>
    <n v="422"/>
    <n v="713"/>
    <n v="592"/>
    <n v="0"/>
    <n v="20"/>
    <n v="0"/>
    <n v="156"/>
    <n v="184"/>
    <n v="0.84782608695652173"/>
    <n v="273"/>
    <n v="507"/>
    <n v="780"/>
    <n v="2730"/>
    <n v="5070"/>
    <n v="7800"/>
    <n v="10.985915492957746"/>
    <n v="105"/>
    <n v="1.4788732394366197"/>
    <n v="36"/>
    <n v="360"/>
    <n v="0.50704225352112675"/>
    <n v="370"/>
    <n v="37"/>
    <n v="0.52112676056338025"/>
    <n v="1220"/>
    <x v="279"/>
    <n v="122"/>
    <n v="1.7183098591549295"/>
    <n v="187"/>
    <n v="2.6338028169014085"/>
    <n v="1000"/>
    <n v="14.084507042253522"/>
  </r>
  <r>
    <s v="Kristaps Porzingis"/>
    <s v="2017-18"/>
    <x v="303"/>
    <n v="22"/>
    <n v="220"/>
    <n v="48"/>
    <n v="15530"/>
    <n v="822"/>
    <n v="17.125"/>
    <n v="390"/>
    <n v="889"/>
    <n v="0.43869516310461193"/>
    <n v="900"/>
    <n v="2280"/>
    <n v="0.39473684210526316"/>
    <n v="218"/>
    <n v="275"/>
    <n v="0.79272727272727272"/>
    <n v="62"/>
    <n v="254"/>
    <n v="316"/>
    <n v="620"/>
    <n v="2540"/>
    <n v="3160"/>
    <n v="6.583333333333333"/>
    <n v="57"/>
    <n v="1.1875"/>
    <n v="36"/>
    <n v="360"/>
    <n v="0.75"/>
    <n v="1150"/>
    <n v="115"/>
    <n v="2.3958333333333335"/>
    <n v="930"/>
    <x v="280"/>
    <n v="93"/>
    <n v="1.9375"/>
    <n v="141"/>
    <n v="2.9375"/>
    <n v="1088"/>
    <n v="22.666666666666668"/>
  </r>
  <r>
    <s v="Tim Hardaway Jr."/>
    <s v="2017-18"/>
    <x v="304"/>
    <n v="26"/>
    <n v="260"/>
    <n v="57"/>
    <n v="18850"/>
    <n v="703"/>
    <n v="12.333333333333334"/>
    <n v="360"/>
    <n v="856"/>
    <n v="0.42056074766355139"/>
    <n v="1300"/>
    <n v="4100"/>
    <n v="0.31707317073170732"/>
    <n v="146"/>
    <n v="179"/>
    <n v="0.81564245810055869"/>
    <n v="32"/>
    <n v="192"/>
    <n v="224"/>
    <n v="320"/>
    <n v="1920"/>
    <n v="2240"/>
    <n v="3.9298245614035086"/>
    <n v="155"/>
    <n v="2.7192982456140351"/>
    <n v="62"/>
    <n v="620"/>
    <n v="1.0877192982456141"/>
    <n v="100"/>
    <n v="10"/>
    <n v="0.17543859649122806"/>
    <n v="920"/>
    <x v="281"/>
    <n v="92"/>
    <n v="1.6140350877192982"/>
    <n v="123"/>
    <n v="2.1578947368421053"/>
    <n v="996"/>
    <n v="17.473684210526315"/>
  </r>
  <r>
    <s v="Trey Burke"/>
    <s v="2017-18"/>
    <x v="305"/>
    <n v="25"/>
    <n v="250"/>
    <n v="36"/>
    <n v="7850"/>
    <n v="433"/>
    <n v="12.027777777777779"/>
    <n v="193"/>
    <n v="384"/>
    <n v="0.50260416666666663"/>
    <n v="380"/>
    <n v="1050"/>
    <n v="0.3619047619047619"/>
    <n v="37"/>
    <n v="57"/>
    <n v="0.64912280701754388"/>
    <n v="13"/>
    <n v="58"/>
    <n v="71"/>
    <n v="130"/>
    <n v="580"/>
    <n v="710"/>
    <n v="1.9722222222222223"/>
    <n v="170"/>
    <n v="4.7222222222222223"/>
    <n v="24"/>
    <n v="240"/>
    <n v="0.66666666666666663"/>
    <n v="40"/>
    <n v="4"/>
    <n v="0.1111111111111111"/>
    <n v="430"/>
    <x v="282"/>
    <n v="43"/>
    <n v="1.1944444444444444"/>
    <n v="43"/>
    <n v="1.1944444444444444"/>
    <n v="461"/>
    <n v="12.805555555555555"/>
  </r>
  <r>
    <s v="Michael Beasley"/>
    <s v="2017-18"/>
    <x v="306"/>
    <n v="29"/>
    <n v="290"/>
    <n v="74"/>
    <n v="16530"/>
    <n v="871"/>
    <n v="11.77027027027027"/>
    <n v="409"/>
    <n v="807"/>
    <n v="0.50681536555142503"/>
    <n v="340"/>
    <n v="860"/>
    <n v="0.39534883720930231"/>
    <n v="124"/>
    <n v="159"/>
    <n v="0.77987421383647804"/>
    <n v="97"/>
    <n v="317"/>
    <n v="414"/>
    <n v="970"/>
    <n v="3170"/>
    <n v="4140"/>
    <n v="5.5945945945945947"/>
    <n v="123"/>
    <n v="1.6621621621621621"/>
    <n v="36"/>
    <n v="360"/>
    <n v="0.48648648648648651"/>
    <n v="430"/>
    <n v="43"/>
    <n v="0.58108108108108103"/>
    <n v="1430"/>
    <x v="283"/>
    <n v="143"/>
    <n v="1.9324324324324325"/>
    <n v="145"/>
    <n v="1.9594594594594594"/>
    <n v="976"/>
    <n v="13.189189189189189"/>
  </r>
  <r>
    <s v="Kyle O'Quinn"/>
    <s v="2017-18"/>
    <x v="307"/>
    <n v="28"/>
    <n v="280"/>
    <n v="77"/>
    <n v="13870"/>
    <n v="831"/>
    <n v="10.792207792207792"/>
    <n v="224"/>
    <n v="384"/>
    <n v="0.58333333333333337"/>
    <n v="40"/>
    <n v="170"/>
    <n v="0.23529411764705882"/>
    <n v="98"/>
    <n v="127"/>
    <n v="0.77165354330708658"/>
    <n v="121"/>
    <n v="349"/>
    <n v="470"/>
    <n v="1210"/>
    <n v="3490"/>
    <n v="4700"/>
    <n v="6.1038961038961039"/>
    <n v="158"/>
    <n v="2.051948051948052"/>
    <n v="36"/>
    <n v="360"/>
    <n v="0.46753246753246752"/>
    <n v="980"/>
    <n v="98"/>
    <n v="1.2727272727272727"/>
    <n v="1000"/>
    <x v="284"/>
    <n v="100"/>
    <n v="1.2987012987012987"/>
    <n v="192"/>
    <n v="2.4935064935064934"/>
    <n v="550"/>
    <n v="7.1428571428571432"/>
  </r>
  <r>
    <s v="Courtney Lee"/>
    <s v="2017-18"/>
    <x v="308"/>
    <n v="32"/>
    <n v="320"/>
    <n v="76"/>
    <n v="23100"/>
    <n v="799"/>
    <n v="10.513157894736842"/>
    <n v="343"/>
    <n v="755"/>
    <n v="0.45430463576158941"/>
    <n v="1130"/>
    <n v="2780"/>
    <n v="0.40647482014388492"/>
    <n v="114"/>
    <n v="124"/>
    <n v="0.91935483870967738"/>
    <n v="30"/>
    <n v="194"/>
    <n v="224"/>
    <n v="300"/>
    <n v="1940"/>
    <n v="2240"/>
    <n v="2.9473684210526314"/>
    <n v="180"/>
    <n v="2.3684210526315788"/>
    <n v="80"/>
    <n v="800"/>
    <n v="1.0526315789473684"/>
    <n v="170"/>
    <n v="17"/>
    <n v="0.22368421052631579"/>
    <n v="840"/>
    <x v="285"/>
    <n v="84"/>
    <n v="1.1052631578947369"/>
    <n v="109"/>
    <n v="1.4342105263157894"/>
    <n v="913"/>
    <n v="12.013157894736842"/>
  </r>
  <r>
    <s v="Jarrett Jack"/>
    <s v="2017-18"/>
    <x v="309"/>
    <n v="34"/>
    <n v="340"/>
    <n v="62"/>
    <n v="15480"/>
    <n v="565"/>
    <n v="9.112903225806452"/>
    <n v="189"/>
    <n v="443"/>
    <n v="427"/>
    <n v="250"/>
    <n v="860"/>
    <n v="0.29069767441860467"/>
    <n v="63"/>
    <n v="75"/>
    <n v="0.84"/>
    <n v="22"/>
    <n v="169"/>
    <n v="191"/>
    <n v="220"/>
    <n v="1690"/>
    <n v="1910"/>
    <n v="3.0806451612903225"/>
    <n v="348"/>
    <n v="5.612903225806452"/>
    <n v="35"/>
    <n v="350"/>
    <n v="0.56451612903225812"/>
    <n v="40"/>
    <n v="4"/>
    <n v="6.4516129032258063E-2"/>
    <n v="1150"/>
    <x v="286"/>
    <n v="115"/>
    <n v="1.8548387096774193"/>
    <n v="98"/>
    <n v="1.5806451612903225"/>
    <n v="466"/>
    <n v="7.5161290322580649"/>
  </r>
  <r>
    <s v="Troy Williams"/>
    <s v="2017-18"/>
    <x v="310"/>
    <n v="23"/>
    <n v="230"/>
    <n v="17"/>
    <n v="2900"/>
    <n v="116"/>
    <n v="6.8235294117647056"/>
    <n v="49"/>
    <n v="100"/>
    <n v="49"/>
    <n v="110"/>
    <n v="330"/>
    <n v="0.33333333333333331"/>
    <n v="19"/>
    <n v="27"/>
    <n v="0.70370370370370372"/>
    <n v="21"/>
    <n v="38"/>
    <n v="59"/>
    <n v="210"/>
    <n v="380"/>
    <n v="590"/>
    <n v="3.4705882352941178"/>
    <n v="15"/>
    <n v="0.88235294117647056"/>
    <n v="19"/>
    <n v="190"/>
    <n v="1.1176470588235294"/>
    <n v="40"/>
    <n v="4"/>
    <n v="0.23529411764705882"/>
    <n v="180"/>
    <x v="287"/>
    <n v="18"/>
    <n v="1.0588235294117647"/>
    <n v="32"/>
    <n v="1.8823529411764706"/>
    <n v="128"/>
    <n v="7.5294117647058822"/>
  </r>
  <r>
    <s v="Emmanuel Mudiay"/>
    <s v="2017-18"/>
    <x v="311"/>
    <n v="22"/>
    <n v="220"/>
    <n v="22"/>
    <n v="4930"/>
    <n v="145"/>
    <n v="6.5909090909090908"/>
    <n v="75"/>
    <n v="204"/>
    <n v="0.36764705882352944"/>
    <n v="90"/>
    <n v="460"/>
    <n v="0.19565217391304349"/>
    <n v="35"/>
    <n v="51"/>
    <n v="0.68627450980392157"/>
    <n v="10"/>
    <n v="48"/>
    <n v="58"/>
    <n v="100"/>
    <n v="480"/>
    <n v="580"/>
    <n v="2.6363636363636362"/>
    <n v="85"/>
    <n v="3.8636363636363638"/>
    <n v="20"/>
    <n v="200"/>
    <n v="0.90909090909090906"/>
    <n v="70"/>
    <n v="7"/>
    <n v="0.31818181818181818"/>
    <n v="410"/>
    <x v="288"/>
    <n v="41"/>
    <n v="1.8636363636363635"/>
    <n v="33"/>
    <n v="1.5"/>
    <n v="194"/>
    <n v="8.8181818181818183"/>
  </r>
  <r>
    <s v="Luke Kornet"/>
    <s v="2017-18"/>
    <x v="312"/>
    <n v="22"/>
    <n v="220"/>
    <n v="20"/>
    <n v="3260"/>
    <n v="127"/>
    <n v="6.35"/>
    <n v="49"/>
    <n v="125"/>
    <n v="0.39200000000000002"/>
    <n v="280"/>
    <n v="790"/>
    <n v="0.35443037974683544"/>
    <n v="8"/>
    <n v="11"/>
    <n v="0.72727272727272729"/>
    <n v="11"/>
    <n v="53"/>
    <n v="64"/>
    <n v="110"/>
    <n v="530"/>
    <n v="640"/>
    <n v="3.2"/>
    <n v="26"/>
    <n v="1.3"/>
    <n v="6"/>
    <n v="60"/>
    <n v="0.3"/>
    <n v="160"/>
    <n v="16"/>
    <n v="0.8"/>
    <n v="120"/>
    <x v="289"/>
    <n v="12"/>
    <n v="0.6"/>
    <n v="28"/>
    <n v="1.4"/>
    <n v="134"/>
    <n v="6.7"/>
  </r>
  <r>
    <s v="Doug McDermott"/>
    <s v="2017-18"/>
    <x v="313"/>
    <n v="26"/>
    <n v="260"/>
    <n v="55"/>
    <n v="11720"/>
    <n v="304"/>
    <n v="5.5272727272727273"/>
    <n v="151"/>
    <n v="328"/>
    <n v="0.46036585365853661"/>
    <n v="530"/>
    <n v="1370"/>
    <n v="0.38686131386861317"/>
    <n v="40"/>
    <n v="53"/>
    <n v="0.75471698113207553"/>
    <n v="33"/>
    <n v="101"/>
    <n v="134"/>
    <n v="330"/>
    <n v="1010"/>
    <n v="1340"/>
    <n v="2.4363636363636365"/>
    <n v="50"/>
    <n v="0.90909090909090906"/>
    <n v="10"/>
    <n v="100"/>
    <n v="0.18181818181818182"/>
    <n v="120"/>
    <n v="12"/>
    <n v="0.21818181818181817"/>
    <n v="340"/>
    <x v="290"/>
    <n v="34"/>
    <n v="0.61818181818181817"/>
    <n v="73"/>
    <n v="1.3272727272727274"/>
    <n v="395"/>
    <n v="7.1818181818181817"/>
  </r>
  <r>
    <s v="Frank Ntilikina"/>
    <s v="2017-18"/>
    <x v="314"/>
    <n v="19"/>
    <n v="190"/>
    <n v="78"/>
    <n v="17060"/>
    <n v="324"/>
    <n v="4.1538461538461542"/>
    <n v="182"/>
    <n v="500"/>
    <n v="0.36399999999999999"/>
    <n v="500"/>
    <n v="1570"/>
    <n v="0.31847133757961782"/>
    <n v="49"/>
    <n v="68"/>
    <n v="0.72058823529411764"/>
    <n v="37"/>
    <n v="140"/>
    <n v="177"/>
    <n v="370"/>
    <n v="1400"/>
    <n v="1770"/>
    <n v="2.2692307692307692"/>
    <n v="250"/>
    <n v="3.2051282051282053"/>
    <n v="65"/>
    <n v="650"/>
    <n v="0.83333333333333337"/>
    <n v="180"/>
    <n v="18"/>
    <n v="0.23076923076923078"/>
    <n v="1310"/>
    <x v="161"/>
    <n v="131"/>
    <n v="1.6794871794871795"/>
    <n v="181"/>
    <n v="2.3205128205128207"/>
    <n v="463"/>
    <n v="5.9358974358974361"/>
  </r>
  <r>
    <s v="Willy Hernangomez"/>
    <s v="2017-18"/>
    <x v="315"/>
    <n v="24"/>
    <n v="240"/>
    <n v="26"/>
    <n v="2330"/>
    <n v="108"/>
    <n v="4.1538461538461542"/>
    <n v="49"/>
    <n v="81"/>
    <n v="0.60493827160493829"/>
    <n v="10"/>
    <n v="50"/>
    <n v="0.2"/>
    <n v="12"/>
    <n v="28"/>
    <n v="0.42857142857142855"/>
    <n v="22"/>
    <n v="45"/>
    <n v="67"/>
    <n v="220"/>
    <n v="450"/>
    <n v="670"/>
    <n v="2.5769230769230771"/>
    <n v="21"/>
    <n v="0.80769230769230771"/>
    <n v="8"/>
    <n v="80"/>
    <n v="0.30769230769230771"/>
    <n v="70"/>
    <n v="7"/>
    <n v="0.26923076923076922"/>
    <n v="260"/>
    <x v="291"/>
    <n v="26"/>
    <n v="1"/>
    <n v="32"/>
    <n v="1.2307692307692308"/>
    <n v="111"/>
    <n v="4.2692307692307692"/>
  </r>
  <r>
    <s v="Damyean Dotson"/>
    <s v="2017-18"/>
    <x v="316"/>
    <n v="24"/>
    <n v="240"/>
    <n v="44"/>
    <n v="4740"/>
    <n v="164"/>
    <n v="3.7272727272727271"/>
    <n v="72"/>
    <n v="161"/>
    <n v="0.44720496894409939"/>
    <n v="220"/>
    <n v="680"/>
    <n v="0.3235294117647059"/>
    <n v="16"/>
    <n v="23"/>
    <n v="0.69565217391304346"/>
    <n v="9"/>
    <n v="75"/>
    <n v="84"/>
    <n v="90"/>
    <n v="750"/>
    <n v="840"/>
    <n v="1.9090909090909092"/>
    <n v="31"/>
    <n v="0.70454545454545459"/>
    <n v="12"/>
    <n v="120"/>
    <n v="0.27272727272727271"/>
    <n v="20"/>
    <n v="2"/>
    <n v="4.5454545454545456E-2"/>
    <n v="170"/>
    <x v="292"/>
    <n v="17"/>
    <n v="0.38636363636363635"/>
    <n v="34"/>
    <n v="0.77272727272727271"/>
    <n v="182"/>
    <n v="4.1363636363636367"/>
  </r>
  <r>
    <s v="Lance Thomas"/>
    <s v="2017-18"/>
    <x v="317"/>
    <n v="30"/>
    <n v="300"/>
    <n v="73"/>
    <n v="13530"/>
    <n v="212"/>
    <n v="2.904109589041096"/>
    <n v="102"/>
    <n v="267"/>
    <n v="382"/>
    <n v="500"/>
    <n v="1240"/>
    <n v="0.40322580645161288"/>
    <n v="44"/>
    <n v="53"/>
    <n v="0.83018867924528306"/>
    <n v="44"/>
    <n v="131"/>
    <n v="175"/>
    <n v="440"/>
    <n v="1310"/>
    <n v="1750"/>
    <n v="2.3972602739726026"/>
    <n v="44"/>
    <n v="0.60273972602739723"/>
    <n v="30"/>
    <n v="300"/>
    <n v="0.41095890410958902"/>
    <n v="140"/>
    <n v="14"/>
    <n v="0.19178082191780821"/>
    <n v="410"/>
    <x v="53"/>
    <n v="41"/>
    <n v="0.56164383561643838"/>
    <n v="134"/>
    <n v="1.8356164383561644"/>
    <n v="298"/>
    <n v="4.0821917808219181"/>
  </r>
  <r>
    <s v="Ron Baker"/>
    <s v="2017-18"/>
    <x v="318"/>
    <n v="25"/>
    <n v="250"/>
    <n v="29"/>
    <n v="3850"/>
    <n v="84"/>
    <n v="2.896551724137931"/>
    <n v="20"/>
    <n v="59"/>
    <n v="0.33898305084745761"/>
    <n v="110"/>
    <n v="330"/>
    <n v="0.33333333333333331"/>
    <n v="20"/>
    <n v="26"/>
    <n v="0.76923076923076927"/>
    <n v="5"/>
    <n v="25"/>
    <n v="30"/>
    <n v="50"/>
    <n v="250"/>
    <n v="300"/>
    <n v="1.0344827586206897"/>
    <n v="47"/>
    <n v="1.6206896551724137"/>
    <n v="26"/>
    <n v="260"/>
    <n v="0.89655172413793105"/>
    <n v="60"/>
    <n v="6"/>
    <n v="0.20689655172413793"/>
    <n v="180"/>
    <x v="262"/>
    <n v="18"/>
    <n v="0.62068965517241381"/>
    <n v="33"/>
    <n v="1.1379310344827587"/>
    <n v="71"/>
    <n v="2.4482758620689653"/>
  </r>
  <r>
    <s v="Joakim Noah"/>
    <s v="2017-18"/>
    <x v="319"/>
    <n v="33"/>
    <n v="330"/>
    <n v="7"/>
    <n v="400"/>
    <n v="18"/>
    <n v="2.5714285714285716"/>
    <n v="5"/>
    <n v="10"/>
    <n v="0.5"/>
    <n v="0"/>
    <n v="0"/>
    <e v="#DIV/0!"/>
    <n v="2"/>
    <n v="4"/>
    <n v="0.5"/>
    <n v="6"/>
    <n v="8"/>
    <n v="14"/>
    <n v="60"/>
    <n v="80"/>
    <n v="140"/>
    <n v="2"/>
    <n v="4"/>
    <n v="0.5714285714285714"/>
    <n v="2"/>
    <n v="20"/>
    <n v="0.2857142857142857"/>
    <n v="20"/>
    <n v="2"/>
    <n v="0.2857142857142857"/>
    <n v="40"/>
    <x v="59"/>
    <n v="4"/>
    <n v="0.5714285714285714"/>
    <n v="5"/>
    <n v="0.7142857142857143"/>
    <n v="12"/>
    <n v="1.7142857142857142"/>
  </r>
  <r>
    <s v="Ramon Sessions"/>
    <s v="2017-18"/>
    <x v="320"/>
    <n v="32"/>
    <n v="320"/>
    <n v="13"/>
    <n v="1670"/>
    <n v="33"/>
    <n v="2.5384615384615383"/>
    <n v="17"/>
    <n v="53"/>
    <n v="0.32075471698113206"/>
    <n v="20"/>
    <n v="110"/>
    <n v="0.18181818181818182"/>
    <n v="12"/>
    <n v="15"/>
    <n v="0.8"/>
    <n v="1"/>
    <n v="17"/>
    <n v="18"/>
    <n v="10"/>
    <n v="170"/>
    <n v="180"/>
    <n v="1.3846153846153846"/>
    <n v="27"/>
    <n v="2.0769230769230771"/>
    <n v="7"/>
    <n v="70"/>
    <n v="0.53846153846153844"/>
    <n v="10"/>
    <n v="1"/>
    <n v="7.6923076923076927E-2"/>
    <n v="150"/>
    <x v="164"/>
    <n v="15"/>
    <n v="1.1538461538461537"/>
    <n v="14"/>
    <n v="1.0769230769230769"/>
    <n v="48"/>
    <n v="3.6923076923076925"/>
  </r>
  <r>
    <s v="Isaiah Hicks"/>
    <s v="2017-18"/>
    <x v="321"/>
    <n v="23"/>
    <n v="230"/>
    <n v="18"/>
    <n v="2390"/>
    <n v="37"/>
    <n v="2.0555555555555554"/>
    <n v="33"/>
    <n v="72"/>
    <n v="0.45833333333333331"/>
    <n v="20"/>
    <n v="90"/>
    <n v="0.22222222222222221"/>
    <n v="12"/>
    <n v="18"/>
    <n v="0.66666666666666663"/>
    <n v="10"/>
    <n v="31"/>
    <n v="41"/>
    <n v="100"/>
    <n v="310"/>
    <n v="410"/>
    <n v="2.2777777777777777"/>
    <n v="16"/>
    <n v="0.88888888888888884"/>
    <n v="2"/>
    <n v="20"/>
    <n v="0.1111111111111111"/>
    <n v="40"/>
    <n v="4"/>
    <n v="0.22222222222222221"/>
    <n v="160"/>
    <x v="293"/>
    <n v="16"/>
    <n v="0.88888888888888884"/>
    <n v="45"/>
    <n v="2.5"/>
    <n v="80"/>
    <n v="4.4444444444444446"/>
  </r>
  <r>
    <s v="Mindaugas Kuzminskas"/>
    <s v="2017-18"/>
    <x v="322"/>
    <n v="28"/>
    <n v="280"/>
    <n v="1"/>
    <n v="20"/>
    <n v="-2"/>
    <n v="-2"/>
    <n v="0"/>
    <n v="2"/>
    <n v="0"/>
    <n v="0"/>
    <n v="0"/>
    <e v="#DIV/0!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x v="63"/>
    <n v="0"/>
    <n v="0"/>
    <n v="0"/>
    <n v="0"/>
    <n v="0"/>
    <n v="0"/>
  </r>
  <r>
    <s v="Julius Randle"/>
    <s v="2020-21"/>
    <x v="323"/>
    <n v="26"/>
    <n v="260"/>
    <n v="71"/>
    <n v="26670"/>
    <n v="1679"/>
    <n v="23.64788732394366"/>
    <n v="602"/>
    <n v="1321"/>
    <n v="0.45571536714610145"/>
    <n v="1600"/>
    <n v="3890"/>
    <n v="0.41131105398457585"/>
    <n v="348"/>
    <n v="429"/>
    <n v="0.81118881118881114"/>
    <n v="84"/>
    <n v="640"/>
    <n v="724"/>
    <n v="840"/>
    <n v="6400"/>
    <n v="7240"/>
    <n v="10.19718309859155"/>
    <n v="427"/>
    <n v="6.0140845070422539"/>
    <n v="64"/>
    <n v="640"/>
    <n v="0.90140845070422537"/>
    <n v="180"/>
    <n v="18"/>
    <n v="0.25352112676056338"/>
    <n v="2410"/>
    <x v="294"/>
    <n v="241"/>
    <n v="3.3943661971830985"/>
    <n v="225"/>
    <n v="3.1690140845070425"/>
    <n v="1712"/>
    <n v="24.112676056338028"/>
  </r>
  <r>
    <s v="Derrick Rose"/>
    <s v="2020-21"/>
    <x v="324"/>
    <n v="32"/>
    <n v="320"/>
    <n v="35"/>
    <n v="9370"/>
    <n v="498"/>
    <n v="14.228571428571428"/>
    <n v="208"/>
    <n v="427"/>
    <n v="0.48711943793911006"/>
    <n v="370"/>
    <n v="900"/>
    <n v="0.41111111111111109"/>
    <n v="68"/>
    <n v="77"/>
    <n v="0.88311688311688308"/>
    <n v="14"/>
    <n v="87"/>
    <n v="101"/>
    <n v="140"/>
    <n v="870"/>
    <n v="1010"/>
    <n v="2.8857142857142857"/>
    <n v="146"/>
    <n v="4.1714285714285717"/>
    <n v="31"/>
    <n v="310"/>
    <n v="0.88571428571428568"/>
    <n v="150"/>
    <n v="15"/>
    <n v="0.42857142857142855"/>
    <n v="490"/>
    <x v="92"/>
    <n v="49"/>
    <n v="1.4"/>
    <n v="39"/>
    <n v="1.1142857142857143"/>
    <n v="521"/>
    <n v="14.885714285714286"/>
  </r>
  <r>
    <s v="RJ Barrett"/>
    <s v="2020-21"/>
    <x v="325"/>
    <n v="21"/>
    <n v="210"/>
    <n v="72"/>
    <n v="25110"/>
    <n v="978"/>
    <n v="13.583333333333334"/>
    <n v="467"/>
    <n v="1060"/>
    <n v="0.44056603773584907"/>
    <n v="1240"/>
    <n v="3090"/>
    <n v="0.40129449838187703"/>
    <n v="206"/>
    <n v="276"/>
    <n v="0.74637681159420288"/>
    <n v="68"/>
    <n v="346"/>
    <n v="414"/>
    <n v="680"/>
    <n v="3460"/>
    <n v="4140"/>
    <n v="5.75"/>
    <n v="217"/>
    <n v="3.0138888888888888"/>
    <n v="53"/>
    <n v="530"/>
    <n v="0.73611111111111116"/>
    <n v="200"/>
    <n v="20"/>
    <n v="0.27777777777777779"/>
    <n v="1390"/>
    <x v="295"/>
    <n v="139"/>
    <n v="1.9305555555555556"/>
    <n v="188"/>
    <n v="2.6111111111111112"/>
    <n v="1264"/>
    <n v="17.555555555555557"/>
  </r>
  <r>
    <s v="Mitchell Robinson"/>
    <s v="2020-21"/>
    <x v="326"/>
    <n v="23"/>
    <n v="230"/>
    <n v="31"/>
    <n v="8530"/>
    <n v="405"/>
    <n v="13.064516129032258"/>
    <n v="115"/>
    <n v="176"/>
    <n v="0.65340909090909094"/>
    <n v="0"/>
    <n v="0"/>
    <e v="#DIV/0!"/>
    <n v="26"/>
    <n v="53"/>
    <n v="0.49056603773584906"/>
    <n v="113"/>
    <n v="139"/>
    <n v="252"/>
    <n v="1130"/>
    <n v="1390"/>
    <n v="2520"/>
    <n v="8.129032258064516"/>
    <n v="17"/>
    <n v="0.54838709677419351"/>
    <n v="35"/>
    <n v="350"/>
    <n v="1.1290322580645162"/>
    <n v="450"/>
    <n v="45"/>
    <n v="1.4516129032258065"/>
    <n v="260"/>
    <x v="296"/>
    <n v="26"/>
    <n v="0.83870967741935487"/>
    <n v="86"/>
    <n v="2.774193548387097"/>
    <n v="256"/>
    <n v="8.258064516129032"/>
  </r>
  <r>
    <s v="Alec Burks"/>
    <s v="2020-21"/>
    <x v="327"/>
    <n v="29"/>
    <n v="290"/>
    <n v="49"/>
    <n v="12550"/>
    <n v="544"/>
    <n v="11.102040816326531"/>
    <n v="210"/>
    <n v="500"/>
    <n v="0.42"/>
    <n v="1020"/>
    <n v="2460"/>
    <n v="0.41463414634146339"/>
    <n v="101"/>
    <n v="118"/>
    <n v="0.85593220338983056"/>
    <n v="21"/>
    <n v="206"/>
    <n v="227"/>
    <n v="210"/>
    <n v="2060"/>
    <n v="2270"/>
    <n v="4.6326530612244898"/>
    <n v="107"/>
    <n v="2.1836734693877551"/>
    <n v="31"/>
    <n v="310"/>
    <n v="0.63265306122448983"/>
    <n v="140"/>
    <n v="14"/>
    <n v="0.2857142857142857"/>
    <n v="490"/>
    <x v="297"/>
    <n v="49"/>
    <n v="1"/>
    <n v="102"/>
    <n v="2.0816326530612246"/>
    <n v="623"/>
    <n v="12.714285714285714"/>
  </r>
  <r>
    <s v="Nerlens Noel"/>
    <s v="2020-21"/>
    <x v="328"/>
    <n v="27"/>
    <n v="270"/>
    <n v="64"/>
    <n v="15470"/>
    <n v="641"/>
    <n v="10.015625"/>
    <n v="137"/>
    <n v="223"/>
    <n v="0.61434977578475336"/>
    <n v="0"/>
    <n v="30"/>
    <n v="0"/>
    <n v="50"/>
    <n v="70"/>
    <n v="0.7142857142857143"/>
    <n v="142"/>
    <n v="265"/>
    <n v="407"/>
    <n v="1420"/>
    <n v="2650"/>
    <n v="4070"/>
    <n v="6.359375"/>
    <n v="46"/>
    <n v="0.71875"/>
    <n v="70"/>
    <n v="700"/>
    <n v="1.09375"/>
    <n v="1410"/>
    <n v="141"/>
    <n v="2.203125"/>
    <n v="650"/>
    <x v="298"/>
    <n v="65"/>
    <n v="1.015625"/>
    <n v="176"/>
    <n v="2.75"/>
    <n v="324"/>
    <n v="5.0625"/>
  </r>
  <r>
    <s v="Taj Gibson"/>
    <s v="2020-21"/>
    <x v="329"/>
    <n v="36"/>
    <n v="360"/>
    <n v="45"/>
    <n v="9360"/>
    <n v="412"/>
    <n v="9.155555555555555"/>
    <n v="99"/>
    <n v="158"/>
    <n v="627"/>
    <n v="30"/>
    <n v="150"/>
    <n v="0.2"/>
    <n v="40"/>
    <n v="55"/>
    <n v="0.72727272727272729"/>
    <n v="99"/>
    <n v="151"/>
    <n v="250"/>
    <n v="990"/>
    <n v="1510"/>
    <n v="2500"/>
    <n v="5.5555555555555554"/>
    <n v="36"/>
    <n v="0.8"/>
    <n v="31"/>
    <n v="310"/>
    <n v="0.68888888888888888"/>
    <n v="490"/>
    <n v="49"/>
    <n v="1.0888888888888888"/>
    <n v="220"/>
    <x v="299"/>
    <n v="22"/>
    <n v="0.48888888888888887"/>
    <n v="99"/>
    <n v="2.2000000000000002"/>
    <n v="241"/>
    <n v="5.3555555555555552"/>
  </r>
  <r>
    <s v="Reggie Bullock Jr."/>
    <s v="2020-21"/>
    <x v="330"/>
    <n v="30"/>
    <n v="300"/>
    <n v="65"/>
    <n v="19490"/>
    <n v="585"/>
    <n v="9"/>
    <n v="248"/>
    <n v="561"/>
    <n v="0.44206773618538325"/>
    <n v="1630"/>
    <n v="3980"/>
    <n v="0.40954773869346733"/>
    <n v="50"/>
    <n v="55"/>
    <n v="0.90909090909090906"/>
    <n v="16"/>
    <n v="207"/>
    <n v="223"/>
    <n v="160"/>
    <n v="2070"/>
    <n v="2230"/>
    <n v="3.4307692307692306"/>
    <n v="99"/>
    <n v="1.523076923076923"/>
    <n v="52"/>
    <n v="520"/>
    <n v="0.8"/>
    <n v="110"/>
    <n v="11"/>
    <n v="0.16923076923076924"/>
    <n v="450"/>
    <x v="300"/>
    <n v="45"/>
    <n v="0.69230769230769229"/>
    <n v="146"/>
    <n v="2.2461538461538462"/>
    <n v="709"/>
    <n v="10.907692307692308"/>
  </r>
  <r>
    <s v="Elfrid Payton"/>
    <s v="2020-21"/>
    <x v="331"/>
    <n v="27"/>
    <n v="270"/>
    <n v="63"/>
    <n v="14840"/>
    <n v="508"/>
    <n v="8.0634920634920633"/>
    <n v="269"/>
    <n v="622"/>
    <n v="0.432475884244373"/>
    <n v="280"/>
    <n v="980"/>
    <n v="0.2857142857142857"/>
    <n v="73"/>
    <n v="107"/>
    <n v="0.68224299065420557"/>
    <n v="64"/>
    <n v="152"/>
    <n v="216"/>
    <n v="640"/>
    <n v="1520"/>
    <n v="2160"/>
    <n v="3.4285714285714284"/>
    <n v="203"/>
    <n v="3.2222222222222223"/>
    <n v="47"/>
    <n v="470"/>
    <n v="0.74603174603174605"/>
    <n v="90"/>
    <n v="9"/>
    <n v="0.14285714285714285"/>
    <n v="1030"/>
    <x v="301"/>
    <n v="103"/>
    <n v="1.6349206349206349"/>
    <n v="116"/>
    <n v="1.8412698412698412"/>
    <n v="639"/>
    <n v="10.142857142857142"/>
  </r>
  <r>
    <s v="Immanuel Quickley"/>
    <s v="2020-21"/>
    <x v="332"/>
    <n v="22"/>
    <n v="220"/>
    <n v="64"/>
    <n v="12440"/>
    <n v="495"/>
    <n v="7.734375"/>
    <n v="229"/>
    <n v="580"/>
    <n v="0.39482758620689656"/>
    <n v="1180"/>
    <n v="3030"/>
    <n v="0.38943894389438943"/>
    <n v="155"/>
    <n v="174"/>
    <n v="0.89080459770114939"/>
    <n v="25"/>
    <n v="112"/>
    <n v="137"/>
    <n v="250"/>
    <n v="1120"/>
    <n v="1370"/>
    <n v="2.140625"/>
    <n v="127"/>
    <n v="1.984375"/>
    <n v="30"/>
    <n v="300"/>
    <n v="0.46875"/>
    <n v="120"/>
    <n v="12"/>
    <n v="0.1875"/>
    <n v="580"/>
    <x v="302"/>
    <n v="58"/>
    <n v="0.90625"/>
    <n v="114"/>
    <n v="1.78125"/>
    <n v="731"/>
    <n v="11.421875"/>
  </r>
  <r>
    <s v="Austin Rivers"/>
    <s v="2020-21"/>
    <x v="333"/>
    <n v="28"/>
    <n v="280"/>
    <n v="21"/>
    <n v="4420"/>
    <n v="120"/>
    <n v="5.7142857142857144"/>
    <n v="58"/>
    <n v="135"/>
    <n v="0.42962962962962964"/>
    <n v="280"/>
    <n v="770"/>
    <n v="0.36363636363636365"/>
    <n v="10"/>
    <n v="14"/>
    <n v="0.7142857142857143"/>
    <n v="5"/>
    <n v="42"/>
    <n v="47"/>
    <n v="50"/>
    <n v="420"/>
    <n v="470"/>
    <n v="2.2380952380952381"/>
    <n v="42"/>
    <n v="2"/>
    <n v="12"/>
    <n v="120"/>
    <n v="0.5714285714285714"/>
    <n v="0"/>
    <n v="0"/>
    <n v="0"/>
    <n v="220"/>
    <x v="277"/>
    <n v="22"/>
    <n v="1.0476190476190477"/>
    <n v="32"/>
    <n v="1.5238095238095237"/>
    <n v="154"/>
    <n v="7.333333333333333"/>
  </r>
  <r>
    <s v="Obi Toppin"/>
    <s v="2020-21"/>
    <x v="334"/>
    <n v="23"/>
    <n v="230"/>
    <n v="62"/>
    <n v="6830"/>
    <n v="262"/>
    <n v="4.225806451612903"/>
    <n v="104"/>
    <n v="209"/>
    <n v="498"/>
    <n v="260"/>
    <n v="850"/>
    <n v="0.30588235294117649"/>
    <n v="19"/>
    <n v="26"/>
    <n v="0.73076923076923073"/>
    <n v="26"/>
    <n v="112"/>
    <n v="138"/>
    <n v="260"/>
    <n v="1120"/>
    <n v="1380"/>
    <n v="2.225806451612903"/>
    <n v="29"/>
    <n v="0.46774193548387094"/>
    <n v="17"/>
    <n v="170"/>
    <n v="0.27419354838709675"/>
    <n v="150"/>
    <n v="15"/>
    <n v="0.24193548387096775"/>
    <n v="230"/>
    <x v="303"/>
    <n v="23"/>
    <n v="0.37096774193548387"/>
    <n v="55"/>
    <n v="0.88709677419354838"/>
    <n v="253"/>
    <n v="4.080645161290323"/>
  </r>
  <r>
    <s v="Kevin Knox II"/>
    <s v="2020-21"/>
    <x v="335"/>
    <n v="21"/>
    <n v="210"/>
    <n v="42"/>
    <n v="4640"/>
    <n v="116"/>
    <n v="2.7619047619047619"/>
    <n v="56"/>
    <n v="143"/>
    <n v="0.39160839160839161"/>
    <n v="350"/>
    <n v="890"/>
    <n v="0.39325842696629215"/>
    <n v="16"/>
    <n v="20"/>
    <n v="0.8"/>
    <n v="10"/>
    <n v="51"/>
    <n v="61"/>
    <n v="100"/>
    <n v="510"/>
    <n v="610"/>
    <n v="1.4523809523809523"/>
    <n v="19"/>
    <n v="0.45238095238095238"/>
    <n v="12"/>
    <n v="120"/>
    <n v="0.2857142857142857"/>
    <n v="60"/>
    <n v="6"/>
    <n v="0.14285714285714285"/>
    <n v="170"/>
    <x v="304"/>
    <n v="17"/>
    <n v="0.40476190476190477"/>
    <n v="37"/>
    <n v="0.88095238095238093"/>
    <n v="163"/>
    <n v="3.8809523809523809"/>
  </r>
  <r>
    <s v="Norvel Pelle"/>
    <s v="2020-21"/>
    <x v="336"/>
    <n v="28"/>
    <n v="280"/>
    <n v="9"/>
    <n v="520"/>
    <n v="23"/>
    <n v="2.5555555555555554"/>
    <n v="5"/>
    <n v="7"/>
    <n v="714"/>
    <n v="0"/>
    <n v="0"/>
    <e v="#DIV/0!"/>
    <n v="1"/>
    <n v="2"/>
    <n v="0.5"/>
    <n v="2"/>
    <n v="9"/>
    <n v="11"/>
    <n v="20"/>
    <n v="90"/>
    <n v="110"/>
    <n v="1.2222222222222223"/>
    <n v="1"/>
    <n v="0.1111111111111111"/>
    <n v="1"/>
    <n v="10"/>
    <n v="0.1111111111111111"/>
    <n v="60"/>
    <n v="6"/>
    <n v="0.66666666666666663"/>
    <n v="0"/>
    <x v="164"/>
    <n v="0"/>
    <n v="0"/>
    <n v="4"/>
    <n v="0.44444444444444442"/>
    <n v="11"/>
    <n v="1.2222222222222223"/>
  </r>
  <r>
    <s v="Frank Ntilikina"/>
    <s v="2020-21"/>
    <x v="337"/>
    <n v="22"/>
    <n v="220"/>
    <n v="33"/>
    <n v="3220"/>
    <n v="45"/>
    <n v="1.3636363636363635"/>
    <n v="29"/>
    <n v="79"/>
    <n v="0.36708860759493672"/>
    <n v="230"/>
    <n v="480"/>
    <n v="0.47916666666666669"/>
    <n v="8"/>
    <n v="18"/>
    <n v="0.44444444444444442"/>
    <n v="6"/>
    <n v="25"/>
    <n v="31"/>
    <n v="60"/>
    <n v="250"/>
    <n v="310"/>
    <n v="0.93939393939393945"/>
    <n v="19"/>
    <n v="0.5757575757575758"/>
    <n v="18"/>
    <n v="180"/>
    <n v="0.54545454545454541"/>
    <n v="40"/>
    <n v="4"/>
    <n v="0.12121212121212122"/>
    <n v="110"/>
    <x v="305"/>
    <n v="11"/>
    <n v="0.33333333333333331"/>
    <n v="45"/>
    <n v="1.3636363636363635"/>
    <n v="89"/>
    <n v="2.6969696969696968"/>
  </r>
  <r>
    <s v="Dennis Smith Jr."/>
    <s v="2020-21"/>
    <x v="338"/>
    <n v="23"/>
    <n v="230"/>
    <n v="3"/>
    <n v="280"/>
    <n v="3"/>
    <n v="1"/>
    <n v="2"/>
    <n v="10"/>
    <n v="0.2"/>
    <n v="0"/>
    <n v="40"/>
    <n v="0"/>
    <n v="5"/>
    <n v="6"/>
    <n v="0.83333333333333337"/>
    <n v="0"/>
    <n v="2"/>
    <n v="2"/>
    <n v="0"/>
    <n v="20"/>
    <n v="20"/>
    <n v="0.66666666666666663"/>
    <n v="3"/>
    <n v="1"/>
    <n v="3"/>
    <n v="30"/>
    <n v="1"/>
    <n v="0"/>
    <n v="0"/>
    <n v="0"/>
    <n v="10"/>
    <x v="306"/>
    <n v="1"/>
    <n v="0.33333333333333331"/>
    <n v="4"/>
    <n v="1.3333333333333333"/>
    <n v="9"/>
    <n v="3"/>
  </r>
  <r>
    <s v="Ignas Brazdeikis"/>
    <s v="2020-21"/>
    <x v="339"/>
    <n v="22"/>
    <n v="220"/>
    <n v="4"/>
    <n v="70"/>
    <n v="3"/>
    <n v="0.75"/>
    <n v="0"/>
    <n v="1"/>
    <n v="0"/>
    <n v="0"/>
    <n v="0"/>
    <e v="#DIV/0!"/>
    <n v="2"/>
    <n v="2"/>
    <n v="1"/>
    <n v="1"/>
    <n v="1"/>
    <n v="2"/>
    <n v="10"/>
    <n v="10"/>
    <n v="20"/>
    <n v="0.5"/>
    <n v="1"/>
    <n v="0.25"/>
    <n v="0"/>
    <n v="0"/>
    <n v="0"/>
    <n v="0"/>
    <n v="0"/>
    <n v="0"/>
    <n v="10"/>
    <x v="42"/>
    <n v="1"/>
    <n v="0.25"/>
    <n v="0"/>
    <n v="0"/>
    <n v="2"/>
    <n v="0.5"/>
  </r>
  <r>
    <s v="Theo Pinson"/>
    <s v="2020-21"/>
    <x v="340"/>
    <n v="25"/>
    <n v="250"/>
    <n v="17"/>
    <n v="340"/>
    <n v="-5"/>
    <n v="-0.29411764705882354"/>
    <n v="1"/>
    <n v="9"/>
    <n v="0.1111111111111111"/>
    <n v="0"/>
    <n v="80"/>
    <n v="0"/>
    <n v="0"/>
    <n v="0"/>
    <e v="#DIV/0!"/>
    <n v="0"/>
    <n v="5"/>
    <n v="5"/>
    <n v="0"/>
    <n v="50"/>
    <n v="50"/>
    <n v="0.29411764705882354"/>
    <n v="1"/>
    <n v="5.8823529411764705E-2"/>
    <n v="0"/>
    <n v="0"/>
    <n v="0"/>
    <n v="0"/>
    <n v="0"/>
    <n v="0"/>
    <n v="10"/>
    <x v="307"/>
    <n v="1"/>
    <n v="5.8823529411764705E-2"/>
    <n v="4"/>
    <n v="0.23529411764705882"/>
    <n v="2"/>
    <n v="0.11764705882352941"/>
  </r>
  <r>
    <s v="Jared Harper"/>
    <s v="2020-21"/>
    <x v="341"/>
    <n v="23"/>
    <n v="230"/>
    <n v="8"/>
    <n v="160"/>
    <n v="-3"/>
    <n v="-0.375"/>
    <n v="0"/>
    <n v="4"/>
    <n v="0"/>
    <n v="0"/>
    <n v="10"/>
    <n v="0"/>
    <n v="3"/>
    <n v="4"/>
    <n v="0.75"/>
    <n v="0"/>
    <n v="2"/>
    <n v="2"/>
    <n v="0"/>
    <n v="20"/>
    <n v="20"/>
    <n v="0.25"/>
    <n v="1"/>
    <n v="0.125"/>
    <n v="0"/>
    <n v="0"/>
    <n v="0"/>
    <n v="0"/>
    <n v="0"/>
    <n v="0"/>
    <n v="30"/>
    <x v="308"/>
    <n v="3"/>
    <n v="0.375"/>
    <n v="1"/>
    <n v="0.125"/>
    <n v="3"/>
    <n v="0.375"/>
  </r>
  <r>
    <s v="Julius Randle"/>
    <s v="2021-22"/>
    <x v="342"/>
    <n v="27"/>
    <n v="270"/>
    <n v="72"/>
    <n v="25440"/>
    <n v="1343"/>
    <n v="18.652777777777779"/>
    <n v="512"/>
    <n v="1246"/>
    <n v="0.41091492776886035"/>
    <n v="1200"/>
    <n v="3900"/>
    <n v="0.30769230769230771"/>
    <n v="303"/>
    <n v="401"/>
    <n v="0.75561097256857856"/>
    <n v="125"/>
    <n v="591"/>
    <n v="716"/>
    <n v="1250"/>
    <n v="5910"/>
    <n v="7160"/>
    <n v="9.9444444444444446"/>
    <n v="370"/>
    <n v="5.1388888888888893"/>
    <n v="53"/>
    <n v="530"/>
    <n v="0.73611111111111116"/>
    <n v="390"/>
    <n v="39"/>
    <n v="0.54166666666666663"/>
    <n v="2450"/>
    <x v="309"/>
    <n v="245"/>
    <n v="3.4027777777777777"/>
    <n v="205"/>
    <n v="2.8472222222222223"/>
    <n v="1447"/>
    <n v="20.097222222222221"/>
  </r>
  <r>
    <s v="Mitchell Robinson"/>
    <s v="2021-22"/>
    <x v="343"/>
    <n v="24"/>
    <n v="240"/>
    <n v="72"/>
    <n v="18480"/>
    <n v="1026"/>
    <n v="14.25"/>
    <n v="261"/>
    <n v="343"/>
    <n v="0.76093294460641403"/>
    <n v="0"/>
    <n v="0"/>
    <e v="#DIV/0!"/>
    <n v="88"/>
    <n v="181"/>
    <n v="0.48618784530386738"/>
    <n v="295"/>
    <n v="322"/>
    <n v="617"/>
    <n v="2950"/>
    <n v="3220"/>
    <n v="6170"/>
    <n v="8.5694444444444446"/>
    <n v="38"/>
    <n v="0.52777777777777779"/>
    <n v="58"/>
    <n v="580"/>
    <n v="0.80555555555555558"/>
    <n v="1330"/>
    <n v="133"/>
    <n v="1.8472222222222223"/>
    <n v="600"/>
    <x v="309"/>
    <n v="60"/>
    <n v="0.83333333333333337"/>
    <n v="195"/>
    <n v="2.7083333333333335"/>
    <n v="610"/>
    <n v="8.4722222222222214"/>
  </r>
  <r>
    <s v="RJ Barrett"/>
    <s v="2021-22"/>
    <x v="344"/>
    <n v="22"/>
    <n v="220"/>
    <n v="70"/>
    <n v="24170"/>
    <n v="961"/>
    <n v="13.728571428571428"/>
    <n v="487"/>
    <n v="1194"/>
    <n v="0.40787269681742044"/>
    <n v="1380"/>
    <n v="4040"/>
    <n v="0.34158415841584161"/>
    <n v="290"/>
    <n v="406"/>
    <n v="0.7142857142857143"/>
    <n v="66"/>
    <n v="342"/>
    <n v="408"/>
    <n v="660"/>
    <n v="3420"/>
    <n v="4080"/>
    <n v="5.8285714285714283"/>
    <n v="208"/>
    <n v="2.9714285714285715"/>
    <n v="43"/>
    <n v="430"/>
    <n v="0.61428571428571432"/>
    <n v="160"/>
    <n v="16"/>
    <n v="0.22857142857142856"/>
    <n v="1510"/>
    <x v="310"/>
    <n v="151"/>
    <n v="2.157142857142857"/>
    <n v="142"/>
    <n v="2.0285714285714285"/>
    <n v="1402"/>
    <n v="20.028571428571428"/>
  </r>
  <r>
    <s v="Derrick Rose"/>
    <s v="2021-22"/>
    <x v="345"/>
    <n v="33"/>
    <n v="330"/>
    <n v="26"/>
    <n v="6360"/>
    <n v="319"/>
    <n v="12.26923076923077"/>
    <n v="122"/>
    <n v="274"/>
    <n v="0.44525547445255476"/>
    <n v="370"/>
    <n v="920"/>
    <n v="0.40217391304347827"/>
    <n v="30"/>
    <n v="31"/>
    <n v="0.967741935483871"/>
    <n v="21"/>
    <n v="57"/>
    <n v="78"/>
    <n v="210"/>
    <n v="570"/>
    <n v="780"/>
    <n v="3"/>
    <n v="103"/>
    <n v="3.9615384615384617"/>
    <n v="22"/>
    <n v="220"/>
    <n v="0.84615384615384615"/>
    <n v="120"/>
    <n v="12"/>
    <n v="0.46153846153846156"/>
    <n v="390"/>
    <x v="311"/>
    <n v="39"/>
    <n v="1.5"/>
    <n v="15"/>
    <n v="0.57692307692307687"/>
    <n v="311"/>
    <n v="11.961538461538462"/>
  </r>
  <r>
    <s v="Alec Burks"/>
    <s v="2021-22"/>
    <x v="346"/>
    <n v="30"/>
    <n v="300"/>
    <n v="81"/>
    <n v="23180"/>
    <n v="895"/>
    <n v="11.049382716049383"/>
    <n v="285"/>
    <n v="728"/>
    <n v="0.39148351648351648"/>
    <n v="1570"/>
    <n v="3890"/>
    <n v="0.40359897172236503"/>
    <n v="217"/>
    <n v="264"/>
    <n v="0.82196969696969702"/>
    <n v="47"/>
    <n v="350"/>
    <n v="397"/>
    <n v="470"/>
    <n v="3500"/>
    <n v="3970"/>
    <n v="4.9012345679012341"/>
    <n v="239"/>
    <n v="2.9506172839506171"/>
    <n v="85"/>
    <n v="850"/>
    <n v="1.0493827160493827"/>
    <n v="260"/>
    <n v="26"/>
    <n v="0.32098765432098764"/>
    <n v="910"/>
    <x v="312"/>
    <n v="91"/>
    <n v="1.1234567901234569"/>
    <n v="215"/>
    <n v="2.6543209876543208"/>
    <n v="944"/>
    <n v="11.654320987654321"/>
  </r>
  <r>
    <s v="Kemba Walker"/>
    <s v="2021-22"/>
    <x v="347"/>
    <n v="32"/>
    <n v="320"/>
    <n v="37"/>
    <n v="9480"/>
    <n v="389"/>
    <n v="10.513513513513514"/>
    <n v="149"/>
    <n v="370"/>
    <n v="403"/>
    <n v="730"/>
    <n v="1990"/>
    <n v="0.36683417085427134"/>
    <n v="60"/>
    <n v="71"/>
    <n v="0.84507042253521125"/>
    <n v="14"/>
    <n v="97"/>
    <n v="111"/>
    <n v="140"/>
    <n v="970"/>
    <n v="1110"/>
    <n v="3"/>
    <n v="131"/>
    <n v="3.5405405405405403"/>
    <n v="26"/>
    <n v="260"/>
    <n v="0.70270270270270274"/>
    <n v="70"/>
    <n v="7"/>
    <n v="0.1891891891891892"/>
    <n v="480"/>
    <x v="313"/>
    <n v="48"/>
    <n v="1.2972972972972974"/>
    <n v="37"/>
    <n v="1"/>
    <n v="431"/>
    <n v="11.648648648648649"/>
  </r>
  <r>
    <s v="Immanuel Quickley"/>
    <s v="2021-22"/>
    <x v="348"/>
    <n v="23"/>
    <n v="230"/>
    <n v="78"/>
    <n v="18020"/>
    <n v="731"/>
    <n v="9.3717948717948723"/>
    <n v="284"/>
    <n v="724"/>
    <n v="0.39226519337016574"/>
    <n v="1370"/>
    <n v="3960"/>
    <n v="0.34595959595959597"/>
    <n v="177"/>
    <n v="201"/>
    <n v="0.88059701492537312"/>
    <n v="31"/>
    <n v="216"/>
    <n v="247"/>
    <n v="310"/>
    <n v="2160"/>
    <n v="2470"/>
    <n v="3.1666666666666665"/>
    <n v="275"/>
    <n v="3.5256410256410255"/>
    <n v="54"/>
    <n v="540"/>
    <n v="0.69230769230769229"/>
    <n v="30"/>
    <n v="3"/>
    <n v="3.8461538461538464E-2"/>
    <n v="990"/>
    <x v="314"/>
    <n v="99"/>
    <n v="1.2692307692307692"/>
    <n v="167"/>
    <n v="2.141025641025641"/>
    <n v="882"/>
    <n v="11.307692307692308"/>
  </r>
  <r>
    <s v="Evan Fournier"/>
    <s v="2021-22"/>
    <x v="349"/>
    <n v="29"/>
    <n v="290"/>
    <n v="80"/>
    <n v="23580"/>
    <n v="724"/>
    <n v="9.0500000000000007"/>
    <n v="402"/>
    <n v="965"/>
    <n v="0.41658031088082903"/>
    <n v="2410"/>
    <n v="6190"/>
    <n v="0.38933764135702748"/>
    <n v="80"/>
    <n v="113"/>
    <n v="0.70796460176991149"/>
    <n v="34"/>
    <n v="176"/>
    <n v="210"/>
    <n v="340"/>
    <n v="1760"/>
    <n v="2100"/>
    <n v="2.625"/>
    <n v="171"/>
    <n v="2.1375000000000002"/>
    <n v="79"/>
    <n v="790"/>
    <n v="0.98750000000000004"/>
    <n v="200"/>
    <n v="20"/>
    <n v="0.25"/>
    <n v="1050"/>
    <x v="315"/>
    <n v="105"/>
    <n v="1.3125"/>
    <n v="180"/>
    <n v="2.25"/>
    <n v="1125"/>
    <n v="14.0625"/>
  </r>
  <r>
    <s v="Obi Toppin"/>
    <s v="2021-22"/>
    <x v="350"/>
    <n v="24"/>
    <n v="240"/>
    <n v="72"/>
    <n v="12300"/>
    <n v="641"/>
    <n v="8.9027777777777786"/>
    <n v="251"/>
    <n v="473"/>
    <n v="531"/>
    <n v="520"/>
    <n v="1690"/>
    <n v="0.30769230769230771"/>
    <n v="94"/>
    <n v="124"/>
    <n v="0.75806451612903225"/>
    <n v="69"/>
    <n v="199"/>
    <n v="268"/>
    <n v="690"/>
    <n v="1990"/>
    <n v="2680"/>
    <n v="3.7222222222222223"/>
    <n v="77"/>
    <n v="1.0694444444444444"/>
    <n v="25"/>
    <n v="250"/>
    <n v="0.34722222222222221"/>
    <n v="330"/>
    <n v="33"/>
    <n v="0.45833333333333331"/>
    <n v="560"/>
    <x v="316"/>
    <n v="56"/>
    <n v="0.77777777777777779"/>
    <n v="102"/>
    <n v="1.4166666666666667"/>
    <n v="648"/>
    <n v="9"/>
  </r>
  <r>
    <s v="Nerlens Noel"/>
    <s v="2021-22"/>
    <x v="351"/>
    <n v="28"/>
    <n v="280"/>
    <n v="25"/>
    <n v="5620"/>
    <n v="186"/>
    <n v="7.44"/>
    <n v="32"/>
    <n v="60"/>
    <n v="0.53333333333333333"/>
    <n v="0"/>
    <n v="30"/>
    <n v="0"/>
    <n v="21"/>
    <n v="30"/>
    <n v="0.7"/>
    <n v="48"/>
    <n v="93"/>
    <n v="141"/>
    <n v="480"/>
    <n v="930"/>
    <n v="1410"/>
    <n v="5.64"/>
    <n v="23"/>
    <n v="0.92"/>
    <n v="30"/>
    <n v="300"/>
    <n v="1.2"/>
    <n v="310"/>
    <n v="31"/>
    <n v="1.24"/>
    <n v="200"/>
    <x v="317"/>
    <n v="20"/>
    <n v="0.8"/>
    <n v="67"/>
    <n v="2.68"/>
    <n v="85"/>
    <n v="3.4"/>
  </r>
  <r>
    <s v="Taj Gibson"/>
    <s v="2021-22"/>
    <x v="352"/>
    <n v="37"/>
    <n v="370"/>
    <n v="52"/>
    <n v="9460"/>
    <n v="298"/>
    <n v="5.7307692307692308"/>
    <n v="86"/>
    <n v="166"/>
    <n v="518"/>
    <n v="150"/>
    <n v="380"/>
    <n v="0.39473684210526316"/>
    <n v="42"/>
    <n v="52"/>
    <n v="0.80769230769230771"/>
    <n v="88"/>
    <n v="141"/>
    <n v="229"/>
    <n v="880"/>
    <n v="1410"/>
    <n v="2290"/>
    <n v="4.4038461538461542"/>
    <n v="32"/>
    <n v="0.61538461538461542"/>
    <n v="22"/>
    <n v="220"/>
    <n v="0.42307692307692307"/>
    <n v="400"/>
    <n v="40"/>
    <n v="0.76923076923076927"/>
    <n v="270"/>
    <x v="318"/>
    <n v="27"/>
    <n v="0.51923076923076927"/>
    <n v="137"/>
    <n v="2.6346153846153846"/>
    <n v="229"/>
    <n v="4.4038461538461542"/>
  </r>
  <r>
    <s v="Jericho Sims"/>
    <s v="2021-22"/>
    <x v="353"/>
    <n v="23"/>
    <n v="230"/>
    <n v="41"/>
    <n v="5550"/>
    <n v="195"/>
    <n v="4.7560975609756095"/>
    <n v="39"/>
    <n v="54"/>
    <n v="0.72222222222222221"/>
    <n v="0"/>
    <n v="0"/>
    <e v="#DIV/0!"/>
    <n v="12"/>
    <n v="29"/>
    <n v="0.41379310344827586"/>
    <n v="61"/>
    <n v="108"/>
    <n v="169"/>
    <n v="610"/>
    <n v="1080"/>
    <n v="1690"/>
    <n v="4.1219512195121952"/>
    <n v="21"/>
    <n v="0.51219512195121952"/>
    <n v="11"/>
    <n v="110"/>
    <n v="0.26829268292682928"/>
    <n v="220"/>
    <n v="22"/>
    <n v="0.53658536585365857"/>
    <n v="200"/>
    <x v="319"/>
    <n v="20"/>
    <n v="0.48780487804878048"/>
    <n v="66"/>
    <n v="1.6097560975609757"/>
    <n v="90"/>
    <n v="2.1951219512195124"/>
  </r>
  <r>
    <s v="Cam Reddish"/>
    <s v="2021-22"/>
    <x v="354"/>
    <n v="22"/>
    <n v="220"/>
    <n v="15"/>
    <n v="2160"/>
    <n v="69"/>
    <n v="4.5999999999999996"/>
    <n v="27"/>
    <n v="65"/>
    <n v="415"/>
    <n v="80"/>
    <n v="310"/>
    <n v="0.25806451612903225"/>
    <n v="29"/>
    <n v="32"/>
    <n v="0.90625"/>
    <n v="5"/>
    <n v="16"/>
    <n v="21"/>
    <n v="50"/>
    <n v="160"/>
    <n v="210"/>
    <n v="1.4"/>
    <n v="10"/>
    <n v="0.66666666666666663"/>
    <n v="12"/>
    <n v="120"/>
    <n v="0.8"/>
    <n v="40"/>
    <n v="4"/>
    <n v="0.26666666666666666"/>
    <n v="130"/>
    <x v="320"/>
    <n v="13"/>
    <n v="0.8666666666666667"/>
    <n v="15"/>
    <n v="1"/>
    <n v="91"/>
    <n v="6.0666666666666664"/>
  </r>
  <r>
    <s v="Quentin Grimes"/>
    <s v="2021-22"/>
    <x v="355"/>
    <n v="22"/>
    <n v="220"/>
    <n v="46"/>
    <n v="7860"/>
    <n v="209"/>
    <n v="4.5434782608695654"/>
    <n v="95"/>
    <n v="235"/>
    <n v="0.40425531914893614"/>
    <n v="720"/>
    <n v="1890"/>
    <n v="0.38095238095238093"/>
    <n v="13"/>
    <n v="19"/>
    <n v="0.68421052631578949"/>
    <n v="24"/>
    <n v="70"/>
    <n v="94"/>
    <n v="240"/>
    <n v="700"/>
    <n v="940"/>
    <n v="2.0434782608695654"/>
    <n v="44"/>
    <n v="0.95652173913043481"/>
    <n v="31"/>
    <n v="310"/>
    <n v="0.67391304347826086"/>
    <n v="110"/>
    <n v="11"/>
    <n v="0.2391304347826087"/>
    <n v="280"/>
    <x v="321"/>
    <n v="28"/>
    <n v="0.60869565217391308"/>
    <n v="72"/>
    <n v="1.5652173913043479"/>
    <n v="275"/>
    <n v="5.9782608695652177"/>
  </r>
  <r>
    <s v="Kevin Knox II"/>
    <s v="2021-22"/>
    <x v="356"/>
    <n v="22"/>
    <n v="220"/>
    <n v="13"/>
    <n v="1110"/>
    <n v="37"/>
    <n v="2.8461538461538463"/>
    <n v="15"/>
    <n v="40"/>
    <n v="0.375"/>
    <n v="100"/>
    <n v="280"/>
    <n v="0.35714285714285715"/>
    <n v="7"/>
    <n v="10"/>
    <n v="0.7"/>
    <n v="8"/>
    <n v="14"/>
    <n v="22"/>
    <n v="80"/>
    <n v="140"/>
    <n v="220"/>
    <n v="1.6923076923076923"/>
    <n v="3"/>
    <n v="0.23076923076923078"/>
    <n v="2"/>
    <n v="20"/>
    <n v="0.15384615384615385"/>
    <n v="10"/>
    <n v="1"/>
    <n v="7.6923076923076927E-2"/>
    <n v="50"/>
    <x v="322"/>
    <n v="5"/>
    <n v="0.38461538461538464"/>
    <n v="5"/>
    <n v="0.38461538461538464"/>
    <n v="47"/>
    <n v="3.6153846153846154"/>
  </r>
  <r>
    <s v="Damyean Dotson"/>
    <s v="2021-22"/>
    <x v="357"/>
    <n v="28"/>
    <n v="280"/>
    <n v="2"/>
    <n v="210"/>
    <n v="5"/>
    <n v="2.5"/>
    <n v="2"/>
    <n v="4"/>
    <n v="0.5"/>
    <n v="0"/>
    <n v="10"/>
    <n v="0"/>
    <n v="0"/>
    <n v="0"/>
    <e v="#DIV/0!"/>
    <n v="0"/>
    <n v="2"/>
    <n v="2"/>
    <n v="0"/>
    <n v="20"/>
    <n v="20"/>
    <n v="1"/>
    <n v="1"/>
    <n v="0.5"/>
    <n v="0"/>
    <n v="0"/>
    <n v="0"/>
    <n v="0"/>
    <n v="0"/>
    <n v="0"/>
    <n v="0"/>
    <x v="28"/>
    <n v="0"/>
    <n v="0"/>
    <n v="0"/>
    <n v="0"/>
    <n v="4"/>
    <n v="2"/>
  </r>
  <r>
    <s v="Ryan Arcidiacono"/>
    <s v="2021-22"/>
    <x v="358"/>
    <n v="28"/>
    <n v="280"/>
    <n v="10"/>
    <n v="760"/>
    <n v="15"/>
    <n v="1.5"/>
    <n v="6"/>
    <n v="12"/>
    <n v="0.5"/>
    <n v="40"/>
    <n v="90"/>
    <n v="0.44444444444444442"/>
    <n v="0"/>
    <n v="0"/>
    <e v="#DIV/0!"/>
    <n v="0"/>
    <n v="8"/>
    <n v="8"/>
    <n v="0"/>
    <n v="80"/>
    <n v="80"/>
    <n v="0.8"/>
    <n v="4"/>
    <n v="0.4"/>
    <n v="1"/>
    <n v="10"/>
    <n v="0.1"/>
    <n v="0"/>
    <n v="0"/>
    <n v="0"/>
    <n v="30"/>
    <x v="323"/>
    <n v="3"/>
    <n v="0.3"/>
    <n v="5"/>
    <n v="0.5"/>
    <n v="16"/>
    <n v="1.6"/>
  </r>
  <r>
    <s v="Miles McBride"/>
    <s v="2021-22"/>
    <x v="359"/>
    <n v="21"/>
    <n v="210"/>
    <n v="40"/>
    <n v="3720"/>
    <n v="57"/>
    <n v="1.425"/>
    <n v="32"/>
    <n v="108"/>
    <n v="0.29629629629629628"/>
    <n v="170"/>
    <n v="680"/>
    <n v="0.25"/>
    <n v="8"/>
    <n v="12"/>
    <n v="0.66666666666666663"/>
    <n v="4"/>
    <n v="38"/>
    <n v="42"/>
    <n v="40"/>
    <n v="380"/>
    <n v="420"/>
    <n v="1.05"/>
    <n v="41"/>
    <n v="1.0249999999999999"/>
    <n v="14"/>
    <n v="140"/>
    <n v="0.35"/>
    <n v="10"/>
    <n v="1"/>
    <n v="2.5000000000000001E-2"/>
    <n v="50"/>
    <x v="324"/>
    <n v="5"/>
    <n v="0.125"/>
    <n v="45"/>
    <n v="1.125"/>
    <n v="89"/>
    <n v="2.2250000000000001"/>
  </r>
  <r>
    <s v="Wayne Selden"/>
    <s v="2021-22"/>
    <x v="360"/>
    <n v="27"/>
    <n v="270"/>
    <n v="3"/>
    <n v="190"/>
    <n v="1"/>
    <n v="0.33333333333333331"/>
    <n v="1"/>
    <n v="4"/>
    <n v="0.25"/>
    <n v="10"/>
    <n v="20"/>
    <n v="0.5"/>
    <n v="2"/>
    <n v="4"/>
    <n v="0.5"/>
    <n v="0"/>
    <n v="1"/>
    <n v="1"/>
    <n v="0"/>
    <n v="10"/>
    <n v="10"/>
    <n v="0.33333333333333331"/>
    <n v="1"/>
    <n v="0.33333333333333331"/>
    <n v="0"/>
    <n v="0"/>
    <n v="0"/>
    <n v="0"/>
    <n v="0"/>
    <n v="0"/>
    <n v="0"/>
    <x v="64"/>
    <n v="0"/>
    <n v="0"/>
    <n v="1"/>
    <n v="0.33333333333333331"/>
    <n v="5"/>
    <n v="1.6666666666666667"/>
  </r>
  <r>
    <s v="Tyler Hall"/>
    <s v="2021-22"/>
    <x v="361"/>
    <n v="25"/>
    <n v="250"/>
    <n v="1"/>
    <n v="20"/>
    <n v="0"/>
    <n v="0"/>
    <n v="0"/>
    <n v="0"/>
    <e v="#DIV/0!"/>
    <n v="0"/>
    <n v="0"/>
    <e v="#DIV/0!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x v="63"/>
    <n v="0"/>
    <n v="0"/>
    <n v="0"/>
    <n v="0"/>
    <n v="0"/>
    <n v="0"/>
  </r>
  <r>
    <s v="Feron Hunt"/>
    <s v="2021-22"/>
    <x v="362"/>
    <n v="22"/>
    <n v="220"/>
    <n v="2"/>
    <n v="80"/>
    <n v="-1"/>
    <n v="-0.5"/>
    <n v="0"/>
    <n v="2"/>
    <n v="0"/>
    <n v="0"/>
    <n v="0"/>
    <e v="#DIV/0!"/>
    <n v="0"/>
    <n v="0"/>
    <e v="#DIV/0!"/>
    <n v="1"/>
    <n v="0"/>
    <n v="1"/>
    <n v="10"/>
    <n v="0"/>
    <n v="10"/>
    <n v="0.5"/>
    <n v="1"/>
    <n v="0.5"/>
    <n v="1"/>
    <n v="10"/>
    <n v="0.5"/>
    <n v="0"/>
    <n v="0"/>
    <n v="0"/>
    <n v="10"/>
    <x v="28"/>
    <n v="1"/>
    <n v="0.5"/>
    <n v="1"/>
    <n v="0.5"/>
    <n v="0"/>
    <n v="0"/>
  </r>
  <r>
    <s v="Matt Mooney"/>
    <s v="2021-22"/>
    <x v="363"/>
    <n v="27"/>
    <n v="270"/>
    <n v="1"/>
    <n v="20"/>
    <n v="-1"/>
    <n v="-1"/>
    <n v="0"/>
    <n v="1"/>
    <n v="0"/>
    <n v="0"/>
    <n v="10"/>
    <n v="0"/>
    <n v="0"/>
    <n v="0"/>
    <e v="#DIV/0!"/>
    <n v="0"/>
    <n v="0"/>
    <n v="0"/>
    <n v="0"/>
    <n v="0"/>
    <n v="0"/>
    <n v="0"/>
    <n v="0"/>
    <n v="0"/>
    <n v="1"/>
    <n v="10"/>
    <n v="1"/>
    <n v="0"/>
    <n v="0"/>
    <n v="0"/>
    <n v="10"/>
    <x v="28"/>
    <n v="1"/>
    <n v="1"/>
    <n v="0"/>
    <n v="0"/>
    <n v="0"/>
    <n v="0"/>
  </r>
  <r>
    <s v="Danuel House Jr."/>
    <s v="2021-22"/>
    <x v="364"/>
    <n v="29"/>
    <n v="290"/>
    <n v="1"/>
    <n v="30"/>
    <n v="-1"/>
    <n v="-1"/>
    <n v="0"/>
    <n v="1"/>
    <n v="0"/>
    <n v="0"/>
    <n v="10"/>
    <n v="0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x v="63"/>
    <n v="0"/>
    <n v="0"/>
    <n v="0"/>
    <n v="0"/>
    <n v="0"/>
    <n v="0"/>
  </r>
  <r>
    <s v="Julius Randle"/>
    <s v="2022-23"/>
    <x v="365"/>
    <n v="28"/>
    <n v="280"/>
    <n v="77"/>
    <n v="27370"/>
    <n v="1737"/>
    <n v="22.558441558441558"/>
    <n v="658"/>
    <n v="1432"/>
    <n v="0.45949720670391059"/>
    <n v="2180"/>
    <n v="6360"/>
    <n v="0.34276729559748426"/>
    <n v="402"/>
    <n v="531"/>
    <n v="0.75706214689265539"/>
    <n v="141"/>
    <n v="626"/>
    <n v="767"/>
    <n v="1410"/>
    <n v="6260"/>
    <n v="7670"/>
    <n v="9.9610389610389607"/>
    <n v="316"/>
    <n v="4.1038961038961039"/>
    <n v="49"/>
    <n v="490"/>
    <n v="0.63636363636363635"/>
    <n v="210"/>
    <n v="21"/>
    <n v="0.27272727272727271"/>
    <n v="2160"/>
    <x v="325"/>
    <n v="216"/>
    <n v="2.8051948051948052"/>
    <n v="233"/>
    <n v="3.0259740259740258"/>
    <n v="1936"/>
    <n v="25.142857142857142"/>
  </r>
  <r>
    <s v="Jalen Brunson"/>
    <s v="2022-23"/>
    <x v="366"/>
    <n v="26"/>
    <n v="260"/>
    <n v="68"/>
    <n v="23790"/>
    <n v="1402"/>
    <n v="20.617647058823529"/>
    <n v="587"/>
    <n v="1195"/>
    <n v="0.49121338912133894"/>
    <n v="1340"/>
    <n v="3220"/>
    <n v="0.41614906832298137"/>
    <n v="325"/>
    <n v="392"/>
    <n v="0.82908163265306123"/>
    <n v="40"/>
    <n v="201"/>
    <n v="241"/>
    <n v="400"/>
    <n v="2010"/>
    <n v="2410"/>
    <n v="3.5441176470588234"/>
    <n v="421"/>
    <n v="6.1911764705882355"/>
    <n v="61"/>
    <n v="610"/>
    <n v="0.8970588235294118"/>
    <n v="150"/>
    <n v="15"/>
    <n v="0.22058823529411764"/>
    <n v="1420"/>
    <x v="326"/>
    <n v="142"/>
    <n v="2.0882352941176472"/>
    <n v="152"/>
    <n v="2.2352941176470589"/>
    <n v="1633"/>
    <n v="24.014705882352942"/>
  </r>
  <r>
    <s v="Josh Hart"/>
    <s v="2022-23"/>
    <x v="367"/>
    <n v="28"/>
    <n v="280"/>
    <n v="25"/>
    <n v="7500"/>
    <n v="391"/>
    <n v="15.64"/>
    <n v="92"/>
    <n v="157"/>
    <n v="0.5859872611464968"/>
    <n v="270"/>
    <n v="520"/>
    <n v="0.51923076923076927"/>
    <n v="45"/>
    <n v="57"/>
    <n v="0.78947368421052633"/>
    <n v="47"/>
    <n v="129"/>
    <n v="176"/>
    <n v="470"/>
    <n v="1290"/>
    <n v="1760"/>
    <n v="7.04"/>
    <n v="90"/>
    <n v="3.6"/>
    <n v="34"/>
    <n v="340"/>
    <n v="1.36"/>
    <n v="120"/>
    <n v="12"/>
    <n v="0.48"/>
    <n v="380"/>
    <x v="327"/>
    <n v="38"/>
    <n v="1.52"/>
    <n v="62"/>
    <n v="2.48"/>
    <n v="256"/>
    <n v="10.24"/>
  </r>
  <r>
    <s v="Mitchell Robinson"/>
    <s v="2022-23"/>
    <x v="368"/>
    <n v="25"/>
    <n v="250"/>
    <n v="59"/>
    <n v="15890"/>
    <n v="852"/>
    <n v="14.440677966101696"/>
    <n v="188"/>
    <n v="280"/>
    <n v="0.67142857142857137"/>
    <n v="0"/>
    <n v="0"/>
    <e v="#DIV/0!"/>
    <n v="59"/>
    <n v="122"/>
    <n v="0.48360655737704916"/>
    <n v="267"/>
    <n v="288"/>
    <n v="555"/>
    <n v="2670"/>
    <n v="2880"/>
    <n v="5550"/>
    <n v="9.4067796610169498"/>
    <n v="53"/>
    <n v="0.89830508474576276"/>
    <n v="56"/>
    <n v="560"/>
    <n v="0.94915254237288138"/>
    <n v="1090"/>
    <n v="109"/>
    <n v="1.847457627118644"/>
    <n v="410"/>
    <x v="328"/>
    <n v="41"/>
    <n v="0.69491525423728817"/>
    <n v="160"/>
    <n v="2.7118644067796609"/>
    <n v="435"/>
    <n v="7.3728813559322033"/>
  </r>
  <r>
    <s v="Immanuel Quickley"/>
    <s v="2022-23"/>
    <x v="369"/>
    <n v="24"/>
    <n v="240"/>
    <n v="81"/>
    <n v="23440"/>
    <n v="1091"/>
    <n v="13.469135802469136"/>
    <n v="419"/>
    <n v="936"/>
    <n v="0.44764957264957267"/>
    <n v="1680"/>
    <n v="4540"/>
    <n v="0.37004405286343611"/>
    <n v="203"/>
    <n v="248"/>
    <n v="0.81854838709677424"/>
    <n v="58"/>
    <n v="279"/>
    <n v="337"/>
    <n v="580"/>
    <n v="2790"/>
    <n v="3370"/>
    <n v="4.1604938271604937"/>
    <n v="279"/>
    <n v="3.4444444444444446"/>
    <n v="80"/>
    <n v="800"/>
    <n v="0.98765432098765427"/>
    <n v="140"/>
    <n v="14"/>
    <n v="0.1728395061728395"/>
    <n v="1000"/>
    <x v="329"/>
    <n v="100"/>
    <n v="1.2345679012345678"/>
    <n v="166"/>
    <n v="2.0493827160493829"/>
    <n v="1209"/>
    <n v="14.925925925925926"/>
  </r>
  <r>
    <s v="RJ Barrett"/>
    <s v="2022-23"/>
    <x v="370"/>
    <n v="23"/>
    <n v="230"/>
    <n v="73"/>
    <n v="24760"/>
    <n v="935"/>
    <n v="12.808219178082192"/>
    <n v="510"/>
    <n v="1176"/>
    <n v="0.43367346938775508"/>
    <n v="1210"/>
    <n v="3900"/>
    <n v="0.31025641025641026"/>
    <n v="290"/>
    <n v="392"/>
    <n v="0.73979591836734693"/>
    <n v="60"/>
    <n v="308"/>
    <n v="368"/>
    <n v="600"/>
    <n v="3080"/>
    <n v="3680"/>
    <n v="5.0410958904109586"/>
    <n v="201"/>
    <n v="2.7534246575342465"/>
    <n v="31"/>
    <n v="310"/>
    <n v="0.42465753424657532"/>
    <n v="150"/>
    <n v="15"/>
    <n v="0.20547945205479451"/>
    <n v="1640"/>
    <x v="330"/>
    <n v="164"/>
    <n v="2.2465753424657535"/>
    <n v="179"/>
    <n v="2.452054794520548"/>
    <n v="1431"/>
    <n v="19.602739726027398"/>
  </r>
  <r>
    <s v="Quentin Grimes"/>
    <s v="2022-23"/>
    <x v="371"/>
    <n v="23"/>
    <n v="230"/>
    <n v="71"/>
    <n v="21210"/>
    <n v="665"/>
    <n v="9.3661971830985919"/>
    <n v="282"/>
    <n v="602"/>
    <n v="0.46843853820598008"/>
    <n v="1570"/>
    <n v="4070"/>
    <n v="0.38574938574938578"/>
    <n v="78"/>
    <n v="98"/>
    <n v="0.79591836734693877"/>
    <n v="49"/>
    <n v="180"/>
    <n v="229"/>
    <n v="490"/>
    <n v="1800"/>
    <n v="2290"/>
    <n v="3.2253521126760565"/>
    <n v="150"/>
    <n v="2.112676056338028"/>
    <n v="47"/>
    <n v="470"/>
    <n v="0.6619718309859155"/>
    <n v="260"/>
    <n v="26"/>
    <n v="0.36619718309859156"/>
    <n v="690"/>
    <x v="331"/>
    <n v="69"/>
    <n v="0.971830985915493"/>
    <n v="177"/>
    <n v="2.492957746478873"/>
    <n v="799"/>
    <n v="11.253521126760564"/>
  </r>
  <r>
    <s v="Isaiah Hartenstein"/>
    <s v="2022-23"/>
    <x v="372"/>
    <n v="25"/>
    <n v="250"/>
    <n v="82"/>
    <n v="16280"/>
    <n v="707"/>
    <n v="8.6219512195121943"/>
    <n v="175"/>
    <n v="327"/>
    <n v="0.53516819571865448"/>
    <n v="80"/>
    <n v="370"/>
    <n v="0.21621621621621623"/>
    <n v="48"/>
    <n v="71"/>
    <n v="0.676056338028169"/>
    <n v="209"/>
    <n v="327"/>
    <n v="536"/>
    <n v="2090"/>
    <n v="3270"/>
    <n v="5360"/>
    <n v="6.5365853658536581"/>
    <n v="102"/>
    <n v="1.2439024390243902"/>
    <n v="53"/>
    <n v="530"/>
    <n v="0.64634146341463417"/>
    <n v="640"/>
    <n v="64"/>
    <n v="0.78048780487804881"/>
    <n v="660"/>
    <x v="332"/>
    <n v="66"/>
    <n v="0.80487804878048785"/>
    <n v="213"/>
    <n v="2.5975609756097562"/>
    <n v="406"/>
    <n v="4.9512195121951219"/>
  </r>
  <r>
    <s v="Obi Toppin"/>
    <s v="2022-23"/>
    <x v="373"/>
    <n v="25"/>
    <n v="250"/>
    <n v="67"/>
    <n v="10510"/>
    <n v="438"/>
    <n v="6.5373134328358207"/>
    <n v="187"/>
    <n v="419"/>
    <n v="446"/>
    <n v="850"/>
    <n v="2470"/>
    <n v="0.34412955465587042"/>
    <n v="38"/>
    <n v="47"/>
    <n v="0.80851063829787229"/>
    <n v="29"/>
    <n v="158"/>
    <n v="187"/>
    <n v="290"/>
    <n v="1580"/>
    <n v="1870"/>
    <n v="2.7910447761194028"/>
    <n v="66"/>
    <n v="0.9850746268656716"/>
    <n v="23"/>
    <n v="230"/>
    <n v="0.34328358208955223"/>
    <n v="120"/>
    <n v="12"/>
    <n v="0.17910447761194029"/>
    <n v="380"/>
    <x v="333"/>
    <n v="38"/>
    <n v="0.56716417910447758"/>
    <n v="68"/>
    <n v="1.0149253731343284"/>
    <n v="497"/>
    <n v="7.4179104477611943"/>
  </r>
  <r>
    <s v="Jericho Sims"/>
    <s v="2022-23"/>
    <x v="374"/>
    <n v="24"/>
    <n v="240"/>
    <n v="52"/>
    <n v="8120"/>
    <n v="337"/>
    <n v="6.4807692307692308"/>
    <n v="83"/>
    <n v="107"/>
    <n v="0.77570093457943923"/>
    <n v="0"/>
    <n v="10"/>
    <n v="0"/>
    <n v="12"/>
    <n v="16"/>
    <n v="0.75"/>
    <n v="99"/>
    <n v="143"/>
    <n v="242"/>
    <n v="990"/>
    <n v="1430"/>
    <n v="2420"/>
    <n v="4.6538461538461542"/>
    <n v="25"/>
    <n v="0.48076923076923078"/>
    <n v="15"/>
    <n v="150"/>
    <n v="0.28846153846153844"/>
    <n v="280"/>
    <n v="28"/>
    <n v="0.53846153846153844"/>
    <n v="270"/>
    <x v="334"/>
    <n v="27"/>
    <n v="0.51923076923076927"/>
    <n v="96"/>
    <n v="1.8461538461538463"/>
    <n v="178"/>
    <n v="3.4230769230769229"/>
  </r>
  <r>
    <s v="Cam Reddish"/>
    <s v="2022-23"/>
    <x v="375"/>
    <n v="23"/>
    <n v="230"/>
    <n v="20"/>
    <n v="4380"/>
    <n v="116"/>
    <n v="5.8"/>
    <n v="61"/>
    <n v="136"/>
    <n v="449"/>
    <n v="170"/>
    <n v="560"/>
    <n v="0.30357142857142855"/>
    <n v="29"/>
    <n v="33"/>
    <n v="0.87878787878787878"/>
    <n v="7"/>
    <n v="24"/>
    <n v="31"/>
    <n v="70"/>
    <n v="240"/>
    <n v="310"/>
    <n v="1.55"/>
    <n v="20"/>
    <n v="1"/>
    <n v="15"/>
    <n v="150"/>
    <n v="0.75"/>
    <n v="80"/>
    <n v="8"/>
    <n v="0.4"/>
    <n v="150"/>
    <x v="335"/>
    <n v="15"/>
    <n v="0.75"/>
    <n v="32"/>
    <n v="1.6"/>
    <n v="168"/>
    <n v="8.4"/>
  </r>
  <r>
    <s v="Derrick Rose"/>
    <s v="2022-23"/>
    <x v="376"/>
    <n v="34"/>
    <n v="340"/>
    <n v="27"/>
    <n v="3380"/>
    <n v="111"/>
    <n v="4.1111111111111107"/>
    <n v="61"/>
    <n v="159"/>
    <n v="0.38364779874213839"/>
    <n v="190"/>
    <n v="630"/>
    <n v="0.30158730158730157"/>
    <n v="11"/>
    <n v="12"/>
    <n v="0.91666666666666663"/>
    <n v="8"/>
    <n v="32"/>
    <n v="40"/>
    <n v="80"/>
    <n v="320"/>
    <n v="400"/>
    <n v="1.4814814814814814"/>
    <n v="46"/>
    <n v="1.7037037037037037"/>
    <n v="7"/>
    <n v="70"/>
    <n v="0.25925925925925924"/>
    <n v="50"/>
    <n v="5"/>
    <n v="0.18518518518518517"/>
    <n v="220"/>
    <x v="336"/>
    <n v="22"/>
    <n v="0.81481481481481477"/>
    <n v="18"/>
    <n v="0.66666666666666663"/>
    <n v="152"/>
    <n v="5.6296296296296298"/>
  </r>
  <r>
    <s v="Evan Fournier"/>
    <s v="2022-23"/>
    <x v="377"/>
    <n v="30"/>
    <n v="300"/>
    <n v="27"/>
    <n v="4590"/>
    <n v="88"/>
    <n v="3.2592592592592591"/>
    <n v="56"/>
    <n v="166"/>
    <n v="0.33734939759036142"/>
    <n v="350"/>
    <n v="1140"/>
    <n v="0.30701754385964913"/>
    <n v="18"/>
    <n v="21"/>
    <n v="0.8571428571428571"/>
    <n v="4"/>
    <n v="45"/>
    <n v="49"/>
    <n v="40"/>
    <n v="450"/>
    <n v="490"/>
    <n v="1.8148148148148149"/>
    <n v="36"/>
    <n v="1.3333333333333333"/>
    <n v="16"/>
    <n v="160"/>
    <n v="0.59259259259259256"/>
    <n v="30"/>
    <n v="3"/>
    <n v="0.1111111111111111"/>
    <n v="220"/>
    <x v="337"/>
    <n v="22"/>
    <n v="0.81481481481481477"/>
    <n v="46"/>
    <n v="1.7037037037037037"/>
    <n v="165"/>
    <n v="6.1111111111111107"/>
  </r>
  <r>
    <s v="Miles McBride"/>
    <s v="2022-23"/>
    <x v="378"/>
    <n v="22"/>
    <n v="220"/>
    <n v="64"/>
    <n v="7600"/>
    <n v="152"/>
    <n v="2.375"/>
    <n v="77"/>
    <n v="215"/>
    <n v="0.35813953488372091"/>
    <n v="400"/>
    <n v="1340"/>
    <n v="0.29850746268656714"/>
    <n v="28"/>
    <n v="42"/>
    <n v="0.66666666666666663"/>
    <n v="13"/>
    <n v="37"/>
    <n v="50"/>
    <n v="130"/>
    <n v="370"/>
    <n v="500"/>
    <n v="0.78125"/>
    <n v="72"/>
    <n v="1.125"/>
    <n v="37"/>
    <n v="370"/>
    <n v="0.578125"/>
    <n v="80"/>
    <n v="8"/>
    <n v="0.125"/>
    <n v="250"/>
    <x v="338"/>
    <n v="25"/>
    <n v="0.390625"/>
    <n v="60"/>
    <n v="0.9375"/>
    <n v="222"/>
    <n v="3.46875"/>
  </r>
  <r>
    <s v="Svi Mykhailiuk"/>
    <s v="2022-23"/>
    <x v="379"/>
    <n v="26"/>
    <n v="260"/>
    <n v="13"/>
    <n v="400"/>
    <n v="19"/>
    <n v="1.4615384615384615"/>
    <n v="6"/>
    <n v="12"/>
    <n v="0.5"/>
    <n v="60"/>
    <n v="100"/>
    <n v="0.6"/>
    <n v="3"/>
    <n v="5"/>
    <n v="0.6"/>
    <n v="0"/>
    <n v="7"/>
    <n v="7"/>
    <n v="0"/>
    <n v="70"/>
    <n v="70"/>
    <n v="0.53846153846153844"/>
    <n v="1"/>
    <n v="7.6923076923076927E-2"/>
    <n v="1"/>
    <n v="10"/>
    <n v="7.6923076923076927E-2"/>
    <n v="0"/>
    <n v="0"/>
    <n v="0"/>
    <n v="20"/>
    <x v="339"/>
    <n v="2"/>
    <n v="0.15384615384615385"/>
    <n v="1"/>
    <n v="7.6923076923076927E-2"/>
    <n v="21"/>
    <n v="1.6153846153846154"/>
  </r>
  <r>
    <s v="Trevor Keels"/>
    <s v="2022-23"/>
    <x v="380"/>
    <n v="19"/>
    <n v="190"/>
    <n v="3"/>
    <n v="80"/>
    <n v="2"/>
    <n v="0.66666666666666663"/>
    <n v="1"/>
    <n v="4"/>
    <n v="25"/>
    <n v="10"/>
    <n v="40"/>
    <n v="0.25"/>
    <n v="0"/>
    <n v="0"/>
    <e v="#DIV/0!"/>
    <n v="0"/>
    <n v="2"/>
    <n v="2"/>
    <n v="0"/>
    <n v="20"/>
    <n v="20"/>
    <n v="0.66666666666666663"/>
    <n v="0"/>
    <n v="0"/>
    <n v="0"/>
    <n v="0"/>
    <n v="0"/>
    <n v="0"/>
    <n v="0"/>
    <n v="0"/>
    <n v="0"/>
    <x v="340"/>
    <n v="0"/>
    <n v="0"/>
    <n v="0"/>
    <n v="0"/>
    <n v="3"/>
    <n v="1"/>
  </r>
  <r>
    <s v="Ryan Arcidiacono"/>
    <s v="2022-23"/>
    <x v="381"/>
    <n v="29"/>
    <n v="290"/>
    <n v="11"/>
    <n v="260"/>
    <n v="3"/>
    <n v="0.27272727272727271"/>
    <n v="1"/>
    <n v="5"/>
    <n v="0.2"/>
    <n v="10"/>
    <n v="30"/>
    <n v="0.33333333333333331"/>
    <n v="0"/>
    <n v="0"/>
    <e v="#DIV/0!"/>
    <n v="0"/>
    <n v="4"/>
    <n v="4"/>
    <n v="0"/>
    <n v="40"/>
    <n v="40"/>
    <n v="0.36363636363636365"/>
    <n v="2"/>
    <n v="0.18181818181818182"/>
    <n v="2"/>
    <n v="20"/>
    <n v="0.18181818181818182"/>
    <n v="0"/>
    <n v="0"/>
    <n v="0"/>
    <n v="10"/>
    <x v="341"/>
    <n v="1"/>
    <n v="9.0909090909090912E-2"/>
    <n v="3"/>
    <n v="0.27272727272727271"/>
    <n v="3"/>
    <n v="0.27272727272727271"/>
  </r>
  <r>
    <s v="Jalen Brunson"/>
    <s v="2023-24"/>
    <x v="382"/>
    <n v="27"/>
    <n v="270"/>
    <n v="77"/>
    <n v="27260"/>
    <n v="1828"/>
    <n v="23.740259740259742"/>
    <n v="790"/>
    <n v="1648"/>
    <n v="0.47936893203883496"/>
    <n v="2110"/>
    <n v="5260"/>
    <n v="0.40114068441064638"/>
    <n v="421"/>
    <n v="497"/>
    <n v="0.84708249496981891"/>
    <n v="43"/>
    <n v="235"/>
    <n v="278"/>
    <n v="430"/>
    <n v="2350"/>
    <n v="2780"/>
    <n v="3.6103896103896105"/>
    <n v="519"/>
    <n v="6.7402597402597406"/>
    <n v="70"/>
    <n v="700"/>
    <n v="0.90909090909090906"/>
    <n v="130"/>
    <n v="13"/>
    <n v="0.16883116883116883"/>
    <n v="1860"/>
    <x v="342"/>
    <n v="186"/>
    <n v="2.4155844155844157"/>
    <n v="144"/>
    <n v="1.8701298701298701"/>
    <n v="2212"/>
    <n v="28.727272727272727"/>
  </r>
  <r>
    <s v="Julius Randle"/>
    <s v="2023-24"/>
    <x v="383"/>
    <n v="29"/>
    <n v="290"/>
    <n v="46"/>
    <n v="16300"/>
    <n v="1000"/>
    <n v="21.739130434782609"/>
    <n v="395"/>
    <n v="836"/>
    <n v="0.47248803827751196"/>
    <n v="760"/>
    <n v="2440"/>
    <n v="0.31147540983606559"/>
    <n v="236"/>
    <n v="302"/>
    <n v="0.7814569536423841"/>
    <n v="99"/>
    <n v="324"/>
    <n v="423"/>
    <n v="990"/>
    <n v="3240"/>
    <n v="4230"/>
    <n v="9.195652173913043"/>
    <n v="229"/>
    <n v="4.9782608695652177"/>
    <n v="25"/>
    <n v="250"/>
    <n v="0.54347826086956519"/>
    <n v="120"/>
    <n v="12"/>
    <n v="0.2608695652173913"/>
    <n v="1590"/>
    <x v="213"/>
    <n v="159"/>
    <n v="3.4565217391304346"/>
    <n v="125"/>
    <n v="2.7173913043478262"/>
    <n v="1102"/>
    <n v="23.956521739130434"/>
  </r>
  <r>
    <s v="Isaiah Hartenstein"/>
    <s v="2023-24"/>
    <x v="384"/>
    <n v="26"/>
    <n v="260"/>
    <n v="75"/>
    <n v="18960"/>
    <n v="1089"/>
    <n v="14.52"/>
    <n v="235"/>
    <n v="365"/>
    <n v="0.64383561643835618"/>
    <n v="10"/>
    <n v="30"/>
    <n v="0.33333333333333331"/>
    <n v="111"/>
    <n v="157"/>
    <n v="0.70700636942675155"/>
    <n v="244"/>
    <n v="382"/>
    <n v="626"/>
    <n v="2440"/>
    <n v="3820"/>
    <n v="6260"/>
    <n v="8.3466666666666658"/>
    <n v="188"/>
    <n v="2.5066666666666668"/>
    <n v="87"/>
    <n v="870"/>
    <n v="1.1599999999999999"/>
    <n v="850"/>
    <n v="85"/>
    <n v="1.1333333333333333"/>
    <n v="930"/>
    <x v="343"/>
    <n v="93"/>
    <n v="1.24"/>
    <n v="210"/>
    <n v="2.8"/>
    <n v="582"/>
    <n v="7.76"/>
  </r>
  <r>
    <s v="Josh Hart"/>
    <s v="2023-24"/>
    <x v="385"/>
    <n v="29"/>
    <n v="290"/>
    <n v="81"/>
    <n v="27070"/>
    <n v="1168"/>
    <n v="14.419753086419753"/>
    <n v="295"/>
    <n v="679"/>
    <n v="0.43446244477172313"/>
    <n v="800"/>
    <n v="2580"/>
    <n v="0.31007751937984496"/>
    <n v="91"/>
    <n v="115"/>
    <n v="0.79130434782608694"/>
    <n v="128"/>
    <n v="547"/>
    <n v="675"/>
    <n v="1280"/>
    <n v="5470"/>
    <n v="6750"/>
    <n v="8.3333333333333339"/>
    <n v="331"/>
    <n v="4.0864197530864201"/>
    <n v="75"/>
    <n v="750"/>
    <n v="0.92592592592592593"/>
    <n v="230"/>
    <n v="23"/>
    <n v="0.2839506172839506"/>
    <n v="1180"/>
    <x v="344"/>
    <n v="118"/>
    <n v="1.4567901234567902"/>
    <n v="171"/>
    <n v="2.1111111111111112"/>
    <n v="761"/>
    <n v="9.3950617283950617"/>
  </r>
  <r>
    <s v="Donte DiVincenzo"/>
    <s v="2023-24"/>
    <x v="386"/>
    <n v="27"/>
    <n v="270"/>
    <n v="81"/>
    <n v="23600"/>
    <n v="1049"/>
    <n v="12.950617283950617"/>
    <n v="445"/>
    <n v="1004"/>
    <n v="0.44322709163346613"/>
    <n v="2830"/>
    <n v="7050"/>
    <n v="0.40141843971631208"/>
    <n v="86"/>
    <n v="114"/>
    <n v="0.75438596491228072"/>
    <n v="63"/>
    <n v="234"/>
    <n v="297"/>
    <n v="630"/>
    <n v="2340"/>
    <n v="2970"/>
    <n v="3.6666666666666665"/>
    <n v="216"/>
    <n v="2.6666666666666665"/>
    <n v="107"/>
    <n v="1070"/>
    <n v="1.3209876543209877"/>
    <n v="360"/>
    <n v="36"/>
    <n v="0.44444444444444442"/>
    <n v="1130"/>
    <x v="345"/>
    <n v="113"/>
    <n v="1.3950617283950617"/>
    <n v="166"/>
    <n v="2.0493827160493829"/>
    <n v="1259"/>
    <n v="15.543209876543211"/>
  </r>
  <r>
    <s v="RJ Barrett"/>
    <s v="2023-24"/>
    <x v="387"/>
    <n v="24"/>
    <n v="240"/>
    <n v="26"/>
    <n v="7670"/>
    <n v="332"/>
    <n v="12.76923076923077"/>
    <n v="164"/>
    <n v="388"/>
    <n v="0.42268041237113402"/>
    <n v="430"/>
    <n v="1300"/>
    <n v="0.33076923076923076"/>
    <n v="103"/>
    <n v="124"/>
    <n v="0.83064516129032262"/>
    <n v="19"/>
    <n v="92"/>
    <n v="111"/>
    <n v="190"/>
    <n v="920"/>
    <n v="1110"/>
    <n v="4.2692307692307692"/>
    <n v="63"/>
    <n v="2.4230769230769229"/>
    <n v="12"/>
    <n v="120"/>
    <n v="0.46153846153846156"/>
    <n v="90"/>
    <n v="9"/>
    <n v="0.34615384615384615"/>
    <n v="470"/>
    <x v="346"/>
    <n v="47"/>
    <n v="1.8076923076923077"/>
    <n v="45"/>
    <n v="1.7307692307692308"/>
    <n v="474"/>
    <n v="18.23076923076923"/>
  </r>
  <r>
    <s v="OG Anunoby"/>
    <s v="2023-24"/>
    <x v="388"/>
    <n v="26"/>
    <n v="260"/>
    <n v="23"/>
    <n v="8020"/>
    <n v="290"/>
    <n v="12.608695652173912"/>
    <n v="125"/>
    <n v="256"/>
    <n v="0.48828125"/>
    <n v="410"/>
    <n v="1040"/>
    <n v="0.39423076923076922"/>
    <n v="34"/>
    <n v="43"/>
    <n v="0.79069767441860461"/>
    <n v="23"/>
    <n v="79"/>
    <n v="102"/>
    <n v="230"/>
    <n v="790"/>
    <n v="1020"/>
    <n v="4.4347826086956523"/>
    <n v="35"/>
    <n v="1.5217391304347827"/>
    <n v="40"/>
    <n v="400"/>
    <n v="1.7391304347826086"/>
    <n v="230"/>
    <n v="23"/>
    <n v="1"/>
    <n v="380"/>
    <x v="347"/>
    <n v="38"/>
    <n v="1.6521739130434783"/>
    <n v="57"/>
    <n v="2.4782608695652173"/>
    <n v="325"/>
    <n v="14.130434782608695"/>
  </r>
  <r>
    <s v="Immanuel Quickley"/>
    <s v="2023-24"/>
    <x v="389"/>
    <n v="25"/>
    <n v="250"/>
    <n v="30"/>
    <n v="7200"/>
    <n v="350"/>
    <n v="11.666666666666666"/>
    <n v="152"/>
    <n v="335"/>
    <n v="0.45373134328358211"/>
    <n v="640"/>
    <n v="1620"/>
    <n v="0.39506172839506171"/>
    <n v="82"/>
    <n v="94"/>
    <n v="0.87234042553191493"/>
    <n v="5"/>
    <n v="72"/>
    <n v="77"/>
    <n v="50"/>
    <n v="720"/>
    <n v="770"/>
    <n v="2.5666666666666669"/>
    <n v="74"/>
    <n v="2.4666666666666668"/>
    <n v="16"/>
    <n v="160"/>
    <n v="0.53333333333333333"/>
    <n v="30"/>
    <n v="3"/>
    <n v="0.1"/>
    <n v="310"/>
    <x v="348"/>
    <n v="31"/>
    <n v="1.0333333333333334"/>
    <n v="44"/>
    <n v="1.4666666666666666"/>
    <n v="450"/>
    <n v="15"/>
  </r>
  <r>
    <s v="Mitchell Robinson"/>
    <s v="2023-24"/>
    <x v="390"/>
    <n v="26"/>
    <n v="260"/>
    <n v="31"/>
    <n v="7680"/>
    <n v="353"/>
    <n v="11.387096774193548"/>
    <n v="73"/>
    <n v="127"/>
    <n v="0.57480314960629919"/>
    <n v="0"/>
    <n v="0"/>
    <e v="#DIV/0!"/>
    <n v="27"/>
    <n v="66"/>
    <n v="0.40909090909090912"/>
    <n v="142"/>
    <n v="121"/>
    <n v="263"/>
    <n v="1420"/>
    <n v="1210"/>
    <n v="2630"/>
    <n v="8.4838709677419359"/>
    <n v="18"/>
    <n v="0.58064516129032262"/>
    <n v="37"/>
    <n v="370"/>
    <n v="1.1935483870967742"/>
    <n v="350"/>
    <n v="35"/>
    <n v="1.1290322580645162"/>
    <n v="250"/>
    <x v="349"/>
    <n v="25"/>
    <n v="0.80645161290322576"/>
    <n v="55"/>
    <n v="1.7741935483870968"/>
    <n v="173"/>
    <n v="5.580645161290323"/>
  </r>
  <r>
    <s v="Precious Achiuwa"/>
    <s v="2023-24"/>
    <x v="391"/>
    <n v="24"/>
    <n v="240"/>
    <n v="49"/>
    <n v="11870"/>
    <n v="538"/>
    <n v="10.979591836734693"/>
    <n v="157"/>
    <n v="299"/>
    <n v="525"/>
    <n v="130"/>
    <n v="500"/>
    <n v="0.26"/>
    <n v="45"/>
    <n v="70"/>
    <n v="0.6428571428571429"/>
    <n v="141"/>
    <n v="210"/>
    <n v="351"/>
    <n v="1410"/>
    <n v="2100"/>
    <n v="3510"/>
    <n v="7.1632653061224492"/>
    <n v="53"/>
    <n v="1.0816326530612246"/>
    <n v="30"/>
    <n v="300"/>
    <n v="0.61224489795918369"/>
    <n v="560"/>
    <n v="56"/>
    <n v="1.1428571428571428"/>
    <n v="540"/>
    <x v="350"/>
    <n v="54"/>
    <n v="1.1020408163265305"/>
    <n v="103"/>
    <n v="2.1020408163265305"/>
    <n v="372"/>
    <n v="7.591836734693878"/>
  </r>
  <r>
    <s v="Miles McBride"/>
    <s v="2023-24"/>
    <x v="392"/>
    <n v="23"/>
    <n v="230"/>
    <n v="68"/>
    <n v="13280"/>
    <n v="439"/>
    <n v="6.4558823529411766"/>
    <n v="205"/>
    <n v="454"/>
    <n v="0.45154185022026433"/>
    <n v="1090"/>
    <n v="2660"/>
    <n v="0.40977443609022557"/>
    <n v="43"/>
    <n v="50"/>
    <n v="0.86"/>
    <n v="31"/>
    <n v="69"/>
    <n v="100"/>
    <n v="310"/>
    <n v="690"/>
    <n v="1000"/>
    <n v="1.4705882352941178"/>
    <n v="114"/>
    <n v="1.6764705882352942"/>
    <n v="50"/>
    <n v="500"/>
    <n v="0.73529411764705888"/>
    <n v="70"/>
    <n v="7"/>
    <n v="0.10294117647058823"/>
    <n v="300"/>
    <x v="351"/>
    <n v="30"/>
    <n v="0.44117647058823528"/>
    <n v="108"/>
    <n v="1.588235294117647"/>
    <n v="562"/>
    <n v="8.264705882352942"/>
  </r>
  <r>
    <s v="Bojan Bogdanovic"/>
    <s v="2023-24"/>
    <x v="393"/>
    <n v="35"/>
    <n v="350"/>
    <n v="29"/>
    <n v="5570"/>
    <n v="164"/>
    <n v="5.6551724137931032"/>
    <n v="110"/>
    <n v="256"/>
    <n v="43"/>
    <n v="470"/>
    <n v="1270"/>
    <n v="0.37007874015748032"/>
    <n v="36"/>
    <n v="45"/>
    <n v="0.8"/>
    <n v="9"/>
    <n v="49"/>
    <n v="58"/>
    <n v="90"/>
    <n v="490"/>
    <n v="580"/>
    <n v="2"/>
    <n v="26"/>
    <n v="0.89655172413793105"/>
    <n v="7"/>
    <n v="70"/>
    <n v="0.2413793103448276"/>
    <n v="10"/>
    <n v="1"/>
    <n v="3.4482758620689655E-2"/>
    <n v="380"/>
    <x v="352"/>
    <n v="38"/>
    <n v="1.3103448275862069"/>
    <n v="38"/>
    <n v="1.3103448275862069"/>
    <n v="303"/>
    <n v="10.448275862068966"/>
  </r>
  <r>
    <s v="Quentin Grimes"/>
    <s v="2023-24"/>
    <x v="394"/>
    <n v="24"/>
    <n v="240"/>
    <n v="45"/>
    <n v="9100"/>
    <n v="230"/>
    <n v="5.1111111111111107"/>
    <n v="113"/>
    <n v="286"/>
    <n v="0.3951048951048951"/>
    <n v="770"/>
    <n v="2120"/>
    <n v="0.3632075471698113"/>
    <n v="24"/>
    <n v="34"/>
    <n v="0.70588235294117652"/>
    <n v="14"/>
    <n v="74"/>
    <n v="88"/>
    <n v="140"/>
    <n v="740"/>
    <n v="880"/>
    <n v="1.9555555555555555"/>
    <n v="52"/>
    <n v="1.1555555555555554"/>
    <n v="30"/>
    <n v="300"/>
    <n v="0.66666666666666663"/>
    <n v="30"/>
    <n v="3"/>
    <n v="6.6666666666666666E-2"/>
    <n v="210"/>
    <x v="353"/>
    <n v="21"/>
    <n v="0.46666666666666667"/>
    <n v="66"/>
    <n v="1.4666666666666666"/>
    <n v="327"/>
    <n v="7.2666666666666666"/>
  </r>
  <r>
    <s v="Jericho Sims"/>
    <s v="2023-24"/>
    <x v="395"/>
    <n v="25"/>
    <n v="250"/>
    <n v="45"/>
    <n v="5850"/>
    <n v="205"/>
    <n v="4.5555555555555554"/>
    <n v="38"/>
    <n v="55"/>
    <n v="0.69090909090909092"/>
    <n v="0"/>
    <n v="0"/>
    <e v="#DIV/0!"/>
    <n v="16"/>
    <n v="24"/>
    <n v="0.66666666666666663"/>
    <n v="56"/>
    <n v="91"/>
    <n v="147"/>
    <n v="560"/>
    <n v="910"/>
    <n v="1470"/>
    <n v="3.2666666666666666"/>
    <n v="25"/>
    <n v="0.55555555555555558"/>
    <n v="8"/>
    <n v="80"/>
    <n v="0.17777777777777778"/>
    <n v="190"/>
    <n v="19"/>
    <n v="0.42222222222222222"/>
    <n v="160"/>
    <x v="354"/>
    <n v="16"/>
    <n v="0.35555555555555557"/>
    <n v="45"/>
    <n v="1"/>
    <n v="92"/>
    <n v="2.0444444444444443"/>
  </r>
  <r>
    <s v="Alec Burks"/>
    <s v="2023-24"/>
    <x v="396"/>
    <n v="32"/>
    <n v="320"/>
    <n v="23"/>
    <n v="3110"/>
    <n v="68"/>
    <n v="2.9565217391304346"/>
    <n v="50"/>
    <n v="163"/>
    <n v="0.30674846625766872"/>
    <n v="250"/>
    <n v="830"/>
    <n v="0.30120481927710846"/>
    <n v="24"/>
    <n v="33"/>
    <n v="0.72727272727272729"/>
    <n v="8"/>
    <n v="32"/>
    <n v="40"/>
    <n v="80"/>
    <n v="320"/>
    <n v="400"/>
    <n v="1.7391304347826086"/>
    <n v="20"/>
    <n v="0.86956521739130432"/>
    <n v="7"/>
    <n v="70"/>
    <n v="0.30434782608695654"/>
    <n v="10"/>
    <n v="1"/>
    <n v="4.3478260869565216E-2"/>
    <n v="160"/>
    <x v="355"/>
    <n v="16"/>
    <n v="0.69565217391304346"/>
    <n v="11"/>
    <n v="0.47826086956521741"/>
    <n v="149"/>
    <n v="6.4782608695652177"/>
  </r>
  <r>
    <s v="Jacob Toppin"/>
    <s v="2023-24"/>
    <x v="397"/>
    <n v="24"/>
    <n v="240"/>
    <n v="9"/>
    <n v="380"/>
    <n v="16"/>
    <n v="1.7777777777777777"/>
    <n v="5"/>
    <n v="9"/>
    <n v="556"/>
    <n v="10"/>
    <n v="40"/>
    <n v="0.25"/>
    <n v="2"/>
    <n v="2"/>
    <n v="1"/>
    <n v="3"/>
    <n v="4"/>
    <n v="7"/>
    <n v="30"/>
    <n v="40"/>
    <n v="70"/>
    <n v="0.77777777777777779"/>
    <n v="3"/>
    <n v="0.33333333333333331"/>
    <n v="0"/>
    <n v="0"/>
    <n v="0"/>
    <n v="10"/>
    <n v="1"/>
    <n v="0.1111111111111111"/>
    <n v="10"/>
    <x v="356"/>
    <n v="1"/>
    <n v="0.1111111111111111"/>
    <n v="3"/>
    <n v="0.33333333333333331"/>
    <n v="13"/>
    <n v="1.4444444444444444"/>
  </r>
  <r>
    <s v="Shake Milton"/>
    <s v="2023-24"/>
    <x v="398"/>
    <n v="27"/>
    <n v="270"/>
    <n v="6"/>
    <n v="270"/>
    <n v="10"/>
    <n v="1.6666666666666667"/>
    <n v="4"/>
    <n v="9"/>
    <n v="0.44444444444444442"/>
    <n v="10"/>
    <n v="20"/>
    <n v="0.5"/>
    <n v="2"/>
    <n v="2"/>
    <n v="1"/>
    <n v="0"/>
    <n v="6"/>
    <n v="6"/>
    <n v="0"/>
    <n v="60"/>
    <n v="60"/>
    <n v="1"/>
    <n v="4"/>
    <n v="0.66666666666666663"/>
    <n v="1"/>
    <n v="10"/>
    <n v="0.16666666666666666"/>
    <n v="0"/>
    <n v="0"/>
    <n v="0"/>
    <n v="0"/>
    <x v="357"/>
    <n v="0"/>
    <n v="0"/>
    <n v="7"/>
    <n v="1.1666666666666667"/>
    <n v="11"/>
    <n v="1.8333333333333333"/>
  </r>
  <r>
    <s v="Malachi Flynn"/>
    <s v="2023-24"/>
    <x v="399"/>
    <n v="26"/>
    <n v="260"/>
    <n v="14"/>
    <n v="610"/>
    <n v="22"/>
    <n v="1.5714285714285714"/>
    <n v="9"/>
    <n v="23"/>
    <n v="0.39130434782608697"/>
    <n v="40"/>
    <n v="130"/>
    <n v="0.30769230769230771"/>
    <n v="9"/>
    <n v="11"/>
    <n v="0.81818181818181823"/>
    <n v="0"/>
    <n v="6"/>
    <n v="6"/>
    <n v="0"/>
    <n v="60"/>
    <n v="60"/>
    <n v="0.42857142857142855"/>
    <n v="6"/>
    <n v="0.42857142857142855"/>
    <n v="1"/>
    <n v="10"/>
    <n v="7.1428571428571425E-2"/>
    <n v="0"/>
    <n v="0"/>
    <n v="0"/>
    <n v="30"/>
    <x v="42"/>
    <n v="3"/>
    <n v="0.21428571428571427"/>
    <n v="3"/>
    <n v="0.21428571428571427"/>
    <n v="31"/>
    <n v="2.2142857142857144"/>
  </r>
  <r>
    <s v="Dylan Windler"/>
    <s v="2023-24"/>
    <x v="400"/>
    <n v="27"/>
    <n v="270"/>
    <n v="3"/>
    <n v="70"/>
    <n v="3"/>
    <n v="1"/>
    <n v="1"/>
    <n v="2"/>
    <n v="5"/>
    <n v="10"/>
    <n v="20"/>
    <n v="0.5"/>
    <n v="0"/>
    <n v="0"/>
    <e v="#DIV/0!"/>
    <n v="0"/>
    <n v="1"/>
    <n v="1"/>
    <n v="0"/>
    <n v="10"/>
    <n v="10"/>
    <n v="0.33333333333333331"/>
    <n v="1"/>
    <n v="0.33333333333333331"/>
    <n v="0"/>
    <n v="0"/>
    <n v="0"/>
    <n v="0"/>
    <n v="0"/>
    <n v="0"/>
    <n v="0"/>
    <x v="64"/>
    <n v="0"/>
    <n v="0"/>
    <n v="1"/>
    <n v="0.33333333333333331"/>
    <n v="3"/>
    <n v="1"/>
  </r>
  <r>
    <s v="Taj Gibson"/>
    <s v="2023-24"/>
    <x v="401"/>
    <n v="39"/>
    <n v="390"/>
    <n v="16"/>
    <n v="1650"/>
    <n v="12"/>
    <n v="0.75"/>
    <n v="7"/>
    <n v="23"/>
    <n v="304"/>
    <n v="0"/>
    <n v="60"/>
    <n v="0"/>
    <n v="2"/>
    <n v="2"/>
    <n v="1"/>
    <n v="10"/>
    <n v="18"/>
    <n v="28"/>
    <n v="100"/>
    <n v="180"/>
    <n v="280"/>
    <n v="1.75"/>
    <n v="9"/>
    <n v="0.5625"/>
    <n v="2"/>
    <n v="20"/>
    <n v="0.125"/>
    <n v="60"/>
    <n v="6"/>
    <n v="0.375"/>
    <n v="50"/>
    <x v="98"/>
    <n v="5"/>
    <n v="0.3125"/>
    <n v="28"/>
    <n v="1.75"/>
    <n v="16"/>
    <n v="1"/>
  </r>
  <r>
    <s v="Evan Fournier"/>
    <s v="2023-24"/>
    <x v="402"/>
    <n v="31"/>
    <n v="310"/>
    <n v="3"/>
    <n v="390"/>
    <n v="2"/>
    <n v="0.66666666666666663"/>
    <n v="4"/>
    <n v="20"/>
    <n v="0.2"/>
    <n v="20"/>
    <n v="150"/>
    <n v="0.13333333333333333"/>
    <n v="2"/>
    <n v="2"/>
    <n v="1"/>
    <n v="0"/>
    <n v="4"/>
    <n v="4"/>
    <n v="0"/>
    <n v="40"/>
    <n v="40"/>
    <n v="1.3333333333333333"/>
    <n v="3"/>
    <n v="1"/>
    <n v="4"/>
    <n v="40"/>
    <n v="1.3333333333333333"/>
    <n v="0"/>
    <n v="0"/>
    <n v="0"/>
    <n v="10"/>
    <x v="358"/>
    <n v="1"/>
    <n v="0.33333333333333331"/>
    <n v="4"/>
    <n v="1.3333333333333333"/>
    <n v="12"/>
    <n v="4"/>
  </r>
  <r>
    <s v="DaQuan Jeffries"/>
    <s v="2023-24"/>
    <x v="403"/>
    <n v="26"/>
    <n v="260"/>
    <n v="17"/>
    <n v="460"/>
    <n v="7"/>
    <n v="0.41176470588235292"/>
    <n v="6"/>
    <n v="17"/>
    <n v="353"/>
    <n v="20"/>
    <n v="100"/>
    <n v="0.2"/>
    <n v="0"/>
    <n v="2"/>
    <n v="0"/>
    <n v="0"/>
    <n v="5"/>
    <n v="5"/>
    <n v="0"/>
    <n v="50"/>
    <n v="50"/>
    <n v="0.29411764705882354"/>
    <n v="5"/>
    <n v="0.29411764705882354"/>
    <n v="0"/>
    <n v="0"/>
    <n v="0"/>
    <n v="10"/>
    <n v="1"/>
    <n v="5.8823529411764705E-2"/>
    <n v="30"/>
    <x v="359"/>
    <n v="3"/>
    <n v="0.17647058823529413"/>
    <n v="2"/>
    <n v="0.11764705882352941"/>
    <n v="14"/>
    <n v="0.82352941176470584"/>
  </r>
  <r>
    <s v="Ryan Arcidiacono"/>
    <s v="2023-24"/>
    <x v="404"/>
    <n v="30"/>
    <n v="300"/>
    <n v="20"/>
    <n v="450"/>
    <n v="1"/>
    <n v="0.05"/>
    <n v="0"/>
    <n v="6"/>
    <n v="0"/>
    <n v="0"/>
    <n v="60"/>
    <n v="0"/>
    <n v="0"/>
    <n v="0"/>
    <e v="#DIV/0!"/>
    <n v="0"/>
    <n v="8"/>
    <n v="8"/>
    <n v="0"/>
    <n v="80"/>
    <n v="80"/>
    <n v="0.4"/>
    <n v="4"/>
    <n v="0.2"/>
    <n v="2"/>
    <n v="20"/>
    <n v="0.1"/>
    <n v="0"/>
    <n v="0"/>
    <n v="0"/>
    <n v="20"/>
    <x v="42"/>
    <n v="2"/>
    <n v="0.1"/>
    <n v="5"/>
    <n v="0.25"/>
    <n v="0"/>
    <n v="0"/>
  </r>
  <r>
    <s v="Mamadi Diakite"/>
    <s v="2023-24"/>
    <x v="405"/>
    <n v="27"/>
    <n v="270"/>
    <n v="3"/>
    <n v="80"/>
    <n v="-1"/>
    <n v="-0.33333333333333331"/>
    <n v="0"/>
    <n v="1"/>
    <n v="0"/>
    <n v="0"/>
    <n v="10"/>
    <n v="0"/>
    <n v="0"/>
    <n v="0"/>
    <e v="#DIV/0!"/>
    <n v="0"/>
    <n v="1"/>
    <n v="1"/>
    <n v="0"/>
    <n v="10"/>
    <n v="10"/>
    <n v="0.33333333333333331"/>
    <n v="0"/>
    <n v="0"/>
    <n v="1"/>
    <n v="10"/>
    <n v="0.33333333333333331"/>
    <n v="0"/>
    <n v="0"/>
    <n v="0"/>
    <n v="10"/>
    <x v="340"/>
    <n v="1"/>
    <n v="0.33333333333333331"/>
    <n v="1"/>
    <n v="0.33333333333333331"/>
    <n v="0"/>
    <n v="0"/>
  </r>
  <r>
    <s v="Dmytro Skapintsev"/>
    <s v="2023-24"/>
    <x v="406"/>
    <n v="26"/>
    <n v="260"/>
    <n v="2"/>
    <n v="20"/>
    <n v="-1"/>
    <n v="-0.5"/>
    <n v="0"/>
    <n v="1"/>
    <n v="0"/>
    <n v="0"/>
    <n v="0"/>
    <e v="#DIV/0!"/>
    <n v="0"/>
    <n v="0"/>
    <e v="#DIV/0!"/>
    <n v="0"/>
    <n v="0"/>
    <n v="0"/>
    <n v="0"/>
    <n v="0"/>
    <n v="0"/>
    <n v="0"/>
    <n v="0"/>
    <n v="0"/>
    <n v="0"/>
    <n v="0"/>
    <n v="0"/>
    <n v="0"/>
    <n v="0"/>
    <n v="0"/>
    <n v="0"/>
    <x v="63"/>
    <n v="0"/>
    <n v="0"/>
    <n v="0"/>
    <n v="0"/>
    <n v="0"/>
    <n v="0"/>
  </r>
  <r>
    <s v="Charlie Brown Jr."/>
    <s v="2023-24"/>
    <x v="407"/>
    <n v="27"/>
    <n v="270"/>
    <n v="8"/>
    <n v="370"/>
    <n v="-5"/>
    <n v="-0.625"/>
    <n v="2"/>
    <n v="10"/>
    <n v="0.2"/>
    <n v="20"/>
    <n v="70"/>
    <n v="0.2857142857142857"/>
    <n v="0"/>
    <n v="0"/>
    <e v="#DIV/0!"/>
    <n v="1"/>
    <n v="1"/>
    <n v="2"/>
    <n v="10"/>
    <n v="10"/>
    <n v="20"/>
    <n v="0.25"/>
    <n v="0"/>
    <n v="0"/>
    <n v="0"/>
    <n v="0"/>
    <n v="0"/>
    <n v="20"/>
    <n v="2"/>
    <n v="0.25"/>
    <n v="20"/>
    <x v="42"/>
    <n v="2"/>
    <n v="0.25"/>
    <n v="5"/>
    <n v="0.625"/>
    <n v="6"/>
    <n v="0.75"/>
  </r>
  <r>
    <m/>
    <m/>
    <x v="408"/>
    <m/>
    <n v="220"/>
    <m/>
    <m/>
    <m/>
    <m/>
    <m/>
    <m/>
    <m/>
    <m/>
    <m/>
    <m/>
    <m/>
    <m/>
    <m/>
    <m/>
    <m/>
    <m/>
    <m/>
    <m/>
    <n v="26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2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248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0"/>
    <n v="20"/>
    <n v="30"/>
    <e v="#DIV/0!"/>
    <m/>
    <m/>
    <m/>
    <n v="20"/>
    <m/>
    <n v="10"/>
    <m/>
    <m/>
    <n v="2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49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64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7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890"/>
    <n v="1780"/>
    <n v="2670"/>
    <e v="#DIV/0!"/>
    <m/>
    <m/>
    <m/>
    <n v="710"/>
    <m/>
    <n v="60"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500"/>
    <n v="1130"/>
    <n v="1630"/>
    <e v="#DIV/0!"/>
    <m/>
    <m/>
    <m/>
    <n v="570"/>
    <m/>
    <n v="50"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760"/>
    <n v="1880"/>
    <n v="2640"/>
    <e v="#DIV/0!"/>
    <m/>
    <m/>
    <m/>
    <n v="1170"/>
    <m/>
    <n v="30"/>
    <m/>
    <m/>
    <n v="154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0"/>
    <n v="90"/>
    <n v="100"/>
    <e v="#DIV/0!"/>
    <m/>
    <m/>
    <m/>
    <n v="70"/>
    <m/>
    <n v="0"/>
    <m/>
    <m/>
    <n v="10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3430"/>
    <n v="5180"/>
    <n v="8610"/>
    <e v="#DIV/0!"/>
    <m/>
    <m/>
    <m/>
    <n v="1040"/>
    <m/>
    <n v="140"/>
    <m/>
    <m/>
    <n v="248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2580"/>
    <n v="4690"/>
    <n v="7270"/>
    <e v="#DIV/0!"/>
    <m/>
    <m/>
    <m/>
    <n v="640"/>
    <m/>
    <n v="160"/>
    <m/>
    <m/>
    <n v="165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3050"/>
    <n v="6150"/>
    <n v="9200"/>
    <e v="#DIV/0!"/>
    <m/>
    <m/>
    <m/>
    <n v="620"/>
    <m/>
    <n v="170"/>
    <m/>
    <m/>
    <n v="215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2560"/>
    <n v="4440"/>
    <n v="7000"/>
    <e v="#DIV/0!"/>
    <m/>
    <m/>
    <m/>
    <n v="670"/>
    <m/>
    <n v="150"/>
    <m/>
    <m/>
    <n v="123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2880"/>
    <n v="4200"/>
    <n v="7080"/>
    <e v="#DIV/0!"/>
    <m/>
    <m/>
    <m/>
    <n v="850"/>
    <m/>
    <n v="150"/>
    <m/>
    <m/>
    <n v="124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3490"/>
    <n v="6160"/>
    <n v="9650"/>
    <e v="#DIV/0!"/>
    <m/>
    <m/>
    <m/>
    <n v="1100"/>
    <m/>
    <n v="180"/>
    <m/>
    <m/>
    <n v="193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1550"/>
    <n v="2900"/>
    <n v="4450"/>
    <e v="#DIV/0!"/>
    <m/>
    <m/>
    <m/>
    <n v="600"/>
    <m/>
    <n v="70"/>
    <m/>
    <m/>
    <n v="103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620"/>
    <n v="2980"/>
    <n v="4600"/>
    <e v="#DIV/0!"/>
    <m/>
    <m/>
    <m/>
    <n v="580"/>
    <m/>
    <n v="140"/>
    <m/>
    <m/>
    <n v="104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2460"/>
    <n v="5350"/>
    <n v="7810"/>
    <e v="#DIV/0!"/>
    <m/>
    <m/>
    <m/>
    <n v="1110"/>
    <m/>
    <n v="210"/>
    <m/>
    <m/>
    <n v="1710"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2180"/>
    <n v="5060"/>
    <n v="7240"/>
    <e v="#DIV/0!"/>
    <m/>
    <m/>
    <m/>
    <n v="1230"/>
    <m/>
    <n v="220"/>
    <m/>
    <m/>
    <n v="126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470"/>
    <n v="850"/>
    <n v="1320"/>
    <e v="#DIV/0!"/>
    <m/>
    <m/>
    <m/>
    <n v="120"/>
    <m/>
    <n v="40"/>
    <m/>
    <m/>
    <n v="30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20"/>
    <n v="30"/>
    <n v="50"/>
    <e v="#DIV/0!"/>
    <m/>
    <m/>
    <m/>
    <n v="10"/>
    <m/>
    <n v="10"/>
    <m/>
    <m/>
    <n v="20"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90"/>
    <n v="170"/>
    <n v="260"/>
    <e v="#DIV/0!"/>
    <m/>
    <m/>
    <m/>
    <n v="60"/>
    <m/>
    <n v="20"/>
    <m/>
    <m/>
    <n v="7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60"/>
    <n v="80"/>
    <n v="140"/>
    <e v="#DIV/0!"/>
    <m/>
    <m/>
    <m/>
    <n v="30"/>
    <m/>
    <n v="10"/>
    <m/>
    <m/>
    <n v="5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60"/>
    <n v="110"/>
    <n v="170"/>
    <e v="#DIV/0!"/>
    <m/>
    <m/>
    <m/>
    <n v="0"/>
    <m/>
    <n v="10"/>
    <m/>
    <m/>
    <n v="2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640"/>
    <n v="1520"/>
    <n v="2160"/>
    <e v="#DIV/0!"/>
    <m/>
    <m/>
    <m/>
    <n v="90"/>
    <m/>
    <n v="200"/>
    <m/>
    <m/>
    <n v="42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510"/>
    <n v="4710"/>
    <n v="6220"/>
    <e v="#DIV/0!"/>
    <m/>
    <m/>
    <m/>
    <n v="510"/>
    <m/>
    <n v="220"/>
    <m/>
    <m/>
    <n v="193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710"/>
    <n v="2900"/>
    <n v="4610"/>
    <e v="#DIV/0!"/>
    <m/>
    <m/>
    <m/>
    <n v="180"/>
    <m/>
    <n v="170"/>
    <m/>
    <m/>
    <n v="79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870"/>
    <n v="720"/>
    <n v="1590"/>
    <e v="#DIV/0!"/>
    <m/>
    <m/>
    <m/>
    <n v="720"/>
    <m/>
    <n v="110"/>
    <m/>
    <m/>
    <n v="103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930"/>
    <n v="1130"/>
    <n v="2060"/>
    <e v="#DIV/0!"/>
    <m/>
    <m/>
    <m/>
    <n v="1110"/>
    <m/>
    <n v="230"/>
    <m/>
    <m/>
    <n v="153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600"/>
    <n v="1310"/>
    <n v="1910"/>
    <e v="#DIV/0!"/>
    <m/>
    <m/>
    <m/>
    <n v="950"/>
    <m/>
    <n v="220"/>
    <m/>
    <m/>
    <n v="143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360"/>
    <n v="550"/>
    <n v="910"/>
    <e v="#DIV/0!"/>
    <m/>
    <m/>
    <m/>
    <n v="330"/>
    <m/>
    <n v="30"/>
    <m/>
    <m/>
    <n v="104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42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617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799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723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92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055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867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20"/>
    <n v="110"/>
    <n v="230"/>
    <e v="#DIV/0!"/>
    <m/>
    <m/>
    <m/>
    <n v="170"/>
    <m/>
    <n v="20"/>
    <m/>
    <m/>
    <n v="19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00"/>
    <n v="180"/>
    <n v="280"/>
    <e v="#DIV/0!"/>
    <m/>
    <m/>
    <m/>
    <n v="150"/>
    <m/>
    <n v="20"/>
    <m/>
    <m/>
    <n v="180"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50"/>
    <n v="50"/>
    <n v="100"/>
    <e v="#DIV/0!"/>
    <m/>
    <m/>
    <m/>
    <n v="40"/>
    <m/>
    <n v="0"/>
    <m/>
    <m/>
    <n v="4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530"/>
    <n v="1020"/>
    <n v="1550"/>
    <e v="#DIV/0!"/>
    <m/>
    <m/>
    <m/>
    <n v="910"/>
    <m/>
    <n v="10"/>
    <m/>
    <m/>
    <n v="1240"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n v="510"/>
    <n v="1180"/>
    <n v="1690"/>
    <e v="#DIV/0!"/>
    <m/>
    <m/>
    <m/>
    <n v="150"/>
    <m/>
    <n v="140"/>
    <m/>
    <m/>
    <n v="61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267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1860"/>
    <n v="2420"/>
    <n v="4280"/>
    <e v="#DIV/0!"/>
    <m/>
    <m/>
    <m/>
    <n v="520"/>
    <m/>
    <n v="1190"/>
    <m/>
    <m/>
    <n v="37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92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245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220"/>
    <n v="990"/>
    <n v="1210"/>
    <e v="#DIV/0!"/>
    <m/>
    <m/>
    <m/>
    <n v="340"/>
    <m/>
    <n v="190"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560"/>
    <n v="2710"/>
    <n v="3270"/>
    <e v="#DIV/0!"/>
    <m/>
    <m/>
    <m/>
    <n v="1080"/>
    <m/>
    <n v="290"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480"/>
    <n v="2250"/>
    <n v="2730"/>
    <e v="#DIV/0!"/>
    <m/>
    <m/>
    <m/>
    <n v="1110"/>
    <m/>
    <n v="220"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450"/>
    <n v="1780"/>
    <n v="2230"/>
    <e v="#DIV/0!"/>
    <m/>
    <m/>
    <m/>
    <n v="910"/>
    <m/>
    <n v="230"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470"/>
    <n v="1350"/>
    <n v="1820"/>
    <e v="#DIV/0!"/>
    <m/>
    <m/>
    <m/>
    <n v="600"/>
    <m/>
    <n v="190"/>
    <m/>
    <m/>
    <n v="1790"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260"/>
    <n v="480"/>
    <n v="740"/>
    <e v="#DIV/0!"/>
    <m/>
    <m/>
    <m/>
    <n v="480"/>
    <m/>
    <n v="60"/>
    <m/>
    <m/>
    <n v="980"/>
    <x v="360"/>
    <m/>
    <m/>
    <m/>
    <m/>
    <m/>
    <m/>
  </r>
  <r>
    <m/>
    <m/>
    <x v="408"/>
    <m/>
    <n v="350"/>
    <m/>
    <m/>
    <m/>
    <m/>
    <m/>
    <m/>
    <m/>
    <m/>
    <m/>
    <m/>
    <m/>
    <m/>
    <m/>
    <m/>
    <m/>
    <m/>
    <n v="160"/>
    <n v="200"/>
    <n v="360"/>
    <e v="#DIV/0!"/>
    <m/>
    <m/>
    <m/>
    <n v="210"/>
    <m/>
    <n v="30"/>
    <m/>
    <m/>
    <n v="28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22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2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480"/>
    <n v="1850"/>
    <n v="2330"/>
    <e v="#DIV/0!"/>
    <m/>
    <m/>
    <m/>
    <n v="340"/>
    <m/>
    <n v="170"/>
    <m/>
    <m/>
    <n v="73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690"/>
    <n v="980"/>
    <n v="1670"/>
    <e v="#DIV/0!"/>
    <m/>
    <m/>
    <m/>
    <n v="170"/>
    <m/>
    <n v="80"/>
    <m/>
    <m/>
    <n v="59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230"/>
    <n v="790"/>
    <n v="1020"/>
    <e v="#DIV/0!"/>
    <m/>
    <m/>
    <m/>
    <n v="220"/>
    <m/>
    <n v="100"/>
    <m/>
    <m/>
    <n v="650"/>
    <x v="360"/>
    <m/>
    <m/>
    <m/>
    <m/>
    <m/>
    <m/>
  </r>
  <r>
    <m/>
    <m/>
    <x v="408"/>
    <m/>
    <n v="350"/>
    <m/>
    <m/>
    <m/>
    <m/>
    <m/>
    <m/>
    <m/>
    <m/>
    <m/>
    <m/>
    <m/>
    <m/>
    <m/>
    <m/>
    <m/>
    <m/>
    <n v="230"/>
    <n v="700"/>
    <n v="930"/>
    <e v="#DIV/0!"/>
    <m/>
    <m/>
    <m/>
    <n v="250"/>
    <m/>
    <n v="60"/>
    <m/>
    <m/>
    <n v="44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200"/>
    <n v="2880"/>
    <n v="4080"/>
    <e v="#DIV/0!"/>
    <m/>
    <m/>
    <m/>
    <n v="450"/>
    <m/>
    <n v="300"/>
    <m/>
    <m/>
    <n v="107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520"/>
    <n v="1600"/>
    <n v="2120"/>
    <e v="#DIV/0!"/>
    <m/>
    <m/>
    <m/>
    <n v="700"/>
    <m/>
    <n v="170"/>
    <m/>
    <m/>
    <n v="96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65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16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810"/>
    <n v="1440"/>
    <n v="2250"/>
    <e v="#DIV/0!"/>
    <m/>
    <m/>
    <m/>
    <n v="230"/>
    <m/>
    <n v="530"/>
    <m/>
    <m/>
    <n v="85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220"/>
    <n v="2280"/>
    <n v="3500"/>
    <e v="#DIV/0!"/>
    <m/>
    <m/>
    <m/>
    <n v="370"/>
    <m/>
    <n v="1200"/>
    <m/>
    <m/>
    <n v="112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97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85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229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250"/>
    <n v="1560"/>
    <n v="2810"/>
    <e v="#DIV/0!"/>
    <m/>
    <m/>
    <m/>
    <n v="620"/>
    <m/>
    <n v="80"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20"/>
    <n v="140"/>
    <n v="260"/>
    <e v="#DIV/0!"/>
    <m/>
    <m/>
    <m/>
    <n v="80"/>
    <m/>
    <n v="10"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123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426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471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458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48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620"/>
    <n v="1410"/>
    <n v="2030"/>
    <e v="#DIV/0!"/>
    <m/>
    <m/>
    <m/>
    <n v="380"/>
    <m/>
    <n v="120"/>
    <m/>
    <m/>
    <n v="35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740"/>
    <n v="1530"/>
    <n v="2270"/>
    <e v="#DIV/0!"/>
    <m/>
    <m/>
    <m/>
    <n v="360"/>
    <m/>
    <n v="160"/>
    <m/>
    <m/>
    <n v="64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240"/>
    <n v="400"/>
    <n v="640"/>
    <e v="#DIV/0!"/>
    <m/>
    <m/>
    <m/>
    <n v="160"/>
    <m/>
    <n v="20"/>
    <m/>
    <m/>
    <n v="17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660"/>
    <n v="2410"/>
    <n v="3070"/>
    <e v="#DIV/0!"/>
    <m/>
    <m/>
    <m/>
    <n v="630"/>
    <m/>
    <n v="50"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800"/>
    <n v="2090"/>
    <n v="2890"/>
    <e v="#DIV/0!"/>
    <m/>
    <m/>
    <m/>
    <n v="760"/>
    <m/>
    <n v="170"/>
    <m/>
    <m/>
    <n v="104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20"/>
    <n v="90"/>
    <n v="110"/>
    <e v="#DIV/0!"/>
    <m/>
    <m/>
    <m/>
    <n v="20"/>
    <m/>
    <n v="0"/>
    <m/>
    <m/>
    <n v="4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616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61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785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658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876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293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50"/>
    <n v="360"/>
    <n v="510"/>
    <e v="#DIV/0!"/>
    <m/>
    <m/>
    <m/>
    <n v="120"/>
    <m/>
    <n v="0"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480"/>
    <n v="400"/>
    <n v="880"/>
    <e v="#DIV/0!"/>
    <m/>
    <m/>
    <m/>
    <n v="240"/>
    <m/>
    <n v="30"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850"/>
    <n v="2320"/>
    <n v="3170"/>
    <e v="#DIV/0!"/>
    <m/>
    <m/>
    <m/>
    <n v="100"/>
    <m/>
    <n v="40"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0"/>
    <n v="10"/>
    <n v="10"/>
    <e v="#DIV/0!"/>
    <m/>
    <m/>
    <m/>
    <n v="0"/>
    <m/>
    <n v="0"/>
    <m/>
    <m/>
    <n v="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6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90"/>
    <n v="60"/>
    <n v="150"/>
    <e v="#DIV/0!"/>
    <m/>
    <m/>
    <m/>
    <n v="0"/>
    <m/>
    <n v="0"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400"/>
    <n v="670"/>
    <n v="1070"/>
    <e v="#DIV/0!"/>
    <m/>
    <m/>
    <m/>
    <n v="150"/>
    <m/>
    <n v="50"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334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332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280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310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322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220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146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080"/>
    <n v="2220"/>
    <n v="3300"/>
    <e v="#DIV/0!"/>
    <m/>
    <m/>
    <m/>
    <n v="380"/>
    <m/>
    <n v="400"/>
    <m/>
    <m/>
    <n v="141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890"/>
    <n v="2330"/>
    <n v="3220"/>
    <e v="#DIV/0!"/>
    <m/>
    <m/>
    <m/>
    <n v="420"/>
    <m/>
    <n v="240"/>
    <m/>
    <m/>
    <n v="129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0"/>
    <n v="20"/>
    <n v="20"/>
    <e v="#DIV/0!"/>
    <m/>
    <m/>
    <m/>
    <n v="0"/>
    <m/>
    <n v="0"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83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307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220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80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21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67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21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310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226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238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m/>
    <m/>
    <n v="2510"/>
    <e v="#DIV/0!"/>
    <m/>
    <m/>
    <m/>
    <m/>
    <m/>
    <m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m/>
    <m/>
    <n v="2210"/>
    <e v="#DIV/0!"/>
    <m/>
    <m/>
    <m/>
    <m/>
    <m/>
    <m/>
    <m/>
    <m/>
    <m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m/>
    <m/>
    <n v="2380"/>
    <e v="#DIV/0!"/>
    <m/>
    <m/>
    <m/>
    <m/>
    <m/>
    <m/>
    <m/>
    <m/>
    <m/>
    <x v="360"/>
    <m/>
    <m/>
    <m/>
    <m/>
    <m/>
    <m/>
  </r>
  <r>
    <m/>
    <m/>
    <x v="408"/>
    <m/>
    <n v="350"/>
    <m/>
    <m/>
    <m/>
    <m/>
    <m/>
    <m/>
    <m/>
    <m/>
    <m/>
    <m/>
    <m/>
    <m/>
    <m/>
    <m/>
    <m/>
    <m/>
    <m/>
    <m/>
    <n v="1530"/>
    <e v="#DIV/0!"/>
    <m/>
    <m/>
    <m/>
    <m/>
    <m/>
    <m/>
    <m/>
    <m/>
    <m/>
    <x v="360"/>
    <m/>
    <m/>
    <m/>
    <m/>
    <m/>
    <m/>
  </r>
  <r>
    <m/>
    <m/>
    <x v="408"/>
    <m/>
    <n v="360"/>
    <m/>
    <m/>
    <m/>
    <m/>
    <m/>
    <m/>
    <m/>
    <m/>
    <m/>
    <m/>
    <m/>
    <m/>
    <m/>
    <m/>
    <m/>
    <m/>
    <m/>
    <m/>
    <n v="410"/>
    <e v="#DIV/0!"/>
    <m/>
    <m/>
    <m/>
    <m/>
    <m/>
    <m/>
    <m/>
    <m/>
    <m/>
    <x v="360"/>
    <m/>
    <m/>
    <m/>
    <m/>
    <m/>
    <m/>
  </r>
  <r>
    <m/>
    <m/>
    <x v="408"/>
    <m/>
    <n v="370"/>
    <m/>
    <m/>
    <m/>
    <m/>
    <m/>
    <m/>
    <m/>
    <m/>
    <m/>
    <m/>
    <m/>
    <m/>
    <m/>
    <m/>
    <m/>
    <m/>
    <n v="10"/>
    <n v="30"/>
    <n v="40"/>
    <e v="#DIV/0!"/>
    <m/>
    <m/>
    <m/>
    <n v="10"/>
    <m/>
    <n v="0"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41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310"/>
    <n v="520"/>
    <n v="830"/>
    <e v="#DIV/0!"/>
    <m/>
    <m/>
    <m/>
    <n v="60"/>
    <m/>
    <n v="70"/>
    <m/>
    <m/>
    <n v="20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260"/>
    <n v="1350"/>
    <n v="1610"/>
    <e v="#DIV/0!"/>
    <m/>
    <m/>
    <m/>
    <n v="420"/>
    <m/>
    <n v="60"/>
    <m/>
    <m/>
    <n v="810"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m/>
    <m/>
    <n v="3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30"/>
    <n v="170"/>
    <n v="200"/>
    <e v="#DIV/0!"/>
    <m/>
    <m/>
    <m/>
    <n v="30"/>
    <m/>
    <n v="10"/>
    <m/>
    <m/>
    <n v="5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760"/>
    <n v="2840"/>
    <n v="4600"/>
    <e v="#DIV/0!"/>
    <m/>
    <m/>
    <m/>
    <n v="570"/>
    <m/>
    <n v="240"/>
    <m/>
    <m/>
    <n v="147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69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40"/>
    <n v="200"/>
    <n v="340"/>
    <e v="#DIV/0!"/>
    <m/>
    <m/>
    <m/>
    <n v="20"/>
    <m/>
    <n v="0"/>
    <m/>
    <m/>
    <n v="8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80"/>
    <n v="150"/>
    <n v="230"/>
    <e v="#DIV/0!"/>
    <m/>
    <m/>
    <m/>
    <n v="70"/>
    <m/>
    <n v="90"/>
    <m/>
    <m/>
    <n v="17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45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90"/>
    <n v="190"/>
    <n v="280"/>
    <e v="#DIV/0!"/>
    <m/>
    <m/>
    <m/>
    <n v="30"/>
    <m/>
    <n v="40"/>
    <m/>
    <m/>
    <n v="4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650"/>
    <n v="800"/>
    <n v="1450"/>
    <e v="#DIV/0!"/>
    <m/>
    <m/>
    <m/>
    <n v="220"/>
    <m/>
    <n v="130"/>
    <m/>
    <m/>
    <n v="52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90"/>
    <n v="150"/>
    <n v="240"/>
    <e v="#DIV/0!"/>
    <m/>
    <m/>
    <m/>
    <n v="70"/>
    <m/>
    <n v="60"/>
    <m/>
    <m/>
    <n v="8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6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090"/>
    <n v="2440"/>
    <n v="3530"/>
    <e v="#DIV/0!"/>
    <m/>
    <m/>
    <m/>
    <n v="990"/>
    <m/>
    <n v="80"/>
    <m/>
    <m/>
    <n v="212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860"/>
    <n v="1500"/>
    <n v="2360"/>
    <e v="#DIV/0!"/>
    <m/>
    <m/>
    <m/>
    <n v="770"/>
    <m/>
    <n v="120"/>
    <m/>
    <m/>
    <n v="195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330"/>
    <n v="5290"/>
    <n v="6620"/>
    <e v="#DIV/0!"/>
    <m/>
    <m/>
    <m/>
    <n v="610"/>
    <m/>
    <n v="650"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2360"/>
    <n v="7740"/>
    <n v="10100"/>
    <e v="#DIV/0!"/>
    <m/>
    <m/>
    <m/>
    <n v="1050"/>
    <m/>
    <n v="1260"/>
    <m/>
    <m/>
    <n v="346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940"/>
    <n v="2850"/>
    <n v="3790"/>
    <e v="#DIV/0!"/>
    <m/>
    <m/>
    <m/>
    <n v="620"/>
    <m/>
    <n v="470"/>
    <m/>
    <m/>
    <n v="153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86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313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499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465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544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513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570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200"/>
    <n v="4160"/>
    <n v="5360"/>
    <e v="#DIV/0!"/>
    <m/>
    <m/>
    <m/>
    <n v="1610"/>
    <m/>
    <n v="150"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900"/>
    <n v="3750"/>
    <n v="4650"/>
    <e v="#DIV/0!"/>
    <m/>
    <m/>
    <m/>
    <n v="1900"/>
    <m/>
    <n v="140"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790"/>
    <n v="3210"/>
    <n v="4000"/>
    <e v="#DIV/0!"/>
    <m/>
    <m/>
    <m/>
    <n v="1060"/>
    <m/>
    <n v="90"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520"/>
    <n v="2410"/>
    <n v="2930"/>
    <e v="#DIV/0!"/>
    <m/>
    <m/>
    <m/>
    <n v="1320"/>
    <m/>
    <n v="90"/>
    <m/>
    <m/>
    <m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n v="1770"/>
    <n v="2460"/>
    <n v="4230"/>
    <e v="#DIV/0!"/>
    <m/>
    <m/>
    <m/>
    <n v="520"/>
    <m/>
    <n v="1610"/>
    <m/>
    <m/>
    <n v="35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130"/>
    <n v="4150"/>
    <n v="5280"/>
    <e v="#DIV/0!"/>
    <m/>
    <m/>
    <m/>
    <n v="460"/>
    <m/>
    <n v="510"/>
    <m/>
    <m/>
    <n v="88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330"/>
    <n v="1630"/>
    <n v="1960"/>
    <e v="#DIV/0!"/>
    <m/>
    <m/>
    <m/>
    <n v="430"/>
    <m/>
    <n v="190"/>
    <m/>
    <m/>
    <n v="140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0"/>
    <n v="70"/>
    <n v="80"/>
    <e v="#DIV/0!"/>
    <m/>
    <m/>
    <m/>
    <n v="0"/>
    <m/>
    <n v="0"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140"/>
    <n v="440"/>
    <n v="580"/>
    <e v="#DIV/0!"/>
    <m/>
    <m/>
    <m/>
    <n v="390"/>
    <m/>
    <n v="50"/>
    <m/>
    <m/>
    <n v="73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251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374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209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236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92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1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52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530"/>
    <n v="1130"/>
    <n v="1660"/>
    <e v="#DIV/0!"/>
    <m/>
    <m/>
    <m/>
    <n v="120"/>
    <m/>
    <n v="420"/>
    <m/>
    <m/>
    <n v="45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60"/>
    <e v="#DIV/0!"/>
    <m/>
    <m/>
    <m/>
    <m/>
    <m/>
    <m/>
    <m/>
    <m/>
    <m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n v="140"/>
    <n v="440"/>
    <n v="580"/>
    <e v="#DIV/0!"/>
    <m/>
    <m/>
    <m/>
    <n v="270"/>
    <m/>
    <n v="90"/>
    <m/>
    <m/>
    <n v="54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56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73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430"/>
    <n v="1970"/>
    <n v="2400"/>
    <e v="#DIV/0!"/>
    <m/>
    <m/>
    <m/>
    <n v="410"/>
    <m/>
    <n v="180"/>
    <m/>
    <m/>
    <n v="167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430"/>
    <n v="2310"/>
    <n v="2740"/>
    <e v="#DIV/0!"/>
    <m/>
    <m/>
    <m/>
    <n v="630"/>
    <m/>
    <n v="240"/>
    <m/>
    <m/>
    <n v="200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200"/>
    <n v="1320"/>
    <n v="1520"/>
    <e v="#DIV/0!"/>
    <m/>
    <m/>
    <m/>
    <n v="350"/>
    <m/>
    <n v="90"/>
    <m/>
    <m/>
    <n v="130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380"/>
    <n v="2330"/>
    <n v="2710"/>
    <e v="#DIV/0!"/>
    <m/>
    <m/>
    <m/>
    <n v="650"/>
    <m/>
    <n v="140"/>
    <m/>
    <m/>
    <n v="186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0"/>
    <n v="20"/>
    <n v="30"/>
    <e v="#DIV/0!"/>
    <m/>
    <m/>
    <m/>
    <n v="10"/>
    <m/>
    <n v="0"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1940"/>
    <n v="5320"/>
    <n v="7260"/>
    <e v="#DIV/0!"/>
    <m/>
    <m/>
    <m/>
    <n v="480"/>
    <m/>
    <n v="1010"/>
    <m/>
    <m/>
    <n v="222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610"/>
    <n v="4520"/>
    <n v="6130"/>
    <e v="#DIV/0!"/>
    <m/>
    <m/>
    <m/>
    <n v="480"/>
    <m/>
    <n v="830"/>
    <m/>
    <m/>
    <n v="200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160"/>
    <n v="3050"/>
    <n v="4210"/>
    <e v="#DIV/0!"/>
    <m/>
    <m/>
    <m/>
    <n v="480"/>
    <m/>
    <n v="650"/>
    <m/>
    <m/>
    <n v="166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850"/>
    <n v="4050"/>
    <n v="5900"/>
    <e v="#DIV/0!"/>
    <m/>
    <m/>
    <m/>
    <n v="410"/>
    <m/>
    <n v="1270"/>
    <m/>
    <m/>
    <n v="204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950"/>
    <n v="4540"/>
    <n v="6490"/>
    <e v="#DIV/0!"/>
    <m/>
    <m/>
    <m/>
    <n v="440"/>
    <m/>
    <n v="970"/>
    <m/>
    <m/>
    <n v="200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20"/>
    <n v="80"/>
    <n v="100"/>
    <e v="#DIV/0!"/>
    <m/>
    <m/>
    <m/>
    <n v="10"/>
    <m/>
    <n v="10"/>
    <m/>
    <m/>
    <n v="6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320"/>
    <n v="3130"/>
    <n v="4450"/>
    <e v="#DIV/0!"/>
    <m/>
    <m/>
    <m/>
    <n v="400"/>
    <m/>
    <n v="260"/>
    <m/>
    <m/>
    <n v="128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270"/>
    <n v="2570"/>
    <n v="3840"/>
    <e v="#DIV/0!"/>
    <m/>
    <m/>
    <m/>
    <n v="430"/>
    <m/>
    <n v="430"/>
    <m/>
    <m/>
    <n v="135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800"/>
    <n v="2580"/>
    <n v="3380"/>
    <e v="#DIV/0!"/>
    <m/>
    <m/>
    <m/>
    <n v="320"/>
    <m/>
    <n v="180"/>
    <m/>
    <m/>
    <n v="73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300"/>
    <n v="390"/>
    <n v="690"/>
    <e v="#DIV/0!"/>
    <m/>
    <m/>
    <m/>
    <n v="220"/>
    <m/>
    <n v="20"/>
    <m/>
    <m/>
    <n v="38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350"/>
    <n v="600"/>
    <n v="950"/>
    <e v="#DIV/0!"/>
    <m/>
    <m/>
    <m/>
    <n v="360"/>
    <m/>
    <n v="60"/>
    <m/>
    <m/>
    <n v="78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780"/>
    <n v="1550"/>
    <n v="2330"/>
    <e v="#DIV/0!"/>
    <m/>
    <m/>
    <m/>
    <n v="1000"/>
    <m/>
    <n v="180"/>
    <m/>
    <m/>
    <n v="141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510"/>
    <n v="3880"/>
    <n v="5390"/>
    <e v="#DIV/0!"/>
    <m/>
    <m/>
    <m/>
    <n v="2650"/>
    <m/>
    <n v="350"/>
    <m/>
    <m/>
    <n v="359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730"/>
    <n v="3720"/>
    <n v="5450"/>
    <e v="#DIV/0!"/>
    <m/>
    <m/>
    <m/>
    <n v="2320"/>
    <m/>
    <n v="350"/>
    <m/>
    <m/>
    <n v="302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770"/>
    <n v="3880"/>
    <n v="5650"/>
    <e v="#DIV/0!"/>
    <m/>
    <m/>
    <m/>
    <n v="2130"/>
    <m/>
    <n v="410"/>
    <m/>
    <m/>
    <n v="291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160"/>
    <n v="3570"/>
    <n v="5730"/>
    <e v="#DIV/0!"/>
    <m/>
    <m/>
    <m/>
    <n v="460"/>
    <m/>
    <n v="200"/>
    <m/>
    <m/>
    <n v="101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2310"/>
    <n v="4090"/>
    <n v="6400"/>
    <e v="#DIV/0!"/>
    <m/>
    <m/>
    <m/>
    <n v="430"/>
    <m/>
    <n v="190"/>
    <m/>
    <m/>
    <n v="137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580"/>
    <n v="2690"/>
    <n v="4270"/>
    <e v="#DIV/0!"/>
    <m/>
    <m/>
    <m/>
    <n v="310"/>
    <m/>
    <n v="90"/>
    <m/>
    <m/>
    <n v="107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820"/>
    <n v="4680"/>
    <n v="6500"/>
    <e v="#DIV/0!"/>
    <m/>
    <m/>
    <m/>
    <n v="690"/>
    <m/>
    <n v="210"/>
    <m/>
    <m/>
    <n v="123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2200"/>
    <n v="5440"/>
    <n v="7640"/>
    <e v="#DIV/0!"/>
    <m/>
    <m/>
    <m/>
    <n v="690"/>
    <m/>
    <n v="340"/>
    <m/>
    <m/>
    <n v="211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360"/>
    <n v="590"/>
    <n v="950"/>
    <e v="#DIV/0!"/>
    <m/>
    <m/>
    <m/>
    <n v="570"/>
    <m/>
    <n v="50"/>
    <m/>
    <m/>
    <n v="109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20"/>
    <n v="10"/>
    <n v="30"/>
    <e v="#DIV/0!"/>
    <m/>
    <m/>
    <m/>
    <n v="10"/>
    <m/>
    <n v="0"/>
    <m/>
    <m/>
    <n v="6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58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94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63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30"/>
    <n v="0"/>
    <n v="30"/>
    <e v="#DIV/0!"/>
    <m/>
    <m/>
    <m/>
    <n v="0"/>
    <m/>
    <n v="10"/>
    <m/>
    <m/>
    <n v="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331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58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93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5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60"/>
    <n v="70"/>
    <n v="130"/>
    <e v="#DIV/0!"/>
    <m/>
    <m/>
    <m/>
    <n v="110"/>
    <m/>
    <n v="40"/>
    <m/>
    <m/>
    <n v="22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80"/>
    <n v="430"/>
    <n v="510"/>
    <e v="#DIV/0!"/>
    <m/>
    <m/>
    <m/>
    <n v="160"/>
    <m/>
    <n v="40"/>
    <m/>
    <m/>
    <n v="26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20"/>
    <n v="50"/>
    <n v="70"/>
    <e v="#DIV/0!"/>
    <m/>
    <m/>
    <m/>
    <n v="40"/>
    <m/>
    <n v="20"/>
    <m/>
    <m/>
    <n v="7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00"/>
    <m/>
    <m/>
    <m/>
    <m/>
    <m/>
    <m/>
    <m/>
    <m/>
    <m/>
    <m/>
    <m/>
    <m/>
    <m/>
    <m/>
    <m/>
    <m/>
    <n v="500"/>
    <n v="2290"/>
    <n v="2790"/>
    <e v="#DIV/0!"/>
    <m/>
    <m/>
    <m/>
    <n v="550"/>
    <m/>
    <n v="170"/>
    <m/>
    <m/>
    <n v="124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590"/>
    <n v="960"/>
    <n v="1550"/>
    <e v="#DIV/0!"/>
    <m/>
    <m/>
    <m/>
    <n v="340"/>
    <m/>
    <n v="50"/>
    <m/>
    <m/>
    <n v="51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280"/>
    <n v="320"/>
    <n v="600"/>
    <e v="#DIV/0!"/>
    <m/>
    <m/>
    <m/>
    <n v="200"/>
    <m/>
    <n v="10"/>
    <m/>
    <m/>
    <n v="29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49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290"/>
    <n v="570"/>
    <n v="860"/>
    <e v="#DIV/0!"/>
    <m/>
    <m/>
    <m/>
    <n v="160"/>
    <m/>
    <n v="80"/>
    <m/>
    <m/>
    <n v="19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020"/>
    <n v="1510"/>
    <n v="2530"/>
    <e v="#DIV/0!"/>
    <m/>
    <m/>
    <m/>
    <n v="290"/>
    <m/>
    <n v="740"/>
    <m/>
    <m/>
    <n v="39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740"/>
    <n v="2870"/>
    <n v="4610"/>
    <e v="#DIV/0!"/>
    <m/>
    <m/>
    <m/>
    <n v="430"/>
    <m/>
    <n v="1160"/>
    <m/>
    <m/>
    <n v="72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729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720"/>
    <e v="#DIV/0!"/>
    <m/>
    <m/>
    <m/>
    <m/>
    <m/>
    <m/>
    <m/>
    <m/>
    <m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430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5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50"/>
    <n v="60"/>
    <n v="110"/>
    <e v="#DIV/0!"/>
    <m/>
    <m/>
    <m/>
    <n v="10"/>
    <m/>
    <n v="0"/>
    <m/>
    <m/>
    <n v="6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50"/>
    <n v="470"/>
    <n v="620"/>
    <e v="#DIV/0!"/>
    <m/>
    <m/>
    <m/>
    <n v="210"/>
    <m/>
    <n v="50"/>
    <m/>
    <m/>
    <n v="29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818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623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587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747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569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25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125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315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385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30"/>
    <n v="470"/>
    <n v="600"/>
    <e v="#DIV/0!"/>
    <m/>
    <m/>
    <m/>
    <n v="170"/>
    <m/>
    <n v="80"/>
    <m/>
    <m/>
    <n v="24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2740"/>
    <n v="6290"/>
    <n v="9030"/>
    <e v="#DIV/0!"/>
    <m/>
    <m/>
    <m/>
    <n v="680"/>
    <m/>
    <n v="700"/>
    <m/>
    <m/>
    <n v="173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240"/>
    <n v="3270"/>
    <n v="4510"/>
    <e v="#DIV/0!"/>
    <m/>
    <m/>
    <m/>
    <n v="540"/>
    <m/>
    <n v="1030"/>
    <m/>
    <m/>
    <n v="172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570"/>
    <n v="3980"/>
    <n v="5550"/>
    <e v="#DIV/0!"/>
    <m/>
    <m/>
    <m/>
    <n v="890"/>
    <m/>
    <n v="1470"/>
    <m/>
    <m/>
    <n v="229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450"/>
    <n v="4310"/>
    <n v="6760"/>
    <e v="#DIV/0!"/>
    <m/>
    <m/>
    <m/>
    <n v="1040"/>
    <m/>
    <n v="2450"/>
    <m/>
    <m/>
    <n v="287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2130"/>
    <n v="5270"/>
    <n v="7400"/>
    <e v="#DIV/0!"/>
    <m/>
    <m/>
    <m/>
    <n v="1170"/>
    <m/>
    <n v="2810"/>
    <m/>
    <m/>
    <n v="266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2350"/>
    <n v="6580"/>
    <n v="8930"/>
    <e v="#DIV/0!"/>
    <m/>
    <m/>
    <m/>
    <n v="780"/>
    <m/>
    <n v="3270"/>
    <m/>
    <m/>
    <n v="278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940"/>
    <n v="7110"/>
    <n v="9050"/>
    <e v="#DIV/0!"/>
    <m/>
    <m/>
    <m/>
    <n v="800"/>
    <m/>
    <n v="2580"/>
    <m/>
    <m/>
    <n v="291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2280"/>
    <n v="6930"/>
    <n v="9210"/>
    <e v="#DIV/0!"/>
    <m/>
    <m/>
    <m/>
    <n v="880"/>
    <m/>
    <n v="2450"/>
    <m/>
    <m/>
    <n v="209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910"/>
    <n v="7890"/>
    <n v="9800"/>
    <e v="#DIV/0!"/>
    <m/>
    <m/>
    <m/>
    <n v="740"/>
    <m/>
    <n v="1610"/>
    <m/>
    <m/>
    <n v="265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2190"/>
    <n v="6660"/>
    <n v="8850"/>
    <e v="#DIV/0!"/>
    <m/>
    <m/>
    <m/>
    <n v="900"/>
    <m/>
    <n v="2170"/>
    <m/>
    <m/>
    <n v="260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570"/>
    <n v="7100"/>
    <n v="8670"/>
    <e v="#DIV/0!"/>
    <m/>
    <m/>
    <m/>
    <n v="680"/>
    <m/>
    <n v="1590"/>
    <m/>
    <m/>
    <n v="256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1570"/>
    <n v="6490"/>
    <n v="8060"/>
    <e v="#DIV/0!"/>
    <m/>
    <m/>
    <m/>
    <n v="680"/>
    <m/>
    <n v="1840"/>
    <m/>
    <m/>
    <n v="2210"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1750"/>
    <n v="6590"/>
    <n v="8340"/>
    <e v="#DIV/0!"/>
    <m/>
    <m/>
    <m/>
    <n v="690"/>
    <m/>
    <n v="1890"/>
    <m/>
    <m/>
    <n v="2690"/>
    <x v="360"/>
    <m/>
    <m/>
    <m/>
    <m/>
    <m/>
    <m/>
  </r>
  <r>
    <m/>
    <m/>
    <x v="408"/>
    <m/>
    <n v="350"/>
    <m/>
    <m/>
    <m/>
    <m/>
    <m/>
    <m/>
    <m/>
    <m/>
    <m/>
    <m/>
    <m/>
    <m/>
    <m/>
    <m/>
    <m/>
    <m/>
    <n v="590"/>
    <n v="2060"/>
    <n v="2650"/>
    <e v="#DIV/0!"/>
    <m/>
    <m/>
    <m/>
    <n v="160"/>
    <m/>
    <n v="580"/>
    <m/>
    <m/>
    <n v="770"/>
    <x v="360"/>
    <m/>
    <m/>
    <m/>
    <m/>
    <m/>
    <m/>
  </r>
  <r>
    <m/>
    <m/>
    <x v="408"/>
    <m/>
    <n v="360"/>
    <m/>
    <m/>
    <m/>
    <m/>
    <m/>
    <m/>
    <m/>
    <m/>
    <m/>
    <m/>
    <m/>
    <m/>
    <m/>
    <m/>
    <m/>
    <m/>
    <n v="740"/>
    <n v="3030"/>
    <n v="3770"/>
    <e v="#DIV/0!"/>
    <m/>
    <m/>
    <m/>
    <n v="300"/>
    <m/>
    <n v="1000"/>
    <m/>
    <m/>
    <n v="990"/>
    <x v="360"/>
    <m/>
    <m/>
    <m/>
    <m/>
    <m/>
    <m/>
  </r>
  <r>
    <m/>
    <m/>
    <x v="408"/>
    <m/>
    <n v="370"/>
    <m/>
    <m/>
    <m/>
    <m/>
    <m/>
    <m/>
    <m/>
    <m/>
    <m/>
    <m/>
    <m/>
    <m/>
    <m/>
    <m/>
    <m/>
    <m/>
    <n v="1400"/>
    <n v="4640"/>
    <n v="6040"/>
    <e v="#DIV/0!"/>
    <m/>
    <m/>
    <m/>
    <n v="360"/>
    <m/>
    <n v="840"/>
    <m/>
    <m/>
    <n v="142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340"/>
    <n v="2280"/>
    <n v="2620"/>
    <e v="#DIV/0!"/>
    <m/>
    <m/>
    <m/>
    <n v="580"/>
    <m/>
    <n v="100"/>
    <m/>
    <m/>
    <n v="71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m/>
    <m/>
    <n v="10110"/>
    <e v="#DIV/0!"/>
    <m/>
    <m/>
    <m/>
    <m/>
    <m/>
    <m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m/>
    <m/>
    <n v="5100"/>
    <e v="#DIV/0!"/>
    <m/>
    <m/>
    <m/>
    <m/>
    <m/>
    <m/>
    <m/>
    <m/>
    <m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620"/>
    <n v="3120"/>
    <n v="3740"/>
    <e v="#DIV/0!"/>
    <m/>
    <m/>
    <m/>
    <n v="280"/>
    <m/>
    <n v="240"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298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99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620"/>
    <n v="1030"/>
    <n v="1650"/>
    <e v="#DIV/0!"/>
    <m/>
    <m/>
    <m/>
    <n v="290"/>
    <m/>
    <n v="300"/>
    <m/>
    <m/>
    <n v="46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90"/>
    <n v="190"/>
    <n v="280"/>
    <e v="#DIV/0!"/>
    <m/>
    <m/>
    <m/>
    <n v="10"/>
    <m/>
    <n v="20"/>
    <m/>
    <m/>
    <n v="17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30"/>
    <n v="60"/>
    <n v="90"/>
    <e v="#DIV/0!"/>
    <m/>
    <m/>
    <m/>
    <n v="0"/>
    <m/>
    <n v="0"/>
    <m/>
    <m/>
    <n v="3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337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70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68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79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80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310"/>
    <n v="1660"/>
    <n v="1970"/>
    <e v="#DIV/0!"/>
    <m/>
    <m/>
    <m/>
    <n v="280"/>
    <m/>
    <n v="140"/>
    <m/>
    <m/>
    <n v="1160"/>
    <x v="360"/>
    <m/>
    <m/>
    <m/>
    <m/>
    <m/>
    <m/>
  </r>
  <r>
    <m/>
    <m/>
    <x v="408"/>
    <m/>
    <n v="350"/>
    <m/>
    <m/>
    <m/>
    <m/>
    <m/>
    <m/>
    <m/>
    <m/>
    <m/>
    <m/>
    <m/>
    <m/>
    <m/>
    <m/>
    <m/>
    <m/>
    <n v="1110"/>
    <n v="1560"/>
    <n v="2670"/>
    <e v="#DIV/0!"/>
    <m/>
    <m/>
    <m/>
    <n v="270"/>
    <m/>
    <n v="300"/>
    <m/>
    <m/>
    <n v="47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280"/>
    <n v="1070"/>
    <n v="1350"/>
    <e v="#DIV/0!"/>
    <m/>
    <m/>
    <m/>
    <n v="270"/>
    <m/>
    <n v="420"/>
    <m/>
    <m/>
    <n v="25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20"/>
    <n v="290"/>
    <n v="310"/>
    <e v="#DIV/0!"/>
    <m/>
    <m/>
    <m/>
    <n v="80"/>
    <m/>
    <n v="100"/>
    <m/>
    <m/>
    <n v="11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440"/>
    <n v="1220"/>
    <n v="1660"/>
    <e v="#DIV/0!"/>
    <m/>
    <m/>
    <m/>
    <n v="950"/>
    <m/>
    <n v="110"/>
    <m/>
    <m/>
    <n v="157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0"/>
    <n v="90"/>
    <n v="100"/>
    <e v="#DIV/0!"/>
    <m/>
    <m/>
    <m/>
    <n v="20"/>
    <m/>
    <n v="0"/>
    <m/>
    <m/>
    <n v="8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8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5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29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6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330"/>
    <n v="1030"/>
    <n v="1360"/>
    <e v="#DIV/0!"/>
    <m/>
    <m/>
    <m/>
    <n v="590"/>
    <m/>
    <n v="90"/>
    <m/>
    <m/>
    <n v="98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420"/>
    <n v="1280"/>
    <n v="1700"/>
    <e v="#DIV/0!"/>
    <m/>
    <m/>
    <m/>
    <n v="1130"/>
    <m/>
    <n v="120"/>
    <m/>
    <m/>
    <n v="104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430"/>
    <n v="1460"/>
    <n v="1890"/>
    <e v="#DIV/0!"/>
    <m/>
    <m/>
    <m/>
    <n v="1140"/>
    <m/>
    <n v="130"/>
    <m/>
    <m/>
    <n v="127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70"/>
    <n v="570"/>
    <n v="640"/>
    <e v="#DIV/0!"/>
    <m/>
    <m/>
    <m/>
    <n v="500"/>
    <m/>
    <n v="70"/>
    <m/>
    <m/>
    <n v="57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280"/>
    <n v="2110"/>
    <n v="2390"/>
    <e v="#DIV/0!"/>
    <m/>
    <m/>
    <m/>
    <n v="570"/>
    <m/>
    <n v="80"/>
    <m/>
    <m/>
    <n v="880"/>
    <x v="360"/>
    <m/>
    <m/>
    <m/>
    <m/>
    <m/>
    <m/>
  </r>
  <r>
    <m/>
    <m/>
    <x v="408"/>
    <m/>
    <n v="190"/>
    <m/>
    <m/>
    <m/>
    <m/>
    <m/>
    <m/>
    <m/>
    <m/>
    <m/>
    <m/>
    <m/>
    <m/>
    <m/>
    <m/>
    <m/>
    <m/>
    <n v="610"/>
    <n v="2740"/>
    <n v="3350"/>
    <e v="#DIV/0!"/>
    <m/>
    <m/>
    <m/>
    <n v="430"/>
    <m/>
    <n v="240"/>
    <m/>
    <m/>
    <n v="114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5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2340"/>
    <n v="6440"/>
    <n v="8780"/>
    <e v="#DIV/0!"/>
    <m/>
    <m/>
    <m/>
    <n v="530"/>
    <m/>
    <n v="800"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770"/>
    <n v="2030"/>
    <n v="2800"/>
    <e v="#DIV/0!"/>
    <m/>
    <m/>
    <m/>
    <n v="140"/>
    <m/>
    <n v="290"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410"/>
    <n v="3010"/>
    <n v="4420"/>
    <e v="#DIV/0!"/>
    <m/>
    <m/>
    <m/>
    <n v="370"/>
    <m/>
    <n v="720"/>
    <m/>
    <m/>
    <n v="140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660"/>
    <n v="1400"/>
    <n v="2060"/>
    <e v="#DIV/0!"/>
    <m/>
    <m/>
    <m/>
    <n v="100"/>
    <m/>
    <n v="290"/>
    <m/>
    <m/>
    <n v="87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9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43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2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00"/>
    <n v="210"/>
    <n v="310"/>
    <e v="#DIV/0!"/>
    <m/>
    <m/>
    <m/>
    <n v="50"/>
    <m/>
    <n v="0"/>
    <m/>
    <m/>
    <n v="6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0"/>
    <n v="10"/>
    <n v="10"/>
    <e v="#DIV/0!"/>
    <m/>
    <m/>
    <m/>
    <n v="0"/>
    <m/>
    <n v="0"/>
    <m/>
    <m/>
    <n v="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260"/>
    <n v="400"/>
    <n v="660"/>
    <e v="#DIV/0!"/>
    <m/>
    <m/>
    <m/>
    <n v="470"/>
    <m/>
    <n v="10"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0"/>
    <n v="0"/>
    <n v="0"/>
    <e v="#DIV/0!"/>
    <m/>
    <m/>
    <m/>
    <n v="10"/>
    <m/>
    <n v="0"/>
    <m/>
    <m/>
    <n v="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90"/>
    <n v="80"/>
    <n v="170"/>
    <e v="#DIV/0!"/>
    <m/>
    <m/>
    <m/>
    <n v="30"/>
    <m/>
    <n v="30"/>
    <m/>
    <m/>
    <n v="5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10"/>
    <n v="360"/>
    <n v="470"/>
    <e v="#DIV/0!"/>
    <m/>
    <m/>
    <m/>
    <n v="210"/>
    <m/>
    <n v="60"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443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59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80"/>
    <n v="320"/>
    <n v="400"/>
    <e v="#DIV/0!"/>
    <m/>
    <m/>
    <m/>
    <n v="90"/>
    <m/>
    <n v="30"/>
    <m/>
    <m/>
    <n v="7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297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345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395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276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310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220"/>
    <n v="2220"/>
    <n v="3440"/>
    <e v="#DIV/0!"/>
    <m/>
    <m/>
    <m/>
    <n v="300"/>
    <m/>
    <n v="500"/>
    <m/>
    <m/>
    <n v="100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020"/>
    <n v="2320"/>
    <n v="3340"/>
    <e v="#DIV/0!"/>
    <m/>
    <m/>
    <m/>
    <n v="330"/>
    <m/>
    <n v="400"/>
    <m/>
    <m/>
    <n v="99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1080"/>
    <n v="1670"/>
    <n v="2750"/>
    <e v="#DIV/0!"/>
    <m/>
    <m/>
    <m/>
    <n v="130"/>
    <m/>
    <n v="510"/>
    <m/>
    <m/>
    <n v="440"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790"/>
    <n v="1140"/>
    <n v="1930"/>
    <e v="#DIV/0!"/>
    <m/>
    <m/>
    <m/>
    <n v="130"/>
    <m/>
    <n v="380"/>
    <m/>
    <m/>
    <n v="240"/>
    <x v="360"/>
    <m/>
    <m/>
    <m/>
    <m/>
    <m/>
    <m/>
  </r>
  <r>
    <m/>
    <m/>
    <x v="408"/>
    <m/>
    <n v="350"/>
    <m/>
    <m/>
    <m/>
    <m/>
    <m/>
    <m/>
    <m/>
    <m/>
    <m/>
    <m/>
    <m/>
    <m/>
    <m/>
    <m/>
    <m/>
    <m/>
    <n v="630"/>
    <n v="730"/>
    <n v="1360"/>
    <e v="#DIV/0!"/>
    <m/>
    <m/>
    <m/>
    <n v="70"/>
    <m/>
    <n v="210"/>
    <m/>
    <m/>
    <n v="18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236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4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380"/>
    <n v="940"/>
    <n v="1320"/>
    <e v="#DIV/0!"/>
    <m/>
    <m/>
    <m/>
    <n v="180"/>
    <m/>
    <n v="70"/>
    <m/>
    <m/>
    <n v="300"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160"/>
    <n v="440"/>
    <n v="600"/>
    <e v="#DIV/0!"/>
    <m/>
    <m/>
    <m/>
    <n v="80"/>
    <m/>
    <n v="60"/>
    <m/>
    <m/>
    <n v="5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67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70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273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133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5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212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191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30"/>
    <n v="70"/>
    <n v="100"/>
    <e v="#DIV/0!"/>
    <m/>
    <m/>
    <m/>
    <n v="90"/>
    <m/>
    <n v="0"/>
    <m/>
    <m/>
    <n v="12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30"/>
    <n v="240"/>
    <n v="270"/>
    <e v="#DIV/0!"/>
    <m/>
    <m/>
    <m/>
    <n v="90"/>
    <m/>
    <n v="10"/>
    <m/>
    <m/>
    <n v="31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170"/>
    <n v="240"/>
    <n v="410"/>
    <e v="#DIV/0!"/>
    <m/>
    <m/>
    <m/>
    <n v="80"/>
    <m/>
    <n v="30"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00"/>
    <n v="760"/>
    <n v="860"/>
    <e v="#DIV/0!"/>
    <m/>
    <m/>
    <m/>
    <n v="800"/>
    <m/>
    <n v="40"/>
    <m/>
    <m/>
    <n v="81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310"/>
    <n v="1630"/>
    <n v="1940"/>
    <e v="#DIV/0!"/>
    <m/>
    <m/>
    <m/>
    <n v="790"/>
    <m/>
    <n v="100"/>
    <m/>
    <m/>
    <n v="1510"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320"/>
    <n v="1700"/>
    <n v="2020"/>
    <e v="#DIV/0!"/>
    <m/>
    <m/>
    <m/>
    <n v="1310"/>
    <m/>
    <n v="50"/>
    <m/>
    <m/>
    <n v="178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30"/>
    <n v="550"/>
    <n v="680"/>
    <e v="#DIV/0!"/>
    <m/>
    <m/>
    <m/>
    <n v="250"/>
    <m/>
    <n v="30"/>
    <m/>
    <m/>
    <n v="19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50"/>
    <n v="520"/>
    <n v="570"/>
    <e v="#DIV/0!"/>
    <m/>
    <m/>
    <m/>
    <n v="70"/>
    <m/>
    <n v="20"/>
    <m/>
    <m/>
    <n v="9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30"/>
    <n v="250"/>
    <n v="380"/>
    <e v="#DIV/0!"/>
    <m/>
    <m/>
    <m/>
    <n v="30"/>
    <m/>
    <n v="10"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6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50"/>
    <n v="200"/>
    <n v="250"/>
    <e v="#DIV/0!"/>
    <m/>
    <m/>
    <m/>
    <n v="160"/>
    <m/>
    <n v="10"/>
    <m/>
    <m/>
    <n v="42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389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179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1990"/>
    <n v="4580"/>
    <n v="6570"/>
    <e v="#DIV/0!"/>
    <m/>
    <m/>
    <m/>
    <n v="570"/>
    <m/>
    <n v="240"/>
    <m/>
    <m/>
    <n v="190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710"/>
    <n v="3740"/>
    <n v="5450"/>
    <e v="#DIV/0!"/>
    <m/>
    <m/>
    <m/>
    <n v="430"/>
    <m/>
    <n v="270"/>
    <m/>
    <m/>
    <n v="160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60"/>
    <n v="30"/>
    <n v="90"/>
    <e v="#DIV/0!"/>
    <m/>
    <m/>
    <m/>
    <n v="20"/>
    <m/>
    <n v="30"/>
    <m/>
    <m/>
    <n v="5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410"/>
    <n v="1150"/>
    <n v="1560"/>
    <e v="#DIV/0!"/>
    <m/>
    <m/>
    <m/>
    <n v="460"/>
    <m/>
    <n v="20"/>
    <m/>
    <m/>
    <n v="79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490"/>
    <n v="3000"/>
    <n v="3490"/>
    <e v="#DIV/0!"/>
    <m/>
    <m/>
    <m/>
    <n v="1090"/>
    <m/>
    <n v="220"/>
    <m/>
    <m/>
    <n v="2260"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n v="230"/>
    <n v="980"/>
    <n v="1210"/>
    <e v="#DIV/0!"/>
    <m/>
    <m/>
    <m/>
    <n v="540"/>
    <m/>
    <n v="160"/>
    <m/>
    <m/>
    <n v="71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00"/>
    <n v="810"/>
    <n v="910"/>
    <e v="#DIV/0!"/>
    <m/>
    <m/>
    <m/>
    <n v="230"/>
    <m/>
    <n v="40"/>
    <m/>
    <m/>
    <n v="21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410"/>
    <e v="#DIV/0!"/>
    <m/>
    <m/>
    <m/>
    <m/>
    <m/>
    <m/>
    <m/>
    <m/>
    <m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20"/>
    <n v="170"/>
    <n v="190"/>
    <e v="#DIV/0!"/>
    <m/>
    <m/>
    <m/>
    <n v="0"/>
    <m/>
    <n v="50"/>
    <m/>
    <m/>
    <n v="7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60"/>
    <n v="210"/>
    <n v="270"/>
    <e v="#DIV/0!"/>
    <m/>
    <m/>
    <m/>
    <n v="80"/>
    <m/>
    <n v="20"/>
    <m/>
    <m/>
    <n v="5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60"/>
    <n v="120"/>
    <n v="180"/>
    <e v="#DIV/0!"/>
    <m/>
    <m/>
    <m/>
    <n v="210"/>
    <m/>
    <n v="0"/>
    <m/>
    <m/>
    <n v="17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39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95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28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83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68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95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13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220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257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20"/>
    <n v="50"/>
    <n v="70"/>
    <e v="#DIV/0!"/>
    <m/>
    <m/>
    <m/>
    <n v="10"/>
    <m/>
    <n v="30"/>
    <m/>
    <m/>
    <n v="1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334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489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518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505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628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501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331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21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120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420"/>
    <n v="1210"/>
    <n v="1630"/>
    <e v="#DIV/0!"/>
    <m/>
    <m/>
    <m/>
    <n v="400"/>
    <m/>
    <n v="100"/>
    <m/>
    <m/>
    <n v="84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240"/>
    <n v="970"/>
    <n v="1210"/>
    <e v="#DIV/0!"/>
    <m/>
    <m/>
    <m/>
    <n v="430"/>
    <m/>
    <n v="70"/>
    <m/>
    <m/>
    <n v="71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410"/>
    <n v="1100"/>
    <n v="1510"/>
    <e v="#DIV/0!"/>
    <m/>
    <m/>
    <m/>
    <n v="500"/>
    <m/>
    <n v="70"/>
    <m/>
    <m/>
    <n v="40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420"/>
    <n v="1640"/>
    <n v="2060"/>
    <e v="#DIV/0!"/>
    <m/>
    <m/>
    <m/>
    <n v="390"/>
    <m/>
    <n v="130"/>
    <m/>
    <m/>
    <n v="50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950"/>
    <n v="2880"/>
    <n v="4830"/>
    <e v="#DIV/0!"/>
    <m/>
    <m/>
    <m/>
    <n v="560"/>
    <m/>
    <n v="300"/>
    <m/>
    <m/>
    <n v="168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140"/>
    <n v="1290"/>
    <n v="2430"/>
    <e v="#DIV/0!"/>
    <m/>
    <m/>
    <m/>
    <n v="120"/>
    <m/>
    <n v="130"/>
    <m/>
    <m/>
    <n v="58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90"/>
    <n v="500"/>
    <n v="790"/>
    <e v="#DIV/0!"/>
    <m/>
    <m/>
    <m/>
    <n v="40"/>
    <m/>
    <n v="60"/>
    <m/>
    <m/>
    <n v="26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175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883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136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073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191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1126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1003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96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590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470"/>
    <n v="940"/>
    <n v="1410"/>
    <e v="#DIV/0!"/>
    <m/>
    <m/>
    <m/>
    <n v="120"/>
    <m/>
    <n v="210"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210"/>
    <n v="2000"/>
    <n v="3210"/>
    <e v="#DIV/0!"/>
    <m/>
    <m/>
    <m/>
    <n v="500"/>
    <m/>
    <n v="280"/>
    <m/>
    <m/>
    <n v="97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2010"/>
    <n v="3470"/>
    <n v="5480"/>
    <e v="#DIV/0!"/>
    <m/>
    <m/>
    <m/>
    <n v="610"/>
    <m/>
    <n v="600"/>
    <m/>
    <m/>
    <n v="163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010"/>
    <n v="2920"/>
    <n v="4930"/>
    <e v="#DIV/0!"/>
    <m/>
    <m/>
    <m/>
    <n v="1170"/>
    <m/>
    <n v="860"/>
    <m/>
    <m/>
    <n v="163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330"/>
    <n v="490"/>
    <n v="820"/>
    <e v="#DIV/0!"/>
    <m/>
    <m/>
    <m/>
    <n v="140"/>
    <m/>
    <n v="110"/>
    <m/>
    <m/>
    <n v="21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535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790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901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901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m/>
    <m/>
    <n v="7870"/>
    <e v="#DIV/0!"/>
    <m/>
    <m/>
    <m/>
    <m/>
    <m/>
    <m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1340"/>
    <n v="6230"/>
    <n v="7570"/>
    <e v="#DIV/0!"/>
    <m/>
    <m/>
    <m/>
    <n v="670"/>
    <m/>
    <n v="390"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31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326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263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54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48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430"/>
    <n v="1060"/>
    <n v="1490"/>
    <e v="#DIV/0!"/>
    <m/>
    <m/>
    <m/>
    <n v="960"/>
    <m/>
    <n v="140"/>
    <m/>
    <m/>
    <n v="104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0"/>
    <n v="0"/>
    <n v="0"/>
    <e v="#DIV/0!"/>
    <m/>
    <m/>
    <m/>
    <n v="0"/>
    <m/>
    <n v="0"/>
    <m/>
    <m/>
    <n v="0"/>
    <x v="360"/>
    <m/>
    <m/>
    <m/>
    <m/>
    <m/>
    <m/>
  </r>
  <r>
    <m/>
    <m/>
    <x v="408"/>
    <m/>
    <n v="500"/>
    <m/>
    <m/>
    <m/>
    <m/>
    <m/>
    <m/>
    <m/>
    <m/>
    <m/>
    <m/>
    <m/>
    <m/>
    <m/>
    <m/>
    <m/>
    <m/>
    <m/>
    <m/>
    <n v="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30"/>
    <n v="70"/>
    <n v="100"/>
    <e v="#DIV/0!"/>
    <m/>
    <m/>
    <m/>
    <n v="0"/>
    <m/>
    <n v="40"/>
    <m/>
    <m/>
    <n v="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66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940"/>
    <n v="1340"/>
    <n v="2280"/>
    <e v="#DIV/0!"/>
    <m/>
    <m/>
    <m/>
    <n v="640"/>
    <m/>
    <n v="240"/>
    <m/>
    <m/>
    <n v="93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010"/>
    <n v="1270"/>
    <n v="2280"/>
    <e v="#DIV/0!"/>
    <m/>
    <m/>
    <m/>
    <n v="660"/>
    <m/>
    <n v="170"/>
    <m/>
    <m/>
    <n v="95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710"/>
    <n v="2200"/>
    <n v="3910"/>
    <e v="#DIV/0!"/>
    <m/>
    <m/>
    <m/>
    <n v="1000"/>
    <m/>
    <n v="270"/>
    <m/>
    <m/>
    <n v="138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230"/>
    <n v="1890"/>
    <n v="3120"/>
    <e v="#DIV/0!"/>
    <m/>
    <m/>
    <m/>
    <n v="610"/>
    <m/>
    <n v="260"/>
    <m/>
    <m/>
    <n v="118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020"/>
    <n v="1300"/>
    <n v="2320"/>
    <e v="#DIV/0!"/>
    <m/>
    <m/>
    <m/>
    <n v="470"/>
    <m/>
    <n v="180"/>
    <m/>
    <m/>
    <n v="70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30"/>
    <n v="210"/>
    <n v="340"/>
    <e v="#DIV/0!"/>
    <m/>
    <m/>
    <m/>
    <n v="60"/>
    <m/>
    <n v="0"/>
    <m/>
    <m/>
    <n v="14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700"/>
    <n v="2620"/>
    <n v="4320"/>
    <e v="#DIV/0!"/>
    <m/>
    <m/>
    <m/>
    <n v="480"/>
    <m/>
    <n v="960"/>
    <m/>
    <m/>
    <n v="155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660"/>
    <n v="990"/>
    <n v="1650"/>
    <e v="#DIV/0!"/>
    <m/>
    <m/>
    <m/>
    <n v="260"/>
    <m/>
    <n v="450"/>
    <m/>
    <m/>
    <n v="64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440"/>
    <n v="1800"/>
    <n v="3240"/>
    <e v="#DIV/0!"/>
    <m/>
    <m/>
    <m/>
    <n v="490"/>
    <m/>
    <n v="950"/>
    <m/>
    <m/>
    <n v="147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590"/>
    <n v="1010"/>
    <n v="1600"/>
    <e v="#DIV/0!"/>
    <m/>
    <m/>
    <m/>
    <n v="180"/>
    <m/>
    <n v="510"/>
    <m/>
    <m/>
    <n v="61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20"/>
    <n v="20"/>
    <n v="40"/>
    <e v="#DIV/0!"/>
    <m/>
    <m/>
    <m/>
    <n v="0"/>
    <m/>
    <n v="0"/>
    <m/>
    <m/>
    <n v="1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2210"/>
    <n v="4210"/>
    <n v="6420"/>
    <e v="#DIV/0!"/>
    <m/>
    <m/>
    <m/>
    <n v="650"/>
    <m/>
    <n v="320"/>
    <m/>
    <m/>
    <n v="148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570"/>
    <n v="2370"/>
    <n v="3940"/>
    <e v="#DIV/0!"/>
    <m/>
    <m/>
    <m/>
    <n v="470"/>
    <m/>
    <n v="180"/>
    <m/>
    <m/>
    <n v="125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70"/>
    <n v="370"/>
    <n v="540"/>
    <e v="#DIV/0!"/>
    <m/>
    <m/>
    <m/>
    <n v="30"/>
    <m/>
    <n v="40"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700"/>
    <n v="2510"/>
    <n v="3210"/>
    <e v="#DIV/0!"/>
    <m/>
    <m/>
    <m/>
    <n v="160"/>
    <m/>
    <n v="80"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430"/>
    <n v="1050"/>
    <n v="1480"/>
    <e v="#DIV/0!"/>
    <m/>
    <m/>
    <m/>
    <n v="160"/>
    <m/>
    <n v="50"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300"/>
    <n v="700"/>
    <n v="1000"/>
    <e v="#DIV/0!"/>
    <m/>
    <m/>
    <m/>
    <n v="90"/>
    <m/>
    <n v="10"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60"/>
    <n v="230"/>
    <n v="290"/>
    <e v="#DIV/0!"/>
    <m/>
    <m/>
    <m/>
    <n v="30"/>
    <m/>
    <n v="40"/>
    <m/>
    <m/>
    <n v="22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20"/>
    <n v="150"/>
    <n v="270"/>
    <e v="#DIV/0!"/>
    <m/>
    <m/>
    <m/>
    <n v="40"/>
    <m/>
    <n v="0"/>
    <m/>
    <m/>
    <n v="1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30"/>
    <n v="430"/>
    <n v="560"/>
    <e v="#DIV/0!"/>
    <m/>
    <m/>
    <m/>
    <n v="220"/>
    <m/>
    <n v="40"/>
    <m/>
    <m/>
    <n v="45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230"/>
    <n v="440"/>
    <n v="670"/>
    <e v="#DIV/0!"/>
    <m/>
    <m/>
    <m/>
    <n v="400"/>
    <m/>
    <n v="40"/>
    <m/>
    <m/>
    <n v="76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300"/>
    <n v="800"/>
    <n v="1100"/>
    <e v="#DIV/0!"/>
    <m/>
    <m/>
    <m/>
    <n v="350"/>
    <m/>
    <n v="110"/>
    <m/>
    <m/>
    <n v="87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350"/>
    <n v="880"/>
    <n v="1230"/>
    <e v="#DIV/0!"/>
    <m/>
    <m/>
    <m/>
    <n v="310"/>
    <m/>
    <n v="80"/>
    <m/>
    <m/>
    <n v="63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20"/>
    <n v="670"/>
    <n v="890"/>
    <e v="#DIV/0!"/>
    <m/>
    <m/>
    <m/>
    <n v="370"/>
    <m/>
    <n v="40"/>
    <m/>
    <m/>
    <n v="71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480"/>
    <n v="1410"/>
    <n v="1890"/>
    <e v="#DIV/0!"/>
    <m/>
    <m/>
    <m/>
    <n v="1000"/>
    <m/>
    <n v="80"/>
    <m/>
    <m/>
    <n v="210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380"/>
    <n v="1310"/>
    <n v="1690"/>
    <e v="#DIV/0!"/>
    <m/>
    <m/>
    <m/>
    <n v="810"/>
    <m/>
    <n v="90"/>
    <m/>
    <m/>
    <n v="150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500"/>
    <n v="1200"/>
    <n v="1700"/>
    <e v="#DIV/0!"/>
    <m/>
    <m/>
    <m/>
    <n v="850"/>
    <m/>
    <n v="140"/>
    <m/>
    <m/>
    <n v="154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290"/>
    <n v="860"/>
    <n v="1150"/>
    <e v="#DIV/0!"/>
    <m/>
    <m/>
    <m/>
    <n v="670"/>
    <m/>
    <n v="60"/>
    <m/>
    <m/>
    <n v="140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0"/>
    <n v="10"/>
    <n v="20"/>
    <e v="#DIV/0!"/>
    <m/>
    <m/>
    <m/>
    <n v="40"/>
    <m/>
    <n v="0"/>
    <m/>
    <m/>
    <n v="6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990"/>
    <n v="2270"/>
    <n v="3260"/>
    <e v="#DIV/0!"/>
    <m/>
    <m/>
    <m/>
    <n v="900"/>
    <m/>
    <n v="130"/>
    <m/>
    <m/>
    <n v="197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230"/>
    <n v="2710"/>
    <n v="3940"/>
    <e v="#DIV/0!"/>
    <m/>
    <m/>
    <m/>
    <n v="750"/>
    <m/>
    <n v="170"/>
    <m/>
    <m/>
    <n v="197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140"/>
    <n v="2030"/>
    <n v="3170"/>
    <e v="#DIV/0!"/>
    <m/>
    <m/>
    <m/>
    <n v="710"/>
    <m/>
    <n v="150"/>
    <m/>
    <m/>
    <n v="204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30"/>
    <n v="190"/>
    <n v="320"/>
    <e v="#DIV/0!"/>
    <m/>
    <m/>
    <m/>
    <n v="20"/>
    <m/>
    <n v="0"/>
    <m/>
    <m/>
    <n v="15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539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838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1066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964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799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545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m/>
    <m/>
    <n v="74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60"/>
    <n v="0"/>
    <n v="60"/>
    <e v="#DIV/0!"/>
    <m/>
    <m/>
    <m/>
    <n v="10"/>
    <m/>
    <n v="0"/>
    <m/>
    <m/>
    <n v="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90"/>
    <n v="20"/>
    <n v="110"/>
    <e v="#DIV/0!"/>
    <m/>
    <m/>
    <m/>
    <n v="0"/>
    <m/>
    <n v="0"/>
    <m/>
    <m/>
    <n v="1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30"/>
    <n v="80"/>
    <n v="110"/>
    <e v="#DIV/0!"/>
    <m/>
    <m/>
    <m/>
    <n v="10"/>
    <m/>
    <n v="0"/>
    <m/>
    <m/>
    <n v="6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20"/>
    <n v="120"/>
    <n v="140"/>
    <e v="#DIV/0!"/>
    <m/>
    <m/>
    <m/>
    <n v="30"/>
    <m/>
    <n v="20"/>
    <m/>
    <m/>
    <n v="5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20"/>
    <n v="80"/>
    <n v="100"/>
    <e v="#DIV/0!"/>
    <m/>
    <m/>
    <m/>
    <n v="0"/>
    <m/>
    <n v="10"/>
    <m/>
    <m/>
    <n v="2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20"/>
    <n v="70"/>
    <n v="90"/>
    <e v="#DIV/0!"/>
    <m/>
    <m/>
    <m/>
    <n v="50"/>
    <m/>
    <n v="20"/>
    <m/>
    <m/>
    <n v="8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0"/>
    <n v="30"/>
    <n v="30"/>
    <e v="#DIV/0!"/>
    <m/>
    <m/>
    <m/>
    <n v="10"/>
    <m/>
    <n v="10"/>
    <m/>
    <m/>
    <n v="20"/>
    <x v="360"/>
    <m/>
    <m/>
    <m/>
    <m/>
    <m/>
    <m/>
  </r>
  <r>
    <m/>
    <m/>
    <x v="408"/>
    <m/>
    <n v="200"/>
    <m/>
    <m/>
    <m/>
    <m/>
    <m/>
    <m/>
    <m/>
    <m/>
    <m/>
    <m/>
    <m/>
    <m/>
    <m/>
    <m/>
    <m/>
    <m/>
    <n v="280"/>
    <n v="1560"/>
    <n v="1840"/>
    <e v="#DIV/0!"/>
    <m/>
    <m/>
    <m/>
    <n v="230"/>
    <m/>
    <n v="280"/>
    <m/>
    <m/>
    <n v="45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22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0"/>
    <n v="90"/>
    <n v="100"/>
    <e v="#DIV/0!"/>
    <m/>
    <m/>
    <m/>
    <n v="90"/>
    <m/>
    <n v="0"/>
    <m/>
    <m/>
    <n v="10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50"/>
    <n v="220"/>
    <n v="370"/>
    <e v="#DIV/0!"/>
    <m/>
    <m/>
    <m/>
    <n v="30"/>
    <m/>
    <n v="10"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26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120"/>
    <n v="400"/>
    <n v="520"/>
    <e v="#DIV/0!"/>
    <m/>
    <m/>
    <m/>
    <n v="390"/>
    <m/>
    <n v="30"/>
    <m/>
    <m/>
    <n v="45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260"/>
    <n v="1660"/>
    <n v="1920"/>
    <e v="#DIV/0!"/>
    <m/>
    <m/>
    <m/>
    <n v="1230"/>
    <m/>
    <n v="90"/>
    <m/>
    <m/>
    <n v="114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40"/>
    <n v="350"/>
    <n v="390"/>
    <e v="#DIV/0!"/>
    <m/>
    <m/>
    <m/>
    <n v="250"/>
    <m/>
    <n v="50"/>
    <m/>
    <m/>
    <n v="29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20"/>
    <n v="70"/>
    <n v="90"/>
    <e v="#DIV/0!"/>
    <m/>
    <m/>
    <m/>
    <n v="40"/>
    <m/>
    <n v="0"/>
    <m/>
    <m/>
    <n v="4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60"/>
    <n v="300"/>
    <n v="360"/>
    <e v="#DIV/0!"/>
    <m/>
    <m/>
    <m/>
    <n v="0"/>
    <m/>
    <n v="20"/>
    <m/>
    <m/>
    <n v="9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53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96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60"/>
    <n v="110"/>
    <n v="170"/>
    <e v="#DIV/0!"/>
    <m/>
    <m/>
    <m/>
    <n v="70"/>
    <m/>
    <n v="10"/>
    <m/>
    <m/>
    <n v="22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40"/>
    <n v="610"/>
    <n v="650"/>
    <e v="#DIV/0!"/>
    <m/>
    <m/>
    <m/>
    <n v="130"/>
    <m/>
    <n v="40"/>
    <m/>
    <m/>
    <n v="18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300"/>
    <n v="1010"/>
    <n v="1310"/>
    <e v="#DIV/0!"/>
    <m/>
    <m/>
    <m/>
    <n v="590"/>
    <m/>
    <n v="170"/>
    <m/>
    <m/>
    <n v="74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450"/>
    <n v="1460"/>
    <n v="1910"/>
    <e v="#DIV/0!"/>
    <m/>
    <m/>
    <m/>
    <n v="1030"/>
    <m/>
    <n v="180"/>
    <m/>
    <m/>
    <n v="150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540"/>
    <n v="1500"/>
    <n v="2040"/>
    <e v="#DIV/0!"/>
    <m/>
    <m/>
    <m/>
    <n v="910"/>
    <m/>
    <n v="120"/>
    <m/>
    <m/>
    <n v="173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370"/>
    <n v="1480"/>
    <n v="1850"/>
    <e v="#DIV/0!"/>
    <m/>
    <m/>
    <m/>
    <n v="950"/>
    <m/>
    <n v="60"/>
    <m/>
    <m/>
    <n v="184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340"/>
    <n v="1850"/>
    <n v="2190"/>
    <e v="#DIV/0!"/>
    <m/>
    <m/>
    <m/>
    <n v="920"/>
    <m/>
    <n v="40"/>
    <m/>
    <m/>
    <n v="160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310"/>
    <n v="2060"/>
    <n v="2370"/>
    <e v="#DIV/0!"/>
    <m/>
    <m/>
    <m/>
    <n v="1030"/>
    <m/>
    <n v="110"/>
    <m/>
    <m/>
    <n v="156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360"/>
    <n v="1690"/>
    <n v="2050"/>
    <e v="#DIV/0!"/>
    <m/>
    <m/>
    <m/>
    <n v="900"/>
    <m/>
    <n v="110"/>
    <m/>
    <m/>
    <n v="158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480"/>
    <n v="1820"/>
    <n v="2300"/>
    <e v="#DIV/0!"/>
    <m/>
    <m/>
    <m/>
    <n v="780"/>
    <m/>
    <n v="50"/>
    <m/>
    <m/>
    <n v="143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34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482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30"/>
    <n v="20"/>
    <n v="50"/>
    <e v="#DIV/0!"/>
    <m/>
    <m/>
    <m/>
    <n v="0"/>
    <m/>
    <n v="0"/>
    <m/>
    <m/>
    <n v="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50"/>
    <n v="80"/>
    <n v="130"/>
    <e v="#DIV/0!"/>
    <m/>
    <m/>
    <m/>
    <n v="40"/>
    <m/>
    <n v="10"/>
    <m/>
    <m/>
    <n v="10"/>
    <x v="360"/>
    <m/>
    <m/>
    <m/>
    <m/>
    <m/>
    <m/>
  </r>
  <r>
    <m/>
    <m/>
    <x v="408"/>
    <m/>
    <n v="370"/>
    <m/>
    <m/>
    <m/>
    <m/>
    <m/>
    <m/>
    <m/>
    <m/>
    <m/>
    <m/>
    <m/>
    <m/>
    <m/>
    <m/>
    <m/>
    <m/>
    <n v="420"/>
    <n v="930"/>
    <n v="1350"/>
    <e v="#DIV/0!"/>
    <m/>
    <m/>
    <m/>
    <n v="160"/>
    <m/>
    <n v="50"/>
    <m/>
    <m/>
    <n v="34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390"/>
    <n v="3790"/>
    <n v="5180"/>
    <e v="#DIV/0!"/>
    <m/>
    <m/>
    <m/>
    <n v="500"/>
    <m/>
    <n v="170"/>
    <m/>
    <m/>
    <n v="166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920"/>
    <n v="1880"/>
    <n v="2800"/>
    <e v="#DIV/0!"/>
    <m/>
    <m/>
    <m/>
    <n v="270"/>
    <m/>
    <n v="120"/>
    <m/>
    <m/>
    <n v="87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230"/>
    <n v="1890"/>
    <n v="3120"/>
    <e v="#DIV/0!"/>
    <m/>
    <m/>
    <m/>
    <n v="260"/>
    <m/>
    <n v="70"/>
    <m/>
    <m/>
    <n v="85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820"/>
    <n v="1530"/>
    <n v="2350"/>
    <e v="#DIV/0!"/>
    <m/>
    <m/>
    <m/>
    <n v="200"/>
    <m/>
    <n v="100"/>
    <m/>
    <m/>
    <n v="650"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n v="2200"/>
    <n v="4130"/>
    <n v="6330"/>
    <e v="#DIV/0!"/>
    <m/>
    <m/>
    <m/>
    <n v="1250"/>
    <m/>
    <n v="980"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2040"/>
    <n v="3760"/>
    <n v="5800"/>
    <e v="#DIV/0!"/>
    <m/>
    <m/>
    <m/>
    <n v="1090"/>
    <m/>
    <n v="1120"/>
    <m/>
    <m/>
    <n v="228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8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5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223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0"/>
    <n v="0"/>
    <n v="0"/>
    <e v="#DIV/0!"/>
    <m/>
    <m/>
    <m/>
    <n v="0"/>
    <m/>
    <n v="0"/>
    <m/>
    <m/>
    <n v="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920"/>
    <n v="1580"/>
    <n v="2500"/>
    <e v="#DIV/0!"/>
    <m/>
    <m/>
    <m/>
    <n v="560"/>
    <m/>
    <n v="180"/>
    <m/>
    <m/>
    <n v="82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470"/>
    <n v="2770"/>
    <n v="4240"/>
    <e v="#DIV/0!"/>
    <m/>
    <m/>
    <m/>
    <n v="980"/>
    <m/>
    <n v="180"/>
    <m/>
    <m/>
    <n v="95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13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350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239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260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250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301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590"/>
    <n v="1940"/>
    <n v="2530"/>
    <e v="#DIV/0!"/>
    <m/>
    <m/>
    <m/>
    <n v="420"/>
    <m/>
    <n v="210"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650"/>
    <n v="1860"/>
    <n v="2510"/>
    <e v="#DIV/0!"/>
    <m/>
    <m/>
    <m/>
    <n v="740"/>
    <m/>
    <n v="180"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470"/>
    <n v="1870"/>
    <n v="2340"/>
    <e v="#DIV/0!"/>
    <m/>
    <m/>
    <m/>
    <n v="680"/>
    <m/>
    <n v="180"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270"/>
    <n v="760"/>
    <n v="1030"/>
    <e v="#DIV/0!"/>
    <m/>
    <m/>
    <m/>
    <n v="250"/>
    <m/>
    <n v="80"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249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219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233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30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517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469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m/>
    <m/>
    <n v="3190"/>
    <e v="#DIV/0!"/>
    <m/>
    <m/>
    <m/>
    <m/>
    <m/>
    <m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m/>
    <m/>
    <n v="2890"/>
    <e v="#DIV/0!"/>
    <m/>
    <m/>
    <m/>
    <m/>
    <m/>
    <m/>
    <m/>
    <m/>
    <m/>
    <x v="360"/>
    <m/>
    <m/>
    <m/>
    <m/>
    <m/>
    <m/>
  </r>
  <r>
    <m/>
    <m/>
    <x v="408"/>
    <m/>
    <n v="200"/>
    <m/>
    <m/>
    <m/>
    <m/>
    <m/>
    <m/>
    <m/>
    <m/>
    <m/>
    <m/>
    <m/>
    <m/>
    <m/>
    <m/>
    <m/>
    <m/>
    <n v="120"/>
    <n v="750"/>
    <n v="870"/>
    <e v="#DIV/0!"/>
    <m/>
    <m/>
    <m/>
    <n v="300"/>
    <m/>
    <n v="140"/>
    <m/>
    <m/>
    <n v="560"/>
    <x v="360"/>
    <m/>
    <m/>
    <m/>
    <m/>
    <m/>
    <m/>
  </r>
  <r>
    <m/>
    <m/>
    <x v="408"/>
    <m/>
    <n v="20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233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246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295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259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259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330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251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m/>
    <m/>
    <n v="1680"/>
    <e v="#DIV/0!"/>
    <m/>
    <m/>
    <m/>
    <m/>
    <m/>
    <m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m/>
    <m/>
    <n v="31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492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472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323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352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350"/>
    <e v="#DIV/0!"/>
    <m/>
    <m/>
    <m/>
    <m/>
    <m/>
    <m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60"/>
    <n v="140"/>
    <n v="200"/>
    <e v="#DIV/0!"/>
    <m/>
    <m/>
    <m/>
    <n v="30"/>
    <m/>
    <n v="30"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280"/>
    <n v="540"/>
    <n v="820"/>
    <e v="#DIV/0!"/>
    <m/>
    <m/>
    <m/>
    <n v="370"/>
    <m/>
    <n v="60"/>
    <m/>
    <m/>
    <n v="64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210"/>
    <n v="450"/>
    <n v="660"/>
    <e v="#DIV/0!"/>
    <m/>
    <m/>
    <m/>
    <n v="350"/>
    <m/>
    <n v="70"/>
    <m/>
    <m/>
    <n v="38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70"/>
    <n v="610"/>
    <n v="880"/>
    <e v="#DIV/0!"/>
    <m/>
    <m/>
    <m/>
    <n v="720"/>
    <m/>
    <n v="50"/>
    <m/>
    <m/>
    <n v="62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48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83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510"/>
    <n v="1280"/>
    <n v="1790"/>
    <e v="#DIV/0!"/>
    <m/>
    <m/>
    <m/>
    <n v="220"/>
    <m/>
    <n v="710"/>
    <m/>
    <m/>
    <n v="48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67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75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700"/>
    <n v="860"/>
    <n v="1560"/>
    <e v="#DIV/0!"/>
    <m/>
    <m/>
    <m/>
    <n v="610"/>
    <m/>
    <n v="250"/>
    <m/>
    <m/>
    <n v="84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30"/>
    <n v="20"/>
    <n v="50"/>
    <e v="#DIV/0!"/>
    <m/>
    <m/>
    <m/>
    <n v="40"/>
    <m/>
    <n v="20"/>
    <m/>
    <m/>
    <n v="4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650"/>
    <n v="2280"/>
    <n v="3930"/>
    <e v="#DIV/0!"/>
    <m/>
    <m/>
    <m/>
    <n v="640"/>
    <m/>
    <n v="360"/>
    <m/>
    <m/>
    <n v="136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750"/>
    <n v="2260"/>
    <n v="4010"/>
    <e v="#DIV/0!"/>
    <m/>
    <m/>
    <m/>
    <n v="400"/>
    <m/>
    <n v="130"/>
    <m/>
    <m/>
    <n v="127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910"/>
    <n v="1930"/>
    <n v="2840"/>
    <e v="#DIV/0!"/>
    <m/>
    <m/>
    <m/>
    <n v="340"/>
    <m/>
    <n v="100"/>
    <m/>
    <m/>
    <n v="89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870"/>
    <n v="2930"/>
    <n v="3800"/>
    <e v="#DIV/0!"/>
    <m/>
    <m/>
    <m/>
    <n v="420"/>
    <m/>
    <n v="70"/>
    <m/>
    <m/>
    <n v="94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210"/>
    <n v="570"/>
    <n v="780"/>
    <e v="#DIV/0!"/>
    <m/>
    <m/>
    <m/>
    <n v="280"/>
    <m/>
    <n v="80"/>
    <m/>
    <m/>
    <n v="58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50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100"/>
    <n v="2330"/>
    <n v="3430"/>
    <e v="#DIV/0!"/>
    <m/>
    <m/>
    <m/>
    <n v="230"/>
    <m/>
    <n v="420"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140"/>
    <n v="4750"/>
    <n v="6890"/>
    <e v="#DIV/0!"/>
    <m/>
    <m/>
    <m/>
    <n v="380"/>
    <m/>
    <n v="1180"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870"/>
    <n v="3650"/>
    <n v="5520"/>
    <e v="#DIV/0!"/>
    <m/>
    <m/>
    <m/>
    <n v="250"/>
    <m/>
    <n v="620"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600"/>
    <n v="1180"/>
    <n v="1780"/>
    <e v="#DIV/0!"/>
    <m/>
    <m/>
    <m/>
    <n v="140"/>
    <m/>
    <n v="280"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72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30"/>
    <n v="40"/>
    <n v="70"/>
    <e v="#DIV/0!"/>
    <m/>
    <m/>
    <m/>
    <n v="10"/>
    <m/>
    <n v="0"/>
    <m/>
    <m/>
    <n v="3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197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m/>
    <m/>
    <n v="32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m/>
    <m/>
    <n v="4690"/>
    <e v="#DIV/0!"/>
    <m/>
    <m/>
    <m/>
    <m/>
    <m/>
    <m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m/>
    <m/>
    <n v="156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0"/>
    <n v="0"/>
    <n v="10"/>
    <e v="#DIV/0!"/>
    <m/>
    <m/>
    <m/>
    <n v="0"/>
    <m/>
    <n v="0"/>
    <m/>
    <m/>
    <n v="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00"/>
    <n v="160"/>
    <n v="260"/>
    <e v="#DIV/0!"/>
    <m/>
    <m/>
    <m/>
    <n v="70"/>
    <m/>
    <n v="10"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46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244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210"/>
    <n v="960"/>
    <n v="1170"/>
    <e v="#DIV/0!"/>
    <m/>
    <m/>
    <m/>
    <n v="170"/>
    <m/>
    <n v="70"/>
    <m/>
    <m/>
    <n v="24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277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60"/>
    <n v="400"/>
    <n v="460"/>
    <e v="#DIV/0!"/>
    <m/>
    <m/>
    <m/>
    <n v="200"/>
    <m/>
    <n v="30"/>
    <m/>
    <m/>
    <n v="49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57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94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69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87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310"/>
    <n v="340"/>
    <n v="650"/>
    <e v="#DIV/0!"/>
    <m/>
    <m/>
    <m/>
    <n v="120"/>
    <m/>
    <n v="50"/>
    <m/>
    <m/>
    <n v="28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491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731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7610"/>
    <e v="#DIV/0!"/>
    <m/>
    <m/>
    <m/>
    <m/>
    <m/>
    <m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m/>
    <m/>
    <n v="5280"/>
    <e v="#DIV/0!"/>
    <m/>
    <m/>
    <m/>
    <m/>
    <m/>
    <m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m/>
    <m/>
    <n v="6120"/>
    <e v="#DIV/0!"/>
    <m/>
    <m/>
    <m/>
    <m/>
    <m/>
    <m/>
    <m/>
    <m/>
    <m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m/>
    <m/>
    <n v="3860"/>
    <e v="#DIV/0!"/>
    <m/>
    <m/>
    <m/>
    <m/>
    <m/>
    <m/>
    <m/>
    <m/>
    <m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m/>
    <m/>
    <n v="557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36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800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661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916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098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995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7400"/>
    <e v="#DIV/0!"/>
    <m/>
    <m/>
    <m/>
    <m/>
    <m/>
    <m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m/>
    <m/>
    <n v="725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83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82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480"/>
    <n v="850"/>
    <n v="1330"/>
    <e v="#DIV/0!"/>
    <m/>
    <m/>
    <m/>
    <n v="650"/>
    <m/>
    <n v="20"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90"/>
    <n v="580"/>
    <n v="870"/>
    <e v="#DIV/0!"/>
    <m/>
    <m/>
    <m/>
    <n v="290"/>
    <m/>
    <n v="30"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0"/>
    <n v="0"/>
    <n v="10"/>
    <e v="#DIV/0!"/>
    <m/>
    <m/>
    <m/>
    <n v="0"/>
    <m/>
    <n v="0"/>
    <m/>
    <m/>
    <n v="2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30"/>
    <n v="100"/>
    <n v="130"/>
    <e v="#DIV/0!"/>
    <m/>
    <m/>
    <m/>
    <n v="20"/>
    <m/>
    <n v="0"/>
    <m/>
    <m/>
    <n v="5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690"/>
    <n v="1430"/>
    <n v="2120"/>
    <e v="#DIV/0!"/>
    <m/>
    <m/>
    <m/>
    <n v="680"/>
    <m/>
    <n v="170"/>
    <m/>
    <m/>
    <n v="113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650"/>
    <n v="1600"/>
    <n v="2250"/>
    <e v="#DIV/0!"/>
    <m/>
    <m/>
    <m/>
    <n v="730"/>
    <m/>
    <n v="110"/>
    <m/>
    <m/>
    <n v="142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00"/>
    <n v="90"/>
    <n v="190"/>
    <e v="#DIV/0!"/>
    <m/>
    <m/>
    <m/>
    <n v="130"/>
    <m/>
    <n v="20"/>
    <m/>
    <m/>
    <n v="17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8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338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246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238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326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344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230"/>
    <n v="3550"/>
    <n v="4780"/>
    <e v="#DIV/0!"/>
    <m/>
    <m/>
    <m/>
    <n v="420"/>
    <m/>
    <n v="670"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370"/>
    <n v="4630"/>
    <n v="6000"/>
    <e v="#DIV/0!"/>
    <m/>
    <m/>
    <m/>
    <n v="840"/>
    <m/>
    <n v="530"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800"/>
    <n v="2630"/>
    <n v="3430"/>
    <e v="#DIV/0!"/>
    <m/>
    <m/>
    <m/>
    <n v="410"/>
    <m/>
    <n v="200"/>
    <m/>
    <m/>
    <m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750"/>
    <n v="1540"/>
    <n v="2290"/>
    <e v="#DIV/0!"/>
    <m/>
    <m/>
    <m/>
    <n v="330"/>
    <m/>
    <n v="180"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290"/>
    <n v="810"/>
    <n v="1100"/>
    <e v="#DIV/0!"/>
    <m/>
    <m/>
    <m/>
    <n v="310"/>
    <m/>
    <n v="150"/>
    <m/>
    <m/>
    <n v="47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500"/>
    <n v="1940"/>
    <n v="3440"/>
    <e v="#DIV/0!"/>
    <m/>
    <m/>
    <m/>
    <n v="760"/>
    <m/>
    <n v="130"/>
    <m/>
    <m/>
    <n v="89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130"/>
    <n v="1490"/>
    <n v="2620"/>
    <e v="#DIV/0!"/>
    <m/>
    <m/>
    <m/>
    <n v="480"/>
    <m/>
    <n v="230"/>
    <m/>
    <m/>
    <n v="79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200"/>
    <n v="2760"/>
    <n v="3960"/>
    <e v="#DIV/0!"/>
    <m/>
    <m/>
    <m/>
    <n v="2050"/>
    <m/>
    <n v="60"/>
    <m/>
    <m/>
    <n v="258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060"/>
    <n v="2350"/>
    <n v="3410"/>
    <e v="#DIV/0!"/>
    <m/>
    <m/>
    <m/>
    <n v="1390"/>
    <m/>
    <n v="70"/>
    <m/>
    <m/>
    <n v="226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060"/>
    <n v="2120"/>
    <n v="3180"/>
    <e v="#DIV/0!"/>
    <m/>
    <m/>
    <m/>
    <n v="1090"/>
    <m/>
    <n v="40"/>
    <m/>
    <m/>
    <n v="211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620"/>
    <n v="1350"/>
    <n v="1970"/>
    <e v="#DIV/0!"/>
    <m/>
    <m/>
    <m/>
    <n v="600"/>
    <m/>
    <n v="90"/>
    <m/>
    <m/>
    <n v="135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950"/>
    <n v="2100"/>
    <n v="3050"/>
    <e v="#DIV/0!"/>
    <m/>
    <m/>
    <m/>
    <n v="1120"/>
    <m/>
    <n v="130"/>
    <m/>
    <m/>
    <n v="211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30"/>
    <n v="100"/>
    <n v="130"/>
    <e v="#DIV/0!"/>
    <m/>
    <m/>
    <m/>
    <n v="20"/>
    <m/>
    <n v="10"/>
    <m/>
    <m/>
    <n v="13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80"/>
    <n v="260"/>
    <n v="340"/>
    <e v="#DIV/0!"/>
    <m/>
    <m/>
    <m/>
    <n v="120"/>
    <m/>
    <n v="30"/>
    <m/>
    <m/>
    <n v="19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152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064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961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385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51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0"/>
    <n v="0"/>
    <n v="0"/>
    <e v="#DIV/0!"/>
    <m/>
    <m/>
    <m/>
    <n v="0"/>
    <m/>
    <n v="0"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480"/>
    <n v="570"/>
    <n v="1050"/>
    <e v="#DIV/0!"/>
    <m/>
    <m/>
    <m/>
    <n v="220"/>
    <m/>
    <n v="90"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40"/>
    <n v="100"/>
    <n v="140"/>
    <e v="#DIV/0!"/>
    <m/>
    <m/>
    <m/>
    <n v="60"/>
    <m/>
    <n v="10"/>
    <m/>
    <m/>
    <m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0"/>
    <n v="20"/>
    <n v="30"/>
    <e v="#DIV/0!"/>
    <m/>
    <m/>
    <m/>
    <n v="10"/>
    <m/>
    <n v="10"/>
    <m/>
    <m/>
    <n v="2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106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8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87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7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20"/>
    <n v="0"/>
    <n v="20"/>
    <e v="#DIV/0!"/>
    <m/>
    <m/>
    <m/>
    <n v="0"/>
    <m/>
    <n v="0"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220"/>
    <n v="1690"/>
    <n v="1910"/>
    <e v="#DIV/0!"/>
    <m/>
    <m/>
    <m/>
    <n v="780"/>
    <m/>
    <n v="110"/>
    <m/>
    <m/>
    <n v="180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290"/>
    <n v="1330"/>
    <n v="1620"/>
    <e v="#DIV/0!"/>
    <m/>
    <m/>
    <m/>
    <n v="560"/>
    <m/>
    <n v="60"/>
    <m/>
    <m/>
    <n v="103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180"/>
    <n v="1150"/>
    <n v="1330"/>
    <e v="#DIV/0!"/>
    <m/>
    <m/>
    <m/>
    <n v="440"/>
    <m/>
    <n v="10"/>
    <m/>
    <m/>
    <n v="85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70"/>
    <n v="1300"/>
    <n v="1470"/>
    <e v="#DIV/0!"/>
    <m/>
    <m/>
    <m/>
    <n v="360"/>
    <m/>
    <n v="40"/>
    <m/>
    <m/>
    <n v="105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110"/>
    <n v="620"/>
    <n v="730"/>
    <e v="#DIV/0!"/>
    <m/>
    <m/>
    <m/>
    <n v="420"/>
    <m/>
    <n v="50"/>
    <m/>
    <m/>
    <n v="360"/>
    <x v="360"/>
    <m/>
    <m/>
    <m/>
    <m/>
    <m/>
    <m/>
  </r>
  <r>
    <m/>
    <m/>
    <x v="408"/>
    <m/>
    <n v="340"/>
    <m/>
    <m/>
    <m/>
    <m/>
    <m/>
    <m/>
    <m/>
    <m/>
    <m/>
    <m/>
    <m/>
    <m/>
    <m/>
    <m/>
    <m/>
    <m/>
    <n v="220"/>
    <n v="1510"/>
    <n v="1730"/>
    <e v="#DIV/0!"/>
    <m/>
    <m/>
    <m/>
    <n v="1280"/>
    <m/>
    <n v="100"/>
    <m/>
    <m/>
    <n v="108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4180"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n v="604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767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140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27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296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470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510"/>
    <n v="1090"/>
    <n v="1600"/>
    <e v="#DIV/0!"/>
    <m/>
    <m/>
    <m/>
    <n v="980"/>
    <m/>
    <n v="30"/>
    <m/>
    <m/>
    <n v="148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430"/>
    <n v="830"/>
    <n v="1260"/>
    <e v="#DIV/0!"/>
    <m/>
    <m/>
    <m/>
    <n v="700"/>
    <m/>
    <n v="80"/>
    <m/>
    <m/>
    <n v="85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25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190"/>
    <n v="170"/>
    <n v="360"/>
    <e v="#DIV/0!"/>
    <m/>
    <m/>
    <m/>
    <n v="200"/>
    <m/>
    <n v="20"/>
    <m/>
    <m/>
    <n v="30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820"/>
    <n v="2040"/>
    <n v="2860"/>
    <e v="#DIV/0!"/>
    <m/>
    <m/>
    <m/>
    <n v="450"/>
    <m/>
    <n v="170"/>
    <m/>
    <m/>
    <n v="73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440"/>
    <n v="3610"/>
    <n v="5050"/>
    <e v="#DIV/0!"/>
    <m/>
    <m/>
    <m/>
    <n v="510"/>
    <m/>
    <n v="420"/>
    <m/>
    <m/>
    <n v="105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0"/>
    <n v="100"/>
    <n v="100"/>
    <e v="#DIV/0!"/>
    <m/>
    <m/>
    <m/>
    <n v="60"/>
    <m/>
    <n v="10"/>
    <m/>
    <m/>
    <n v="11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130"/>
    <n v="1770"/>
    <n v="2900"/>
    <e v="#DIV/0!"/>
    <m/>
    <m/>
    <m/>
    <n v="300"/>
    <m/>
    <n v="70"/>
    <m/>
    <m/>
    <n v="83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80"/>
    <n v="380"/>
    <n v="560"/>
    <e v="#DIV/0!"/>
    <m/>
    <m/>
    <m/>
    <n v="40"/>
    <m/>
    <n v="30"/>
    <m/>
    <m/>
    <n v="24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50"/>
    <n v="80"/>
    <n v="130"/>
    <e v="#DIV/0!"/>
    <m/>
    <m/>
    <m/>
    <n v="20"/>
    <m/>
    <n v="0"/>
    <m/>
    <m/>
    <n v="8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40"/>
    <n v="210"/>
    <n v="350"/>
    <e v="#DIV/0!"/>
    <m/>
    <m/>
    <m/>
    <n v="50"/>
    <m/>
    <n v="20"/>
    <m/>
    <m/>
    <n v="10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30"/>
    <n v="50"/>
    <n v="80"/>
    <e v="#DIV/0!"/>
    <m/>
    <m/>
    <m/>
    <n v="90"/>
    <m/>
    <n v="10"/>
    <m/>
    <m/>
    <n v="12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0"/>
    <n v="60"/>
    <n v="70"/>
    <e v="#DIV/0!"/>
    <m/>
    <m/>
    <m/>
    <n v="50"/>
    <m/>
    <n v="0"/>
    <m/>
    <m/>
    <n v="3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750"/>
    <n v="1410"/>
    <n v="2160"/>
    <e v="#DIV/0!"/>
    <m/>
    <m/>
    <m/>
    <n v="560"/>
    <m/>
    <n v="60"/>
    <m/>
    <m/>
    <n v="70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430"/>
    <n v="870"/>
    <n v="1300"/>
    <e v="#DIV/0!"/>
    <m/>
    <m/>
    <m/>
    <n v="630"/>
    <m/>
    <n v="80"/>
    <m/>
    <m/>
    <n v="54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740"/>
    <n v="1140"/>
    <n v="1880"/>
    <e v="#DIV/0!"/>
    <m/>
    <m/>
    <m/>
    <n v="750"/>
    <m/>
    <n v="150"/>
    <m/>
    <m/>
    <n v="64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700"/>
    <n v="990"/>
    <n v="1690"/>
    <e v="#DIV/0!"/>
    <m/>
    <m/>
    <m/>
    <n v="650"/>
    <m/>
    <n v="80"/>
    <m/>
    <m/>
    <n v="70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490"/>
    <n v="860"/>
    <n v="1350"/>
    <e v="#DIV/0!"/>
    <m/>
    <m/>
    <m/>
    <n v="1160"/>
    <m/>
    <n v="130"/>
    <m/>
    <m/>
    <n v="78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320"/>
    <n v="870"/>
    <n v="1190"/>
    <e v="#DIV/0!"/>
    <m/>
    <m/>
    <m/>
    <n v="530"/>
    <m/>
    <n v="60"/>
    <m/>
    <m/>
    <n v="47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550"/>
    <n v="1210"/>
    <n v="1760"/>
    <e v="#DIV/0!"/>
    <m/>
    <m/>
    <m/>
    <n v="880"/>
    <m/>
    <n v="60"/>
    <m/>
    <m/>
    <n v="59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570"/>
    <n v="1170"/>
    <n v="1740"/>
    <e v="#DIV/0!"/>
    <m/>
    <m/>
    <m/>
    <n v="740"/>
    <m/>
    <n v="80"/>
    <m/>
    <m/>
    <n v="73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330"/>
    <n v="720"/>
    <n v="1050"/>
    <e v="#DIV/0!"/>
    <m/>
    <m/>
    <m/>
    <n v="440"/>
    <m/>
    <n v="90"/>
    <m/>
    <m/>
    <n v="460"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n v="20"/>
    <n v="30"/>
    <n v="50"/>
    <e v="#DIV/0!"/>
    <m/>
    <m/>
    <m/>
    <n v="0"/>
    <m/>
    <n v="10"/>
    <m/>
    <m/>
    <n v="2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20"/>
    <n v="80"/>
    <n v="100"/>
    <e v="#DIV/0!"/>
    <m/>
    <m/>
    <m/>
    <n v="20"/>
    <m/>
    <n v="0"/>
    <m/>
    <m/>
    <n v="1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54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376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555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42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10"/>
    <m/>
    <m/>
    <m/>
    <m/>
    <m/>
    <m/>
    <m/>
    <m/>
    <m/>
    <m/>
    <m/>
    <m/>
    <m/>
    <m/>
    <m/>
    <m/>
    <m/>
    <m/>
    <m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195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264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342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39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130"/>
    <e v="#DIV/0!"/>
    <m/>
    <m/>
    <m/>
    <m/>
    <m/>
    <m/>
    <m/>
    <m/>
    <m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480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m/>
    <m/>
    <n v="4850"/>
    <e v="#DIV/0!"/>
    <m/>
    <m/>
    <m/>
    <m/>
    <m/>
    <m/>
    <m/>
    <m/>
    <m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m/>
    <m/>
    <n v="5980"/>
    <e v="#DIV/0!"/>
    <m/>
    <m/>
    <m/>
    <m/>
    <m/>
    <m/>
    <m/>
    <m/>
    <m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394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80"/>
    <n v="590"/>
    <n v="770"/>
    <e v="#DIV/0!"/>
    <m/>
    <m/>
    <m/>
    <n v="70"/>
    <m/>
    <n v="30"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980"/>
    <n v="2910"/>
    <n v="3890"/>
    <e v="#DIV/0!"/>
    <m/>
    <m/>
    <m/>
    <n v="260"/>
    <m/>
    <n v="220"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50"/>
    <n v="220"/>
    <n v="270"/>
    <e v="#DIV/0!"/>
    <m/>
    <m/>
    <m/>
    <n v="40"/>
    <m/>
    <n v="30"/>
    <m/>
    <m/>
    <m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50"/>
    <n v="210"/>
    <n v="360"/>
    <e v="#DIV/0!"/>
    <m/>
    <m/>
    <m/>
    <n v="120"/>
    <m/>
    <n v="70"/>
    <m/>
    <m/>
    <n v="23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150"/>
    <n v="380"/>
    <n v="530"/>
    <e v="#DIV/0!"/>
    <m/>
    <m/>
    <m/>
    <n v="150"/>
    <m/>
    <n v="30"/>
    <m/>
    <m/>
    <n v="26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780"/>
    <n v="1020"/>
    <n v="1800"/>
    <e v="#DIV/0!"/>
    <m/>
    <m/>
    <m/>
    <n v="420"/>
    <m/>
    <n v="100"/>
    <m/>
    <m/>
    <n v="1080"/>
    <x v="360"/>
    <m/>
    <m/>
    <m/>
    <m/>
    <m/>
    <m/>
  </r>
  <r>
    <m/>
    <m/>
    <x v="408"/>
    <m/>
    <n v="330"/>
    <m/>
    <m/>
    <m/>
    <m/>
    <m/>
    <m/>
    <m/>
    <m/>
    <m/>
    <m/>
    <m/>
    <m/>
    <m/>
    <m/>
    <m/>
    <m/>
    <n v="310"/>
    <n v="570"/>
    <n v="880"/>
    <e v="#DIV/0!"/>
    <m/>
    <m/>
    <m/>
    <n v="150"/>
    <m/>
    <n v="80"/>
    <m/>
    <m/>
    <n v="27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1180"/>
    <n v="2200"/>
    <n v="3380"/>
    <e v="#DIV/0!"/>
    <m/>
    <m/>
    <m/>
    <n v="490"/>
    <m/>
    <n v="490"/>
    <m/>
    <m/>
    <n v="75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920"/>
    <n v="1970"/>
    <n v="3890"/>
    <e v="#DIV/0!"/>
    <m/>
    <m/>
    <m/>
    <n v="630"/>
    <m/>
    <n v="590"/>
    <m/>
    <m/>
    <n v="83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010"/>
    <n v="1290"/>
    <n v="2300"/>
    <e v="#DIV/0!"/>
    <m/>
    <m/>
    <m/>
    <n v="410"/>
    <m/>
    <n v="450"/>
    <m/>
    <m/>
    <n v="44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310"/>
    <n v="2120"/>
    <n v="3430"/>
    <e v="#DIV/0!"/>
    <m/>
    <m/>
    <m/>
    <n v="330"/>
    <m/>
    <n v="520"/>
    <m/>
    <m/>
    <n v="60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630"/>
    <n v="940"/>
    <n v="1570"/>
    <e v="#DIV/0!"/>
    <m/>
    <m/>
    <m/>
    <n v="180"/>
    <m/>
    <n v="300"/>
    <m/>
    <m/>
    <n v="30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510"/>
    <n v="1040"/>
    <n v="1550"/>
    <e v="#DIV/0!"/>
    <m/>
    <m/>
    <m/>
    <n v="210"/>
    <m/>
    <n v="250"/>
    <m/>
    <m/>
    <n v="76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420"/>
    <n v="930"/>
    <n v="1350"/>
    <e v="#DIV/0!"/>
    <m/>
    <m/>
    <m/>
    <n v="100"/>
    <m/>
    <n v="140"/>
    <m/>
    <m/>
    <n v="63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0"/>
    <n v="50"/>
    <n v="60"/>
    <e v="#DIV/0!"/>
    <m/>
    <m/>
    <m/>
    <n v="20"/>
    <m/>
    <n v="0"/>
    <m/>
    <m/>
    <n v="8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90"/>
    <n v="730"/>
    <n v="1020"/>
    <e v="#DIV/0!"/>
    <m/>
    <m/>
    <m/>
    <n v="540"/>
    <m/>
    <n v="60"/>
    <m/>
    <m/>
    <n v="79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450"/>
    <n v="1750"/>
    <n v="2200"/>
    <e v="#DIV/0!"/>
    <m/>
    <m/>
    <m/>
    <n v="830"/>
    <m/>
    <n v="150"/>
    <m/>
    <m/>
    <n v="147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320"/>
    <n v="2420"/>
    <n v="2740"/>
    <e v="#DIV/0!"/>
    <m/>
    <m/>
    <m/>
    <n v="1440"/>
    <m/>
    <n v="370"/>
    <m/>
    <m/>
    <n v="175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230"/>
    <n v="1490"/>
    <n v="1720"/>
    <e v="#DIV/0!"/>
    <m/>
    <m/>
    <m/>
    <n v="1030"/>
    <m/>
    <n v="80"/>
    <m/>
    <m/>
    <n v="131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220"/>
    <n v="2060"/>
    <n v="2280"/>
    <e v="#DIV/0!"/>
    <m/>
    <m/>
    <m/>
    <n v="950"/>
    <m/>
    <n v="160"/>
    <m/>
    <m/>
    <n v="102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m/>
    <m/>
    <n v="400"/>
    <e v="#DIV/0!"/>
    <m/>
    <m/>
    <m/>
    <m/>
    <m/>
    <m/>
    <m/>
    <m/>
    <m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980"/>
    <n v="4570"/>
    <n v="6550"/>
    <e v="#DIV/0!"/>
    <m/>
    <m/>
    <m/>
    <n v="240"/>
    <m/>
    <n v="1120"/>
    <m/>
    <m/>
    <n v="170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280"/>
    <n v="520"/>
    <n v="800"/>
    <e v="#DIV/0!"/>
    <m/>
    <m/>
    <m/>
    <n v="30"/>
    <m/>
    <n v="110"/>
    <m/>
    <m/>
    <n v="20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1620"/>
    <n v="3030"/>
    <n v="4650"/>
    <e v="#DIV/0!"/>
    <m/>
    <m/>
    <m/>
    <n v="270"/>
    <m/>
    <n v="970"/>
    <m/>
    <m/>
    <n v="1030"/>
    <x v="360"/>
    <m/>
    <m/>
    <m/>
    <m/>
    <m/>
    <m/>
  </r>
  <r>
    <m/>
    <m/>
    <x v="408"/>
    <m/>
    <n v="300"/>
    <m/>
    <m/>
    <m/>
    <m/>
    <m/>
    <m/>
    <m/>
    <m/>
    <m/>
    <m/>
    <m/>
    <m/>
    <m/>
    <m/>
    <m/>
    <m/>
    <n v="1840"/>
    <n v="3060"/>
    <n v="4900"/>
    <e v="#DIV/0!"/>
    <m/>
    <m/>
    <m/>
    <n v="220"/>
    <m/>
    <n v="900"/>
    <m/>
    <m/>
    <n v="90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1760"/>
    <n v="2670"/>
    <n v="4430"/>
    <e v="#DIV/0!"/>
    <m/>
    <m/>
    <m/>
    <n v="350"/>
    <m/>
    <n v="1310"/>
    <m/>
    <m/>
    <n v="102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460"/>
    <n v="2200"/>
    <n v="3660"/>
    <e v="#DIV/0!"/>
    <m/>
    <m/>
    <m/>
    <n v="340"/>
    <m/>
    <n v="1000"/>
    <m/>
    <m/>
    <n v="850"/>
    <x v="360"/>
    <m/>
    <m/>
    <m/>
    <m/>
    <m/>
    <m/>
  </r>
  <r>
    <m/>
    <m/>
    <x v="408"/>
    <m/>
    <n v="310"/>
    <m/>
    <m/>
    <m/>
    <m/>
    <m/>
    <m/>
    <m/>
    <m/>
    <m/>
    <m/>
    <m/>
    <m/>
    <m/>
    <m/>
    <m/>
    <m/>
    <n v="90"/>
    <n v="130"/>
    <n v="220"/>
    <e v="#DIV/0!"/>
    <m/>
    <m/>
    <m/>
    <n v="190"/>
    <m/>
    <n v="80"/>
    <m/>
    <m/>
    <n v="470"/>
    <x v="360"/>
    <m/>
    <m/>
    <m/>
    <m/>
    <m/>
    <m/>
  </r>
  <r>
    <m/>
    <m/>
    <x v="408"/>
    <m/>
    <n v="320"/>
    <m/>
    <m/>
    <m/>
    <m/>
    <m/>
    <m/>
    <m/>
    <m/>
    <m/>
    <m/>
    <m/>
    <m/>
    <m/>
    <m/>
    <m/>
    <m/>
    <n v="190"/>
    <n v="960"/>
    <n v="1150"/>
    <e v="#DIV/0!"/>
    <m/>
    <m/>
    <m/>
    <n v="870"/>
    <m/>
    <n v="160"/>
    <m/>
    <m/>
    <n v="196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0"/>
    <n v="20"/>
    <n v="30"/>
    <e v="#DIV/0!"/>
    <m/>
    <m/>
    <m/>
    <n v="10"/>
    <m/>
    <n v="0"/>
    <m/>
    <m/>
    <n v="13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860"/>
    <n v="1760"/>
    <n v="2620"/>
    <e v="#DIV/0!"/>
    <m/>
    <m/>
    <m/>
    <n v="210"/>
    <m/>
    <n v="160"/>
    <m/>
    <m/>
    <n v="64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450"/>
    <n v="620"/>
    <n v="1070"/>
    <e v="#DIV/0!"/>
    <m/>
    <m/>
    <m/>
    <n v="90"/>
    <m/>
    <n v="20"/>
    <m/>
    <m/>
    <n v="28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720"/>
    <n v="760"/>
    <n v="1480"/>
    <e v="#DIV/0!"/>
    <m/>
    <m/>
    <m/>
    <n v="100"/>
    <m/>
    <n v="160"/>
    <m/>
    <m/>
    <n v="56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1140"/>
    <n v="1510"/>
    <n v="2650"/>
    <e v="#DIV/0!"/>
    <m/>
    <m/>
    <m/>
    <n v="180"/>
    <m/>
    <n v="180"/>
    <m/>
    <m/>
    <n v="73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690"/>
    <n v="1110"/>
    <n v="1800"/>
    <e v="#DIV/0!"/>
    <m/>
    <m/>
    <m/>
    <n v="170"/>
    <m/>
    <n v="70"/>
    <m/>
    <m/>
    <n v="500"/>
    <x v="360"/>
    <m/>
    <m/>
    <m/>
    <m/>
    <m/>
    <m/>
  </r>
  <r>
    <m/>
    <m/>
    <x v="408"/>
    <m/>
    <n v="350"/>
    <m/>
    <m/>
    <m/>
    <m/>
    <m/>
    <m/>
    <m/>
    <m/>
    <m/>
    <m/>
    <m/>
    <m/>
    <m/>
    <m/>
    <m/>
    <m/>
    <n v="440"/>
    <n v="1020"/>
    <n v="1460"/>
    <e v="#DIV/0!"/>
    <m/>
    <m/>
    <m/>
    <n v="210"/>
    <m/>
    <n v="280"/>
    <m/>
    <m/>
    <n v="220"/>
    <x v="360"/>
    <m/>
    <m/>
    <m/>
    <m/>
    <m/>
    <m/>
  </r>
  <r>
    <m/>
    <m/>
    <x v="408"/>
    <m/>
    <n v="360"/>
    <m/>
    <m/>
    <m/>
    <m/>
    <m/>
    <m/>
    <m/>
    <m/>
    <m/>
    <m/>
    <m/>
    <m/>
    <m/>
    <m/>
    <m/>
    <m/>
    <n v="560"/>
    <n v="1260"/>
    <n v="1820"/>
    <e v="#DIV/0!"/>
    <m/>
    <m/>
    <m/>
    <n v="180"/>
    <m/>
    <n v="430"/>
    <m/>
    <m/>
    <n v="390"/>
    <x v="360"/>
    <m/>
    <m/>
    <m/>
    <m/>
    <m/>
    <m/>
  </r>
  <r>
    <m/>
    <m/>
    <x v="408"/>
    <m/>
    <n v="370"/>
    <m/>
    <m/>
    <m/>
    <m/>
    <m/>
    <m/>
    <m/>
    <m/>
    <m/>
    <m/>
    <m/>
    <m/>
    <m/>
    <m/>
    <m/>
    <m/>
    <n v="230"/>
    <n v="1090"/>
    <n v="1320"/>
    <e v="#DIV/0!"/>
    <m/>
    <m/>
    <m/>
    <n v="130"/>
    <m/>
    <n v="450"/>
    <m/>
    <m/>
    <n v="400"/>
    <x v="360"/>
    <m/>
    <m/>
    <m/>
    <m/>
    <m/>
    <m/>
  </r>
  <r>
    <m/>
    <m/>
    <x v="408"/>
    <m/>
    <n v="380"/>
    <m/>
    <m/>
    <m/>
    <m/>
    <m/>
    <m/>
    <m/>
    <m/>
    <m/>
    <m/>
    <m/>
    <m/>
    <m/>
    <m/>
    <m/>
    <m/>
    <n v="140"/>
    <n v="680"/>
    <n v="820"/>
    <e v="#DIV/0!"/>
    <m/>
    <m/>
    <m/>
    <n v="130"/>
    <m/>
    <n v="310"/>
    <m/>
    <m/>
    <n v="220"/>
    <x v="360"/>
    <m/>
    <m/>
    <m/>
    <m/>
    <m/>
    <m/>
  </r>
  <r>
    <m/>
    <m/>
    <x v="408"/>
    <m/>
    <n v="390"/>
    <m/>
    <m/>
    <m/>
    <m/>
    <m/>
    <m/>
    <m/>
    <m/>
    <m/>
    <m/>
    <m/>
    <m/>
    <m/>
    <m/>
    <m/>
    <m/>
    <n v="90"/>
    <n v="220"/>
    <n v="310"/>
    <e v="#DIV/0!"/>
    <m/>
    <m/>
    <m/>
    <n v="40"/>
    <m/>
    <n v="50"/>
    <m/>
    <m/>
    <n v="50"/>
    <x v="360"/>
    <m/>
    <m/>
    <m/>
    <m/>
    <m/>
    <m/>
  </r>
  <r>
    <m/>
    <m/>
    <x v="408"/>
    <m/>
    <n v="400"/>
    <m/>
    <m/>
    <m/>
    <m/>
    <m/>
    <m/>
    <m/>
    <m/>
    <m/>
    <m/>
    <m/>
    <m/>
    <m/>
    <m/>
    <m/>
    <m/>
    <n v="60"/>
    <n v="230"/>
    <n v="290"/>
    <e v="#DIV/0!"/>
    <m/>
    <m/>
    <m/>
    <n v="60"/>
    <m/>
    <n v="90"/>
    <m/>
    <m/>
    <n v="50"/>
    <x v="360"/>
    <m/>
    <m/>
    <m/>
    <m/>
    <m/>
    <m/>
  </r>
  <r>
    <m/>
    <m/>
    <x v="408"/>
    <m/>
    <n v="410"/>
    <m/>
    <m/>
    <m/>
    <m/>
    <m/>
    <m/>
    <m/>
    <m/>
    <m/>
    <m/>
    <m/>
    <m/>
    <m/>
    <m/>
    <m/>
    <m/>
    <n v="30"/>
    <n v="30"/>
    <n v="60"/>
    <e v="#DIV/0!"/>
    <m/>
    <m/>
    <m/>
    <n v="0"/>
    <m/>
    <n v="20"/>
    <m/>
    <m/>
    <n v="2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920"/>
    <n v="1160"/>
    <n v="2080"/>
    <e v="#DIV/0!"/>
    <m/>
    <m/>
    <m/>
    <n v="680"/>
    <m/>
    <n v="90"/>
    <m/>
    <m/>
    <n v="157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200"/>
    <n v="1740"/>
    <n v="2940"/>
    <e v="#DIV/0!"/>
    <m/>
    <m/>
    <m/>
    <n v="880"/>
    <m/>
    <n v="180"/>
    <m/>
    <m/>
    <n v="214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060"/>
    <n v="1640"/>
    <n v="2700"/>
    <e v="#DIV/0!"/>
    <m/>
    <m/>
    <m/>
    <n v="900"/>
    <m/>
    <n v="220"/>
    <m/>
    <m/>
    <n v="212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950"/>
    <n v="1490"/>
    <n v="2440"/>
    <e v="#DIV/0!"/>
    <m/>
    <m/>
    <m/>
    <n v="1150"/>
    <m/>
    <n v="220"/>
    <m/>
    <m/>
    <n v="169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330"/>
    <n v="2380"/>
    <n v="3710"/>
    <e v="#DIV/0!"/>
    <m/>
    <m/>
    <m/>
    <n v="950"/>
    <m/>
    <n v="210"/>
    <m/>
    <m/>
    <n v="1940"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780"/>
    <n v="1290"/>
    <n v="2070"/>
    <e v="#DIV/0!"/>
    <m/>
    <m/>
    <m/>
    <n v="820"/>
    <m/>
    <n v="230"/>
    <m/>
    <m/>
    <n v="1610"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740"/>
    <n v="1320"/>
    <n v="2060"/>
    <e v="#DIV/0!"/>
    <m/>
    <m/>
    <m/>
    <n v="760"/>
    <m/>
    <n v="170"/>
    <m/>
    <m/>
    <n v="113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420"/>
    <n v="560"/>
    <n v="980"/>
    <e v="#DIV/0!"/>
    <m/>
    <m/>
    <m/>
    <n v="200"/>
    <m/>
    <n v="40"/>
    <m/>
    <m/>
    <n v="41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90"/>
    <n v="80"/>
    <n v="170"/>
    <e v="#DIV/0!"/>
    <m/>
    <m/>
    <m/>
    <n v="20"/>
    <m/>
    <n v="0"/>
    <m/>
    <m/>
    <n v="5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850"/>
    <n v="1240"/>
    <n v="2090"/>
    <e v="#DIV/0!"/>
    <m/>
    <m/>
    <m/>
    <n v="1080"/>
    <m/>
    <n v="150"/>
    <m/>
    <m/>
    <n v="242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040"/>
    <n v="1870"/>
    <n v="2910"/>
    <e v="#DIV/0!"/>
    <m/>
    <m/>
    <m/>
    <n v="1280"/>
    <m/>
    <n v="190"/>
    <m/>
    <m/>
    <n v="285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490"/>
    <n v="2630"/>
    <n v="4120"/>
    <e v="#DIV/0!"/>
    <m/>
    <m/>
    <m/>
    <n v="1670"/>
    <m/>
    <n v="240"/>
    <m/>
    <m/>
    <n v="2560"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1220"/>
    <n v="1990"/>
    <n v="3210"/>
    <e v="#DIV/0!"/>
    <m/>
    <m/>
    <m/>
    <n v="1850"/>
    <m/>
    <n v="370"/>
    <m/>
    <m/>
    <n v="2350"/>
    <x v="360"/>
    <m/>
    <m/>
    <m/>
    <m/>
    <m/>
    <m/>
  </r>
  <r>
    <m/>
    <m/>
    <x v="408"/>
    <m/>
    <n v="290"/>
    <m/>
    <m/>
    <m/>
    <m/>
    <m/>
    <m/>
    <m/>
    <m/>
    <m/>
    <m/>
    <m/>
    <m/>
    <m/>
    <m/>
    <m/>
    <m/>
    <n v="670"/>
    <n v="2000"/>
    <n v="2670"/>
    <e v="#DIV/0!"/>
    <m/>
    <m/>
    <m/>
    <n v="1620"/>
    <m/>
    <n v="260"/>
    <m/>
    <m/>
    <n v="2190"/>
    <x v="360"/>
    <m/>
    <m/>
    <m/>
    <m/>
    <m/>
    <m/>
  </r>
  <r>
    <m/>
    <m/>
    <x v="408"/>
    <m/>
    <n v="220"/>
    <m/>
    <m/>
    <m/>
    <m/>
    <m/>
    <m/>
    <m/>
    <m/>
    <m/>
    <m/>
    <m/>
    <m/>
    <m/>
    <m/>
    <m/>
    <m/>
    <n v="650"/>
    <n v="560"/>
    <n v="1210"/>
    <e v="#DIV/0!"/>
    <m/>
    <m/>
    <m/>
    <n v="190"/>
    <m/>
    <n v="80"/>
    <m/>
    <m/>
    <n v="490"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1590"/>
    <n v="2570"/>
    <n v="4160"/>
    <e v="#DIV/0!"/>
    <m/>
    <m/>
    <m/>
    <n v="1160"/>
    <m/>
    <n v="180"/>
    <m/>
    <m/>
    <n v="141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000"/>
    <n v="1270"/>
    <n v="2270"/>
    <e v="#DIV/0!"/>
    <m/>
    <m/>
    <m/>
    <n v="770"/>
    <m/>
    <n v="160"/>
    <m/>
    <m/>
    <n v="114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940"/>
    <n v="1960"/>
    <n v="2900"/>
    <e v="#DIV/0!"/>
    <m/>
    <m/>
    <m/>
    <n v="730"/>
    <m/>
    <n v="30"/>
    <m/>
    <m/>
    <n v="133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60"/>
    <n v="90"/>
    <n v="150"/>
    <e v="#DIV/0!"/>
    <m/>
    <m/>
    <m/>
    <n v="20"/>
    <m/>
    <n v="20"/>
    <m/>
    <m/>
    <n v="20"/>
    <x v="360"/>
    <m/>
    <m/>
    <m/>
    <m/>
    <m/>
    <m/>
  </r>
  <r>
    <m/>
    <m/>
    <x v="408"/>
    <m/>
    <n v="350"/>
    <m/>
    <m/>
    <m/>
    <m/>
    <m/>
    <m/>
    <m/>
    <m/>
    <m/>
    <m/>
    <m/>
    <m/>
    <m/>
    <m/>
    <m/>
    <m/>
    <n v="30"/>
    <n v="50"/>
    <n v="80"/>
    <e v="#DIV/0!"/>
    <m/>
    <m/>
    <m/>
    <n v="40"/>
    <m/>
    <n v="0"/>
    <m/>
    <m/>
    <n v="60"/>
    <x v="360"/>
    <m/>
    <m/>
    <m/>
    <m/>
    <m/>
    <m/>
  </r>
  <r>
    <m/>
    <m/>
    <x v="408"/>
    <m/>
    <n v="360"/>
    <m/>
    <m/>
    <m/>
    <m/>
    <m/>
    <m/>
    <m/>
    <m/>
    <m/>
    <m/>
    <m/>
    <m/>
    <m/>
    <m/>
    <m/>
    <m/>
    <n v="10"/>
    <n v="10"/>
    <n v="20"/>
    <e v="#DIV/0!"/>
    <m/>
    <m/>
    <m/>
    <n v="10"/>
    <m/>
    <n v="20"/>
    <m/>
    <m/>
    <n v="2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16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n v="720"/>
    <n v="940"/>
    <n v="1660"/>
    <e v="#DIV/0!"/>
    <m/>
    <m/>
    <m/>
    <n v="70"/>
    <m/>
    <n v="140"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n v="1630"/>
    <n v="2930"/>
    <n v="4560"/>
    <e v="#DIV/0!"/>
    <m/>
    <m/>
    <m/>
    <n v="480"/>
    <m/>
    <n v="350"/>
    <m/>
    <m/>
    <m/>
    <x v="360"/>
    <m/>
    <m/>
    <m/>
    <m/>
    <m/>
    <m/>
  </r>
  <r>
    <m/>
    <m/>
    <x v="408"/>
    <m/>
    <n v="280"/>
    <m/>
    <m/>
    <m/>
    <m/>
    <m/>
    <m/>
    <m/>
    <m/>
    <m/>
    <m/>
    <m/>
    <m/>
    <m/>
    <m/>
    <m/>
    <m/>
    <n v="460"/>
    <n v="610"/>
    <n v="1070"/>
    <e v="#DIV/0!"/>
    <m/>
    <m/>
    <m/>
    <n v="190"/>
    <m/>
    <n v="80"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330"/>
    <n v="640"/>
    <n v="970"/>
    <e v="#DIV/0!"/>
    <m/>
    <m/>
    <m/>
    <n v="360"/>
    <m/>
    <n v="120"/>
    <m/>
    <m/>
    <n v="54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250"/>
    <n v="280"/>
    <n v="530"/>
    <e v="#DIV/0!"/>
    <m/>
    <m/>
    <m/>
    <n v="30"/>
    <m/>
    <n v="60"/>
    <m/>
    <m/>
    <n v="13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m/>
    <m/>
    <n v="2280"/>
    <e v="#DIV/0!"/>
    <m/>
    <m/>
    <m/>
    <m/>
    <m/>
    <m/>
    <m/>
    <m/>
    <m/>
    <x v="360"/>
    <m/>
    <m/>
    <m/>
    <m/>
    <m/>
    <m/>
  </r>
  <r>
    <m/>
    <m/>
    <x v="408"/>
    <m/>
    <n v="260"/>
    <m/>
    <m/>
    <m/>
    <m/>
    <m/>
    <m/>
    <m/>
    <m/>
    <m/>
    <m/>
    <m/>
    <m/>
    <m/>
    <m/>
    <m/>
    <m/>
    <m/>
    <m/>
    <n v="1940"/>
    <e v="#DIV/0!"/>
    <m/>
    <m/>
    <m/>
    <m/>
    <m/>
    <m/>
    <m/>
    <m/>
    <m/>
    <x v="360"/>
    <m/>
    <m/>
    <m/>
    <m/>
    <m/>
    <m/>
  </r>
  <r>
    <m/>
    <m/>
    <x v="408"/>
    <m/>
    <n v="270"/>
    <m/>
    <m/>
    <m/>
    <m/>
    <m/>
    <m/>
    <m/>
    <m/>
    <m/>
    <m/>
    <m/>
    <m/>
    <m/>
    <m/>
    <m/>
    <m/>
    <m/>
    <m/>
    <n v="750"/>
    <e v="#DIV/0!"/>
    <m/>
    <m/>
    <m/>
    <m/>
    <m/>
    <m/>
    <m/>
    <m/>
    <m/>
    <x v="360"/>
    <m/>
    <m/>
    <m/>
    <m/>
    <m/>
    <m/>
  </r>
  <r>
    <m/>
    <m/>
    <x v="408"/>
    <m/>
    <n v="230"/>
    <m/>
    <m/>
    <m/>
    <m/>
    <m/>
    <m/>
    <m/>
    <m/>
    <m/>
    <m/>
    <m/>
    <m/>
    <m/>
    <m/>
    <m/>
    <m/>
    <n v="740"/>
    <n v="930"/>
    <n v="1670"/>
    <e v="#DIV/0!"/>
    <m/>
    <m/>
    <m/>
    <n v="1270"/>
    <m/>
    <n v="150"/>
    <m/>
    <m/>
    <n v="1940"/>
    <x v="360"/>
    <m/>
    <m/>
    <m/>
    <m/>
    <m/>
    <m/>
  </r>
  <r>
    <m/>
    <m/>
    <x v="408"/>
    <m/>
    <n v="240"/>
    <m/>
    <m/>
    <m/>
    <m/>
    <m/>
    <m/>
    <m/>
    <m/>
    <m/>
    <m/>
    <m/>
    <m/>
    <m/>
    <m/>
    <m/>
    <m/>
    <n v="1280"/>
    <n v="1500"/>
    <n v="2780"/>
    <e v="#DIV/0!"/>
    <m/>
    <m/>
    <m/>
    <n v="1670"/>
    <m/>
    <n v="210"/>
    <m/>
    <m/>
    <n v="2040"/>
    <x v="360"/>
    <m/>
    <m/>
    <m/>
    <m/>
    <m/>
    <m/>
  </r>
  <r>
    <m/>
    <m/>
    <x v="408"/>
    <m/>
    <n v="250"/>
    <m/>
    <m/>
    <m/>
    <m/>
    <m/>
    <m/>
    <m/>
    <m/>
    <m/>
    <m/>
    <m/>
    <m/>
    <m/>
    <m/>
    <m/>
    <m/>
    <n v="1000"/>
    <n v="1200"/>
    <n v="2200"/>
    <e v="#DIV/0!"/>
    <m/>
    <m/>
    <m/>
    <n v="1460"/>
    <m/>
    <n v="360"/>
    <m/>
    <m/>
    <n v="1920"/>
    <x v="360"/>
    <m/>
    <m/>
    <m/>
    <m/>
    <m/>
    <m/>
  </r>
  <r>
    <m/>
    <m/>
    <x v="408"/>
    <m/>
    <n v="370"/>
    <m/>
    <m/>
    <m/>
    <m/>
    <m/>
    <m/>
    <m/>
    <m/>
    <m/>
    <m/>
    <m/>
    <m/>
    <m/>
    <m/>
    <m/>
    <m/>
    <n v="1660"/>
    <n v="2310"/>
    <n v="3970"/>
    <e v="#DIV/0!"/>
    <m/>
    <m/>
    <m/>
    <n v="400"/>
    <m/>
    <n v="380"/>
    <m/>
    <m/>
    <n v="790"/>
    <x v="360"/>
    <m/>
    <m/>
    <m/>
    <m/>
    <m/>
    <m/>
  </r>
  <r>
    <m/>
    <m/>
    <x v="408"/>
    <m/>
    <n v="380"/>
    <m/>
    <m/>
    <m/>
    <m/>
    <m/>
    <m/>
    <m/>
    <m/>
    <m/>
    <m/>
    <m/>
    <m/>
    <m/>
    <m/>
    <m/>
    <m/>
    <n v="780"/>
    <n v="1050"/>
    <n v="1830"/>
    <e v="#DIV/0!"/>
    <m/>
    <m/>
    <m/>
    <n v="170"/>
    <m/>
    <n v="150"/>
    <m/>
    <m/>
    <n v="380"/>
    <x v="360"/>
    <m/>
    <m/>
    <m/>
    <m/>
    <m/>
    <m/>
  </r>
  <r>
    <m/>
    <m/>
    <x v="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6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761932-98E9-4F36-A109-672B78E80334}" name="TablaDinámica15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1:C37" firstHeaderRow="1" firstDataRow="1" firstDataCol="1"/>
  <pivotFields count="39">
    <pivotField axis="axisRow" showAll="0" measureFilter="1" sortType="descending">
      <items count="220">
        <item x="64"/>
        <item x="176"/>
        <item x="128"/>
        <item x="2"/>
        <item x="86"/>
        <item x="118"/>
        <item x="99"/>
        <item x="29"/>
        <item x="93"/>
        <item x="98"/>
        <item x="72"/>
        <item x="53"/>
        <item x="28"/>
        <item x="142"/>
        <item x="182"/>
        <item x="106"/>
        <item x="119"/>
        <item x="210"/>
        <item x="154"/>
        <item x="34"/>
        <item x="193"/>
        <item x="87"/>
        <item x="35"/>
        <item x="44"/>
        <item x="218"/>
        <item x="7"/>
        <item x="157"/>
        <item x="89"/>
        <item x="74"/>
        <item x="8"/>
        <item x="113"/>
        <item x="65"/>
        <item x="127"/>
        <item x="70"/>
        <item x="16"/>
        <item x="138"/>
        <item x="121"/>
        <item x="153"/>
        <item x="68"/>
        <item x="170"/>
        <item x="109"/>
        <item x="69"/>
        <item x="201"/>
        <item x="215"/>
        <item x="84"/>
        <item x="48"/>
        <item x="73"/>
        <item x="186"/>
        <item x="32"/>
        <item x="95"/>
        <item x="150"/>
        <item x="143"/>
        <item x="27"/>
        <item x="217"/>
        <item x="207"/>
        <item x="168"/>
        <item x="214"/>
        <item x="75"/>
        <item x="124"/>
        <item x="80"/>
        <item x="46"/>
        <item x="180"/>
        <item x="166"/>
        <item x="161"/>
        <item x="10"/>
        <item x="191"/>
        <item x="11"/>
        <item x="199"/>
        <item x="169"/>
        <item x="22"/>
        <item x="62"/>
        <item x="5"/>
        <item x="76"/>
        <item x="18"/>
        <item x="187"/>
        <item x="103"/>
        <item x="54"/>
        <item x="181"/>
        <item x="204"/>
        <item x="172"/>
        <item x="82"/>
        <item x="41"/>
        <item x="211"/>
        <item x="202"/>
        <item x="45"/>
        <item x="36"/>
        <item x="116"/>
        <item x="43"/>
        <item x="189"/>
        <item x="57"/>
        <item x="164"/>
        <item x="110"/>
        <item x="132"/>
        <item x="101"/>
        <item x="123"/>
        <item x="145"/>
        <item x="192"/>
        <item x="42"/>
        <item x="55"/>
        <item x="108"/>
        <item x="39"/>
        <item x="149"/>
        <item x="152"/>
        <item x="71"/>
        <item x="81"/>
        <item x="83"/>
        <item x="130"/>
        <item x="105"/>
        <item x="203"/>
        <item x="102"/>
        <item x="173"/>
        <item x="155"/>
        <item x="24"/>
        <item x="59"/>
        <item x="190"/>
        <item x="111"/>
        <item x="184"/>
        <item x="147"/>
        <item x="140"/>
        <item x="3"/>
        <item x="144"/>
        <item x="136"/>
        <item x="90"/>
        <item x="129"/>
        <item x="66"/>
        <item x="6"/>
        <item x="19"/>
        <item x="1"/>
        <item x="13"/>
        <item x="20"/>
        <item x="131"/>
        <item x="14"/>
        <item x="167"/>
        <item x="213"/>
        <item x="38"/>
        <item x="216"/>
        <item x="0"/>
        <item x="85"/>
        <item x="58"/>
        <item x="4"/>
        <item x="160"/>
        <item x="52"/>
        <item x="200"/>
        <item x="159"/>
        <item x="40"/>
        <item x="122"/>
        <item x="163"/>
        <item x="21"/>
        <item x="30"/>
        <item x="107"/>
        <item x="196"/>
        <item x="156"/>
        <item x="175"/>
        <item x="31"/>
        <item x="67"/>
        <item x="51"/>
        <item x="25"/>
        <item x="177"/>
        <item x="185"/>
        <item x="183"/>
        <item x="208"/>
        <item x="9"/>
        <item x="114"/>
        <item x="209"/>
        <item x="194"/>
        <item x="50"/>
        <item x="134"/>
        <item x="49"/>
        <item x="171"/>
        <item x="60"/>
        <item x="112"/>
        <item x="88"/>
        <item x="179"/>
        <item x="56"/>
        <item x="12"/>
        <item x="137"/>
        <item x="174"/>
        <item x="141"/>
        <item x="97"/>
        <item x="158"/>
        <item x="115"/>
        <item x="92"/>
        <item x="195"/>
        <item x="135"/>
        <item x="146"/>
        <item x="78"/>
        <item x="212"/>
        <item x="17"/>
        <item x="133"/>
        <item x="126"/>
        <item x="91"/>
        <item x="94"/>
        <item x="117"/>
        <item x="23"/>
        <item x="47"/>
        <item x="104"/>
        <item x="205"/>
        <item x="178"/>
        <item x="148"/>
        <item x="188"/>
        <item x="120"/>
        <item x="26"/>
        <item x="96"/>
        <item x="79"/>
        <item x="125"/>
        <item x="77"/>
        <item x="15"/>
        <item x="139"/>
        <item x="37"/>
        <item x="206"/>
        <item x="162"/>
        <item x="165"/>
        <item x="198"/>
        <item x="100"/>
        <item x="33"/>
        <item x="197"/>
        <item x="151"/>
        <item x="63"/>
        <item x="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6">
    <i>
      <x v="119"/>
    </i>
    <i>
      <x v="21"/>
    </i>
    <i>
      <x v="45"/>
    </i>
    <i>
      <x v="155"/>
    </i>
    <i>
      <x v="3"/>
    </i>
    <i t="grand">
      <x/>
    </i>
  </rowItems>
  <colItems count="1">
    <i/>
  </colItems>
  <dataFields count="1">
    <dataField name="Suma de GP" fld="5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D5735A-F902-4FD8-A08F-D2408ED76EEB}" name="TablaDinámica14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6:B27" firstHeaderRow="1" firstDataRow="1" firstDataCol="0"/>
  <pivotFields count="39"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uenta de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B5E93C-0DC4-4B7B-AC59-F8B8BFC88A4D}" name="TablaDinámica13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6:C22" firstHeaderRow="1" firstDataRow="1" firstDataCol="1"/>
  <pivotFields count="41">
    <pivotField showAll="0"/>
    <pivotField showAll="0"/>
    <pivotField axis="axisRow" showAll="0" measureFilter="1" sortType="descending">
      <items count="410">
        <item x="135"/>
        <item x="160"/>
        <item x="327"/>
        <item x="346"/>
        <item x="396"/>
        <item x="251"/>
        <item x="2"/>
        <item x="20"/>
        <item x="30"/>
        <item x="48"/>
        <item x="71"/>
        <item x="176"/>
        <item x="198"/>
        <item x="218"/>
        <item x="236"/>
        <item x="252"/>
        <item x="234"/>
        <item x="253"/>
        <item x="194"/>
        <item x="52"/>
        <item x="74"/>
        <item x="101"/>
        <item x="186"/>
        <item x="193"/>
        <item x="149"/>
        <item x="97"/>
        <item x="51"/>
        <item x="273"/>
        <item x="333"/>
        <item x="205"/>
        <item x="239"/>
        <item x="393"/>
        <item x="293"/>
        <item x="63"/>
        <item x="82"/>
        <item x="354"/>
        <item x="375"/>
        <item x="177"/>
        <item x="196"/>
        <item x="213"/>
        <item x="232"/>
        <item x="250"/>
        <item x="270"/>
        <item x="286"/>
        <item x="64"/>
        <item x="86"/>
        <item x="109"/>
        <item x="407"/>
        <item x="7"/>
        <item x="22"/>
        <item x="35"/>
        <item x="49"/>
        <item x="297"/>
        <item x="179"/>
        <item x="155"/>
        <item x="8"/>
        <item x="223"/>
        <item x="138"/>
        <item x="162"/>
        <item x="249"/>
        <item x="147"/>
        <item x="21"/>
        <item x="33"/>
        <item x="55"/>
        <item x="268"/>
        <item x="284"/>
        <item x="243"/>
        <item x="256"/>
        <item x="291"/>
        <item x="308"/>
        <item x="144"/>
        <item x="316"/>
        <item x="357"/>
        <item x="212"/>
        <item x="146"/>
        <item x="159"/>
        <item x="181"/>
        <item x="364"/>
        <item x="403"/>
        <item x="173"/>
        <item x="90"/>
        <item x="103"/>
        <item x="120"/>
        <item x="134"/>
        <item x="156"/>
        <item x="150"/>
        <item x="338"/>
        <item x="59"/>
        <item x="188"/>
        <item x="287"/>
        <item x="324"/>
        <item x="345"/>
        <item x="376"/>
        <item x="275"/>
        <item x="50"/>
        <item x="406"/>
        <item x="386"/>
        <item x="313"/>
        <item x="400"/>
        <item x="157"/>
        <item x="214"/>
        <item x="246"/>
        <item x="169"/>
        <item x="88"/>
        <item x="104"/>
        <item x="123"/>
        <item x="153"/>
        <item x="175"/>
        <item x="331"/>
        <item x="311"/>
        <item x="302"/>
        <item x="10"/>
        <item x="349"/>
        <item x="377"/>
        <item x="402"/>
        <item x="11"/>
        <item x="29"/>
        <item x="362"/>
        <item x="314"/>
        <item x="337"/>
        <item x="41"/>
        <item x="62"/>
        <item x="125"/>
        <item x="5"/>
        <item x="163"/>
        <item x="189"/>
        <item x="207"/>
        <item x="25"/>
        <item x="34"/>
        <item x="53"/>
        <item x="339"/>
        <item x="202"/>
        <item x="222"/>
        <item x="240"/>
        <item x="258"/>
        <item x="100"/>
        <item x="332"/>
        <item x="348"/>
        <item x="369"/>
        <item x="389"/>
        <item x="372"/>
        <item x="384"/>
        <item x="321"/>
        <item x="171"/>
        <item x="77"/>
        <item x="94"/>
        <item x="397"/>
        <item x="366"/>
        <item x="382"/>
        <item x="87"/>
        <item x="67"/>
        <item x="85"/>
        <item x="107"/>
        <item x="119"/>
        <item x="137"/>
        <item x="230"/>
        <item x="80"/>
        <item x="341"/>
        <item x="112"/>
        <item x="129"/>
        <item x="145"/>
        <item x="168"/>
        <item x="190"/>
        <item x="206"/>
        <item x="309"/>
        <item x="219"/>
        <item x="261"/>
        <item x="199"/>
        <item x="245"/>
        <item x="279"/>
        <item x="353"/>
        <item x="374"/>
        <item x="395"/>
        <item x="78"/>
        <item x="102"/>
        <item x="117"/>
        <item x="128"/>
        <item x="151"/>
        <item x="211"/>
        <item x="75"/>
        <item x="283"/>
        <item x="290"/>
        <item x="319"/>
        <item x="148"/>
        <item x="170"/>
        <item x="172"/>
        <item x="255"/>
        <item x="274"/>
        <item x="204"/>
        <item x="367"/>
        <item x="385"/>
        <item x="200"/>
        <item x="216"/>
        <item x="235"/>
        <item x="257"/>
        <item x="323"/>
        <item x="342"/>
        <item x="365"/>
        <item x="383"/>
        <item x="294"/>
        <item x="44"/>
        <item x="115"/>
        <item x="347"/>
        <item x="220"/>
        <item x="238"/>
        <item x="335"/>
        <item x="356"/>
        <item x="281"/>
        <item x="271"/>
        <item x="288"/>
        <item x="303"/>
        <item x="3"/>
        <item x="17"/>
        <item x="31"/>
        <item x="45"/>
        <item x="66"/>
        <item x="227"/>
        <item x="277"/>
        <item x="292"/>
        <item x="307"/>
        <item x="266"/>
        <item x="278"/>
        <item x="295"/>
        <item x="317"/>
        <item x="182"/>
        <item x="201"/>
        <item x="254"/>
        <item x="276"/>
        <item x="141"/>
        <item x="165"/>
        <item x="6"/>
        <item x="28"/>
        <item x="1"/>
        <item x="18"/>
        <item x="32"/>
        <item x="13"/>
        <item x="26"/>
        <item x="42"/>
        <item x="38"/>
        <item x="259"/>
        <item x="285"/>
        <item x="14"/>
        <item x="312"/>
        <item x="399"/>
        <item x="73"/>
        <item x="98"/>
        <item x="114"/>
        <item x="131"/>
        <item x="154"/>
        <item x="405"/>
        <item x="0"/>
        <item x="16"/>
        <item x="229"/>
        <item x="174"/>
        <item x="113"/>
        <item x="130"/>
        <item x="152"/>
        <item x="4"/>
        <item x="19"/>
        <item x="300"/>
        <item x="96"/>
        <item x="363"/>
        <item x="299"/>
        <item x="76"/>
        <item x="99"/>
        <item x="244"/>
        <item x="306"/>
        <item x="39"/>
        <item x="54"/>
        <item x="57"/>
        <item x="69"/>
        <item x="209"/>
        <item x="359"/>
        <item x="378"/>
        <item x="392"/>
        <item x="296"/>
        <item x="322"/>
        <item x="326"/>
        <item x="343"/>
        <item x="368"/>
        <item x="390"/>
        <item x="58"/>
        <item x="79"/>
        <item x="142"/>
        <item x="93"/>
        <item x="110"/>
        <item x="122"/>
        <item x="136"/>
        <item x="161"/>
        <item x="46"/>
        <item x="68"/>
        <item x="328"/>
        <item x="351"/>
        <item x="336"/>
        <item x="334"/>
        <item x="350"/>
        <item x="373"/>
        <item x="388"/>
        <item x="9"/>
        <item x="23"/>
        <item x="36"/>
        <item x="61"/>
        <item x="224"/>
        <item x="241"/>
        <item x="265"/>
        <item x="391"/>
        <item x="355"/>
        <item x="371"/>
        <item x="394"/>
        <item x="92"/>
        <item x="106"/>
        <item x="124"/>
        <item x="140"/>
        <item x="228"/>
        <item x="263"/>
        <item x="91"/>
        <item x="320"/>
        <item x="116"/>
        <item x="132"/>
        <item x="221"/>
        <item x="178"/>
        <item x="217"/>
        <item x="237"/>
        <item x="330"/>
        <item x="111"/>
        <item x="127"/>
        <item x="195"/>
        <item x="208"/>
        <item x="12"/>
        <item x="267"/>
        <item x="325"/>
        <item x="344"/>
        <item x="370"/>
        <item x="387"/>
        <item x="272"/>
        <item x="192"/>
        <item x="298"/>
        <item x="318"/>
        <item x="226"/>
        <item x="185"/>
        <item x="358"/>
        <item x="381"/>
        <item x="404"/>
        <item x="264"/>
        <item x="280"/>
        <item x="301"/>
        <item x="166"/>
        <item x="398"/>
        <item x="24"/>
        <item x="37"/>
        <item x="56"/>
        <item x="83"/>
        <item x="262"/>
        <item x="248"/>
        <item x="184"/>
        <item x="187"/>
        <item x="231"/>
        <item x="43"/>
        <item x="65"/>
        <item x="84"/>
        <item x="105"/>
        <item x="121"/>
        <item x="89"/>
        <item x="108"/>
        <item x="203"/>
        <item x="225"/>
        <item x="379"/>
        <item x="329"/>
        <item x="352"/>
        <item x="401"/>
        <item x="282"/>
        <item x="340"/>
        <item x="242"/>
        <item x="260"/>
        <item x="304"/>
        <item x="47"/>
        <item x="70"/>
        <item x="143"/>
        <item x="191"/>
        <item x="167"/>
        <item x="183"/>
        <item x="210"/>
        <item x="247"/>
        <item x="164"/>
        <item x="15"/>
        <item x="27"/>
        <item x="40"/>
        <item x="269"/>
        <item x="72"/>
        <item x="95"/>
        <item x="380"/>
        <item x="305"/>
        <item x="310"/>
        <item x="361"/>
        <item x="197"/>
        <item x="215"/>
        <item x="233"/>
        <item x="60"/>
        <item x="81"/>
        <item x="360"/>
        <item x="289"/>
        <item x="315"/>
        <item x="126"/>
        <item x="139"/>
        <item x="158"/>
        <item x="180"/>
        <item x="118"/>
        <item x="133"/>
        <item x="40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363">
        <item x="63"/>
        <item x="308"/>
        <item x="307"/>
        <item x="64"/>
        <item x="359"/>
        <item x="183"/>
        <item x="42"/>
        <item x="341"/>
        <item x="339"/>
        <item x="340"/>
        <item x="81"/>
        <item x="12"/>
        <item x="356"/>
        <item x="323"/>
        <item x="26"/>
        <item x="28"/>
        <item x="143"/>
        <item x="142"/>
        <item x="215"/>
        <item x="357"/>
        <item x="13"/>
        <item x="230"/>
        <item x="41"/>
        <item x="163"/>
        <item x="144"/>
        <item x="231"/>
        <item x="324"/>
        <item x="77"/>
        <item x="338"/>
        <item x="62"/>
        <item x="15"/>
        <item x="305"/>
        <item x="197"/>
        <item x="71"/>
        <item x="306"/>
        <item x="79"/>
        <item x="278"/>
        <item x="80"/>
        <item x="261"/>
        <item x="58"/>
        <item x="304"/>
        <item x="274"/>
        <item x="78"/>
        <item x="322"/>
        <item x="336"/>
        <item x="25"/>
        <item x="181"/>
        <item x="164"/>
        <item x="29"/>
        <item x="38"/>
        <item x="355"/>
        <item x="114"/>
        <item x="225"/>
        <item x="195"/>
        <item x="262"/>
        <item x="11"/>
        <item x="292"/>
        <item x="98"/>
        <item x="352"/>
        <item x="155"/>
        <item x="351"/>
        <item x="210"/>
        <item x="126"/>
        <item x="194"/>
        <item x="132"/>
        <item x="127"/>
        <item x="113"/>
        <item x="273"/>
        <item x="178"/>
        <item x="112"/>
        <item x="320"/>
        <item x="40"/>
        <item x="141"/>
        <item x="337"/>
        <item x="27"/>
        <item x="229"/>
        <item x="59"/>
        <item x="248"/>
        <item x="99"/>
        <item x="139"/>
        <item x="293"/>
        <item x="177"/>
        <item x="223"/>
        <item x="358"/>
        <item x="258"/>
        <item x="110"/>
        <item x="10"/>
        <item x="196"/>
        <item x="353"/>
        <item x="275"/>
        <item x="335"/>
        <item x="257"/>
        <item x="240"/>
        <item x="276"/>
        <item x="156"/>
        <item x="303"/>
        <item x="209"/>
        <item x="282"/>
        <item x="302"/>
        <item x="277"/>
        <item x="290"/>
        <item x="159"/>
        <item x="162"/>
        <item x="158"/>
        <item x="212"/>
        <item x="321"/>
        <item x="53"/>
        <item x="211"/>
        <item x="182"/>
        <item x="259"/>
        <item x="245"/>
        <item x="14"/>
        <item x="227"/>
        <item x="91"/>
        <item x="291"/>
        <item x="348"/>
        <item x="191"/>
        <item x="48"/>
        <item x="111"/>
        <item x="74"/>
        <item x="34"/>
        <item x="107"/>
        <item x="175"/>
        <item x="228"/>
        <item x="193"/>
        <item x="333"/>
        <item x="22"/>
        <item x="161"/>
        <item x="39"/>
        <item x="160"/>
        <item x="122"/>
        <item x="247"/>
        <item x="118"/>
        <item x="150"/>
        <item x="176"/>
        <item x="198"/>
        <item x="260"/>
        <item x="30"/>
        <item x="8"/>
        <item x="151"/>
        <item x="61"/>
        <item x="226"/>
        <item x="270"/>
        <item x="272"/>
        <item x="85"/>
        <item x="242"/>
        <item x="236"/>
        <item x="286"/>
        <item x="140"/>
        <item x="24"/>
        <item x="116"/>
        <item x="56"/>
        <item x="246"/>
        <item x="315"/>
        <item x="288"/>
        <item x="354"/>
        <item x="313"/>
        <item x="314"/>
        <item x="271"/>
        <item x="7"/>
        <item x="119"/>
        <item x="97"/>
        <item x="102"/>
        <item x="55"/>
        <item x="137"/>
        <item x="35"/>
        <item x="82"/>
        <item x="152"/>
        <item x="168"/>
        <item x="20"/>
        <item x="133"/>
        <item x="72"/>
        <item x="208"/>
        <item x="125"/>
        <item x="180"/>
        <item x="76"/>
        <item x="253"/>
        <item x="70"/>
        <item x="172"/>
        <item x="87"/>
        <item x="254"/>
        <item x="92"/>
        <item x="214"/>
        <item x="285"/>
        <item x="37"/>
        <item x="252"/>
        <item x="136"/>
        <item x="331"/>
        <item x="289"/>
        <item x="104"/>
        <item x="311"/>
        <item x="49"/>
        <item x="301"/>
        <item x="96"/>
        <item x="300"/>
        <item x="75"/>
        <item x="2"/>
        <item x="83"/>
        <item x="9"/>
        <item x="203"/>
        <item x="57"/>
        <item x="124"/>
        <item x="67"/>
        <item x="123"/>
        <item x="316"/>
        <item x="43"/>
        <item x="65"/>
        <item x="221"/>
        <item x="326"/>
        <item x="94"/>
        <item x="19"/>
        <item x="342"/>
        <item x="255"/>
        <item x="268"/>
        <item x="238"/>
        <item x="105"/>
        <item x="89"/>
        <item x="264"/>
        <item x="5"/>
        <item x="287"/>
        <item x="153"/>
        <item x="4"/>
        <item x="241"/>
        <item x="187"/>
        <item x="256"/>
        <item x="174"/>
        <item x="319"/>
        <item x="179"/>
        <item x="90"/>
        <item x="18"/>
        <item x="190"/>
        <item x="60"/>
        <item x="346"/>
        <item x="54"/>
        <item x="173"/>
        <item x="243"/>
        <item x="219"/>
        <item x="135"/>
        <item x="281"/>
        <item x="154"/>
        <item x="73"/>
        <item x="93"/>
        <item x="88"/>
        <item x="192"/>
        <item x="131"/>
        <item x="207"/>
        <item x="329"/>
        <item x="234"/>
        <item x="23"/>
        <item x="120"/>
        <item x="345"/>
        <item x="334"/>
        <item x="32"/>
        <item x="297"/>
        <item x="138"/>
        <item x="224"/>
        <item x="95"/>
        <item x="167"/>
        <item x="318"/>
        <item x="188"/>
        <item x="235"/>
        <item x="189"/>
        <item x="330"/>
        <item x="109"/>
        <item x="121"/>
        <item x="52"/>
        <item x="108"/>
        <item x="222"/>
        <item x="220"/>
        <item x="170"/>
        <item x="47"/>
        <item x="204"/>
        <item x="69"/>
        <item x="205"/>
        <item x="1"/>
        <item x="312"/>
        <item x="157"/>
        <item x="148"/>
        <item x="106"/>
        <item x="6"/>
        <item x="283"/>
        <item x="310"/>
        <item x="295"/>
        <item x="147"/>
        <item x="149"/>
        <item x="218"/>
        <item x="202"/>
        <item x="36"/>
        <item x="84"/>
        <item x="244"/>
        <item x="206"/>
        <item x="86"/>
        <item x="347"/>
        <item x="263"/>
        <item x="134"/>
        <item x="237"/>
        <item x="269"/>
        <item x="299"/>
        <item x="171"/>
        <item x="130"/>
        <item x="184"/>
        <item x="239"/>
        <item x="284"/>
        <item x="51"/>
        <item x="101"/>
        <item x="332"/>
        <item x="169"/>
        <item x="232"/>
        <item x="266"/>
        <item x="103"/>
        <item x="317"/>
        <item x="199"/>
        <item x="166"/>
        <item x="233"/>
        <item x="3"/>
        <item x="44"/>
        <item x="50"/>
        <item x="327"/>
        <item x="33"/>
        <item x="350"/>
        <item x="251"/>
        <item x="249"/>
        <item x="344"/>
        <item x="186"/>
        <item x="298"/>
        <item x="280"/>
        <item x="21"/>
        <item x="46"/>
        <item x="265"/>
        <item x="250"/>
        <item x="216"/>
        <item x="45"/>
        <item x="117"/>
        <item x="213"/>
        <item x="31"/>
        <item x="68"/>
        <item x="267"/>
        <item x="343"/>
        <item x="296"/>
        <item x="349"/>
        <item x="325"/>
        <item x="17"/>
        <item x="165"/>
        <item x="309"/>
        <item x="294"/>
        <item x="115"/>
        <item x="217"/>
        <item x="100"/>
        <item x="279"/>
        <item x="146"/>
        <item x="328"/>
        <item x="185"/>
        <item x="66"/>
        <item x="201"/>
        <item x="129"/>
        <item x="145"/>
        <item x="128"/>
        <item x="16"/>
        <item x="0"/>
        <item x="200"/>
        <item x="360"/>
        <item x="36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6">
    <i>
      <x v="100"/>
    </i>
    <i>
      <x v="250"/>
    </i>
    <i>
      <x v="251"/>
    </i>
    <i>
      <x v="407"/>
    </i>
    <i>
      <x v="84"/>
    </i>
    <i t="grand">
      <x/>
    </i>
  </rowItems>
  <colItems count="1">
    <i/>
  </colItems>
  <dataFields count="1">
    <dataField name="Suma de DEFRTNGPG" fld="34" baseField="2" baseItem="0" numFmtId="2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01A62F-8331-42C7-8B32-CFADA3CA7AD5}" name="TablaDinámica6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F5:G11" firstHeaderRow="1" firstDataRow="1" firstDataCol="1"/>
  <pivotFields count="39">
    <pivotField axis="axisRow" showAll="0" measureFilter="1" sortType="descending">
      <items count="220">
        <item x="64"/>
        <item x="176"/>
        <item x="128"/>
        <item x="2"/>
        <item x="86"/>
        <item x="118"/>
        <item x="99"/>
        <item x="29"/>
        <item x="93"/>
        <item x="98"/>
        <item x="72"/>
        <item x="53"/>
        <item x="28"/>
        <item x="142"/>
        <item x="182"/>
        <item x="106"/>
        <item x="119"/>
        <item x="210"/>
        <item x="154"/>
        <item x="34"/>
        <item x="193"/>
        <item x="87"/>
        <item x="35"/>
        <item x="44"/>
        <item x="218"/>
        <item x="7"/>
        <item x="157"/>
        <item x="89"/>
        <item x="74"/>
        <item x="8"/>
        <item x="113"/>
        <item x="65"/>
        <item x="127"/>
        <item x="70"/>
        <item x="16"/>
        <item x="138"/>
        <item x="121"/>
        <item x="153"/>
        <item x="68"/>
        <item x="170"/>
        <item x="109"/>
        <item x="69"/>
        <item x="201"/>
        <item x="215"/>
        <item x="84"/>
        <item x="48"/>
        <item x="73"/>
        <item x="186"/>
        <item x="32"/>
        <item x="95"/>
        <item x="150"/>
        <item x="143"/>
        <item x="27"/>
        <item x="217"/>
        <item x="207"/>
        <item x="168"/>
        <item x="214"/>
        <item x="75"/>
        <item x="124"/>
        <item x="80"/>
        <item x="46"/>
        <item x="180"/>
        <item x="166"/>
        <item x="161"/>
        <item x="10"/>
        <item x="191"/>
        <item x="11"/>
        <item x="199"/>
        <item x="169"/>
        <item x="22"/>
        <item x="62"/>
        <item x="5"/>
        <item x="76"/>
        <item x="18"/>
        <item x="187"/>
        <item x="103"/>
        <item x="54"/>
        <item x="181"/>
        <item x="204"/>
        <item x="172"/>
        <item x="82"/>
        <item x="41"/>
        <item x="211"/>
        <item x="202"/>
        <item x="45"/>
        <item x="36"/>
        <item x="116"/>
        <item x="43"/>
        <item x="189"/>
        <item x="57"/>
        <item x="164"/>
        <item x="110"/>
        <item x="132"/>
        <item x="101"/>
        <item x="123"/>
        <item x="145"/>
        <item x="192"/>
        <item x="42"/>
        <item x="55"/>
        <item x="108"/>
        <item x="39"/>
        <item x="149"/>
        <item x="152"/>
        <item x="71"/>
        <item x="81"/>
        <item x="83"/>
        <item x="130"/>
        <item x="105"/>
        <item x="203"/>
        <item x="102"/>
        <item x="173"/>
        <item x="155"/>
        <item x="24"/>
        <item x="59"/>
        <item x="190"/>
        <item x="111"/>
        <item x="184"/>
        <item x="147"/>
        <item x="140"/>
        <item x="3"/>
        <item x="144"/>
        <item x="136"/>
        <item x="90"/>
        <item x="129"/>
        <item x="66"/>
        <item x="6"/>
        <item x="19"/>
        <item x="1"/>
        <item x="13"/>
        <item x="20"/>
        <item x="131"/>
        <item x="14"/>
        <item x="167"/>
        <item x="213"/>
        <item x="38"/>
        <item x="216"/>
        <item x="0"/>
        <item x="85"/>
        <item x="58"/>
        <item x="4"/>
        <item x="160"/>
        <item x="52"/>
        <item x="200"/>
        <item x="159"/>
        <item x="40"/>
        <item x="122"/>
        <item x="163"/>
        <item x="21"/>
        <item x="30"/>
        <item x="107"/>
        <item x="196"/>
        <item x="156"/>
        <item x="175"/>
        <item x="31"/>
        <item x="67"/>
        <item x="51"/>
        <item x="25"/>
        <item x="177"/>
        <item x="185"/>
        <item x="183"/>
        <item x="208"/>
        <item x="9"/>
        <item x="114"/>
        <item x="209"/>
        <item x="194"/>
        <item x="50"/>
        <item x="134"/>
        <item x="49"/>
        <item x="171"/>
        <item x="60"/>
        <item x="112"/>
        <item x="88"/>
        <item x="179"/>
        <item x="56"/>
        <item x="12"/>
        <item x="137"/>
        <item x="174"/>
        <item x="141"/>
        <item x="97"/>
        <item x="158"/>
        <item x="115"/>
        <item x="92"/>
        <item x="195"/>
        <item x="135"/>
        <item x="146"/>
        <item x="78"/>
        <item x="212"/>
        <item x="17"/>
        <item x="133"/>
        <item x="126"/>
        <item x="91"/>
        <item x="94"/>
        <item x="117"/>
        <item x="23"/>
        <item x="47"/>
        <item x="104"/>
        <item x="205"/>
        <item x="178"/>
        <item x="148"/>
        <item x="188"/>
        <item x="120"/>
        <item x="26"/>
        <item x="96"/>
        <item x="79"/>
        <item x="125"/>
        <item x="77"/>
        <item x="15"/>
        <item x="139"/>
        <item x="37"/>
        <item x="206"/>
        <item x="162"/>
        <item x="165"/>
        <item x="198"/>
        <item x="100"/>
        <item x="33"/>
        <item x="197"/>
        <item x="151"/>
        <item x="63"/>
        <item x="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0"/>
  </rowFields>
  <rowItems count="6">
    <i>
      <x v="21"/>
    </i>
    <i>
      <x v="110"/>
    </i>
    <i>
      <x v="3"/>
    </i>
    <i>
      <x v="85"/>
    </i>
    <i>
      <x v="193"/>
    </i>
    <i t="grand">
      <x/>
    </i>
  </rowItems>
  <colItems count="1">
    <i/>
  </colItems>
  <dataFields count="1">
    <dataField name="Suma de PTS" fld="37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1BA374-208E-43BC-9D9B-60B77CE3E596}" name="TablaDinámica5" cacheId="58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B5:D11" firstHeaderRow="0" firstDataRow="1" firstDataCol="1"/>
  <pivotFields count="39">
    <pivotField showAll="0"/>
    <pivotField showAll="0"/>
    <pivotField axis="axisRow" showAll="0" measureFilter="1" sortType="descending">
      <items count="409">
        <item x="133"/>
        <item x="118"/>
        <item x="180"/>
        <item x="158"/>
        <item x="139"/>
        <item x="126"/>
        <item x="315"/>
        <item x="289"/>
        <item x="360"/>
        <item x="81"/>
        <item x="60"/>
        <item x="233"/>
        <item x="215"/>
        <item x="197"/>
        <item x="361"/>
        <item x="310"/>
        <item x="305"/>
        <item x="380"/>
        <item x="95"/>
        <item x="72"/>
        <item x="269"/>
        <item x="40"/>
        <item x="27"/>
        <item x="15"/>
        <item x="164"/>
        <item x="247"/>
        <item x="210"/>
        <item x="183"/>
        <item x="167"/>
        <item x="191"/>
        <item x="143"/>
        <item x="70"/>
        <item x="47"/>
        <item x="304"/>
        <item x="260"/>
        <item x="242"/>
        <item x="340"/>
        <item x="282"/>
        <item x="401"/>
        <item x="352"/>
        <item x="329"/>
        <item x="379"/>
        <item x="225"/>
        <item x="203"/>
        <item x="108"/>
        <item x="89"/>
        <item x="121"/>
        <item x="105"/>
        <item x="84"/>
        <item x="65"/>
        <item x="43"/>
        <item x="231"/>
        <item x="187"/>
        <item x="184"/>
        <item x="248"/>
        <item x="262"/>
        <item x="83"/>
        <item x="56"/>
        <item x="37"/>
        <item x="24"/>
        <item x="398"/>
        <item x="166"/>
        <item x="301"/>
        <item x="280"/>
        <item x="264"/>
        <item x="404"/>
        <item x="381"/>
        <item x="358"/>
        <item x="185"/>
        <item x="226"/>
        <item x="318"/>
        <item x="298"/>
        <item x="192"/>
        <item x="272"/>
        <item x="387"/>
        <item x="370"/>
        <item x="344"/>
        <item x="325"/>
        <item x="267"/>
        <item x="12"/>
        <item x="208"/>
        <item x="195"/>
        <item x="127"/>
        <item x="111"/>
        <item x="330"/>
        <item x="237"/>
        <item x="217"/>
        <item x="178"/>
        <item x="221"/>
        <item x="132"/>
        <item x="116"/>
        <item x="320"/>
        <item x="91"/>
        <item x="263"/>
        <item x="228"/>
        <item x="140"/>
        <item x="124"/>
        <item x="106"/>
        <item x="92"/>
        <item x="394"/>
        <item x="371"/>
        <item x="355"/>
        <item x="391"/>
        <item x="265"/>
        <item x="241"/>
        <item x="224"/>
        <item x="61"/>
        <item x="36"/>
        <item x="23"/>
        <item x="9"/>
        <item x="388"/>
        <item x="373"/>
        <item x="350"/>
        <item x="334"/>
        <item x="336"/>
        <item x="351"/>
        <item x="328"/>
        <item x="68"/>
        <item x="46"/>
        <item x="161"/>
        <item x="136"/>
        <item x="122"/>
        <item x="110"/>
        <item x="93"/>
        <item x="142"/>
        <item x="79"/>
        <item x="58"/>
        <item x="390"/>
        <item x="368"/>
        <item x="343"/>
        <item x="326"/>
        <item x="322"/>
        <item x="296"/>
        <item x="392"/>
        <item x="378"/>
        <item x="359"/>
        <item x="209"/>
        <item x="69"/>
        <item x="57"/>
        <item x="54"/>
        <item x="39"/>
        <item x="306"/>
        <item x="244"/>
        <item x="99"/>
        <item x="76"/>
        <item x="299"/>
        <item x="363"/>
        <item x="96"/>
        <item x="300"/>
        <item x="19"/>
        <item x="4"/>
        <item x="152"/>
        <item x="130"/>
        <item x="113"/>
        <item x="174"/>
        <item x="229"/>
        <item x="16"/>
        <item x="0"/>
        <item x="405"/>
        <item x="154"/>
        <item x="131"/>
        <item x="114"/>
        <item x="98"/>
        <item x="73"/>
        <item x="399"/>
        <item x="312"/>
        <item x="14"/>
        <item x="285"/>
        <item x="259"/>
        <item x="38"/>
        <item x="42"/>
        <item x="26"/>
        <item x="13"/>
        <item x="32"/>
        <item x="18"/>
        <item x="1"/>
        <item x="28"/>
        <item x="6"/>
        <item x="165"/>
        <item x="141"/>
        <item x="276"/>
        <item x="254"/>
        <item x="201"/>
        <item x="182"/>
        <item x="317"/>
        <item x="295"/>
        <item x="278"/>
        <item x="266"/>
        <item x="307"/>
        <item x="292"/>
        <item x="277"/>
        <item x="227"/>
        <item x="66"/>
        <item x="45"/>
        <item x="31"/>
        <item x="17"/>
        <item x="3"/>
        <item x="303"/>
        <item x="288"/>
        <item x="271"/>
        <item x="281"/>
        <item x="356"/>
        <item x="335"/>
        <item x="238"/>
        <item x="220"/>
        <item x="347"/>
        <item x="115"/>
        <item x="44"/>
        <item x="294"/>
        <item x="383"/>
        <item x="365"/>
        <item x="342"/>
        <item x="323"/>
        <item x="257"/>
        <item x="235"/>
        <item x="216"/>
        <item x="200"/>
        <item x="385"/>
        <item x="367"/>
        <item x="204"/>
        <item x="274"/>
        <item x="255"/>
        <item x="172"/>
        <item x="170"/>
        <item x="148"/>
        <item x="319"/>
        <item x="290"/>
        <item x="283"/>
        <item x="75"/>
        <item x="211"/>
        <item x="151"/>
        <item x="128"/>
        <item x="117"/>
        <item x="102"/>
        <item x="78"/>
        <item x="395"/>
        <item x="374"/>
        <item x="353"/>
        <item x="279"/>
        <item x="245"/>
        <item x="199"/>
        <item x="261"/>
        <item x="219"/>
        <item x="309"/>
        <item x="206"/>
        <item x="190"/>
        <item x="168"/>
        <item x="145"/>
        <item x="129"/>
        <item x="112"/>
        <item x="341"/>
        <item x="80"/>
        <item x="230"/>
        <item x="137"/>
        <item x="119"/>
        <item x="107"/>
        <item x="85"/>
        <item x="67"/>
        <item x="87"/>
        <item x="382"/>
        <item x="366"/>
        <item x="397"/>
        <item x="94"/>
        <item x="77"/>
        <item x="171"/>
        <item x="321"/>
        <item x="384"/>
        <item x="372"/>
        <item x="389"/>
        <item x="369"/>
        <item x="348"/>
        <item x="332"/>
        <item x="100"/>
        <item x="258"/>
        <item x="240"/>
        <item x="222"/>
        <item x="202"/>
        <item x="339"/>
        <item x="53"/>
        <item x="34"/>
        <item x="25"/>
        <item x="207"/>
        <item x="189"/>
        <item x="163"/>
        <item x="5"/>
        <item x="125"/>
        <item x="62"/>
        <item x="41"/>
        <item x="337"/>
        <item x="314"/>
        <item x="362"/>
        <item x="29"/>
        <item x="11"/>
        <item x="402"/>
        <item x="377"/>
        <item x="349"/>
        <item x="10"/>
        <item x="302"/>
        <item x="311"/>
        <item x="331"/>
        <item x="175"/>
        <item x="153"/>
        <item x="123"/>
        <item x="104"/>
        <item x="88"/>
        <item x="169"/>
        <item x="246"/>
        <item x="214"/>
        <item x="157"/>
        <item x="400"/>
        <item x="313"/>
        <item x="386"/>
        <item x="406"/>
        <item x="50"/>
        <item x="275"/>
        <item x="376"/>
        <item x="345"/>
        <item x="324"/>
        <item x="287"/>
        <item x="188"/>
        <item x="59"/>
        <item x="338"/>
        <item x="150"/>
        <item x="156"/>
        <item x="134"/>
        <item x="120"/>
        <item x="103"/>
        <item x="90"/>
        <item x="173"/>
        <item x="403"/>
        <item x="364"/>
        <item x="181"/>
        <item x="159"/>
        <item x="146"/>
        <item x="212"/>
        <item x="357"/>
        <item x="316"/>
        <item x="144"/>
        <item x="308"/>
        <item x="291"/>
        <item x="256"/>
        <item x="243"/>
        <item x="284"/>
        <item x="268"/>
        <item x="55"/>
        <item x="33"/>
        <item x="21"/>
        <item x="147"/>
        <item x="249"/>
        <item x="162"/>
        <item x="138"/>
        <item x="223"/>
        <item x="8"/>
        <item x="155"/>
        <item x="179"/>
        <item x="297"/>
        <item x="49"/>
        <item x="35"/>
        <item x="22"/>
        <item x="7"/>
        <item x="407"/>
        <item x="109"/>
        <item x="86"/>
        <item x="64"/>
        <item x="286"/>
        <item x="270"/>
        <item x="250"/>
        <item x="232"/>
        <item x="213"/>
        <item x="196"/>
        <item x="177"/>
        <item x="375"/>
        <item x="354"/>
        <item x="82"/>
        <item x="63"/>
        <item x="293"/>
        <item x="393"/>
        <item x="239"/>
        <item x="205"/>
        <item x="333"/>
        <item x="273"/>
        <item x="51"/>
        <item x="97"/>
        <item x="149"/>
        <item x="193"/>
        <item x="186"/>
        <item x="101"/>
        <item x="74"/>
        <item x="52"/>
        <item x="194"/>
        <item x="253"/>
        <item x="234"/>
        <item x="252"/>
        <item x="236"/>
        <item x="218"/>
        <item x="198"/>
        <item x="176"/>
        <item x="71"/>
        <item x="48"/>
        <item x="30"/>
        <item x="20"/>
        <item x="2"/>
        <item x="251"/>
        <item x="396"/>
        <item x="346"/>
        <item x="327"/>
        <item x="160"/>
        <item x="13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82">
        <item x="40"/>
        <item x="21"/>
        <item x="41"/>
        <item x="53"/>
        <item x="60"/>
        <item x="51"/>
        <item x="66"/>
        <item x="52"/>
        <item x="65"/>
        <item x="80"/>
        <item x="64"/>
        <item x="28"/>
        <item x="79"/>
        <item x="72"/>
        <item x="11"/>
        <item x="76"/>
        <item x="39"/>
        <item x="10"/>
        <item x="69"/>
        <item x="45"/>
        <item x="27"/>
        <item x="78"/>
        <item x="19"/>
        <item x="32"/>
        <item x="13"/>
        <item x="12"/>
        <item x="31"/>
        <item x="9"/>
        <item x="3"/>
        <item x="8"/>
        <item x="67"/>
        <item x="22"/>
        <item x="36"/>
        <item x="70"/>
        <item x="34"/>
        <item x="38"/>
        <item x="46"/>
        <item x="26"/>
        <item x="18"/>
        <item x="75"/>
        <item x="61"/>
        <item x="35"/>
        <item x="77"/>
        <item x="56"/>
        <item x="14"/>
        <item x="37"/>
        <item x="29"/>
        <item x="68"/>
        <item x="20"/>
        <item x="33"/>
        <item x="7"/>
        <item x="59"/>
        <item x="43"/>
        <item x="50"/>
        <item x="17"/>
        <item x="74"/>
        <item x="54"/>
        <item x="55"/>
        <item x="47"/>
        <item x="6"/>
        <item x="71"/>
        <item x="0"/>
        <item x="57"/>
        <item x="5"/>
        <item x="25"/>
        <item x="49"/>
        <item x="58"/>
        <item x="62"/>
        <item x="42"/>
        <item x="44"/>
        <item x="48"/>
        <item x="63"/>
        <item x="23"/>
        <item x="4"/>
        <item x="73"/>
        <item x="1"/>
        <item x="2"/>
        <item x="24"/>
        <item x="30"/>
        <item x="16"/>
        <item x="15"/>
        <item t="default"/>
      </items>
    </pivotField>
    <pivotField showAll="0"/>
    <pivotField showAll="0"/>
    <pivotField dataField="1" numFmtId="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6">
    <i>
      <x v="323"/>
    </i>
    <i>
      <x v="259"/>
    </i>
    <i>
      <x v="212"/>
    </i>
    <i>
      <x v="210"/>
    </i>
    <i>
      <x v="367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VALORATIONPG" fld="8" baseField="0" baseItem="0" numFmtId="2"/>
    <dataField name="Suma de GP" fld="5" baseField="0" baseItem="0"/>
  </dataFields>
  <pivotTableStyleInfo name="PivotStyleLight16" showRowHeaders="1" showColHeaders="1" showRowStripes="0" showColStripes="0" showLastColumn="1"/>
  <filters count="1">
    <filter fld="2" type="count" evalOrder="-1" id="6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83D9C511-E393-45F1-BB98-40F8F92BF30F}" autoFormatId="16" applyNumberFormats="0" applyBorderFormats="0" applyFontFormats="0" applyPatternFormats="0" applyAlignmentFormats="0" applyWidthHeightFormats="0">
  <queryTableRefresh nextId="29">
    <queryTableFields count="28">
      <queryTableField id="1" name="PLAYER_ID" tableColumnId="1"/>
      <queryTableField id="2" name="SEASON_ID" tableColumnId="2"/>
      <queryTableField id="3" name="LEAGUE_ID" tableColumnId="3"/>
      <queryTableField id="4" name="TEAM_ID" tableColumnId="4"/>
      <queryTableField id="5" name="TEAM_ABBREVIATION" tableColumnId="5"/>
      <queryTableField id="6" name="PLAYER_AGE" tableColumnId="6"/>
      <queryTableField id="7" name="GP" tableColumnId="7"/>
      <queryTableField id="8" name="GS" tableColumnId="8"/>
      <queryTableField id="9" name="MIN" tableColumnId="9"/>
      <queryTableField id="10" name="FGM" tableColumnId="10"/>
      <queryTableField id="11" name="FGA" tableColumnId="11"/>
      <queryTableField id="12" name="FG_PCT" tableColumnId="12"/>
      <queryTableField id="13" name="FG3M" tableColumnId="13"/>
      <queryTableField id="14" name="FG3A" tableColumnId="14"/>
      <queryTableField id="15" name="FG3_PCT" tableColumnId="15"/>
      <queryTableField id="16" name="FTM" tableColumnId="16"/>
      <queryTableField id="17" name="FTA" tableColumnId="17"/>
      <queryTableField id="18" name="FT_PCT" tableColumnId="18"/>
      <queryTableField id="19" name="OREB" tableColumnId="19"/>
      <queryTableField id="20" name="DREB" tableColumnId="20"/>
      <queryTableField id="21" name="REB" tableColumnId="21"/>
      <queryTableField id="22" name="AST" tableColumnId="22"/>
      <queryTableField id="23" name="STL" tableColumnId="23"/>
      <queryTableField id="24" name="BLK" tableColumnId="24"/>
      <queryTableField id="25" name="TOV" tableColumnId="25"/>
      <queryTableField id="26" name="PF" tableColumnId="26"/>
      <queryTableField id="27" name="PTS" tableColumnId="27"/>
      <queryTableField id="28" name="PLAYER_NAME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353148C-4F3C-4060-8B35-5C3C23DEC0AF}" autoFormatId="16" applyNumberFormats="0" applyBorderFormats="0" applyFontFormats="0" applyPatternFormats="0" applyAlignmentFormats="0" applyWidthHeightFormats="0">
  <queryTableRefresh nextId="49">
    <queryTableFields count="41">
      <queryTableField id="2" name="SEASON_ID" tableColumnId="2"/>
      <queryTableField id="29" dataBound="0" tableColumnId="29"/>
      <queryTableField id="46" dataBound="0" tableColumnId="46"/>
      <queryTableField id="30" dataBound="0" tableColumnId="30"/>
      <queryTableField id="6" name="PLAYER_AGE" tableColumnId="6"/>
      <queryTableField id="7" name="GP" tableColumnId="7"/>
      <queryTableField id="9" name="MIN" tableColumnId="9"/>
      <queryTableField id="42" dataBound="0" tableColumnId="42"/>
      <queryTableField id="44" dataBound="0" tableColumnId="44"/>
      <queryTableField id="10" name="FGM" tableColumnId="10"/>
      <queryTableField id="11" name="FGA" tableColumnId="11"/>
      <queryTableField id="12" name="FG_PCT" tableColumnId="12"/>
      <queryTableField id="13" name="FG3M" tableColumnId="13"/>
      <queryTableField id="14" name="FG3A" tableColumnId="14"/>
      <queryTableField id="15" name="FG3_PCT" tableColumnId="15"/>
      <queryTableField id="16" name="FTM" tableColumnId="16"/>
      <queryTableField id="17" name="FTA" tableColumnId="17"/>
      <queryTableField id="18" name="FT_PCT" tableColumnId="18"/>
      <queryTableField id="33" dataBound="0" tableColumnId="31"/>
      <queryTableField id="32" dataBound="0" tableColumnId="32"/>
      <queryTableField id="31" dataBound="0" tableColumnId="33"/>
      <queryTableField id="19" name="OREB" tableColumnId="19"/>
      <queryTableField id="20" name="DREB" tableColumnId="20"/>
      <queryTableField id="21" name="REB" tableColumnId="21"/>
      <queryTableField id="47" dataBound="0" tableColumnId="47"/>
      <queryTableField id="22" name="AST" tableColumnId="22"/>
      <queryTableField id="34" dataBound="0" tableColumnId="34"/>
      <queryTableField id="43" dataBound="0" tableColumnId="43"/>
      <queryTableField id="23" name="STL" tableColumnId="23"/>
      <queryTableField id="35" dataBound="0" tableColumnId="35"/>
      <queryTableField id="24" name="BLK" tableColumnId="24"/>
      <queryTableField id="36" dataBound="0" tableColumnId="36"/>
      <queryTableField id="40" dataBound="0" tableColumnId="40"/>
      <queryTableField id="25" name="TOV" tableColumnId="25"/>
      <queryTableField id="48" dataBound="0" tableColumnId="48"/>
      <queryTableField id="37" dataBound="0" tableColumnId="37"/>
      <queryTableField id="41" dataBound="0" tableColumnId="41"/>
      <queryTableField id="26" name="PF" tableColumnId="26"/>
      <queryTableField id="38" dataBound="0" tableColumnId="38"/>
      <queryTableField id="39" dataBound="0" tableColumnId="39"/>
      <queryTableField id="27" name="PTS" tableColumnId="27"/>
    </queryTableFields>
    <queryTableDeletedFields count="6">
      <deletedField name="PLAYER_ID"/>
      <deletedField name="LEAGUE_ID"/>
      <deletedField name="TEAM_ID"/>
      <deletedField name="TEAM_ABBREVIATION"/>
      <deletedField name="PLAYER_NAME"/>
      <deletedField name="G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16DC91-D70F-4A7F-A204-A068CA74ABA7}" name="knicks_players_all_stats__2" displayName="knicks_players_all_stats__2" ref="A1:AB1219" tableType="queryTable" totalsRowShown="0">
  <autoFilter ref="A1:AB1219" xr:uid="{F516DC91-D70F-4A7F-A204-A068CA74ABA7}"/>
  <tableColumns count="28">
    <tableColumn id="1" xr3:uid="{8523EBA8-1885-4069-BFC3-856B519A8DDC}" uniqueName="1" name="PLAYER_ID" queryTableFieldId="1"/>
    <tableColumn id="2" xr3:uid="{A6CB4D3A-88A9-4A77-84B8-F32F9E16CF57}" uniqueName="2" name="SEASON_ID" queryTableFieldId="2" dataDxfId="33"/>
    <tableColumn id="3" xr3:uid="{A4CCB69F-444D-41E4-8928-C65CC30D64A7}" uniqueName="3" name="LEAGUE_ID" queryTableFieldId="3"/>
    <tableColumn id="4" xr3:uid="{E5D32F2F-7185-4841-BB41-C07F2C7B5AE9}" uniqueName="4" name="TEAM_ID" queryTableFieldId="4"/>
    <tableColumn id="5" xr3:uid="{6893E4A9-8E23-4637-8117-2DFEC1B1419D}" uniqueName="5" name="TEAM_ABBREVIATION" queryTableFieldId="5" dataDxfId="32"/>
    <tableColumn id="6" xr3:uid="{2ECB297F-46E9-4A85-9280-7166FD91796A}" uniqueName="6" name="PLAYER_AGE" queryTableFieldId="6"/>
    <tableColumn id="7" xr3:uid="{B3505A30-7354-4998-8ADF-762165100CB9}" uniqueName="7" name="GP" queryTableFieldId="7"/>
    <tableColumn id="8" xr3:uid="{C80F10D3-D6C7-496A-A6D8-DA3A5B6C2A01}" uniqueName="8" name="GS" queryTableFieldId="8"/>
    <tableColumn id="9" xr3:uid="{9945B11F-CD3B-4F57-B86B-48EE9D01706C}" uniqueName="9" name="MIN" queryTableFieldId="9"/>
    <tableColumn id="10" xr3:uid="{8C2CB909-DEBE-4FAD-81B7-10F09EB0F0C0}" uniqueName="10" name="FGM" queryTableFieldId="10"/>
    <tableColumn id="11" xr3:uid="{1C693FFB-DAB7-424E-B328-827FFE40303C}" uniqueName="11" name="FGA" queryTableFieldId="11"/>
    <tableColumn id="12" xr3:uid="{ADED252B-6728-45E4-A8E5-C1DC8935679B}" uniqueName="12" name="FG_PCT" queryTableFieldId="12"/>
    <tableColumn id="13" xr3:uid="{FAB9A66D-E93A-405D-AD35-E6D2B661E17A}" uniqueName="13" name="FG3M" queryTableFieldId="13"/>
    <tableColumn id="14" xr3:uid="{58460C90-20A4-4A5B-9D32-4D7EE6315ADB}" uniqueName="14" name="FG3A" queryTableFieldId="14"/>
    <tableColumn id="15" xr3:uid="{546941EC-6209-4280-BC19-DD07797D9330}" uniqueName="15" name="FG3_PCT" queryTableFieldId="15"/>
    <tableColumn id="16" xr3:uid="{373B452A-428B-4CB3-BB39-2BBE280077E8}" uniqueName="16" name="FTM" queryTableFieldId="16"/>
    <tableColumn id="17" xr3:uid="{3D402F86-9976-44B4-9157-371057CAB5AF}" uniqueName="17" name="FTA" queryTableFieldId="17"/>
    <tableColumn id="18" xr3:uid="{CBE9EF23-DB6D-49A3-90FE-6FADE8576A46}" uniqueName="18" name="FT_PCT" queryTableFieldId="18"/>
    <tableColumn id="19" xr3:uid="{D533FB7A-3B2D-49D0-89AD-1C136644C671}" uniqueName="19" name="OREB" queryTableFieldId="19"/>
    <tableColumn id="20" xr3:uid="{35E1A6D8-804D-4352-9A5F-D494C6C33B41}" uniqueName="20" name="DREB" queryTableFieldId="20"/>
    <tableColumn id="21" xr3:uid="{EBE2BCA1-DE12-4DCE-94BC-7D1DB54799BE}" uniqueName="21" name="REB" queryTableFieldId="21"/>
    <tableColumn id="22" xr3:uid="{6B7C3C5D-0EFC-4D4D-A500-56F86655BB96}" uniqueName="22" name="AST" queryTableFieldId="22"/>
    <tableColumn id="23" xr3:uid="{F2CD554D-35FB-497C-B164-F16D7DA113E0}" uniqueName="23" name="STL" queryTableFieldId="23"/>
    <tableColumn id="24" xr3:uid="{2F7DFA33-9AA8-4A78-980B-97A5A4F60D85}" uniqueName="24" name="BLK" queryTableFieldId="24"/>
    <tableColumn id="25" xr3:uid="{8CA8E71A-3471-4E4C-B305-68CD8D3DEA7E}" uniqueName="25" name="TOV" queryTableFieldId="25"/>
    <tableColumn id="26" xr3:uid="{8389A170-9973-4AF9-AC5F-8AD112F8DE03}" uniqueName="26" name="PF" queryTableFieldId="26"/>
    <tableColumn id="27" xr3:uid="{96B99561-73F0-4EFB-BE5C-25A09102D53B}" uniqueName="27" name="PTS" queryTableFieldId="27"/>
    <tableColumn id="28" xr3:uid="{F89BB60A-02EC-456C-8E11-765A3A057D92}" uniqueName="28" name="PLAYER_NAME" queryTableFieldId="28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C50A51-2AB6-4AEC-8559-A03BAF25C8DB}" name="knicks_players_all_stats" displayName="knicks_players_all_stats" ref="A1:AO1219" tableType="queryTable" totalsRowShown="0">
  <autoFilter ref="A1:AO1219" xr:uid="{4AC50A51-2AB6-4AEC-8559-A03BAF25C8DB}"/>
  <sortState xmlns:xlrd2="http://schemas.microsoft.com/office/spreadsheetml/2017/richdata2" ref="A2:AO1219">
    <sortCondition ref="B1:B1219"/>
  </sortState>
  <tableColumns count="41">
    <tableColumn id="2" xr3:uid="{FFB819E8-C20B-47E5-A14C-27D02D5F95B8}" uniqueName="2" name="NAME" queryTableFieldId="2" dataDxfId="30"/>
    <tableColumn id="29" xr3:uid="{34837B95-7AD3-44AF-9B1F-873EF5EF7601}" uniqueName="29" name="SEASON" queryTableFieldId="29" dataDxfId="29"/>
    <tableColumn id="46" xr3:uid="{49BFF3B3-9CA6-4170-B687-934C66C84673}" uniqueName="46" name="PLAYER_SEASON" queryTableFieldId="46" dataDxfId="28"/>
    <tableColumn id="30" xr3:uid="{217DAAAE-984F-4EB8-BBBF-EA5D5B72FDA6}" uniqueName="30" name="AGE" queryTableFieldId="30" dataDxfId="27"/>
    <tableColumn id="6" xr3:uid="{26A86942-D117-4259-8C3E-8BF72AEB6FB5}" uniqueName="6" name="PLAYER_AGE" queryTableFieldId="6"/>
    <tableColumn id="7" xr3:uid="{71E9BC44-DA65-405E-8030-E407DCE0EA24}" uniqueName="7" name="GP" queryTableFieldId="7"/>
    <tableColumn id="9" xr3:uid="{7E9C239C-3988-498C-90AF-8BB80A7C3AE7}" uniqueName="9" name="MIN" queryTableFieldId="9"/>
    <tableColumn id="42" xr3:uid="{4BD9B88D-1E28-46E9-8F2F-489201A82B1C}" uniqueName="42" name="VALORATION" queryTableFieldId="42" dataDxfId="26"/>
    <tableColumn id="44" xr3:uid="{B20C2E4F-026E-499F-ACAA-AB9FE25539EB}" uniqueName="44" name="VALORATIONPG" queryTableFieldId="44" dataDxfId="25"/>
    <tableColumn id="10" xr3:uid="{BCDB09FF-F25A-4363-B59A-889772E4173A}" uniqueName="10" name="FGM" queryTableFieldId="10"/>
    <tableColumn id="11" xr3:uid="{53A171E5-29FD-4F4D-8D15-D4946221678D}" uniqueName="11" name="FGA" queryTableFieldId="11"/>
    <tableColumn id="12" xr3:uid="{B6332E98-A4EF-401E-B885-902696077624}" uniqueName="12" name="FG_PCT" queryTableFieldId="12"/>
    <tableColumn id="13" xr3:uid="{CF138FD1-5929-4E75-A44E-A3C86A6E7F86}" uniqueName="13" name="FG3M" queryTableFieldId="13"/>
    <tableColumn id="14" xr3:uid="{874C3E52-0973-4D34-AF2A-14A2B5E0877C}" uniqueName="14" name="FG3A" queryTableFieldId="14"/>
    <tableColumn id="15" xr3:uid="{B506932F-7742-463F-BA4F-9AC13A38580F}" uniqueName="15" name="FG3_PCT" queryTableFieldId="15" dataDxfId="24" dataCellStyle="Porcentaje"/>
    <tableColumn id="16" xr3:uid="{93179114-9A5B-4CDD-9378-9B3E3A56A44C}" uniqueName="16" name="FTM" queryTableFieldId="16"/>
    <tableColumn id="17" xr3:uid="{B5A1F50D-05C0-4631-8858-D14BAA08712D}" uniqueName="17" name="FTA" queryTableFieldId="17"/>
    <tableColumn id="18" xr3:uid="{2476862C-E0B0-422D-BD28-6C97FEA41210}" uniqueName="18" name="FT_PCT" queryTableFieldId="18" dataDxfId="23"/>
    <tableColumn id="31" xr3:uid="{4CE0E244-9CE0-4D7C-A7F8-93AC7E236C26}" uniqueName="31" name="OREB" queryTableFieldId="33" dataDxfId="22"/>
    <tableColumn id="32" xr3:uid="{3CD0855D-46DD-431A-8FE2-866B93AF3716}" uniqueName="32" name="DREB" queryTableFieldId="32"/>
    <tableColumn id="33" xr3:uid="{1C37A94B-F9DC-414B-A549-CEEFDAF2E868}" uniqueName="33" name="REB" queryTableFieldId="31"/>
    <tableColumn id="19" xr3:uid="{3606B374-4FA3-4E23-963B-9EA0A0DEB0A6}" uniqueName="19" name="OREB22" queryTableFieldId="19"/>
    <tableColumn id="20" xr3:uid="{016B7C1D-7B9F-4400-97FC-C38D7BDBB5B3}" uniqueName="20" name="DREB33" queryTableFieldId="20"/>
    <tableColumn id="21" xr3:uid="{4AAD3811-B55B-4426-B89D-C45C114EA98D}" uniqueName="21" name="REB44" queryTableFieldId="21"/>
    <tableColumn id="47" xr3:uid="{856261F0-774F-4560-85B9-FDC1E916009A}" uniqueName="47" name="REBPG" queryTableFieldId="47" dataDxfId="14">
      <calculatedColumnFormula>knicks_players_all_stats[[#This Row],[REB]]/knicks_players_all_stats[[#This Row],[GP]]</calculatedColumnFormula>
    </tableColumn>
    <tableColumn id="22" xr3:uid="{8F5B9686-2238-4A2A-80D6-E5CB8D162976}" uniqueName="22" name="AST" queryTableFieldId="22"/>
    <tableColumn id="34" xr3:uid="{7ACCED0D-017F-4F4D-95C6-498951CF149A}" uniqueName="34" name="ASTPG" queryTableFieldId="34" dataDxfId="21"/>
    <tableColumn id="43" xr3:uid="{8C8BA4B9-603F-43CD-992D-FB87B2FEFCB4}" uniqueName="43" name="STL" queryTableFieldId="43" dataDxfId="20"/>
    <tableColumn id="23" xr3:uid="{E1070256-11F7-404B-9BBF-3EE07C15DB3C}" uniqueName="23" name="STL2" queryTableFieldId="23"/>
    <tableColumn id="35" xr3:uid="{71CC8313-CB25-45F8-B99D-3FFB479148C2}" uniqueName="35" name="STLPG" queryTableFieldId="35" dataDxfId="19"/>
    <tableColumn id="24" xr3:uid="{542836E7-2BA4-4817-9A70-848544611A8B}" uniqueName="24" name="BLK2" queryTableFieldId="24"/>
    <tableColumn id="36" xr3:uid="{37612855-81DB-4B60-8BCA-AF9BD84593DA}" uniqueName="36" name="BLK" queryTableFieldId="36" dataDxfId="18"/>
    <tableColumn id="40" xr3:uid="{1D75D805-4A75-4FA4-A029-63F8AD37E649}" uniqueName="40" name="BLKPG" queryTableFieldId="40" dataDxfId="17"/>
    <tableColumn id="25" xr3:uid="{C46D2877-6F43-49AB-AC94-0A5FF979D18B}" uniqueName="25" name="TOV2" queryTableFieldId="25"/>
    <tableColumn id="48" xr3:uid="{9A5E7BE8-BFE4-46E7-AB8B-E6FC6800E8F7}" uniqueName="48" name="DEFRTNGPG" queryTableFieldId="48" dataDxfId="12">
      <calculatedColumnFormula>knicks_players_all_stats[[#This Row],[BLKPG]]+knicks_players_all_stats[[#This Row],[STLPG]]+knicks_players_all_stats[[#This Row],[REBPG]]</calculatedColumnFormula>
    </tableColumn>
    <tableColumn id="37" xr3:uid="{D841AE0C-C8CA-43E8-A0F1-CCF15959F86B}" uniqueName="37" name="TOV" queryTableFieldId="37" dataDxfId="13"/>
    <tableColumn id="41" xr3:uid="{BC47ABC2-FE33-42E1-9DAC-77D8C33D2095}" uniqueName="41" name="TOVPG" queryTableFieldId="41" dataDxfId="16"/>
    <tableColumn id="26" xr3:uid="{627A2F84-B513-4703-A30C-28CDBAB54721}" uniqueName="26" name="PF" queryTableFieldId="26"/>
    <tableColumn id="38" xr3:uid="{779EEFDB-576C-4A10-9095-2D3D5BC4C0DB}" uniqueName="38" name="PFPG" queryTableFieldId="38" dataDxfId="15"/>
    <tableColumn id="39" xr3:uid="{91C65B5C-3D1D-44B7-8B90-CF16274E557C}" uniqueName="39" name="PTS" queryTableFieldId="39"/>
    <tableColumn id="27" xr3:uid="{D02D4990-B62D-48A0-9813-A9C144F21C00}" uniqueName="27" name="PTSPG" queryTableFieldId="27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C3C3E51-AE06-4ED1-9C05-19D323F58BA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dc05a55-44d9-4bf8-839a-691850162902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C478-FE46-49B9-9B75-8F2031F0AE16}">
  <dimension ref="A1:A1219"/>
  <sheetViews>
    <sheetView workbookViewId="0">
      <selection activeCell="D24" sqref="D24"/>
    </sheetView>
  </sheetViews>
  <sheetFormatPr baseColWidth="10" defaultRowHeight="14.4" x14ac:dyDescent="0.3"/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5</v>
      </c>
    </row>
    <row r="7" spans="1:1" x14ac:dyDescent="0.3">
      <c r="A7" t="s">
        <v>6</v>
      </c>
    </row>
    <row r="8" spans="1:1" x14ac:dyDescent="0.3">
      <c r="A8" t="s">
        <v>7</v>
      </c>
    </row>
    <row r="9" spans="1:1" x14ac:dyDescent="0.3">
      <c r="A9" t="s">
        <v>8</v>
      </c>
    </row>
    <row r="10" spans="1:1" x14ac:dyDescent="0.3">
      <c r="A10" t="s">
        <v>9</v>
      </c>
    </row>
    <row r="11" spans="1:1" x14ac:dyDescent="0.3">
      <c r="A11" t="s">
        <v>10</v>
      </c>
    </row>
    <row r="12" spans="1:1" x14ac:dyDescent="0.3">
      <c r="A12" t="s">
        <v>11</v>
      </c>
    </row>
    <row r="13" spans="1:1" x14ac:dyDescent="0.3">
      <c r="A13" t="s">
        <v>12</v>
      </c>
    </row>
    <row r="14" spans="1:1" x14ac:dyDescent="0.3">
      <c r="A14" t="s">
        <v>13</v>
      </c>
    </row>
    <row r="15" spans="1:1" x14ac:dyDescent="0.3">
      <c r="A15" t="s">
        <v>14</v>
      </c>
    </row>
    <row r="16" spans="1:1" x14ac:dyDescent="0.3">
      <c r="A16" t="s">
        <v>15</v>
      </c>
    </row>
    <row r="17" spans="1:1" x14ac:dyDescent="0.3">
      <c r="A17" t="s">
        <v>16</v>
      </c>
    </row>
    <row r="18" spans="1:1" x14ac:dyDescent="0.3">
      <c r="A18" t="s">
        <v>17</v>
      </c>
    </row>
    <row r="19" spans="1:1" x14ac:dyDescent="0.3">
      <c r="A19" t="s">
        <v>18</v>
      </c>
    </row>
    <row r="20" spans="1:1" x14ac:dyDescent="0.3">
      <c r="A20" t="s">
        <v>19</v>
      </c>
    </row>
    <row r="21" spans="1:1" x14ac:dyDescent="0.3">
      <c r="A21" t="s">
        <v>20</v>
      </c>
    </row>
    <row r="22" spans="1:1" x14ac:dyDescent="0.3">
      <c r="A22" t="s">
        <v>21</v>
      </c>
    </row>
    <row r="23" spans="1:1" x14ac:dyDescent="0.3">
      <c r="A23" t="s">
        <v>22</v>
      </c>
    </row>
    <row r="24" spans="1:1" x14ac:dyDescent="0.3">
      <c r="A24" t="s">
        <v>23</v>
      </c>
    </row>
    <row r="25" spans="1:1" x14ac:dyDescent="0.3">
      <c r="A25" t="s">
        <v>24</v>
      </c>
    </row>
    <row r="26" spans="1:1" x14ac:dyDescent="0.3">
      <c r="A26" t="s">
        <v>25</v>
      </c>
    </row>
    <row r="27" spans="1:1" x14ac:dyDescent="0.3">
      <c r="A27" t="s">
        <v>26</v>
      </c>
    </row>
    <row r="28" spans="1:1" x14ac:dyDescent="0.3">
      <c r="A28" t="s">
        <v>27</v>
      </c>
    </row>
    <row r="29" spans="1:1" x14ac:dyDescent="0.3">
      <c r="A29" t="s">
        <v>28</v>
      </c>
    </row>
    <row r="30" spans="1:1" x14ac:dyDescent="0.3">
      <c r="A30" t="s">
        <v>29</v>
      </c>
    </row>
    <row r="31" spans="1:1" x14ac:dyDescent="0.3">
      <c r="A31" t="s">
        <v>30</v>
      </c>
    </row>
    <row r="32" spans="1:1" x14ac:dyDescent="0.3">
      <c r="A32" t="s">
        <v>31</v>
      </c>
    </row>
    <row r="33" spans="1:1" x14ac:dyDescent="0.3">
      <c r="A33" t="s">
        <v>32</v>
      </c>
    </row>
    <row r="34" spans="1:1" x14ac:dyDescent="0.3">
      <c r="A34" t="s">
        <v>33</v>
      </c>
    </row>
    <row r="35" spans="1:1" x14ac:dyDescent="0.3">
      <c r="A35" t="s">
        <v>34</v>
      </c>
    </row>
    <row r="36" spans="1:1" x14ac:dyDescent="0.3">
      <c r="A36" t="s">
        <v>35</v>
      </c>
    </row>
    <row r="37" spans="1:1" x14ac:dyDescent="0.3">
      <c r="A37" t="s">
        <v>36</v>
      </c>
    </row>
    <row r="38" spans="1:1" x14ac:dyDescent="0.3">
      <c r="A38" t="s">
        <v>37</v>
      </c>
    </row>
    <row r="39" spans="1:1" x14ac:dyDescent="0.3">
      <c r="A39" t="s">
        <v>38</v>
      </c>
    </row>
    <row r="40" spans="1:1" x14ac:dyDescent="0.3">
      <c r="A40" t="s">
        <v>39</v>
      </c>
    </row>
    <row r="41" spans="1:1" x14ac:dyDescent="0.3">
      <c r="A41" t="s">
        <v>40</v>
      </c>
    </row>
    <row r="42" spans="1:1" x14ac:dyDescent="0.3">
      <c r="A42" t="s">
        <v>41</v>
      </c>
    </row>
    <row r="43" spans="1:1" x14ac:dyDescent="0.3">
      <c r="A43" t="s">
        <v>42</v>
      </c>
    </row>
    <row r="44" spans="1:1" x14ac:dyDescent="0.3">
      <c r="A44" t="s">
        <v>43</v>
      </c>
    </row>
    <row r="45" spans="1:1" x14ac:dyDescent="0.3">
      <c r="A45" t="s">
        <v>44</v>
      </c>
    </row>
    <row r="46" spans="1:1" x14ac:dyDescent="0.3">
      <c r="A46" t="s">
        <v>45</v>
      </c>
    </row>
    <row r="47" spans="1:1" x14ac:dyDescent="0.3">
      <c r="A47" t="s">
        <v>46</v>
      </c>
    </row>
    <row r="48" spans="1:1" x14ac:dyDescent="0.3">
      <c r="A48" t="s">
        <v>47</v>
      </c>
    </row>
    <row r="49" spans="1:1" x14ac:dyDescent="0.3">
      <c r="A49" t="s">
        <v>48</v>
      </c>
    </row>
    <row r="50" spans="1:1" x14ac:dyDescent="0.3">
      <c r="A50" t="s">
        <v>49</v>
      </c>
    </row>
    <row r="51" spans="1:1" x14ac:dyDescent="0.3">
      <c r="A51" t="s">
        <v>50</v>
      </c>
    </row>
    <row r="52" spans="1:1" x14ac:dyDescent="0.3">
      <c r="A52" t="s">
        <v>51</v>
      </c>
    </row>
    <row r="53" spans="1:1" x14ac:dyDescent="0.3">
      <c r="A53" t="s">
        <v>52</v>
      </c>
    </row>
    <row r="54" spans="1:1" x14ac:dyDescent="0.3">
      <c r="A54" t="s">
        <v>53</v>
      </c>
    </row>
    <row r="55" spans="1:1" x14ac:dyDescent="0.3">
      <c r="A55" t="s">
        <v>54</v>
      </c>
    </row>
    <row r="56" spans="1:1" x14ac:dyDescent="0.3">
      <c r="A56" t="s">
        <v>55</v>
      </c>
    </row>
    <row r="57" spans="1:1" x14ac:dyDescent="0.3">
      <c r="A57" t="s">
        <v>56</v>
      </c>
    </row>
    <row r="58" spans="1:1" x14ac:dyDescent="0.3">
      <c r="A58" t="s">
        <v>57</v>
      </c>
    </row>
    <row r="59" spans="1:1" x14ac:dyDescent="0.3">
      <c r="A59" t="s">
        <v>58</v>
      </c>
    </row>
    <row r="60" spans="1:1" x14ac:dyDescent="0.3">
      <c r="A60" t="s">
        <v>59</v>
      </c>
    </row>
    <row r="61" spans="1:1" x14ac:dyDescent="0.3">
      <c r="A61" t="s">
        <v>60</v>
      </c>
    </row>
    <row r="62" spans="1:1" x14ac:dyDescent="0.3">
      <c r="A62" t="s">
        <v>61</v>
      </c>
    </row>
    <row r="63" spans="1:1" x14ac:dyDescent="0.3">
      <c r="A63" t="s">
        <v>62</v>
      </c>
    </row>
    <row r="64" spans="1:1" x14ac:dyDescent="0.3">
      <c r="A64" t="s">
        <v>63</v>
      </c>
    </row>
    <row r="65" spans="1:1" x14ac:dyDescent="0.3">
      <c r="A65" t="s">
        <v>64</v>
      </c>
    </row>
    <row r="66" spans="1:1" x14ac:dyDescent="0.3">
      <c r="A66" t="s">
        <v>65</v>
      </c>
    </row>
    <row r="67" spans="1:1" x14ac:dyDescent="0.3">
      <c r="A67" t="s">
        <v>66</v>
      </c>
    </row>
    <row r="68" spans="1:1" x14ac:dyDescent="0.3">
      <c r="A68" t="s">
        <v>67</v>
      </c>
    </row>
    <row r="69" spans="1:1" x14ac:dyDescent="0.3">
      <c r="A69" t="s">
        <v>68</v>
      </c>
    </row>
    <row r="70" spans="1:1" x14ac:dyDescent="0.3">
      <c r="A70" t="s">
        <v>69</v>
      </c>
    </row>
    <row r="71" spans="1:1" x14ac:dyDescent="0.3">
      <c r="A71" t="s">
        <v>70</v>
      </c>
    </row>
    <row r="72" spans="1:1" x14ac:dyDescent="0.3">
      <c r="A72" t="s">
        <v>71</v>
      </c>
    </row>
    <row r="73" spans="1:1" x14ac:dyDescent="0.3">
      <c r="A73" t="s">
        <v>72</v>
      </c>
    </row>
    <row r="74" spans="1:1" x14ac:dyDescent="0.3">
      <c r="A74" t="s">
        <v>73</v>
      </c>
    </row>
    <row r="75" spans="1:1" x14ac:dyDescent="0.3">
      <c r="A75" t="s">
        <v>74</v>
      </c>
    </row>
    <row r="76" spans="1:1" x14ac:dyDescent="0.3">
      <c r="A76" t="s">
        <v>75</v>
      </c>
    </row>
    <row r="77" spans="1:1" x14ac:dyDescent="0.3">
      <c r="A77" t="s">
        <v>76</v>
      </c>
    </row>
    <row r="78" spans="1:1" x14ac:dyDescent="0.3">
      <c r="A78" t="s">
        <v>77</v>
      </c>
    </row>
    <row r="79" spans="1:1" x14ac:dyDescent="0.3">
      <c r="A79" t="s">
        <v>78</v>
      </c>
    </row>
    <row r="80" spans="1:1" x14ac:dyDescent="0.3">
      <c r="A80" t="s">
        <v>79</v>
      </c>
    </row>
    <row r="81" spans="1:1" x14ac:dyDescent="0.3">
      <c r="A81" t="s">
        <v>80</v>
      </c>
    </row>
    <row r="82" spans="1:1" x14ac:dyDescent="0.3">
      <c r="A82" t="s">
        <v>81</v>
      </c>
    </row>
    <row r="83" spans="1:1" x14ac:dyDescent="0.3">
      <c r="A83" t="s">
        <v>82</v>
      </c>
    </row>
    <row r="84" spans="1:1" x14ac:dyDescent="0.3">
      <c r="A84" t="s">
        <v>83</v>
      </c>
    </row>
    <row r="85" spans="1:1" x14ac:dyDescent="0.3">
      <c r="A85" t="s">
        <v>84</v>
      </c>
    </row>
    <row r="86" spans="1:1" x14ac:dyDescent="0.3">
      <c r="A86" t="s">
        <v>85</v>
      </c>
    </row>
    <row r="87" spans="1:1" x14ac:dyDescent="0.3">
      <c r="A87" t="s">
        <v>86</v>
      </c>
    </row>
    <row r="88" spans="1:1" x14ac:dyDescent="0.3">
      <c r="A88" t="s">
        <v>87</v>
      </c>
    </row>
    <row r="89" spans="1:1" x14ac:dyDescent="0.3">
      <c r="A89" t="s">
        <v>88</v>
      </c>
    </row>
    <row r="90" spans="1:1" x14ac:dyDescent="0.3">
      <c r="A90" t="s">
        <v>89</v>
      </c>
    </row>
    <row r="91" spans="1:1" x14ac:dyDescent="0.3">
      <c r="A91" t="s">
        <v>90</v>
      </c>
    </row>
    <row r="92" spans="1:1" x14ac:dyDescent="0.3">
      <c r="A92" t="s">
        <v>91</v>
      </c>
    </row>
    <row r="93" spans="1:1" x14ac:dyDescent="0.3">
      <c r="A93" t="s">
        <v>92</v>
      </c>
    </row>
    <row r="94" spans="1:1" x14ac:dyDescent="0.3">
      <c r="A94" t="s">
        <v>93</v>
      </c>
    </row>
    <row r="95" spans="1:1" x14ac:dyDescent="0.3">
      <c r="A95" t="s">
        <v>94</v>
      </c>
    </row>
    <row r="96" spans="1:1" x14ac:dyDescent="0.3">
      <c r="A96" t="s">
        <v>95</v>
      </c>
    </row>
    <row r="97" spans="1:1" x14ac:dyDescent="0.3">
      <c r="A97" t="s">
        <v>96</v>
      </c>
    </row>
    <row r="98" spans="1:1" x14ac:dyDescent="0.3">
      <c r="A98" t="s">
        <v>97</v>
      </c>
    </row>
    <row r="99" spans="1:1" x14ac:dyDescent="0.3">
      <c r="A99" t="s">
        <v>98</v>
      </c>
    </row>
    <row r="100" spans="1:1" x14ac:dyDescent="0.3">
      <c r="A100" t="s">
        <v>99</v>
      </c>
    </row>
    <row r="101" spans="1:1" x14ac:dyDescent="0.3">
      <c r="A101" t="s">
        <v>100</v>
      </c>
    </row>
    <row r="102" spans="1:1" x14ac:dyDescent="0.3">
      <c r="A102" t="s">
        <v>101</v>
      </c>
    </row>
    <row r="103" spans="1:1" x14ac:dyDescent="0.3">
      <c r="A103" t="s">
        <v>102</v>
      </c>
    </row>
    <row r="104" spans="1:1" x14ac:dyDescent="0.3">
      <c r="A104" t="s">
        <v>103</v>
      </c>
    </row>
    <row r="105" spans="1:1" x14ac:dyDescent="0.3">
      <c r="A105" t="s">
        <v>104</v>
      </c>
    </row>
    <row r="106" spans="1:1" x14ac:dyDescent="0.3">
      <c r="A106" t="s">
        <v>105</v>
      </c>
    </row>
    <row r="107" spans="1:1" x14ac:dyDescent="0.3">
      <c r="A107" t="s">
        <v>106</v>
      </c>
    </row>
    <row r="108" spans="1:1" x14ac:dyDescent="0.3">
      <c r="A108" t="s">
        <v>107</v>
      </c>
    </row>
    <row r="109" spans="1:1" x14ac:dyDescent="0.3">
      <c r="A109" t="s">
        <v>108</v>
      </c>
    </row>
    <row r="110" spans="1:1" x14ac:dyDescent="0.3">
      <c r="A110" t="s">
        <v>109</v>
      </c>
    </row>
    <row r="111" spans="1:1" x14ac:dyDescent="0.3">
      <c r="A111" t="s">
        <v>110</v>
      </c>
    </row>
    <row r="112" spans="1:1" x14ac:dyDescent="0.3">
      <c r="A112" t="s">
        <v>111</v>
      </c>
    </row>
    <row r="113" spans="1:1" x14ac:dyDescent="0.3">
      <c r="A113" t="s">
        <v>112</v>
      </c>
    </row>
    <row r="114" spans="1:1" x14ac:dyDescent="0.3">
      <c r="A114" t="s">
        <v>113</v>
      </c>
    </row>
    <row r="115" spans="1:1" x14ac:dyDescent="0.3">
      <c r="A115" t="s">
        <v>114</v>
      </c>
    </row>
    <row r="116" spans="1:1" x14ac:dyDescent="0.3">
      <c r="A116" t="s">
        <v>115</v>
      </c>
    </row>
    <row r="117" spans="1:1" x14ac:dyDescent="0.3">
      <c r="A117" t="s">
        <v>116</v>
      </c>
    </row>
    <row r="118" spans="1:1" x14ac:dyDescent="0.3">
      <c r="A118" t="s">
        <v>117</v>
      </c>
    </row>
    <row r="119" spans="1:1" x14ac:dyDescent="0.3">
      <c r="A119" t="s">
        <v>118</v>
      </c>
    </row>
    <row r="120" spans="1:1" x14ac:dyDescent="0.3">
      <c r="A120" t="s">
        <v>119</v>
      </c>
    </row>
    <row r="121" spans="1:1" x14ac:dyDescent="0.3">
      <c r="A121" t="s">
        <v>120</v>
      </c>
    </row>
    <row r="122" spans="1:1" x14ac:dyDescent="0.3">
      <c r="A122" t="s">
        <v>121</v>
      </c>
    </row>
    <row r="123" spans="1:1" x14ac:dyDescent="0.3">
      <c r="A123" t="s">
        <v>122</v>
      </c>
    </row>
    <row r="124" spans="1:1" x14ac:dyDescent="0.3">
      <c r="A124" t="s">
        <v>123</v>
      </c>
    </row>
    <row r="125" spans="1:1" x14ac:dyDescent="0.3">
      <c r="A125" t="s">
        <v>124</v>
      </c>
    </row>
    <row r="126" spans="1:1" x14ac:dyDescent="0.3">
      <c r="A126" t="s">
        <v>125</v>
      </c>
    </row>
    <row r="127" spans="1:1" x14ac:dyDescent="0.3">
      <c r="A127" t="s">
        <v>126</v>
      </c>
    </row>
    <row r="128" spans="1:1" x14ac:dyDescent="0.3">
      <c r="A128" t="s">
        <v>127</v>
      </c>
    </row>
    <row r="129" spans="1:1" x14ac:dyDescent="0.3">
      <c r="A129" t="s">
        <v>128</v>
      </c>
    </row>
    <row r="130" spans="1:1" x14ac:dyDescent="0.3">
      <c r="A130" t="s">
        <v>129</v>
      </c>
    </row>
    <row r="131" spans="1:1" x14ac:dyDescent="0.3">
      <c r="A131" t="s">
        <v>130</v>
      </c>
    </row>
    <row r="132" spans="1:1" x14ac:dyDescent="0.3">
      <c r="A132" t="s">
        <v>131</v>
      </c>
    </row>
    <row r="133" spans="1:1" x14ac:dyDescent="0.3">
      <c r="A133" t="s">
        <v>132</v>
      </c>
    </row>
    <row r="134" spans="1:1" x14ac:dyDescent="0.3">
      <c r="A134" t="s">
        <v>133</v>
      </c>
    </row>
    <row r="135" spans="1:1" x14ac:dyDescent="0.3">
      <c r="A135" t="s">
        <v>134</v>
      </c>
    </row>
    <row r="136" spans="1:1" x14ac:dyDescent="0.3">
      <c r="A136" t="s">
        <v>135</v>
      </c>
    </row>
    <row r="137" spans="1:1" x14ac:dyDescent="0.3">
      <c r="A137" t="s">
        <v>136</v>
      </c>
    </row>
    <row r="138" spans="1:1" x14ac:dyDescent="0.3">
      <c r="A138" t="s">
        <v>137</v>
      </c>
    </row>
    <row r="139" spans="1:1" x14ac:dyDescent="0.3">
      <c r="A139" t="s">
        <v>138</v>
      </c>
    </row>
    <row r="140" spans="1:1" x14ac:dyDescent="0.3">
      <c r="A140" t="s">
        <v>139</v>
      </c>
    </row>
    <row r="141" spans="1:1" x14ac:dyDescent="0.3">
      <c r="A141" t="s">
        <v>140</v>
      </c>
    </row>
    <row r="142" spans="1:1" x14ac:dyDescent="0.3">
      <c r="A142" t="s">
        <v>141</v>
      </c>
    </row>
    <row r="143" spans="1:1" x14ac:dyDescent="0.3">
      <c r="A143" t="s">
        <v>142</v>
      </c>
    </row>
    <row r="144" spans="1:1" x14ac:dyDescent="0.3">
      <c r="A144" t="s">
        <v>143</v>
      </c>
    </row>
    <row r="145" spans="1:1" x14ac:dyDescent="0.3">
      <c r="A145" t="s">
        <v>144</v>
      </c>
    </row>
    <row r="146" spans="1:1" x14ac:dyDescent="0.3">
      <c r="A146" t="s">
        <v>145</v>
      </c>
    </row>
    <row r="147" spans="1:1" x14ac:dyDescent="0.3">
      <c r="A147" t="s">
        <v>146</v>
      </c>
    </row>
    <row r="148" spans="1:1" x14ac:dyDescent="0.3">
      <c r="A148" t="s">
        <v>147</v>
      </c>
    </row>
    <row r="149" spans="1:1" x14ac:dyDescent="0.3">
      <c r="A149" t="s">
        <v>148</v>
      </c>
    </row>
    <row r="150" spans="1:1" x14ac:dyDescent="0.3">
      <c r="A150" t="s">
        <v>149</v>
      </c>
    </row>
    <row r="151" spans="1:1" x14ac:dyDescent="0.3">
      <c r="A151" t="s">
        <v>150</v>
      </c>
    </row>
    <row r="152" spans="1:1" x14ac:dyDescent="0.3">
      <c r="A152" t="s">
        <v>151</v>
      </c>
    </row>
    <row r="153" spans="1:1" x14ac:dyDescent="0.3">
      <c r="A153" t="s">
        <v>152</v>
      </c>
    </row>
    <row r="154" spans="1:1" x14ac:dyDescent="0.3">
      <c r="A154" t="s">
        <v>153</v>
      </c>
    </row>
    <row r="155" spans="1:1" x14ac:dyDescent="0.3">
      <c r="A155" t="s">
        <v>154</v>
      </c>
    </row>
    <row r="156" spans="1:1" x14ac:dyDescent="0.3">
      <c r="A156" t="s">
        <v>155</v>
      </c>
    </row>
    <row r="157" spans="1:1" x14ac:dyDescent="0.3">
      <c r="A157" t="s">
        <v>156</v>
      </c>
    </row>
    <row r="158" spans="1:1" x14ac:dyDescent="0.3">
      <c r="A158" t="s">
        <v>157</v>
      </c>
    </row>
    <row r="159" spans="1:1" x14ac:dyDescent="0.3">
      <c r="A159" t="s">
        <v>158</v>
      </c>
    </row>
    <row r="160" spans="1:1" x14ac:dyDescent="0.3">
      <c r="A160" t="s">
        <v>159</v>
      </c>
    </row>
    <row r="161" spans="1:1" x14ac:dyDescent="0.3">
      <c r="A161" t="s">
        <v>160</v>
      </c>
    </row>
    <row r="162" spans="1:1" x14ac:dyDescent="0.3">
      <c r="A162" t="s">
        <v>161</v>
      </c>
    </row>
    <row r="163" spans="1:1" x14ac:dyDescent="0.3">
      <c r="A163" t="s">
        <v>162</v>
      </c>
    </row>
    <row r="164" spans="1:1" x14ac:dyDescent="0.3">
      <c r="A164" t="s">
        <v>163</v>
      </c>
    </row>
    <row r="165" spans="1:1" x14ac:dyDescent="0.3">
      <c r="A165" t="s">
        <v>164</v>
      </c>
    </row>
    <row r="166" spans="1:1" x14ac:dyDescent="0.3">
      <c r="A166" t="s">
        <v>165</v>
      </c>
    </row>
    <row r="167" spans="1:1" x14ac:dyDescent="0.3">
      <c r="A167" t="s">
        <v>166</v>
      </c>
    </row>
    <row r="168" spans="1:1" x14ac:dyDescent="0.3">
      <c r="A168" t="s">
        <v>167</v>
      </c>
    </row>
    <row r="169" spans="1:1" x14ac:dyDescent="0.3">
      <c r="A169" t="s">
        <v>168</v>
      </c>
    </row>
    <row r="170" spans="1:1" x14ac:dyDescent="0.3">
      <c r="A170" t="s">
        <v>169</v>
      </c>
    </row>
    <row r="171" spans="1:1" x14ac:dyDescent="0.3">
      <c r="A171" t="s">
        <v>170</v>
      </c>
    </row>
    <row r="172" spans="1:1" x14ac:dyDescent="0.3">
      <c r="A172" t="s">
        <v>171</v>
      </c>
    </row>
    <row r="173" spans="1:1" x14ac:dyDescent="0.3">
      <c r="A173" t="s">
        <v>172</v>
      </c>
    </row>
    <row r="174" spans="1:1" x14ac:dyDescent="0.3">
      <c r="A174" t="s">
        <v>173</v>
      </c>
    </row>
    <row r="175" spans="1:1" x14ac:dyDescent="0.3">
      <c r="A175" t="s">
        <v>174</v>
      </c>
    </row>
    <row r="176" spans="1:1" x14ac:dyDescent="0.3">
      <c r="A176" t="s">
        <v>175</v>
      </c>
    </row>
    <row r="177" spans="1:1" x14ac:dyDescent="0.3">
      <c r="A177" t="s">
        <v>176</v>
      </c>
    </row>
    <row r="178" spans="1:1" x14ac:dyDescent="0.3">
      <c r="A178" t="s">
        <v>177</v>
      </c>
    </row>
    <row r="179" spans="1:1" x14ac:dyDescent="0.3">
      <c r="A179" t="s">
        <v>178</v>
      </c>
    </row>
    <row r="180" spans="1:1" x14ac:dyDescent="0.3">
      <c r="A180" t="s">
        <v>179</v>
      </c>
    </row>
    <row r="181" spans="1:1" x14ac:dyDescent="0.3">
      <c r="A181" t="s">
        <v>180</v>
      </c>
    </row>
    <row r="182" spans="1:1" x14ac:dyDescent="0.3">
      <c r="A182" t="s">
        <v>181</v>
      </c>
    </row>
    <row r="183" spans="1:1" x14ac:dyDescent="0.3">
      <c r="A183" t="s">
        <v>182</v>
      </c>
    </row>
    <row r="184" spans="1:1" x14ac:dyDescent="0.3">
      <c r="A184" t="s">
        <v>183</v>
      </c>
    </row>
    <row r="185" spans="1:1" x14ac:dyDescent="0.3">
      <c r="A185" t="s">
        <v>184</v>
      </c>
    </row>
    <row r="186" spans="1:1" x14ac:dyDescent="0.3">
      <c r="A186" t="s">
        <v>185</v>
      </c>
    </row>
    <row r="187" spans="1:1" x14ac:dyDescent="0.3">
      <c r="A187" t="s">
        <v>186</v>
      </c>
    </row>
    <row r="188" spans="1:1" x14ac:dyDescent="0.3">
      <c r="A188" t="s">
        <v>187</v>
      </c>
    </row>
    <row r="189" spans="1:1" x14ac:dyDescent="0.3">
      <c r="A189" t="s">
        <v>188</v>
      </c>
    </row>
    <row r="190" spans="1:1" x14ac:dyDescent="0.3">
      <c r="A190" t="s">
        <v>189</v>
      </c>
    </row>
    <row r="191" spans="1:1" x14ac:dyDescent="0.3">
      <c r="A191" t="s">
        <v>190</v>
      </c>
    </row>
    <row r="192" spans="1:1" x14ac:dyDescent="0.3">
      <c r="A192" t="s">
        <v>191</v>
      </c>
    </row>
    <row r="193" spans="1:1" x14ac:dyDescent="0.3">
      <c r="A193" t="s">
        <v>192</v>
      </c>
    </row>
    <row r="194" spans="1:1" x14ac:dyDescent="0.3">
      <c r="A194" t="s">
        <v>193</v>
      </c>
    </row>
    <row r="195" spans="1:1" x14ac:dyDescent="0.3">
      <c r="A195" t="s">
        <v>194</v>
      </c>
    </row>
    <row r="196" spans="1:1" x14ac:dyDescent="0.3">
      <c r="A196" t="s">
        <v>195</v>
      </c>
    </row>
    <row r="197" spans="1:1" x14ac:dyDescent="0.3">
      <c r="A197" t="s">
        <v>196</v>
      </c>
    </row>
    <row r="198" spans="1:1" x14ac:dyDescent="0.3">
      <c r="A198" t="s">
        <v>197</v>
      </c>
    </row>
    <row r="199" spans="1:1" x14ac:dyDescent="0.3">
      <c r="A199" t="s">
        <v>198</v>
      </c>
    </row>
    <row r="200" spans="1:1" x14ac:dyDescent="0.3">
      <c r="A200" t="s">
        <v>199</v>
      </c>
    </row>
    <row r="201" spans="1:1" x14ac:dyDescent="0.3">
      <c r="A201" t="s">
        <v>200</v>
      </c>
    </row>
    <row r="202" spans="1:1" x14ac:dyDescent="0.3">
      <c r="A202" t="s">
        <v>201</v>
      </c>
    </row>
    <row r="203" spans="1:1" x14ac:dyDescent="0.3">
      <c r="A203" t="s">
        <v>202</v>
      </c>
    </row>
    <row r="204" spans="1:1" x14ac:dyDescent="0.3">
      <c r="A204" t="s">
        <v>203</v>
      </c>
    </row>
    <row r="205" spans="1:1" x14ac:dyDescent="0.3">
      <c r="A205" t="s">
        <v>204</v>
      </c>
    </row>
    <row r="206" spans="1:1" x14ac:dyDescent="0.3">
      <c r="A206" t="s">
        <v>205</v>
      </c>
    </row>
    <row r="207" spans="1:1" x14ac:dyDescent="0.3">
      <c r="A207" t="s">
        <v>206</v>
      </c>
    </row>
    <row r="208" spans="1:1" x14ac:dyDescent="0.3">
      <c r="A208" t="s">
        <v>207</v>
      </c>
    </row>
    <row r="209" spans="1:1" x14ac:dyDescent="0.3">
      <c r="A209" t="s">
        <v>208</v>
      </c>
    </row>
    <row r="210" spans="1:1" x14ac:dyDescent="0.3">
      <c r="A210" t="s">
        <v>209</v>
      </c>
    </row>
    <row r="211" spans="1:1" x14ac:dyDescent="0.3">
      <c r="A211" t="s">
        <v>210</v>
      </c>
    </row>
    <row r="212" spans="1:1" x14ac:dyDescent="0.3">
      <c r="A212" t="s">
        <v>211</v>
      </c>
    </row>
    <row r="213" spans="1:1" x14ac:dyDescent="0.3">
      <c r="A213" t="s">
        <v>212</v>
      </c>
    </row>
    <row r="214" spans="1:1" x14ac:dyDescent="0.3">
      <c r="A214" t="s">
        <v>213</v>
      </c>
    </row>
    <row r="215" spans="1:1" x14ac:dyDescent="0.3">
      <c r="A215" t="s">
        <v>214</v>
      </c>
    </row>
    <row r="216" spans="1:1" x14ac:dyDescent="0.3">
      <c r="A216" t="s">
        <v>215</v>
      </c>
    </row>
    <row r="217" spans="1:1" x14ac:dyDescent="0.3">
      <c r="A217" t="s">
        <v>216</v>
      </c>
    </row>
    <row r="218" spans="1:1" x14ac:dyDescent="0.3">
      <c r="A218" t="s">
        <v>217</v>
      </c>
    </row>
    <row r="219" spans="1:1" x14ac:dyDescent="0.3">
      <c r="A219" t="s">
        <v>218</v>
      </c>
    </row>
    <row r="220" spans="1:1" x14ac:dyDescent="0.3">
      <c r="A220" t="s">
        <v>219</v>
      </c>
    </row>
    <row r="221" spans="1:1" x14ac:dyDescent="0.3">
      <c r="A221" t="s">
        <v>220</v>
      </c>
    </row>
    <row r="222" spans="1:1" x14ac:dyDescent="0.3">
      <c r="A222" t="s">
        <v>221</v>
      </c>
    </row>
    <row r="223" spans="1:1" x14ac:dyDescent="0.3">
      <c r="A223" t="s">
        <v>222</v>
      </c>
    </row>
    <row r="224" spans="1:1" x14ac:dyDescent="0.3">
      <c r="A224" t="s">
        <v>223</v>
      </c>
    </row>
    <row r="225" spans="1:1" x14ac:dyDescent="0.3">
      <c r="A225" t="s">
        <v>224</v>
      </c>
    </row>
    <row r="226" spans="1:1" x14ac:dyDescent="0.3">
      <c r="A226" t="s">
        <v>225</v>
      </c>
    </row>
    <row r="227" spans="1:1" x14ac:dyDescent="0.3">
      <c r="A227" t="s">
        <v>226</v>
      </c>
    </row>
    <row r="228" spans="1:1" x14ac:dyDescent="0.3">
      <c r="A228" t="s">
        <v>227</v>
      </c>
    </row>
    <row r="229" spans="1:1" x14ac:dyDescent="0.3">
      <c r="A229" t="s">
        <v>228</v>
      </c>
    </row>
    <row r="230" spans="1:1" x14ac:dyDescent="0.3">
      <c r="A230" t="s">
        <v>229</v>
      </c>
    </row>
    <row r="231" spans="1:1" x14ac:dyDescent="0.3">
      <c r="A231" t="s">
        <v>230</v>
      </c>
    </row>
    <row r="232" spans="1:1" x14ac:dyDescent="0.3">
      <c r="A232" t="s">
        <v>231</v>
      </c>
    </row>
    <row r="233" spans="1:1" x14ac:dyDescent="0.3">
      <c r="A233" t="s">
        <v>232</v>
      </c>
    </row>
    <row r="234" spans="1:1" x14ac:dyDescent="0.3">
      <c r="A234" t="s">
        <v>233</v>
      </c>
    </row>
    <row r="235" spans="1:1" x14ac:dyDescent="0.3">
      <c r="A235" t="s">
        <v>234</v>
      </c>
    </row>
    <row r="236" spans="1:1" x14ac:dyDescent="0.3">
      <c r="A236" t="s">
        <v>235</v>
      </c>
    </row>
    <row r="237" spans="1:1" x14ac:dyDescent="0.3">
      <c r="A237" t="s">
        <v>236</v>
      </c>
    </row>
    <row r="238" spans="1:1" x14ac:dyDescent="0.3">
      <c r="A238" t="s">
        <v>237</v>
      </c>
    </row>
    <row r="239" spans="1:1" x14ac:dyDescent="0.3">
      <c r="A239" t="s">
        <v>238</v>
      </c>
    </row>
    <row r="240" spans="1:1" x14ac:dyDescent="0.3">
      <c r="A240" t="s">
        <v>239</v>
      </c>
    </row>
    <row r="241" spans="1:1" x14ac:dyDescent="0.3">
      <c r="A241" t="s">
        <v>240</v>
      </c>
    </row>
    <row r="242" spans="1:1" x14ac:dyDescent="0.3">
      <c r="A242" t="s">
        <v>241</v>
      </c>
    </row>
    <row r="243" spans="1:1" x14ac:dyDescent="0.3">
      <c r="A243" t="s">
        <v>242</v>
      </c>
    </row>
    <row r="244" spans="1:1" x14ac:dyDescent="0.3">
      <c r="A244" t="s">
        <v>243</v>
      </c>
    </row>
    <row r="245" spans="1:1" x14ac:dyDescent="0.3">
      <c r="A245" t="s">
        <v>244</v>
      </c>
    </row>
    <row r="246" spans="1:1" x14ac:dyDescent="0.3">
      <c r="A246" t="s">
        <v>245</v>
      </c>
    </row>
    <row r="247" spans="1:1" x14ac:dyDescent="0.3">
      <c r="A247" t="s">
        <v>246</v>
      </c>
    </row>
    <row r="248" spans="1:1" x14ac:dyDescent="0.3">
      <c r="A248" t="s">
        <v>247</v>
      </c>
    </row>
    <row r="249" spans="1:1" x14ac:dyDescent="0.3">
      <c r="A249" t="s">
        <v>248</v>
      </c>
    </row>
    <row r="250" spans="1:1" x14ac:dyDescent="0.3">
      <c r="A250" t="s">
        <v>249</v>
      </c>
    </row>
    <row r="251" spans="1:1" x14ac:dyDescent="0.3">
      <c r="A251" t="s">
        <v>250</v>
      </c>
    </row>
    <row r="252" spans="1:1" x14ac:dyDescent="0.3">
      <c r="A252" t="s">
        <v>251</v>
      </c>
    </row>
    <row r="253" spans="1:1" x14ac:dyDescent="0.3">
      <c r="A253" t="s">
        <v>252</v>
      </c>
    </row>
    <row r="254" spans="1:1" x14ac:dyDescent="0.3">
      <c r="A254" t="s">
        <v>253</v>
      </c>
    </row>
    <row r="255" spans="1:1" x14ac:dyDescent="0.3">
      <c r="A255" t="s">
        <v>254</v>
      </c>
    </row>
    <row r="256" spans="1:1" x14ac:dyDescent="0.3">
      <c r="A256" t="s">
        <v>255</v>
      </c>
    </row>
    <row r="257" spans="1:1" x14ac:dyDescent="0.3">
      <c r="A257" t="s">
        <v>256</v>
      </c>
    </row>
    <row r="258" spans="1:1" x14ac:dyDescent="0.3">
      <c r="A258" t="s">
        <v>257</v>
      </c>
    </row>
    <row r="259" spans="1:1" x14ac:dyDescent="0.3">
      <c r="A259" t="s">
        <v>258</v>
      </c>
    </row>
    <row r="260" spans="1:1" x14ac:dyDescent="0.3">
      <c r="A260" t="s">
        <v>259</v>
      </c>
    </row>
    <row r="261" spans="1:1" x14ac:dyDescent="0.3">
      <c r="A261" t="s">
        <v>260</v>
      </c>
    </row>
    <row r="262" spans="1:1" x14ac:dyDescent="0.3">
      <c r="A262" t="s">
        <v>261</v>
      </c>
    </row>
    <row r="263" spans="1:1" x14ac:dyDescent="0.3">
      <c r="A263" t="s">
        <v>262</v>
      </c>
    </row>
    <row r="264" spans="1:1" x14ac:dyDescent="0.3">
      <c r="A264" t="s">
        <v>263</v>
      </c>
    </row>
    <row r="265" spans="1:1" x14ac:dyDescent="0.3">
      <c r="A265" t="s">
        <v>264</v>
      </c>
    </row>
    <row r="266" spans="1:1" x14ac:dyDescent="0.3">
      <c r="A266" t="s">
        <v>265</v>
      </c>
    </row>
    <row r="267" spans="1:1" x14ac:dyDescent="0.3">
      <c r="A267" t="s">
        <v>266</v>
      </c>
    </row>
    <row r="268" spans="1:1" x14ac:dyDescent="0.3">
      <c r="A268" t="s">
        <v>267</v>
      </c>
    </row>
    <row r="269" spans="1:1" x14ac:dyDescent="0.3">
      <c r="A269" t="s">
        <v>268</v>
      </c>
    </row>
    <row r="270" spans="1:1" x14ac:dyDescent="0.3">
      <c r="A270" t="s">
        <v>269</v>
      </c>
    </row>
    <row r="271" spans="1:1" x14ac:dyDescent="0.3">
      <c r="A271" t="s">
        <v>270</v>
      </c>
    </row>
    <row r="272" spans="1:1" x14ac:dyDescent="0.3">
      <c r="A272" t="s">
        <v>271</v>
      </c>
    </row>
    <row r="273" spans="1:1" x14ac:dyDescent="0.3">
      <c r="A273" t="s">
        <v>272</v>
      </c>
    </row>
    <row r="274" spans="1:1" x14ac:dyDescent="0.3">
      <c r="A274" t="s">
        <v>273</v>
      </c>
    </row>
    <row r="275" spans="1:1" x14ac:dyDescent="0.3">
      <c r="A275" t="s">
        <v>274</v>
      </c>
    </row>
    <row r="276" spans="1:1" x14ac:dyDescent="0.3">
      <c r="A276" t="s">
        <v>275</v>
      </c>
    </row>
    <row r="277" spans="1:1" x14ac:dyDescent="0.3">
      <c r="A277" t="s">
        <v>276</v>
      </c>
    </row>
    <row r="278" spans="1:1" x14ac:dyDescent="0.3">
      <c r="A278" t="s">
        <v>277</v>
      </c>
    </row>
    <row r="279" spans="1:1" x14ac:dyDescent="0.3">
      <c r="A279" t="s">
        <v>278</v>
      </c>
    </row>
    <row r="280" spans="1:1" x14ac:dyDescent="0.3">
      <c r="A280" t="s">
        <v>279</v>
      </c>
    </row>
    <row r="281" spans="1:1" x14ac:dyDescent="0.3">
      <c r="A281" t="s">
        <v>280</v>
      </c>
    </row>
    <row r="282" spans="1:1" x14ac:dyDescent="0.3">
      <c r="A282" t="s">
        <v>281</v>
      </c>
    </row>
    <row r="283" spans="1:1" x14ac:dyDescent="0.3">
      <c r="A283" t="s">
        <v>282</v>
      </c>
    </row>
    <row r="284" spans="1:1" x14ac:dyDescent="0.3">
      <c r="A284" t="s">
        <v>283</v>
      </c>
    </row>
    <row r="285" spans="1:1" x14ac:dyDescent="0.3">
      <c r="A285" t="s">
        <v>284</v>
      </c>
    </row>
    <row r="286" spans="1:1" x14ac:dyDescent="0.3">
      <c r="A286" t="s">
        <v>285</v>
      </c>
    </row>
    <row r="287" spans="1:1" x14ac:dyDescent="0.3">
      <c r="A287" t="s">
        <v>286</v>
      </c>
    </row>
    <row r="288" spans="1:1" x14ac:dyDescent="0.3">
      <c r="A288" t="s">
        <v>287</v>
      </c>
    </row>
    <row r="289" spans="1:1" x14ac:dyDescent="0.3">
      <c r="A289" t="s">
        <v>288</v>
      </c>
    </row>
    <row r="290" spans="1:1" x14ac:dyDescent="0.3">
      <c r="A290" t="s">
        <v>289</v>
      </c>
    </row>
    <row r="291" spans="1:1" x14ac:dyDescent="0.3">
      <c r="A291" t="s">
        <v>290</v>
      </c>
    </row>
    <row r="292" spans="1:1" x14ac:dyDescent="0.3">
      <c r="A292" t="s">
        <v>291</v>
      </c>
    </row>
    <row r="293" spans="1:1" x14ac:dyDescent="0.3">
      <c r="A293" t="s">
        <v>292</v>
      </c>
    </row>
    <row r="294" spans="1:1" x14ac:dyDescent="0.3">
      <c r="A294" t="s">
        <v>293</v>
      </c>
    </row>
    <row r="295" spans="1:1" x14ac:dyDescent="0.3">
      <c r="A295" t="s">
        <v>294</v>
      </c>
    </row>
    <row r="296" spans="1:1" x14ac:dyDescent="0.3">
      <c r="A296" t="s">
        <v>295</v>
      </c>
    </row>
    <row r="297" spans="1:1" x14ac:dyDescent="0.3">
      <c r="A297" t="s">
        <v>296</v>
      </c>
    </row>
    <row r="298" spans="1:1" x14ac:dyDescent="0.3">
      <c r="A298" t="s">
        <v>297</v>
      </c>
    </row>
    <row r="299" spans="1:1" x14ac:dyDescent="0.3">
      <c r="A299" t="s">
        <v>298</v>
      </c>
    </row>
    <row r="300" spans="1:1" x14ac:dyDescent="0.3">
      <c r="A300" t="s">
        <v>299</v>
      </c>
    </row>
    <row r="301" spans="1:1" x14ac:dyDescent="0.3">
      <c r="A301" t="s">
        <v>300</v>
      </c>
    </row>
    <row r="302" spans="1:1" x14ac:dyDescent="0.3">
      <c r="A302" t="s">
        <v>301</v>
      </c>
    </row>
    <row r="303" spans="1:1" x14ac:dyDescent="0.3">
      <c r="A303" t="s">
        <v>302</v>
      </c>
    </row>
    <row r="304" spans="1:1" x14ac:dyDescent="0.3">
      <c r="A304" t="s">
        <v>303</v>
      </c>
    </row>
    <row r="305" spans="1:1" x14ac:dyDescent="0.3">
      <c r="A305" t="s">
        <v>304</v>
      </c>
    </row>
    <row r="306" spans="1:1" x14ac:dyDescent="0.3">
      <c r="A306" t="s">
        <v>305</v>
      </c>
    </row>
    <row r="307" spans="1:1" x14ac:dyDescent="0.3">
      <c r="A307" t="s">
        <v>306</v>
      </c>
    </row>
    <row r="308" spans="1:1" x14ac:dyDescent="0.3">
      <c r="A308" t="s">
        <v>307</v>
      </c>
    </row>
    <row r="309" spans="1:1" x14ac:dyDescent="0.3">
      <c r="A309" t="s">
        <v>308</v>
      </c>
    </row>
    <row r="310" spans="1:1" x14ac:dyDescent="0.3">
      <c r="A310" t="s">
        <v>309</v>
      </c>
    </row>
    <row r="311" spans="1:1" x14ac:dyDescent="0.3">
      <c r="A311" t="s">
        <v>310</v>
      </c>
    </row>
    <row r="312" spans="1:1" x14ac:dyDescent="0.3">
      <c r="A312" t="s">
        <v>311</v>
      </c>
    </row>
    <row r="313" spans="1:1" x14ac:dyDescent="0.3">
      <c r="A313" t="s">
        <v>312</v>
      </c>
    </row>
    <row r="314" spans="1:1" x14ac:dyDescent="0.3">
      <c r="A314" t="s">
        <v>313</v>
      </c>
    </row>
    <row r="315" spans="1:1" x14ac:dyDescent="0.3">
      <c r="A315" t="s">
        <v>314</v>
      </c>
    </row>
    <row r="316" spans="1:1" x14ac:dyDescent="0.3">
      <c r="A316" t="s">
        <v>315</v>
      </c>
    </row>
    <row r="317" spans="1:1" x14ac:dyDescent="0.3">
      <c r="A317" t="s">
        <v>316</v>
      </c>
    </row>
    <row r="318" spans="1:1" x14ac:dyDescent="0.3">
      <c r="A318" t="s">
        <v>317</v>
      </c>
    </row>
    <row r="319" spans="1:1" x14ac:dyDescent="0.3">
      <c r="A319" t="s">
        <v>318</v>
      </c>
    </row>
    <row r="320" spans="1:1" x14ac:dyDescent="0.3">
      <c r="A320" t="s">
        <v>319</v>
      </c>
    </row>
    <row r="321" spans="1:1" x14ac:dyDescent="0.3">
      <c r="A321" t="s">
        <v>320</v>
      </c>
    </row>
    <row r="322" spans="1:1" x14ac:dyDescent="0.3">
      <c r="A322" t="s">
        <v>321</v>
      </c>
    </row>
    <row r="323" spans="1:1" x14ac:dyDescent="0.3">
      <c r="A323" t="s">
        <v>322</v>
      </c>
    </row>
    <row r="324" spans="1:1" x14ac:dyDescent="0.3">
      <c r="A324" t="s">
        <v>323</v>
      </c>
    </row>
    <row r="325" spans="1:1" x14ac:dyDescent="0.3">
      <c r="A325" t="s">
        <v>324</v>
      </c>
    </row>
    <row r="326" spans="1:1" x14ac:dyDescent="0.3">
      <c r="A326" t="s">
        <v>325</v>
      </c>
    </row>
    <row r="327" spans="1:1" x14ac:dyDescent="0.3">
      <c r="A327" t="s">
        <v>326</v>
      </c>
    </row>
    <row r="328" spans="1:1" x14ac:dyDescent="0.3">
      <c r="A328" t="s">
        <v>327</v>
      </c>
    </row>
    <row r="329" spans="1:1" x14ac:dyDescent="0.3">
      <c r="A329" t="s">
        <v>328</v>
      </c>
    </row>
    <row r="330" spans="1:1" x14ac:dyDescent="0.3">
      <c r="A330" t="s">
        <v>329</v>
      </c>
    </row>
    <row r="331" spans="1:1" x14ac:dyDescent="0.3">
      <c r="A331" t="s">
        <v>330</v>
      </c>
    </row>
    <row r="332" spans="1:1" x14ac:dyDescent="0.3">
      <c r="A332" t="s">
        <v>331</v>
      </c>
    </row>
    <row r="333" spans="1:1" x14ac:dyDescent="0.3">
      <c r="A333" t="s">
        <v>332</v>
      </c>
    </row>
    <row r="334" spans="1:1" x14ac:dyDescent="0.3">
      <c r="A334" t="s">
        <v>333</v>
      </c>
    </row>
    <row r="335" spans="1:1" x14ac:dyDescent="0.3">
      <c r="A335" t="s">
        <v>334</v>
      </c>
    </row>
    <row r="336" spans="1:1" x14ac:dyDescent="0.3">
      <c r="A336" t="s">
        <v>335</v>
      </c>
    </row>
    <row r="337" spans="1:1" x14ac:dyDescent="0.3">
      <c r="A337" t="s">
        <v>336</v>
      </c>
    </row>
    <row r="338" spans="1:1" x14ac:dyDescent="0.3">
      <c r="A338" t="s">
        <v>337</v>
      </c>
    </row>
    <row r="339" spans="1:1" x14ac:dyDescent="0.3">
      <c r="A339" t="s">
        <v>338</v>
      </c>
    </row>
    <row r="340" spans="1:1" x14ac:dyDescent="0.3">
      <c r="A340" t="s">
        <v>339</v>
      </c>
    </row>
    <row r="341" spans="1:1" x14ac:dyDescent="0.3">
      <c r="A341" t="s">
        <v>340</v>
      </c>
    </row>
    <row r="342" spans="1:1" x14ac:dyDescent="0.3">
      <c r="A342" t="s">
        <v>341</v>
      </c>
    </row>
    <row r="343" spans="1:1" x14ac:dyDescent="0.3">
      <c r="A343" t="s">
        <v>342</v>
      </c>
    </row>
    <row r="344" spans="1:1" x14ac:dyDescent="0.3">
      <c r="A344" t="s">
        <v>343</v>
      </c>
    </row>
    <row r="345" spans="1:1" x14ac:dyDescent="0.3">
      <c r="A345" t="s">
        <v>344</v>
      </c>
    </row>
    <row r="346" spans="1:1" x14ac:dyDescent="0.3">
      <c r="A346" t="s">
        <v>345</v>
      </c>
    </row>
    <row r="347" spans="1:1" x14ac:dyDescent="0.3">
      <c r="A347" t="s">
        <v>346</v>
      </c>
    </row>
    <row r="348" spans="1:1" x14ac:dyDescent="0.3">
      <c r="A348" t="s">
        <v>347</v>
      </c>
    </row>
    <row r="349" spans="1:1" x14ac:dyDescent="0.3">
      <c r="A349" t="s">
        <v>348</v>
      </c>
    </row>
    <row r="350" spans="1:1" x14ac:dyDescent="0.3">
      <c r="A350" t="s">
        <v>349</v>
      </c>
    </row>
    <row r="351" spans="1:1" x14ac:dyDescent="0.3">
      <c r="A351" t="s">
        <v>350</v>
      </c>
    </row>
    <row r="352" spans="1:1" x14ac:dyDescent="0.3">
      <c r="A352" t="s">
        <v>351</v>
      </c>
    </row>
    <row r="353" spans="1:1" x14ac:dyDescent="0.3">
      <c r="A353" t="s">
        <v>352</v>
      </c>
    </row>
    <row r="354" spans="1:1" x14ac:dyDescent="0.3">
      <c r="A354" t="s">
        <v>353</v>
      </c>
    </row>
    <row r="355" spans="1:1" x14ac:dyDescent="0.3">
      <c r="A355" t="s">
        <v>354</v>
      </c>
    </row>
    <row r="356" spans="1:1" x14ac:dyDescent="0.3">
      <c r="A356" t="s">
        <v>355</v>
      </c>
    </row>
    <row r="357" spans="1:1" x14ac:dyDescent="0.3">
      <c r="A357" t="s">
        <v>356</v>
      </c>
    </row>
    <row r="358" spans="1:1" x14ac:dyDescent="0.3">
      <c r="A358" t="s">
        <v>357</v>
      </c>
    </row>
    <row r="359" spans="1:1" x14ac:dyDescent="0.3">
      <c r="A359" t="s">
        <v>358</v>
      </c>
    </row>
    <row r="360" spans="1:1" x14ac:dyDescent="0.3">
      <c r="A360" t="s">
        <v>359</v>
      </c>
    </row>
    <row r="361" spans="1:1" x14ac:dyDescent="0.3">
      <c r="A361" t="s">
        <v>360</v>
      </c>
    </row>
    <row r="362" spans="1:1" x14ac:dyDescent="0.3">
      <c r="A362" t="s">
        <v>361</v>
      </c>
    </row>
    <row r="363" spans="1:1" x14ac:dyDescent="0.3">
      <c r="A363" t="s">
        <v>362</v>
      </c>
    </row>
    <row r="364" spans="1:1" x14ac:dyDescent="0.3">
      <c r="A364" t="s">
        <v>363</v>
      </c>
    </row>
    <row r="365" spans="1:1" x14ac:dyDescent="0.3">
      <c r="A365" t="s">
        <v>364</v>
      </c>
    </row>
    <row r="366" spans="1:1" x14ac:dyDescent="0.3">
      <c r="A366" t="s">
        <v>365</v>
      </c>
    </row>
    <row r="367" spans="1:1" x14ac:dyDescent="0.3">
      <c r="A367" t="s">
        <v>366</v>
      </c>
    </row>
    <row r="368" spans="1:1" x14ac:dyDescent="0.3">
      <c r="A368" t="s">
        <v>367</v>
      </c>
    </row>
    <row r="369" spans="1:1" x14ac:dyDescent="0.3">
      <c r="A369" t="s">
        <v>368</v>
      </c>
    </row>
    <row r="370" spans="1:1" x14ac:dyDescent="0.3">
      <c r="A370" t="s">
        <v>369</v>
      </c>
    </row>
    <row r="371" spans="1:1" x14ac:dyDescent="0.3">
      <c r="A371" t="s">
        <v>370</v>
      </c>
    </row>
    <row r="372" spans="1:1" x14ac:dyDescent="0.3">
      <c r="A372" t="s">
        <v>371</v>
      </c>
    </row>
    <row r="373" spans="1:1" x14ac:dyDescent="0.3">
      <c r="A373" t="s">
        <v>372</v>
      </c>
    </row>
    <row r="374" spans="1:1" x14ac:dyDescent="0.3">
      <c r="A374" t="s">
        <v>373</v>
      </c>
    </row>
    <row r="375" spans="1:1" x14ac:dyDescent="0.3">
      <c r="A375" t="s">
        <v>374</v>
      </c>
    </row>
    <row r="376" spans="1:1" x14ac:dyDescent="0.3">
      <c r="A376" t="s">
        <v>375</v>
      </c>
    </row>
    <row r="377" spans="1:1" x14ac:dyDescent="0.3">
      <c r="A377" t="s">
        <v>376</v>
      </c>
    </row>
    <row r="378" spans="1:1" x14ac:dyDescent="0.3">
      <c r="A378" t="s">
        <v>377</v>
      </c>
    </row>
    <row r="379" spans="1:1" x14ac:dyDescent="0.3">
      <c r="A379" t="s">
        <v>378</v>
      </c>
    </row>
    <row r="380" spans="1:1" x14ac:dyDescent="0.3">
      <c r="A380" t="s">
        <v>379</v>
      </c>
    </row>
    <row r="381" spans="1:1" x14ac:dyDescent="0.3">
      <c r="A381" t="s">
        <v>380</v>
      </c>
    </row>
    <row r="382" spans="1:1" x14ac:dyDescent="0.3">
      <c r="A382" t="s">
        <v>381</v>
      </c>
    </row>
    <row r="383" spans="1:1" x14ac:dyDescent="0.3">
      <c r="A383" t="s">
        <v>382</v>
      </c>
    </row>
    <row r="384" spans="1:1" x14ac:dyDescent="0.3">
      <c r="A384" t="s">
        <v>383</v>
      </c>
    </row>
    <row r="385" spans="1:1" x14ac:dyDescent="0.3">
      <c r="A385" t="s">
        <v>384</v>
      </c>
    </row>
    <row r="386" spans="1:1" x14ac:dyDescent="0.3">
      <c r="A386" t="s">
        <v>385</v>
      </c>
    </row>
    <row r="387" spans="1:1" x14ac:dyDescent="0.3">
      <c r="A387" t="s">
        <v>386</v>
      </c>
    </row>
    <row r="388" spans="1:1" x14ac:dyDescent="0.3">
      <c r="A388" t="s">
        <v>387</v>
      </c>
    </row>
    <row r="389" spans="1:1" x14ac:dyDescent="0.3">
      <c r="A389" t="s">
        <v>388</v>
      </c>
    </row>
    <row r="390" spans="1:1" x14ac:dyDescent="0.3">
      <c r="A390" t="s">
        <v>389</v>
      </c>
    </row>
    <row r="391" spans="1:1" x14ac:dyDescent="0.3">
      <c r="A391" t="s">
        <v>390</v>
      </c>
    </row>
    <row r="392" spans="1:1" x14ac:dyDescent="0.3">
      <c r="A392" t="s">
        <v>391</v>
      </c>
    </row>
    <row r="393" spans="1:1" x14ac:dyDescent="0.3">
      <c r="A393" t="s">
        <v>392</v>
      </c>
    </row>
    <row r="394" spans="1:1" x14ac:dyDescent="0.3">
      <c r="A394" t="s">
        <v>393</v>
      </c>
    </row>
    <row r="395" spans="1:1" x14ac:dyDescent="0.3">
      <c r="A395" t="s">
        <v>394</v>
      </c>
    </row>
    <row r="396" spans="1:1" x14ac:dyDescent="0.3">
      <c r="A396" t="s">
        <v>395</v>
      </c>
    </row>
    <row r="397" spans="1:1" x14ac:dyDescent="0.3">
      <c r="A397" t="s">
        <v>396</v>
      </c>
    </row>
    <row r="398" spans="1:1" x14ac:dyDescent="0.3">
      <c r="A398" t="s">
        <v>397</v>
      </c>
    </row>
    <row r="399" spans="1:1" x14ac:dyDescent="0.3">
      <c r="A399" t="s">
        <v>398</v>
      </c>
    </row>
    <row r="400" spans="1:1" x14ac:dyDescent="0.3">
      <c r="A400" t="s">
        <v>399</v>
      </c>
    </row>
    <row r="401" spans="1:1" x14ac:dyDescent="0.3">
      <c r="A401" t="s">
        <v>400</v>
      </c>
    </row>
    <row r="402" spans="1:1" x14ac:dyDescent="0.3">
      <c r="A402" t="s">
        <v>401</v>
      </c>
    </row>
    <row r="403" spans="1:1" x14ac:dyDescent="0.3">
      <c r="A403" t="s">
        <v>402</v>
      </c>
    </row>
    <row r="404" spans="1:1" x14ac:dyDescent="0.3">
      <c r="A404" t="s">
        <v>403</v>
      </c>
    </row>
    <row r="405" spans="1:1" x14ac:dyDescent="0.3">
      <c r="A405" t="s">
        <v>404</v>
      </c>
    </row>
    <row r="406" spans="1:1" x14ac:dyDescent="0.3">
      <c r="A406" t="s">
        <v>405</v>
      </c>
    </row>
    <row r="407" spans="1:1" x14ac:dyDescent="0.3">
      <c r="A407" t="s">
        <v>406</v>
      </c>
    </row>
    <row r="408" spans="1:1" x14ac:dyDescent="0.3">
      <c r="A408" t="s">
        <v>407</v>
      </c>
    </row>
    <row r="409" spans="1:1" x14ac:dyDescent="0.3">
      <c r="A409" t="s">
        <v>408</v>
      </c>
    </row>
    <row r="410" spans="1:1" x14ac:dyDescent="0.3">
      <c r="A410" t="s">
        <v>409</v>
      </c>
    </row>
    <row r="411" spans="1:1" x14ac:dyDescent="0.3">
      <c r="A411" t="s">
        <v>410</v>
      </c>
    </row>
    <row r="412" spans="1:1" x14ac:dyDescent="0.3">
      <c r="A412" t="s">
        <v>411</v>
      </c>
    </row>
    <row r="413" spans="1:1" x14ac:dyDescent="0.3">
      <c r="A413" t="s">
        <v>412</v>
      </c>
    </row>
    <row r="414" spans="1:1" x14ac:dyDescent="0.3">
      <c r="A414" t="s">
        <v>413</v>
      </c>
    </row>
    <row r="415" spans="1:1" x14ac:dyDescent="0.3">
      <c r="A415" t="s">
        <v>414</v>
      </c>
    </row>
    <row r="416" spans="1:1" x14ac:dyDescent="0.3">
      <c r="A416" t="s">
        <v>415</v>
      </c>
    </row>
    <row r="417" spans="1:1" x14ac:dyDescent="0.3">
      <c r="A417" t="s">
        <v>416</v>
      </c>
    </row>
    <row r="418" spans="1:1" x14ac:dyDescent="0.3">
      <c r="A418" t="s">
        <v>417</v>
      </c>
    </row>
    <row r="419" spans="1:1" x14ac:dyDescent="0.3">
      <c r="A419" t="s">
        <v>418</v>
      </c>
    </row>
    <row r="420" spans="1:1" x14ac:dyDescent="0.3">
      <c r="A420" t="s">
        <v>419</v>
      </c>
    </row>
    <row r="421" spans="1:1" x14ac:dyDescent="0.3">
      <c r="A421" t="s">
        <v>420</v>
      </c>
    </row>
    <row r="422" spans="1:1" x14ac:dyDescent="0.3">
      <c r="A422" t="s">
        <v>421</v>
      </c>
    </row>
    <row r="423" spans="1:1" x14ac:dyDescent="0.3">
      <c r="A423" t="s">
        <v>422</v>
      </c>
    </row>
    <row r="424" spans="1:1" x14ac:dyDescent="0.3">
      <c r="A424" t="s">
        <v>423</v>
      </c>
    </row>
    <row r="425" spans="1:1" x14ac:dyDescent="0.3">
      <c r="A425" t="s">
        <v>424</v>
      </c>
    </row>
    <row r="426" spans="1:1" x14ac:dyDescent="0.3">
      <c r="A426" t="s">
        <v>425</v>
      </c>
    </row>
    <row r="427" spans="1:1" x14ac:dyDescent="0.3">
      <c r="A427" t="s">
        <v>426</v>
      </c>
    </row>
    <row r="428" spans="1:1" x14ac:dyDescent="0.3">
      <c r="A428" t="s">
        <v>427</v>
      </c>
    </row>
    <row r="429" spans="1:1" x14ac:dyDescent="0.3">
      <c r="A429" t="s">
        <v>428</v>
      </c>
    </row>
    <row r="430" spans="1:1" x14ac:dyDescent="0.3">
      <c r="A430" t="s">
        <v>429</v>
      </c>
    </row>
    <row r="431" spans="1:1" x14ac:dyDescent="0.3">
      <c r="A431" t="s">
        <v>430</v>
      </c>
    </row>
    <row r="432" spans="1:1" x14ac:dyDescent="0.3">
      <c r="A432" t="s">
        <v>431</v>
      </c>
    </row>
    <row r="433" spans="1:1" x14ac:dyDescent="0.3">
      <c r="A433" t="s">
        <v>432</v>
      </c>
    </row>
    <row r="434" spans="1:1" x14ac:dyDescent="0.3">
      <c r="A434" t="s">
        <v>433</v>
      </c>
    </row>
    <row r="435" spans="1:1" x14ac:dyDescent="0.3">
      <c r="A435" t="s">
        <v>434</v>
      </c>
    </row>
    <row r="436" spans="1:1" x14ac:dyDescent="0.3">
      <c r="A436" t="s">
        <v>435</v>
      </c>
    </row>
    <row r="437" spans="1:1" x14ac:dyDescent="0.3">
      <c r="A437" t="s">
        <v>436</v>
      </c>
    </row>
    <row r="438" spans="1:1" x14ac:dyDescent="0.3">
      <c r="A438" t="s">
        <v>437</v>
      </c>
    </row>
    <row r="439" spans="1:1" x14ac:dyDescent="0.3">
      <c r="A439" t="s">
        <v>438</v>
      </c>
    </row>
    <row r="440" spans="1:1" x14ac:dyDescent="0.3">
      <c r="A440" t="s">
        <v>439</v>
      </c>
    </row>
    <row r="441" spans="1:1" x14ac:dyDescent="0.3">
      <c r="A441" t="s">
        <v>440</v>
      </c>
    </row>
    <row r="442" spans="1:1" x14ac:dyDescent="0.3">
      <c r="A442" t="s">
        <v>441</v>
      </c>
    </row>
    <row r="443" spans="1:1" x14ac:dyDescent="0.3">
      <c r="A443" t="s">
        <v>442</v>
      </c>
    </row>
    <row r="444" spans="1:1" x14ac:dyDescent="0.3">
      <c r="A444" t="s">
        <v>443</v>
      </c>
    </row>
    <row r="445" spans="1:1" x14ac:dyDescent="0.3">
      <c r="A445" t="s">
        <v>444</v>
      </c>
    </row>
    <row r="446" spans="1:1" x14ac:dyDescent="0.3">
      <c r="A446" t="s">
        <v>445</v>
      </c>
    </row>
    <row r="447" spans="1:1" x14ac:dyDescent="0.3">
      <c r="A447" t="s">
        <v>446</v>
      </c>
    </row>
    <row r="448" spans="1:1" x14ac:dyDescent="0.3">
      <c r="A448" t="s">
        <v>447</v>
      </c>
    </row>
    <row r="449" spans="1:1" x14ac:dyDescent="0.3">
      <c r="A449" t="s">
        <v>448</v>
      </c>
    </row>
    <row r="450" spans="1:1" x14ac:dyDescent="0.3">
      <c r="A450" t="s">
        <v>449</v>
      </c>
    </row>
    <row r="451" spans="1:1" x14ac:dyDescent="0.3">
      <c r="A451" t="s">
        <v>450</v>
      </c>
    </row>
    <row r="452" spans="1:1" x14ac:dyDescent="0.3">
      <c r="A452" t="s">
        <v>451</v>
      </c>
    </row>
    <row r="453" spans="1:1" x14ac:dyDescent="0.3">
      <c r="A453" t="s">
        <v>452</v>
      </c>
    </row>
    <row r="454" spans="1:1" x14ac:dyDescent="0.3">
      <c r="A454" t="s">
        <v>453</v>
      </c>
    </row>
    <row r="455" spans="1:1" x14ac:dyDescent="0.3">
      <c r="A455" t="s">
        <v>454</v>
      </c>
    </row>
    <row r="456" spans="1:1" x14ac:dyDescent="0.3">
      <c r="A456" t="s">
        <v>455</v>
      </c>
    </row>
    <row r="457" spans="1:1" x14ac:dyDescent="0.3">
      <c r="A457" t="s">
        <v>456</v>
      </c>
    </row>
    <row r="458" spans="1:1" x14ac:dyDescent="0.3">
      <c r="A458" t="s">
        <v>457</v>
      </c>
    </row>
    <row r="459" spans="1:1" x14ac:dyDescent="0.3">
      <c r="A459" t="s">
        <v>458</v>
      </c>
    </row>
    <row r="460" spans="1:1" x14ac:dyDescent="0.3">
      <c r="A460" t="s">
        <v>459</v>
      </c>
    </row>
    <row r="461" spans="1:1" x14ac:dyDescent="0.3">
      <c r="A461" t="s">
        <v>460</v>
      </c>
    </row>
    <row r="462" spans="1:1" x14ac:dyDescent="0.3">
      <c r="A462" t="s">
        <v>461</v>
      </c>
    </row>
    <row r="463" spans="1:1" x14ac:dyDescent="0.3">
      <c r="A463" t="s">
        <v>462</v>
      </c>
    </row>
    <row r="464" spans="1:1" x14ac:dyDescent="0.3">
      <c r="A464" t="s">
        <v>463</v>
      </c>
    </row>
    <row r="465" spans="1:1" x14ac:dyDescent="0.3">
      <c r="A465" t="s">
        <v>464</v>
      </c>
    </row>
    <row r="466" spans="1:1" x14ac:dyDescent="0.3">
      <c r="A466" t="s">
        <v>465</v>
      </c>
    </row>
    <row r="467" spans="1:1" x14ac:dyDescent="0.3">
      <c r="A467" t="s">
        <v>466</v>
      </c>
    </row>
    <row r="468" spans="1:1" x14ac:dyDescent="0.3">
      <c r="A468" t="s">
        <v>467</v>
      </c>
    </row>
    <row r="469" spans="1:1" x14ac:dyDescent="0.3">
      <c r="A469" t="s">
        <v>468</v>
      </c>
    </row>
    <row r="470" spans="1:1" x14ac:dyDescent="0.3">
      <c r="A470" t="s">
        <v>469</v>
      </c>
    </row>
    <row r="471" spans="1:1" x14ac:dyDescent="0.3">
      <c r="A471" t="s">
        <v>470</v>
      </c>
    </row>
    <row r="472" spans="1:1" x14ac:dyDescent="0.3">
      <c r="A472" t="s">
        <v>471</v>
      </c>
    </row>
    <row r="473" spans="1:1" x14ac:dyDescent="0.3">
      <c r="A473" t="s">
        <v>472</v>
      </c>
    </row>
    <row r="474" spans="1:1" x14ac:dyDescent="0.3">
      <c r="A474" t="s">
        <v>473</v>
      </c>
    </row>
    <row r="475" spans="1:1" x14ac:dyDescent="0.3">
      <c r="A475" t="s">
        <v>474</v>
      </c>
    </row>
    <row r="476" spans="1:1" x14ac:dyDescent="0.3">
      <c r="A476" t="s">
        <v>475</v>
      </c>
    </row>
    <row r="477" spans="1:1" x14ac:dyDescent="0.3">
      <c r="A477" t="s">
        <v>476</v>
      </c>
    </row>
    <row r="478" spans="1:1" x14ac:dyDescent="0.3">
      <c r="A478" t="s">
        <v>477</v>
      </c>
    </row>
    <row r="479" spans="1:1" x14ac:dyDescent="0.3">
      <c r="A479" t="s">
        <v>478</v>
      </c>
    </row>
    <row r="480" spans="1:1" x14ac:dyDescent="0.3">
      <c r="A480" t="s">
        <v>479</v>
      </c>
    </row>
    <row r="481" spans="1:1" x14ac:dyDescent="0.3">
      <c r="A481" t="s">
        <v>480</v>
      </c>
    </row>
    <row r="482" spans="1:1" x14ac:dyDescent="0.3">
      <c r="A482" t="s">
        <v>481</v>
      </c>
    </row>
    <row r="483" spans="1:1" x14ac:dyDescent="0.3">
      <c r="A483" t="s">
        <v>482</v>
      </c>
    </row>
    <row r="484" spans="1:1" x14ac:dyDescent="0.3">
      <c r="A484" t="s">
        <v>483</v>
      </c>
    </row>
    <row r="485" spans="1:1" x14ac:dyDescent="0.3">
      <c r="A485" t="s">
        <v>484</v>
      </c>
    </row>
    <row r="486" spans="1:1" x14ac:dyDescent="0.3">
      <c r="A486" t="s">
        <v>485</v>
      </c>
    </row>
    <row r="487" spans="1:1" x14ac:dyDescent="0.3">
      <c r="A487" t="s">
        <v>486</v>
      </c>
    </row>
    <row r="488" spans="1:1" x14ac:dyDescent="0.3">
      <c r="A488" t="s">
        <v>487</v>
      </c>
    </row>
    <row r="489" spans="1:1" x14ac:dyDescent="0.3">
      <c r="A489" t="s">
        <v>488</v>
      </c>
    </row>
    <row r="490" spans="1:1" x14ac:dyDescent="0.3">
      <c r="A490" t="s">
        <v>489</v>
      </c>
    </row>
    <row r="491" spans="1:1" x14ac:dyDescent="0.3">
      <c r="A491" t="s">
        <v>490</v>
      </c>
    </row>
    <row r="492" spans="1:1" x14ac:dyDescent="0.3">
      <c r="A492" t="s">
        <v>491</v>
      </c>
    </row>
    <row r="493" spans="1:1" x14ac:dyDescent="0.3">
      <c r="A493" t="s">
        <v>492</v>
      </c>
    </row>
    <row r="494" spans="1:1" x14ac:dyDescent="0.3">
      <c r="A494" t="s">
        <v>493</v>
      </c>
    </row>
    <row r="495" spans="1:1" x14ac:dyDescent="0.3">
      <c r="A495" t="s">
        <v>494</v>
      </c>
    </row>
    <row r="496" spans="1:1" x14ac:dyDescent="0.3">
      <c r="A496" t="s">
        <v>495</v>
      </c>
    </row>
    <row r="497" spans="1:1" x14ac:dyDescent="0.3">
      <c r="A497" t="s">
        <v>496</v>
      </c>
    </row>
    <row r="498" spans="1:1" x14ac:dyDescent="0.3">
      <c r="A498" t="s">
        <v>497</v>
      </c>
    </row>
    <row r="499" spans="1:1" x14ac:dyDescent="0.3">
      <c r="A499" t="s">
        <v>498</v>
      </c>
    </row>
    <row r="500" spans="1:1" x14ac:dyDescent="0.3">
      <c r="A500" t="s">
        <v>499</v>
      </c>
    </row>
    <row r="501" spans="1:1" x14ac:dyDescent="0.3">
      <c r="A501" t="s">
        <v>500</v>
      </c>
    </row>
    <row r="502" spans="1:1" x14ac:dyDescent="0.3">
      <c r="A502" t="s">
        <v>501</v>
      </c>
    </row>
    <row r="503" spans="1:1" x14ac:dyDescent="0.3">
      <c r="A503" t="s">
        <v>502</v>
      </c>
    </row>
    <row r="504" spans="1:1" x14ac:dyDescent="0.3">
      <c r="A504" t="s">
        <v>503</v>
      </c>
    </row>
    <row r="505" spans="1:1" x14ac:dyDescent="0.3">
      <c r="A505" t="s">
        <v>504</v>
      </c>
    </row>
    <row r="506" spans="1:1" x14ac:dyDescent="0.3">
      <c r="A506" t="s">
        <v>505</v>
      </c>
    </row>
    <row r="507" spans="1:1" x14ac:dyDescent="0.3">
      <c r="A507" t="s">
        <v>506</v>
      </c>
    </row>
    <row r="508" spans="1:1" x14ac:dyDescent="0.3">
      <c r="A508" t="s">
        <v>507</v>
      </c>
    </row>
    <row r="509" spans="1:1" x14ac:dyDescent="0.3">
      <c r="A509" t="s">
        <v>508</v>
      </c>
    </row>
    <row r="510" spans="1:1" x14ac:dyDescent="0.3">
      <c r="A510" t="s">
        <v>509</v>
      </c>
    </row>
    <row r="511" spans="1:1" x14ac:dyDescent="0.3">
      <c r="A511" t="s">
        <v>510</v>
      </c>
    </row>
    <row r="512" spans="1:1" x14ac:dyDescent="0.3">
      <c r="A512" t="s">
        <v>511</v>
      </c>
    </row>
    <row r="513" spans="1:1" x14ac:dyDescent="0.3">
      <c r="A513" t="s">
        <v>512</v>
      </c>
    </row>
    <row r="514" spans="1:1" x14ac:dyDescent="0.3">
      <c r="A514" t="s">
        <v>513</v>
      </c>
    </row>
    <row r="515" spans="1:1" x14ac:dyDescent="0.3">
      <c r="A515" t="s">
        <v>514</v>
      </c>
    </row>
    <row r="516" spans="1:1" x14ac:dyDescent="0.3">
      <c r="A516" t="s">
        <v>515</v>
      </c>
    </row>
    <row r="517" spans="1:1" x14ac:dyDescent="0.3">
      <c r="A517" t="s">
        <v>516</v>
      </c>
    </row>
    <row r="518" spans="1:1" x14ac:dyDescent="0.3">
      <c r="A518" t="s">
        <v>517</v>
      </c>
    </row>
    <row r="519" spans="1:1" x14ac:dyDescent="0.3">
      <c r="A519" t="s">
        <v>518</v>
      </c>
    </row>
    <row r="520" spans="1:1" x14ac:dyDescent="0.3">
      <c r="A520" t="s">
        <v>519</v>
      </c>
    </row>
    <row r="521" spans="1:1" x14ac:dyDescent="0.3">
      <c r="A521" t="s">
        <v>520</v>
      </c>
    </row>
    <row r="522" spans="1:1" x14ac:dyDescent="0.3">
      <c r="A522" t="s">
        <v>521</v>
      </c>
    </row>
    <row r="523" spans="1:1" x14ac:dyDescent="0.3">
      <c r="A523" t="s">
        <v>522</v>
      </c>
    </row>
    <row r="524" spans="1:1" x14ac:dyDescent="0.3">
      <c r="A524" t="s">
        <v>523</v>
      </c>
    </row>
    <row r="525" spans="1:1" x14ac:dyDescent="0.3">
      <c r="A525" t="s">
        <v>524</v>
      </c>
    </row>
    <row r="526" spans="1:1" x14ac:dyDescent="0.3">
      <c r="A526" t="s">
        <v>525</v>
      </c>
    </row>
    <row r="527" spans="1:1" x14ac:dyDescent="0.3">
      <c r="A527" t="s">
        <v>526</v>
      </c>
    </row>
    <row r="528" spans="1:1" x14ac:dyDescent="0.3">
      <c r="A528" t="s">
        <v>527</v>
      </c>
    </row>
    <row r="529" spans="1:1" x14ac:dyDescent="0.3">
      <c r="A529" t="s">
        <v>528</v>
      </c>
    </row>
    <row r="530" spans="1:1" x14ac:dyDescent="0.3">
      <c r="A530" t="s">
        <v>529</v>
      </c>
    </row>
    <row r="531" spans="1:1" x14ac:dyDescent="0.3">
      <c r="A531" t="s">
        <v>530</v>
      </c>
    </row>
    <row r="532" spans="1:1" x14ac:dyDescent="0.3">
      <c r="A532" t="s">
        <v>531</v>
      </c>
    </row>
    <row r="533" spans="1:1" x14ac:dyDescent="0.3">
      <c r="A533" t="s">
        <v>532</v>
      </c>
    </row>
    <row r="534" spans="1:1" x14ac:dyDescent="0.3">
      <c r="A534" t="s">
        <v>533</v>
      </c>
    </row>
    <row r="535" spans="1:1" x14ac:dyDescent="0.3">
      <c r="A535" t="s">
        <v>534</v>
      </c>
    </row>
    <row r="536" spans="1:1" x14ac:dyDescent="0.3">
      <c r="A536" t="s">
        <v>535</v>
      </c>
    </row>
    <row r="537" spans="1:1" x14ac:dyDescent="0.3">
      <c r="A537" t="s">
        <v>536</v>
      </c>
    </row>
    <row r="538" spans="1:1" x14ac:dyDescent="0.3">
      <c r="A538" t="s">
        <v>537</v>
      </c>
    </row>
    <row r="539" spans="1:1" x14ac:dyDescent="0.3">
      <c r="A539" t="s">
        <v>538</v>
      </c>
    </row>
    <row r="540" spans="1:1" x14ac:dyDescent="0.3">
      <c r="A540" t="s">
        <v>539</v>
      </c>
    </row>
    <row r="541" spans="1:1" x14ac:dyDescent="0.3">
      <c r="A541" t="s">
        <v>540</v>
      </c>
    </row>
    <row r="542" spans="1:1" x14ac:dyDescent="0.3">
      <c r="A542" t="s">
        <v>541</v>
      </c>
    </row>
    <row r="543" spans="1:1" x14ac:dyDescent="0.3">
      <c r="A543" t="s">
        <v>542</v>
      </c>
    </row>
    <row r="544" spans="1:1" x14ac:dyDescent="0.3">
      <c r="A544" t="s">
        <v>543</v>
      </c>
    </row>
    <row r="545" spans="1:1" x14ac:dyDescent="0.3">
      <c r="A545" t="s">
        <v>544</v>
      </c>
    </row>
    <row r="546" spans="1:1" x14ac:dyDescent="0.3">
      <c r="A546" t="s">
        <v>545</v>
      </c>
    </row>
    <row r="547" spans="1:1" x14ac:dyDescent="0.3">
      <c r="A547" t="s">
        <v>546</v>
      </c>
    </row>
    <row r="548" spans="1:1" x14ac:dyDescent="0.3">
      <c r="A548" t="s">
        <v>547</v>
      </c>
    </row>
    <row r="549" spans="1:1" x14ac:dyDescent="0.3">
      <c r="A549" t="s">
        <v>548</v>
      </c>
    </row>
    <row r="550" spans="1:1" x14ac:dyDescent="0.3">
      <c r="A550" t="s">
        <v>549</v>
      </c>
    </row>
    <row r="551" spans="1:1" x14ac:dyDescent="0.3">
      <c r="A551" t="s">
        <v>550</v>
      </c>
    </row>
    <row r="552" spans="1:1" x14ac:dyDescent="0.3">
      <c r="A552" t="s">
        <v>551</v>
      </c>
    </row>
    <row r="553" spans="1:1" x14ac:dyDescent="0.3">
      <c r="A553" t="s">
        <v>552</v>
      </c>
    </row>
    <row r="554" spans="1:1" x14ac:dyDescent="0.3">
      <c r="A554" t="s">
        <v>553</v>
      </c>
    </row>
    <row r="555" spans="1:1" x14ac:dyDescent="0.3">
      <c r="A555" t="s">
        <v>554</v>
      </c>
    </row>
    <row r="556" spans="1:1" x14ac:dyDescent="0.3">
      <c r="A556" t="s">
        <v>555</v>
      </c>
    </row>
    <row r="557" spans="1:1" x14ac:dyDescent="0.3">
      <c r="A557" t="s">
        <v>556</v>
      </c>
    </row>
    <row r="558" spans="1:1" x14ac:dyDescent="0.3">
      <c r="A558" t="s">
        <v>557</v>
      </c>
    </row>
    <row r="559" spans="1:1" x14ac:dyDescent="0.3">
      <c r="A559" t="s">
        <v>558</v>
      </c>
    </row>
    <row r="560" spans="1:1" x14ac:dyDescent="0.3">
      <c r="A560" t="s">
        <v>559</v>
      </c>
    </row>
    <row r="561" spans="1:1" x14ac:dyDescent="0.3">
      <c r="A561" t="s">
        <v>560</v>
      </c>
    </row>
    <row r="562" spans="1:1" x14ac:dyDescent="0.3">
      <c r="A562" t="s">
        <v>561</v>
      </c>
    </row>
    <row r="563" spans="1:1" x14ac:dyDescent="0.3">
      <c r="A563" t="s">
        <v>562</v>
      </c>
    </row>
    <row r="564" spans="1:1" x14ac:dyDescent="0.3">
      <c r="A564" t="s">
        <v>563</v>
      </c>
    </row>
    <row r="565" spans="1:1" x14ac:dyDescent="0.3">
      <c r="A565" t="s">
        <v>564</v>
      </c>
    </row>
    <row r="566" spans="1:1" x14ac:dyDescent="0.3">
      <c r="A566" t="s">
        <v>565</v>
      </c>
    </row>
    <row r="567" spans="1:1" x14ac:dyDescent="0.3">
      <c r="A567" t="s">
        <v>566</v>
      </c>
    </row>
    <row r="568" spans="1:1" x14ac:dyDescent="0.3">
      <c r="A568" t="s">
        <v>567</v>
      </c>
    </row>
    <row r="569" spans="1:1" x14ac:dyDescent="0.3">
      <c r="A569" t="s">
        <v>568</v>
      </c>
    </row>
    <row r="570" spans="1:1" x14ac:dyDescent="0.3">
      <c r="A570" t="s">
        <v>569</v>
      </c>
    </row>
    <row r="571" spans="1:1" x14ac:dyDescent="0.3">
      <c r="A571" t="s">
        <v>570</v>
      </c>
    </row>
    <row r="572" spans="1:1" x14ac:dyDescent="0.3">
      <c r="A572" t="s">
        <v>571</v>
      </c>
    </row>
    <row r="573" spans="1:1" x14ac:dyDescent="0.3">
      <c r="A573" t="s">
        <v>572</v>
      </c>
    </row>
    <row r="574" spans="1:1" x14ac:dyDescent="0.3">
      <c r="A574" t="s">
        <v>573</v>
      </c>
    </row>
    <row r="575" spans="1:1" x14ac:dyDescent="0.3">
      <c r="A575" t="s">
        <v>574</v>
      </c>
    </row>
    <row r="576" spans="1:1" x14ac:dyDescent="0.3">
      <c r="A576" t="s">
        <v>575</v>
      </c>
    </row>
    <row r="577" spans="1:1" x14ac:dyDescent="0.3">
      <c r="A577" t="s">
        <v>576</v>
      </c>
    </row>
    <row r="578" spans="1:1" x14ac:dyDescent="0.3">
      <c r="A578" t="s">
        <v>577</v>
      </c>
    </row>
    <row r="579" spans="1:1" x14ac:dyDescent="0.3">
      <c r="A579" t="s">
        <v>578</v>
      </c>
    </row>
    <row r="580" spans="1:1" x14ac:dyDescent="0.3">
      <c r="A580" t="s">
        <v>579</v>
      </c>
    </row>
    <row r="581" spans="1:1" x14ac:dyDescent="0.3">
      <c r="A581" t="s">
        <v>580</v>
      </c>
    </row>
    <row r="582" spans="1:1" x14ac:dyDescent="0.3">
      <c r="A582" t="s">
        <v>581</v>
      </c>
    </row>
    <row r="583" spans="1:1" x14ac:dyDescent="0.3">
      <c r="A583" t="s">
        <v>582</v>
      </c>
    </row>
    <row r="584" spans="1:1" x14ac:dyDescent="0.3">
      <c r="A584" t="s">
        <v>583</v>
      </c>
    </row>
    <row r="585" spans="1:1" x14ac:dyDescent="0.3">
      <c r="A585" t="s">
        <v>584</v>
      </c>
    </row>
    <row r="586" spans="1:1" x14ac:dyDescent="0.3">
      <c r="A586" t="s">
        <v>585</v>
      </c>
    </row>
    <row r="587" spans="1:1" x14ac:dyDescent="0.3">
      <c r="A587" t="s">
        <v>586</v>
      </c>
    </row>
    <row r="588" spans="1:1" x14ac:dyDescent="0.3">
      <c r="A588" t="s">
        <v>587</v>
      </c>
    </row>
    <row r="589" spans="1:1" x14ac:dyDescent="0.3">
      <c r="A589" t="s">
        <v>588</v>
      </c>
    </row>
    <row r="590" spans="1:1" x14ac:dyDescent="0.3">
      <c r="A590" t="s">
        <v>589</v>
      </c>
    </row>
    <row r="591" spans="1:1" x14ac:dyDescent="0.3">
      <c r="A591" t="s">
        <v>590</v>
      </c>
    </row>
    <row r="592" spans="1:1" x14ac:dyDescent="0.3">
      <c r="A592" t="s">
        <v>591</v>
      </c>
    </row>
    <row r="593" spans="1:1" x14ac:dyDescent="0.3">
      <c r="A593" t="s">
        <v>592</v>
      </c>
    </row>
    <row r="594" spans="1:1" x14ac:dyDescent="0.3">
      <c r="A594" t="s">
        <v>593</v>
      </c>
    </row>
    <row r="595" spans="1:1" x14ac:dyDescent="0.3">
      <c r="A595" t="s">
        <v>594</v>
      </c>
    </row>
    <row r="596" spans="1:1" x14ac:dyDescent="0.3">
      <c r="A596" t="s">
        <v>595</v>
      </c>
    </row>
    <row r="597" spans="1:1" x14ac:dyDescent="0.3">
      <c r="A597" t="s">
        <v>596</v>
      </c>
    </row>
    <row r="598" spans="1:1" x14ac:dyDescent="0.3">
      <c r="A598" t="s">
        <v>597</v>
      </c>
    </row>
    <row r="599" spans="1:1" x14ac:dyDescent="0.3">
      <c r="A599" t="s">
        <v>598</v>
      </c>
    </row>
    <row r="600" spans="1:1" x14ac:dyDescent="0.3">
      <c r="A600" t="s">
        <v>599</v>
      </c>
    </row>
    <row r="601" spans="1:1" x14ac:dyDescent="0.3">
      <c r="A601" t="s">
        <v>600</v>
      </c>
    </row>
    <row r="602" spans="1:1" x14ac:dyDescent="0.3">
      <c r="A602" t="s">
        <v>601</v>
      </c>
    </row>
    <row r="603" spans="1:1" x14ac:dyDescent="0.3">
      <c r="A603" t="s">
        <v>602</v>
      </c>
    </row>
    <row r="604" spans="1:1" x14ac:dyDescent="0.3">
      <c r="A604" t="s">
        <v>603</v>
      </c>
    </row>
    <row r="605" spans="1:1" x14ac:dyDescent="0.3">
      <c r="A605" t="s">
        <v>604</v>
      </c>
    </row>
    <row r="606" spans="1:1" x14ac:dyDescent="0.3">
      <c r="A606" t="s">
        <v>605</v>
      </c>
    </row>
    <row r="607" spans="1:1" x14ac:dyDescent="0.3">
      <c r="A607" t="s">
        <v>606</v>
      </c>
    </row>
    <row r="608" spans="1:1" x14ac:dyDescent="0.3">
      <c r="A608" t="s">
        <v>607</v>
      </c>
    </row>
    <row r="609" spans="1:1" x14ac:dyDescent="0.3">
      <c r="A609" t="s">
        <v>608</v>
      </c>
    </row>
    <row r="610" spans="1:1" x14ac:dyDescent="0.3">
      <c r="A610" t="s">
        <v>609</v>
      </c>
    </row>
    <row r="611" spans="1:1" x14ac:dyDescent="0.3">
      <c r="A611" t="s">
        <v>610</v>
      </c>
    </row>
    <row r="612" spans="1:1" x14ac:dyDescent="0.3">
      <c r="A612" t="s">
        <v>611</v>
      </c>
    </row>
    <row r="613" spans="1:1" x14ac:dyDescent="0.3">
      <c r="A613" t="s">
        <v>612</v>
      </c>
    </row>
    <row r="614" spans="1:1" x14ac:dyDescent="0.3">
      <c r="A614" t="s">
        <v>613</v>
      </c>
    </row>
    <row r="615" spans="1:1" x14ac:dyDescent="0.3">
      <c r="A615" t="s">
        <v>614</v>
      </c>
    </row>
    <row r="616" spans="1:1" x14ac:dyDescent="0.3">
      <c r="A616" t="s">
        <v>615</v>
      </c>
    </row>
    <row r="617" spans="1:1" x14ac:dyDescent="0.3">
      <c r="A617" t="s">
        <v>616</v>
      </c>
    </row>
    <row r="618" spans="1:1" x14ac:dyDescent="0.3">
      <c r="A618" t="s">
        <v>617</v>
      </c>
    </row>
    <row r="619" spans="1:1" x14ac:dyDescent="0.3">
      <c r="A619" t="s">
        <v>618</v>
      </c>
    </row>
    <row r="620" spans="1:1" x14ac:dyDescent="0.3">
      <c r="A620" t="s">
        <v>619</v>
      </c>
    </row>
    <row r="621" spans="1:1" x14ac:dyDescent="0.3">
      <c r="A621" t="s">
        <v>620</v>
      </c>
    </row>
    <row r="622" spans="1:1" x14ac:dyDescent="0.3">
      <c r="A622" t="s">
        <v>621</v>
      </c>
    </row>
    <row r="623" spans="1:1" x14ac:dyDescent="0.3">
      <c r="A623" t="s">
        <v>622</v>
      </c>
    </row>
    <row r="624" spans="1:1" x14ac:dyDescent="0.3">
      <c r="A624" t="s">
        <v>623</v>
      </c>
    </row>
    <row r="625" spans="1:1" x14ac:dyDescent="0.3">
      <c r="A625" t="s">
        <v>624</v>
      </c>
    </row>
    <row r="626" spans="1:1" x14ac:dyDescent="0.3">
      <c r="A626" t="s">
        <v>625</v>
      </c>
    </row>
    <row r="627" spans="1:1" x14ac:dyDescent="0.3">
      <c r="A627" t="s">
        <v>626</v>
      </c>
    </row>
    <row r="628" spans="1:1" x14ac:dyDescent="0.3">
      <c r="A628" t="s">
        <v>627</v>
      </c>
    </row>
    <row r="629" spans="1:1" x14ac:dyDescent="0.3">
      <c r="A629" t="s">
        <v>628</v>
      </c>
    </row>
    <row r="630" spans="1:1" x14ac:dyDescent="0.3">
      <c r="A630" t="s">
        <v>629</v>
      </c>
    </row>
    <row r="631" spans="1:1" x14ac:dyDescent="0.3">
      <c r="A631" t="s">
        <v>630</v>
      </c>
    </row>
    <row r="632" spans="1:1" x14ac:dyDescent="0.3">
      <c r="A632" t="s">
        <v>631</v>
      </c>
    </row>
    <row r="633" spans="1:1" x14ac:dyDescent="0.3">
      <c r="A633" t="s">
        <v>632</v>
      </c>
    </row>
    <row r="634" spans="1:1" x14ac:dyDescent="0.3">
      <c r="A634" t="s">
        <v>633</v>
      </c>
    </row>
    <row r="635" spans="1:1" x14ac:dyDescent="0.3">
      <c r="A635" t="s">
        <v>634</v>
      </c>
    </row>
    <row r="636" spans="1:1" x14ac:dyDescent="0.3">
      <c r="A636" t="s">
        <v>635</v>
      </c>
    </row>
    <row r="637" spans="1:1" x14ac:dyDescent="0.3">
      <c r="A637" t="s">
        <v>636</v>
      </c>
    </row>
    <row r="638" spans="1:1" x14ac:dyDescent="0.3">
      <c r="A638" t="s">
        <v>637</v>
      </c>
    </row>
    <row r="639" spans="1:1" x14ac:dyDescent="0.3">
      <c r="A639" t="s">
        <v>638</v>
      </c>
    </row>
    <row r="640" spans="1:1" x14ac:dyDescent="0.3">
      <c r="A640" t="s">
        <v>639</v>
      </c>
    </row>
    <row r="641" spans="1:1" x14ac:dyDescent="0.3">
      <c r="A641" t="s">
        <v>640</v>
      </c>
    </row>
    <row r="642" spans="1:1" x14ac:dyDescent="0.3">
      <c r="A642" t="s">
        <v>641</v>
      </c>
    </row>
    <row r="643" spans="1:1" x14ac:dyDescent="0.3">
      <c r="A643" t="s">
        <v>642</v>
      </c>
    </row>
    <row r="644" spans="1:1" x14ac:dyDescent="0.3">
      <c r="A644" t="s">
        <v>643</v>
      </c>
    </row>
    <row r="645" spans="1:1" x14ac:dyDescent="0.3">
      <c r="A645" t="s">
        <v>644</v>
      </c>
    </row>
    <row r="646" spans="1:1" x14ac:dyDescent="0.3">
      <c r="A646" t="s">
        <v>645</v>
      </c>
    </row>
    <row r="647" spans="1:1" x14ac:dyDescent="0.3">
      <c r="A647" t="s">
        <v>646</v>
      </c>
    </row>
    <row r="648" spans="1:1" x14ac:dyDescent="0.3">
      <c r="A648" t="s">
        <v>647</v>
      </c>
    </row>
    <row r="649" spans="1:1" x14ac:dyDescent="0.3">
      <c r="A649" t="s">
        <v>648</v>
      </c>
    </row>
    <row r="650" spans="1:1" x14ac:dyDescent="0.3">
      <c r="A650" t="s">
        <v>649</v>
      </c>
    </row>
    <row r="651" spans="1:1" x14ac:dyDescent="0.3">
      <c r="A651" t="s">
        <v>650</v>
      </c>
    </row>
    <row r="652" spans="1:1" x14ac:dyDescent="0.3">
      <c r="A652" t="s">
        <v>651</v>
      </c>
    </row>
    <row r="653" spans="1:1" x14ac:dyDescent="0.3">
      <c r="A653" t="s">
        <v>652</v>
      </c>
    </row>
    <row r="654" spans="1:1" x14ac:dyDescent="0.3">
      <c r="A654" t="s">
        <v>653</v>
      </c>
    </row>
    <row r="655" spans="1:1" x14ac:dyDescent="0.3">
      <c r="A655" t="s">
        <v>654</v>
      </c>
    </row>
    <row r="656" spans="1:1" x14ac:dyDescent="0.3">
      <c r="A656" t="s">
        <v>655</v>
      </c>
    </row>
    <row r="657" spans="1:1" x14ac:dyDescent="0.3">
      <c r="A657" t="s">
        <v>656</v>
      </c>
    </row>
    <row r="658" spans="1:1" x14ac:dyDescent="0.3">
      <c r="A658" t="s">
        <v>657</v>
      </c>
    </row>
    <row r="659" spans="1:1" x14ac:dyDescent="0.3">
      <c r="A659" t="s">
        <v>658</v>
      </c>
    </row>
    <row r="660" spans="1:1" x14ac:dyDescent="0.3">
      <c r="A660" t="s">
        <v>659</v>
      </c>
    </row>
    <row r="661" spans="1:1" x14ac:dyDescent="0.3">
      <c r="A661" t="s">
        <v>660</v>
      </c>
    </row>
    <row r="662" spans="1:1" x14ac:dyDescent="0.3">
      <c r="A662" t="s">
        <v>661</v>
      </c>
    </row>
    <row r="663" spans="1:1" x14ac:dyDescent="0.3">
      <c r="A663" t="s">
        <v>662</v>
      </c>
    </row>
    <row r="664" spans="1:1" x14ac:dyDescent="0.3">
      <c r="A664" t="s">
        <v>663</v>
      </c>
    </row>
    <row r="665" spans="1:1" x14ac:dyDescent="0.3">
      <c r="A665" t="s">
        <v>664</v>
      </c>
    </row>
    <row r="666" spans="1:1" x14ac:dyDescent="0.3">
      <c r="A666" t="s">
        <v>665</v>
      </c>
    </row>
    <row r="667" spans="1:1" x14ac:dyDescent="0.3">
      <c r="A667" t="s">
        <v>666</v>
      </c>
    </row>
    <row r="668" spans="1:1" x14ac:dyDescent="0.3">
      <c r="A668" t="s">
        <v>667</v>
      </c>
    </row>
    <row r="669" spans="1:1" x14ac:dyDescent="0.3">
      <c r="A669" t="s">
        <v>668</v>
      </c>
    </row>
    <row r="670" spans="1:1" x14ac:dyDescent="0.3">
      <c r="A670" t="s">
        <v>669</v>
      </c>
    </row>
    <row r="671" spans="1:1" x14ac:dyDescent="0.3">
      <c r="A671" t="s">
        <v>670</v>
      </c>
    </row>
    <row r="672" spans="1:1" x14ac:dyDescent="0.3">
      <c r="A672" t="s">
        <v>671</v>
      </c>
    </row>
    <row r="673" spans="1:1" x14ac:dyDescent="0.3">
      <c r="A673" t="s">
        <v>672</v>
      </c>
    </row>
    <row r="674" spans="1:1" x14ac:dyDescent="0.3">
      <c r="A674" t="s">
        <v>673</v>
      </c>
    </row>
    <row r="675" spans="1:1" x14ac:dyDescent="0.3">
      <c r="A675" t="s">
        <v>674</v>
      </c>
    </row>
    <row r="676" spans="1:1" x14ac:dyDescent="0.3">
      <c r="A676" t="s">
        <v>675</v>
      </c>
    </row>
    <row r="677" spans="1:1" x14ac:dyDescent="0.3">
      <c r="A677" t="s">
        <v>676</v>
      </c>
    </row>
    <row r="678" spans="1:1" x14ac:dyDescent="0.3">
      <c r="A678" t="s">
        <v>677</v>
      </c>
    </row>
    <row r="679" spans="1:1" x14ac:dyDescent="0.3">
      <c r="A679" t="s">
        <v>678</v>
      </c>
    </row>
    <row r="680" spans="1:1" x14ac:dyDescent="0.3">
      <c r="A680" t="s">
        <v>679</v>
      </c>
    </row>
    <row r="681" spans="1:1" x14ac:dyDescent="0.3">
      <c r="A681" t="s">
        <v>680</v>
      </c>
    </row>
    <row r="682" spans="1:1" x14ac:dyDescent="0.3">
      <c r="A682" t="s">
        <v>681</v>
      </c>
    </row>
    <row r="683" spans="1:1" x14ac:dyDescent="0.3">
      <c r="A683" t="s">
        <v>682</v>
      </c>
    </row>
    <row r="684" spans="1:1" x14ac:dyDescent="0.3">
      <c r="A684" t="s">
        <v>683</v>
      </c>
    </row>
    <row r="685" spans="1:1" x14ac:dyDescent="0.3">
      <c r="A685" t="s">
        <v>684</v>
      </c>
    </row>
    <row r="686" spans="1:1" x14ac:dyDescent="0.3">
      <c r="A686" t="s">
        <v>685</v>
      </c>
    </row>
    <row r="687" spans="1:1" x14ac:dyDescent="0.3">
      <c r="A687" t="s">
        <v>686</v>
      </c>
    </row>
    <row r="688" spans="1:1" x14ac:dyDescent="0.3">
      <c r="A688" t="s">
        <v>687</v>
      </c>
    </row>
    <row r="689" spans="1:1" x14ac:dyDescent="0.3">
      <c r="A689" t="s">
        <v>688</v>
      </c>
    </row>
    <row r="690" spans="1:1" x14ac:dyDescent="0.3">
      <c r="A690" t="s">
        <v>689</v>
      </c>
    </row>
    <row r="691" spans="1:1" x14ac:dyDescent="0.3">
      <c r="A691" t="s">
        <v>690</v>
      </c>
    </row>
    <row r="692" spans="1:1" x14ac:dyDescent="0.3">
      <c r="A692" t="s">
        <v>691</v>
      </c>
    </row>
    <row r="693" spans="1:1" x14ac:dyDescent="0.3">
      <c r="A693" t="s">
        <v>692</v>
      </c>
    </row>
    <row r="694" spans="1:1" x14ac:dyDescent="0.3">
      <c r="A694" t="s">
        <v>693</v>
      </c>
    </row>
    <row r="695" spans="1:1" x14ac:dyDescent="0.3">
      <c r="A695" t="s">
        <v>694</v>
      </c>
    </row>
    <row r="696" spans="1:1" x14ac:dyDescent="0.3">
      <c r="A696" t="s">
        <v>695</v>
      </c>
    </row>
    <row r="697" spans="1:1" x14ac:dyDescent="0.3">
      <c r="A697" t="s">
        <v>696</v>
      </c>
    </row>
    <row r="698" spans="1:1" x14ac:dyDescent="0.3">
      <c r="A698" t="s">
        <v>697</v>
      </c>
    </row>
    <row r="699" spans="1:1" x14ac:dyDescent="0.3">
      <c r="A699" t="s">
        <v>698</v>
      </c>
    </row>
    <row r="700" spans="1:1" x14ac:dyDescent="0.3">
      <c r="A700" t="s">
        <v>699</v>
      </c>
    </row>
    <row r="701" spans="1:1" x14ac:dyDescent="0.3">
      <c r="A701" t="s">
        <v>700</v>
      </c>
    </row>
    <row r="702" spans="1:1" x14ac:dyDescent="0.3">
      <c r="A702" t="s">
        <v>701</v>
      </c>
    </row>
    <row r="703" spans="1:1" x14ac:dyDescent="0.3">
      <c r="A703" t="s">
        <v>702</v>
      </c>
    </row>
    <row r="704" spans="1:1" x14ac:dyDescent="0.3">
      <c r="A704" t="s">
        <v>703</v>
      </c>
    </row>
    <row r="705" spans="1:1" x14ac:dyDescent="0.3">
      <c r="A705" t="s">
        <v>704</v>
      </c>
    </row>
    <row r="706" spans="1:1" x14ac:dyDescent="0.3">
      <c r="A706" t="s">
        <v>705</v>
      </c>
    </row>
    <row r="707" spans="1:1" x14ac:dyDescent="0.3">
      <c r="A707" t="s">
        <v>706</v>
      </c>
    </row>
    <row r="708" spans="1:1" x14ac:dyDescent="0.3">
      <c r="A708" t="s">
        <v>707</v>
      </c>
    </row>
    <row r="709" spans="1:1" x14ac:dyDescent="0.3">
      <c r="A709" t="s">
        <v>708</v>
      </c>
    </row>
    <row r="710" spans="1:1" x14ac:dyDescent="0.3">
      <c r="A710" t="s">
        <v>709</v>
      </c>
    </row>
    <row r="711" spans="1:1" x14ac:dyDescent="0.3">
      <c r="A711" t="s">
        <v>710</v>
      </c>
    </row>
    <row r="712" spans="1:1" x14ac:dyDescent="0.3">
      <c r="A712" t="s">
        <v>711</v>
      </c>
    </row>
    <row r="713" spans="1:1" x14ac:dyDescent="0.3">
      <c r="A713" t="s">
        <v>712</v>
      </c>
    </row>
    <row r="714" spans="1:1" x14ac:dyDescent="0.3">
      <c r="A714" t="s">
        <v>713</v>
      </c>
    </row>
    <row r="715" spans="1:1" x14ac:dyDescent="0.3">
      <c r="A715" t="s">
        <v>714</v>
      </c>
    </row>
    <row r="716" spans="1:1" x14ac:dyDescent="0.3">
      <c r="A716" t="s">
        <v>715</v>
      </c>
    </row>
    <row r="717" spans="1:1" x14ac:dyDescent="0.3">
      <c r="A717" t="s">
        <v>716</v>
      </c>
    </row>
    <row r="718" spans="1:1" x14ac:dyDescent="0.3">
      <c r="A718" t="s">
        <v>717</v>
      </c>
    </row>
    <row r="719" spans="1:1" x14ac:dyDescent="0.3">
      <c r="A719" t="s">
        <v>718</v>
      </c>
    </row>
    <row r="720" spans="1:1" x14ac:dyDescent="0.3">
      <c r="A720" t="s">
        <v>719</v>
      </c>
    </row>
    <row r="721" spans="1:1" x14ac:dyDescent="0.3">
      <c r="A721" t="s">
        <v>720</v>
      </c>
    </row>
    <row r="722" spans="1:1" x14ac:dyDescent="0.3">
      <c r="A722" t="s">
        <v>721</v>
      </c>
    </row>
    <row r="723" spans="1:1" x14ac:dyDescent="0.3">
      <c r="A723" t="s">
        <v>722</v>
      </c>
    </row>
    <row r="724" spans="1:1" x14ac:dyDescent="0.3">
      <c r="A724" t="s">
        <v>723</v>
      </c>
    </row>
    <row r="725" spans="1:1" x14ac:dyDescent="0.3">
      <c r="A725" t="s">
        <v>724</v>
      </c>
    </row>
    <row r="726" spans="1:1" x14ac:dyDescent="0.3">
      <c r="A726" t="s">
        <v>725</v>
      </c>
    </row>
    <row r="727" spans="1:1" x14ac:dyDescent="0.3">
      <c r="A727" t="s">
        <v>726</v>
      </c>
    </row>
    <row r="728" spans="1:1" x14ac:dyDescent="0.3">
      <c r="A728" t="s">
        <v>727</v>
      </c>
    </row>
    <row r="729" spans="1:1" x14ac:dyDescent="0.3">
      <c r="A729" t="s">
        <v>728</v>
      </c>
    </row>
    <row r="730" spans="1:1" x14ac:dyDescent="0.3">
      <c r="A730" t="s">
        <v>729</v>
      </c>
    </row>
    <row r="731" spans="1:1" x14ac:dyDescent="0.3">
      <c r="A731" t="s">
        <v>730</v>
      </c>
    </row>
    <row r="732" spans="1:1" x14ac:dyDescent="0.3">
      <c r="A732" t="s">
        <v>731</v>
      </c>
    </row>
    <row r="733" spans="1:1" x14ac:dyDescent="0.3">
      <c r="A733" t="s">
        <v>732</v>
      </c>
    </row>
    <row r="734" spans="1:1" x14ac:dyDescent="0.3">
      <c r="A734" t="s">
        <v>733</v>
      </c>
    </row>
    <row r="735" spans="1:1" x14ac:dyDescent="0.3">
      <c r="A735" t="s">
        <v>734</v>
      </c>
    </row>
    <row r="736" spans="1:1" x14ac:dyDescent="0.3">
      <c r="A736" t="s">
        <v>735</v>
      </c>
    </row>
    <row r="737" spans="1:1" x14ac:dyDescent="0.3">
      <c r="A737" t="s">
        <v>736</v>
      </c>
    </row>
    <row r="738" spans="1:1" x14ac:dyDescent="0.3">
      <c r="A738" t="s">
        <v>737</v>
      </c>
    </row>
    <row r="739" spans="1:1" x14ac:dyDescent="0.3">
      <c r="A739" t="s">
        <v>738</v>
      </c>
    </row>
    <row r="740" spans="1:1" x14ac:dyDescent="0.3">
      <c r="A740" t="s">
        <v>739</v>
      </c>
    </row>
    <row r="741" spans="1:1" x14ac:dyDescent="0.3">
      <c r="A741" t="s">
        <v>740</v>
      </c>
    </row>
    <row r="742" spans="1:1" x14ac:dyDescent="0.3">
      <c r="A742" t="s">
        <v>741</v>
      </c>
    </row>
    <row r="743" spans="1:1" x14ac:dyDescent="0.3">
      <c r="A743" t="s">
        <v>742</v>
      </c>
    </row>
    <row r="744" spans="1:1" x14ac:dyDescent="0.3">
      <c r="A744" t="s">
        <v>743</v>
      </c>
    </row>
    <row r="745" spans="1:1" x14ac:dyDescent="0.3">
      <c r="A745" t="s">
        <v>744</v>
      </c>
    </row>
    <row r="746" spans="1:1" x14ac:dyDescent="0.3">
      <c r="A746" t="s">
        <v>745</v>
      </c>
    </row>
    <row r="747" spans="1:1" x14ac:dyDescent="0.3">
      <c r="A747" t="s">
        <v>746</v>
      </c>
    </row>
    <row r="748" spans="1:1" x14ac:dyDescent="0.3">
      <c r="A748" t="s">
        <v>747</v>
      </c>
    </row>
    <row r="749" spans="1:1" x14ac:dyDescent="0.3">
      <c r="A749" t="s">
        <v>748</v>
      </c>
    </row>
    <row r="750" spans="1:1" x14ac:dyDescent="0.3">
      <c r="A750" t="s">
        <v>749</v>
      </c>
    </row>
    <row r="751" spans="1:1" x14ac:dyDescent="0.3">
      <c r="A751" t="s">
        <v>750</v>
      </c>
    </row>
    <row r="752" spans="1:1" x14ac:dyDescent="0.3">
      <c r="A752" t="s">
        <v>751</v>
      </c>
    </row>
    <row r="753" spans="1:1" x14ac:dyDescent="0.3">
      <c r="A753" t="s">
        <v>752</v>
      </c>
    </row>
    <row r="754" spans="1:1" x14ac:dyDescent="0.3">
      <c r="A754" t="s">
        <v>753</v>
      </c>
    </row>
    <row r="755" spans="1:1" x14ac:dyDescent="0.3">
      <c r="A755" t="s">
        <v>754</v>
      </c>
    </row>
    <row r="756" spans="1:1" x14ac:dyDescent="0.3">
      <c r="A756" t="s">
        <v>755</v>
      </c>
    </row>
    <row r="757" spans="1:1" x14ac:dyDescent="0.3">
      <c r="A757" t="s">
        <v>756</v>
      </c>
    </row>
    <row r="758" spans="1:1" x14ac:dyDescent="0.3">
      <c r="A758" t="s">
        <v>757</v>
      </c>
    </row>
    <row r="759" spans="1:1" x14ac:dyDescent="0.3">
      <c r="A759" t="s">
        <v>758</v>
      </c>
    </row>
    <row r="760" spans="1:1" x14ac:dyDescent="0.3">
      <c r="A760" t="s">
        <v>759</v>
      </c>
    </row>
    <row r="761" spans="1:1" x14ac:dyDescent="0.3">
      <c r="A761" t="s">
        <v>760</v>
      </c>
    </row>
    <row r="762" spans="1:1" x14ac:dyDescent="0.3">
      <c r="A762" t="s">
        <v>761</v>
      </c>
    </row>
    <row r="763" spans="1:1" x14ac:dyDescent="0.3">
      <c r="A763" t="s">
        <v>762</v>
      </c>
    </row>
    <row r="764" spans="1:1" x14ac:dyDescent="0.3">
      <c r="A764" t="s">
        <v>763</v>
      </c>
    </row>
    <row r="765" spans="1:1" x14ac:dyDescent="0.3">
      <c r="A765" t="s">
        <v>764</v>
      </c>
    </row>
    <row r="766" spans="1:1" x14ac:dyDescent="0.3">
      <c r="A766" t="s">
        <v>765</v>
      </c>
    </row>
    <row r="767" spans="1:1" x14ac:dyDescent="0.3">
      <c r="A767" t="s">
        <v>766</v>
      </c>
    </row>
    <row r="768" spans="1:1" x14ac:dyDescent="0.3">
      <c r="A768" t="s">
        <v>767</v>
      </c>
    </row>
    <row r="769" spans="1:1" x14ac:dyDescent="0.3">
      <c r="A769" t="s">
        <v>768</v>
      </c>
    </row>
    <row r="770" spans="1:1" x14ac:dyDescent="0.3">
      <c r="A770" t="s">
        <v>769</v>
      </c>
    </row>
    <row r="771" spans="1:1" x14ac:dyDescent="0.3">
      <c r="A771" t="s">
        <v>770</v>
      </c>
    </row>
    <row r="772" spans="1:1" x14ac:dyDescent="0.3">
      <c r="A772" t="s">
        <v>771</v>
      </c>
    </row>
    <row r="773" spans="1:1" x14ac:dyDescent="0.3">
      <c r="A773" t="s">
        <v>772</v>
      </c>
    </row>
    <row r="774" spans="1:1" x14ac:dyDescent="0.3">
      <c r="A774" t="s">
        <v>773</v>
      </c>
    </row>
    <row r="775" spans="1:1" x14ac:dyDescent="0.3">
      <c r="A775" t="s">
        <v>774</v>
      </c>
    </row>
    <row r="776" spans="1:1" x14ac:dyDescent="0.3">
      <c r="A776" t="s">
        <v>775</v>
      </c>
    </row>
    <row r="777" spans="1:1" x14ac:dyDescent="0.3">
      <c r="A777" t="s">
        <v>776</v>
      </c>
    </row>
    <row r="778" spans="1:1" x14ac:dyDescent="0.3">
      <c r="A778" t="s">
        <v>777</v>
      </c>
    </row>
    <row r="779" spans="1:1" x14ac:dyDescent="0.3">
      <c r="A779" t="s">
        <v>778</v>
      </c>
    </row>
    <row r="780" spans="1:1" x14ac:dyDescent="0.3">
      <c r="A780" t="s">
        <v>779</v>
      </c>
    </row>
    <row r="781" spans="1:1" x14ac:dyDescent="0.3">
      <c r="A781" t="s">
        <v>780</v>
      </c>
    </row>
    <row r="782" spans="1:1" x14ac:dyDescent="0.3">
      <c r="A782" t="s">
        <v>781</v>
      </c>
    </row>
    <row r="783" spans="1:1" x14ac:dyDescent="0.3">
      <c r="A783" t="s">
        <v>782</v>
      </c>
    </row>
    <row r="784" spans="1:1" x14ac:dyDescent="0.3">
      <c r="A784" t="s">
        <v>783</v>
      </c>
    </row>
    <row r="785" spans="1:1" x14ac:dyDescent="0.3">
      <c r="A785" t="s">
        <v>784</v>
      </c>
    </row>
    <row r="786" spans="1:1" x14ac:dyDescent="0.3">
      <c r="A786" t="s">
        <v>785</v>
      </c>
    </row>
    <row r="787" spans="1:1" x14ac:dyDescent="0.3">
      <c r="A787" t="s">
        <v>786</v>
      </c>
    </row>
    <row r="788" spans="1:1" x14ac:dyDescent="0.3">
      <c r="A788" t="s">
        <v>787</v>
      </c>
    </row>
    <row r="789" spans="1:1" x14ac:dyDescent="0.3">
      <c r="A789" t="s">
        <v>788</v>
      </c>
    </row>
    <row r="790" spans="1:1" x14ac:dyDescent="0.3">
      <c r="A790" t="s">
        <v>789</v>
      </c>
    </row>
    <row r="791" spans="1:1" x14ac:dyDescent="0.3">
      <c r="A791" t="s">
        <v>790</v>
      </c>
    </row>
    <row r="792" spans="1:1" x14ac:dyDescent="0.3">
      <c r="A792" t="s">
        <v>791</v>
      </c>
    </row>
    <row r="793" spans="1:1" x14ac:dyDescent="0.3">
      <c r="A793" t="s">
        <v>792</v>
      </c>
    </row>
    <row r="794" spans="1:1" x14ac:dyDescent="0.3">
      <c r="A794" t="s">
        <v>793</v>
      </c>
    </row>
    <row r="795" spans="1:1" x14ac:dyDescent="0.3">
      <c r="A795" t="s">
        <v>794</v>
      </c>
    </row>
    <row r="796" spans="1:1" x14ac:dyDescent="0.3">
      <c r="A796" t="s">
        <v>795</v>
      </c>
    </row>
    <row r="797" spans="1:1" x14ac:dyDescent="0.3">
      <c r="A797" t="s">
        <v>796</v>
      </c>
    </row>
    <row r="798" spans="1:1" x14ac:dyDescent="0.3">
      <c r="A798" t="s">
        <v>797</v>
      </c>
    </row>
    <row r="799" spans="1:1" x14ac:dyDescent="0.3">
      <c r="A799" t="s">
        <v>798</v>
      </c>
    </row>
    <row r="800" spans="1:1" x14ac:dyDescent="0.3">
      <c r="A800" t="s">
        <v>799</v>
      </c>
    </row>
    <row r="801" spans="1:1" x14ac:dyDescent="0.3">
      <c r="A801" t="s">
        <v>800</v>
      </c>
    </row>
    <row r="802" spans="1:1" x14ac:dyDescent="0.3">
      <c r="A802" t="s">
        <v>801</v>
      </c>
    </row>
    <row r="803" spans="1:1" x14ac:dyDescent="0.3">
      <c r="A803" t="s">
        <v>802</v>
      </c>
    </row>
    <row r="804" spans="1:1" x14ac:dyDescent="0.3">
      <c r="A804" t="s">
        <v>803</v>
      </c>
    </row>
    <row r="805" spans="1:1" x14ac:dyDescent="0.3">
      <c r="A805" t="s">
        <v>804</v>
      </c>
    </row>
    <row r="806" spans="1:1" x14ac:dyDescent="0.3">
      <c r="A806" t="s">
        <v>805</v>
      </c>
    </row>
    <row r="807" spans="1:1" x14ac:dyDescent="0.3">
      <c r="A807" t="s">
        <v>806</v>
      </c>
    </row>
    <row r="808" spans="1:1" x14ac:dyDescent="0.3">
      <c r="A808" t="s">
        <v>807</v>
      </c>
    </row>
    <row r="809" spans="1:1" x14ac:dyDescent="0.3">
      <c r="A809" t="s">
        <v>808</v>
      </c>
    </row>
    <row r="810" spans="1:1" x14ac:dyDescent="0.3">
      <c r="A810" t="s">
        <v>809</v>
      </c>
    </row>
    <row r="811" spans="1:1" x14ac:dyDescent="0.3">
      <c r="A811" t="s">
        <v>810</v>
      </c>
    </row>
    <row r="812" spans="1:1" x14ac:dyDescent="0.3">
      <c r="A812" t="s">
        <v>811</v>
      </c>
    </row>
    <row r="813" spans="1:1" x14ac:dyDescent="0.3">
      <c r="A813" t="s">
        <v>812</v>
      </c>
    </row>
    <row r="814" spans="1:1" x14ac:dyDescent="0.3">
      <c r="A814" t="s">
        <v>813</v>
      </c>
    </row>
    <row r="815" spans="1:1" x14ac:dyDescent="0.3">
      <c r="A815" t="s">
        <v>814</v>
      </c>
    </row>
    <row r="816" spans="1:1" x14ac:dyDescent="0.3">
      <c r="A816" t="s">
        <v>815</v>
      </c>
    </row>
    <row r="817" spans="1:1" x14ac:dyDescent="0.3">
      <c r="A817" t="s">
        <v>816</v>
      </c>
    </row>
    <row r="818" spans="1:1" x14ac:dyDescent="0.3">
      <c r="A818" t="s">
        <v>817</v>
      </c>
    </row>
    <row r="819" spans="1:1" x14ac:dyDescent="0.3">
      <c r="A819" t="s">
        <v>818</v>
      </c>
    </row>
    <row r="820" spans="1:1" x14ac:dyDescent="0.3">
      <c r="A820" t="s">
        <v>819</v>
      </c>
    </row>
    <row r="821" spans="1:1" x14ac:dyDescent="0.3">
      <c r="A821" t="s">
        <v>820</v>
      </c>
    </row>
    <row r="822" spans="1:1" x14ac:dyDescent="0.3">
      <c r="A822" t="s">
        <v>821</v>
      </c>
    </row>
    <row r="823" spans="1:1" x14ac:dyDescent="0.3">
      <c r="A823" t="s">
        <v>822</v>
      </c>
    </row>
    <row r="824" spans="1:1" x14ac:dyDescent="0.3">
      <c r="A824" t="s">
        <v>823</v>
      </c>
    </row>
    <row r="825" spans="1:1" x14ac:dyDescent="0.3">
      <c r="A825" t="s">
        <v>824</v>
      </c>
    </row>
    <row r="826" spans="1:1" x14ac:dyDescent="0.3">
      <c r="A826" t="s">
        <v>825</v>
      </c>
    </row>
    <row r="827" spans="1:1" x14ac:dyDescent="0.3">
      <c r="A827" t="s">
        <v>826</v>
      </c>
    </row>
    <row r="828" spans="1:1" x14ac:dyDescent="0.3">
      <c r="A828" t="s">
        <v>827</v>
      </c>
    </row>
    <row r="829" spans="1:1" x14ac:dyDescent="0.3">
      <c r="A829" t="s">
        <v>828</v>
      </c>
    </row>
    <row r="830" spans="1:1" x14ac:dyDescent="0.3">
      <c r="A830" t="s">
        <v>829</v>
      </c>
    </row>
    <row r="831" spans="1:1" x14ac:dyDescent="0.3">
      <c r="A831" t="s">
        <v>830</v>
      </c>
    </row>
    <row r="832" spans="1:1" x14ac:dyDescent="0.3">
      <c r="A832" t="s">
        <v>831</v>
      </c>
    </row>
    <row r="833" spans="1:1" x14ac:dyDescent="0.3">
      <c r="A833" t="s">
        <v>832</v>
      </c>
    </row>
    <row r="834" spans="1:1" x14ac:dyDescent="0.3">
      <c r="A834" t="s">
        <v>833</v>
      </c>
    </row>
    <row r="835" spans="1:1" x14ac:dyDescent="0.3">
      <c r="A835" t="s">
        <v>834</v>
      </c>
    </row>
    <row r="836" spans="1:1" x14ac:dyDescent="0.3">
      <c r="A836" t="s">
        <v>835</v>
      </c>
    </row>
    <row r="837" spans="1:1" x14ac:dyDescent="0.3">
      <c r="A837" t="s">
        <v>836</v>
      </c>
    </row>
    <row r="838" spans="1:1" x14ac:dyDescent="0.3">
      <c r="A838" t="s">
        <v>837</v>
      </c>
    </row>
    <row r="839" spans="1:1" x14ac:dyDescent="0.3">
      <c r="A839" t="s">
        <v>838</v>
      </c>
    </row>
    <row r="840" spans="1:1" x14ac:dyDescent="0.3">
      <c r="A840" t="s">
        <v>839</v>
      </c>
    </row>
    <row r="841" spans="1:1" x14ac:dyDescent="0.3">
      <c r="A841" t="s">
        <v>840</v>
      </c>
    </row>
    <row r="842" spans="1:1" x14ac:dyDescent="0.3">
      <c r="A842" t="s">
        <v>841</v>
      </c>
    </row>
    <row r="843" spans="1:1" x14ac:dyDescent="0.3">
      <c r="A843" t="s">
        <v>842</v>
      </c>
    </row>
    <row r="844" spans="1:1" x14ac:dyDescent="0.3">
      <c r="A844" t="s">
        <v>843</v>
      </c>
    </row>
    <row r="845" spans="1:1" x14ac:dyDescent="0.3">
      <c r="A845" t="s">
        <v>844</v>
      </c>
    </row>
    <row r="846" spans="1:1" x14ac:dyDescent="0.3">
      <c r="A846" t="s">
        <v>845</v>
      </c>
    </row>
    <row r="847" spans="1:1" x14ac:dyDescent="0.3">
      <c r="A847" t="s">
        <v>846</v>
      </c>
    </row>
    <row r="848" spans="1:1" x14ac:dyDescent="0.3">
      <c r="A848" t="s">
        <v>847</v>
      </c>
    </row>
    <row r="849" spans="1:1" x14ac:dyDescent="0.3">
      <c r="A849" t="s">
        <v>848</v>
      </c>
    </row>
    <row r="850" spans="1:1" x14ac:dyDescent="0.3">
      <c r="A850" t="s">
        <v>849</v>
      </c>
    </row>
    <row r="851" spans="1:1" x14ac:dyDescent="0.3">
      <c r="A851" t="s">
        <v>850</v>
      </c>
    </row>
    <row r="852" spans="1:1" x14ac:dyDescent="0.3">
      <c r="A852" t="s">
        <v>851</v>
      </c>
    </row>
    <row r="853" spans="1:1" x14ac:dyDescent="0.3">
      <c r="A853" t="s">
        <v>852</v>
      </c>
    </row>
    <row r="854" spans="1:1" x14ac:dyDescent="0.3">
      <c r="A854" t="s">
        <v>853</v>
      </c>
    </row>
    <row r="855" spans="1:1" x14ac:dyDescent="0.3">
      <c r="A855" t="s">
        <v>854</v>
      </c>
    </row>
    <row r="856" spans="1:1" x14ac:dyDescent="0.3">
      <c r="A856" t="s">
        <v>855</v>
      </c>
    </row>
    <row r="857" spans="1:1" x14ac:dyDescent="0.3">
      <c r="A857" t="s">
        <v>856</v>
      </c>
    </row>
    <row r="858" spans="1:1" x14ac:dyDescent="0.3">
      <c r="A858" t="s">
        <v>857</v>
      </c>
    </row>
    <row r="859" spans="1:1" x14ac:dyDescent="0.3">
      <c r="A859" t="s">
        <v>858</v>
      </c>
    </row>
    <row r="860" spans="1:1" x14ac:dyDescent="0.3">
      <c r="A860" t="s">
        <v>859</v>
      </c>
    </row>
    <row r="861" spans="1:1" x14ac:dyDescent="0.3">
      <c r="A861" t="s">
        <v>860</v>
      </c>
    </row>
    <row r="862" spans="1:1" x14ac:dyDescent="0.3">
      <c r="A862" t="s">
        <v>861</v>
      </c>
    </row>
    <row r="863" spans="1:1" x14ac:dyDescent="0.3">
      <c r="A863" t="s">
        <v>862</v>
      </c>
    </row>
    <row r="864" spans="1:1" x14ac:dyDescent="0.3">
      <c r="A864" t="s">
        <v>863</v>
      </c>
    </row>
    <row r="865" spans="1:1" x14ac:dyDescent="0.3">
      <c r="A865" t="s">
        <v>864</v>
      </c>
    </row>
    <row r="866" spans="1:1" x14ac:dyDescent="0.3">
      <c r="A866" t="s">
        <v>865</v>
      </c>
    </row>
    <row r="867" spans="1:1" x14ac:dyDescent="0.3">
      <c r="A867" t="s">
        <v>866</v>
      </c>
    </row>
    <row r="868" spans="1:1" x14ac:dyDescent="0.3">
      <c r="A868" t="s">
        <v>867</v>
      </c>
    </row>
    <row r="869" spans="1:1" x14ac:dyDescent="0.3">
      <c r="A869" t="s">
        <v>868</v>
      </c>
    </row>
    <row r="870" spans="1:1" x14ac:dyDescent="0.3">
      <c r="A870" t="s">
        <v>869</v>
      </c>
    </row>
    <row r="871" spans="1:1" x14ac:dyDescent="0.3">
      <c r="A871" t="s">
        <v>870</v>
      </c>
    </row>
    <row r="872" spans="1:1" x14ac:dyDescent="0.3">
      <c r="A872" t="s">
        <v>871</v>
      </c>
    </row>
    <row r="873" spans="1:1" x14ac:dyDescent="0.3">
      <c r="A873" t="s">
        <v>872</v>
      </c>
    </row>
    <row r="874" spans="1:1" x14ac:dyDescent="0.3">
      <c r="A874" t="s">
        <v>873</v>
      </c>
    </row>
    <row r="875" spans="1:1" x14ac:dyDescent="0.3">
      <c r="A875" t="s">
        <v>874</v>
      </c>
    </row>
    <row r="876" spans="1:1" x14ac:dyDescent="0.3">
      <c r="A876" t="s">
        <v>875</v>
      </c>
    </row>
    <row r="877" spans="1:1" x14ac:dyDescent="0.3">
      <c r="A877" t="s">
        <v>876</v>
      </c>
    </row>
    <row r="878" spans="1:1" x14ac:dyDescent="0.3">
      <c r="A878" t="s">
        <v>877</v>
      </c>
    </row>
    <row r="879" spans="1:1" x14ac:dyDescent="0.3">
      <c r="A879" t="s">
        <v>878</v>
      </c>
    </row>
    <row r="880" spans="1:1" x14ac:dyDescent="0.3">
      <c r="A880" t="s">
        <v>879</v>
      </c>
    </row>
    <row r="881" spans="1:1" x14ac:dyDescent="0.3">
      <c r="A881" t="s">
        <v>880</v>
      </c>
    </row>
    <row r="882" spans="1:1" x14ac:dyDescent="0.3">
      <c r="A882" t="s">
        <v>881</v>
      </c>
    </row>
    <row r="883" spans="1:1" x14ac:dyDescent="0.3">
      <c r="A883" t="s">
        <v>882</v>
      </c>
    </row>
    <row r="884" spans="1:1" x14ac:dyDescent="0.3">
      <c r="A884" t="s">
        <v>883</v>
      </c>
    </row>
    <row r="885" spans="1:1" x14ac:dyDescent="0.3">
      <c r="A885" t="s">
        <v>884</v>
      </c>
    </row>
    <row r="886" spans="1:1" x14ac:dyDescent="0.3">
      <c r="A886" t="s">
        <v>885</v>
      </c>
    </row>
    <row r="887" spans="1:1" x14ac:dyDescent="0.3">
      <c r="A887" t="s">
        <v>886</v>
      </c>
    </row>
    <row r="888" spans="1:1" x14ac:dyDescent="0.3">
      <c r="A888" t="s">
        <v>887</v>
      </c>
    </row>
    <row r="889" spans="1:1" x14ac:dyDescent="0.3">
      <c r="A889" t="s">
        <v>888</v>
      </c>
    </row>
    <row r="890" spans="1:1" x14ac:dyDescent="0.3">
      <c r="A890" t="s">
        <v>889</v>
      </c>
    </row>
    <row r="891" spans="1:1" x14ac:dyDescent="0.3">
      <c r="A891" t="s">
        <v>890</v>
      </c>
    </row>
    <row r="892" spans="1:1" x14ac:dyDescent="0.3">
      <c r="A892" t="s">
        <v>891</v>
      </c>
    </row>
    <row r="893" spans="1:1" x14ac:dyDescent="0.3">
      <c r="A893" t="s">
        <v>892</v>
      </c>
    </row>
    <row r="894" spans="1:1" x14ac:dyDescent="0.3">
      <c r="A894" t="s">
        <v>893</v>
      </c>
    </row>
    <row r="895" spans="1:1" x14ac:dyDescent="0.3">
      <c r="A895" t="s">
        <v>894</v>
      </c>
    </row>
    <row r="896" spans="1:1" x14ac:dyDescent="0.3">
      <c r="A896" t="s">
        <v>895</v>
      </c>
    </row>
    <row r="897" spans="1:1" x14ac:dyDescent="0.3">
      <c r="A897" t="s">
        <v>896</v>
      </c>
    </row>
    <row r="898" spans="1:1" x14ac:dyDescent="0.3">
      <c r="A898" t="s">
        <v>897</v>
      </c>
    </row>
    <row r="899" spans="1:1" x14ac:dyDescent="0.3">
      <c r="A899" t="s">
        <v>898</v>
      </c>
    </row>
    <row r="900" spans="1:1" x14ac:dyDescent="0.3">
      <c r="A900" t="s">
        <v>899</v>
      </c>
    </row>
    <row r="901" spans="1:1" x14ac:dyDescent="0.3">
      <c r="A901" t="s">
        <v>900</v>
      </c>
    </row>
    <row r="902" spans="1:1" x14ac:dyDescent="0.3">
      <c r="A902" t="s">
        <v>901</v>
      </c>
    </row>
    <row r="903" spans="1:1" x14ac:dyDescent="0.3">
      <c r="A903" t="s">
        <v>902</v>
      </c>
    </row>
    <row r="904" spans="1:1" x14ac:dyDescent="0.3">
      <c r="A904" t="s">
        <v>903</v>
      </c>
    </row>
    <row r="905" spans="1:1" x14ac:dyDescent="0.3">
      <c r="A905" t="s">
        <v>904</v>
      </c>
    </row>
    <row r="906" spans="1:1" x14ac:dyDescent="0.3">
      <c r="A906" t="s">
        <v>905</v>
      </c>
    </row>
    <row r="907" spans="1:1" x14ac:dyDescent="0.3">
      <c r="A907" t="s">
        <v>906</v>
      </c>
    </row>
    <row r="908" spans="1:1" x14ac:dyDescent="0.3">
      <c r="A908" t="s">
        <v>907</v>
      </c>
    </row>
    <row r="909" spans="1:1" x14ac:dyDescent="0.3">
      <c r="A909" t="s">
        <v>908</v>
      </c>
    </row>
    <row r="910" spans="1:1" x14ac:dyDescent="0.3">
      <c r="A910" t="s">
        <v>909</v>
      </c>
    </row>
    <row r="911" spans="1:1" x14ac:dyDescent="0.3">
      <c r="A911" t="s">
        <v>910</v>
      </c>
    </row>
    <row r="912" spans="1:1" x14ac:dyDescent="0.3">
      <c r="A912" t="s">
        <v>911</v>
      </c>
    </row>
    <row r="913" spans="1:1" x14ac:dyDescent="0.3">
      <c r="A913" t="s">
        <v>912</v>
      </c>
    </row>
    <row r="914" spans="1:1" x14ac:dyDescent="0.3">
      <c r="A914" t="s">
        <v>913</v>
      </c>
    </row>
    <row r="915" spans="1:1" x14ac:dyDescent="0.3">
      <c r="A915" t="s">
        <v>914</v>
      </c>
    </row>
    <row r="916" spans="1:1" x14ac:dyDescent="0.3">
      <c r="A916" t="s">
        <v>915</v>
      </c>
    </row>
    <row r="917" spans="1:1" x14ac:dyDescent="0.3">
      <c r="A917" t="s">
        <v>916</v>
      </c>
    </row>
    <row r="918" spans="1:1" x14ac:dyDescent="0.3">
      <c r="A918" t="s">
        <v>917</v>
      </c>
    </row>
    <row r="919" spans="1:1" x14ac:dyDescent="0.3">
      <c r="A919" t="s">
        <v>918</v>
      </c>
    </row>
    <row r="920" spans="1:1" x14ac:dyDescent="0.3">
      <c r="A920" t="s">
        <v>919</v>
      </c>
    </row>
    <row r="921" spans="1:1" x14ac:dyDescent="0.3">
      <c r="A921" t="s">
        <v>920</v>
      </c>
    </row>
    <row r="922" spans="1:1" x14ac:dyDescent="0.3">
      <c r="A922" t="s">
        <v>921</v>
      </c>
    </row>
    <row r="923" spans="1:1" x14ac:dyDescent="0.3">
      <c r="A923" t="s">
        <v>922</v>
      </c>
    </row>
    <row r="924" spans="1:1" x14ac:dyDescent="0.3">
      <c r="A924" t="s">
        <v>923</v>
      </c>
    </row>
    <row r="925" spans="1:1" x14ac:dyDescent="0.3">
      <c r="A925" t="s">
        <v>924</v>
      </c>
    </row>
    <row r="926" spans="1:1" x14ac:dyDescent="0.3">
      <c r="A926" t="s">
        <v>925</v>
      </c>
    </row>
    <row r="927" spans="1:1" x14ac:dyDescent="0.3">
      <c r="A927" t="s">
        <v>926</v>
      </c>
    </row>
    <row r="928" spans="1:1" x14ac:dyDescent="0.3">
      <c r="A928" t="s">
        <v>927</v>
      </c>
    </row>
    <row r="929" spans="1:1" x14ac:dyDescent="0.3">
      <c r="A929" t="s">
        <v>928</v>
      </c>
    </row>
    <row r="930" spans="1:1" x14ac:dyDescent="0.3">
      <c r="A930" t="s">
        <v>929</v>
      </c>
    </row>
    <row r="931" spans="1:1" x14ac:dyDescent="0.3">
      <c r="A931" t="s">
        <v>930</v>
      </c>
    </row>
    <row r="932" spans="1:1" x14ac:dyDescent="0.3">
      <c r="A932" t="s">
        <v>931</v>
      </c>
    </row>
    <row r="933" spans="1:1" x14ac:dyDescent="0.3">
      <c r="A933" t="s">
        <v>932</v>
      </c>
    </row>
    <row r="934" spans="1:1" x14ac:dyDescent="0.3">
      <c r="A934" t="s">
        <v>933</v>
      </c>
    </row>
    <row r="935" spans="1:1" x14ac:dyDescent="0.3">
      <c r="A935" t="s">
        <v>934</v>
      </c>
    </row>
    <row r="936" spans="1:1" x14ac:dyDescent="0.3">
      <c r="A936" t="s">
        <v>935</v>
      </c>
    </row>
    <row r="937" spans="1:1" x14ac:dyDescent="0.3">
      <c r="A937" t="s">
        <v>936</v>
      </c>
    </row>
    <row r="938" spans="1:1" x14ac:dyDescent="0.3">
      <c r="A938" t="s">
        <v>937</v>
      </c>
    </row>
    <row r="939" spans="1:1" x14ac:dyDescent="0.3">
      <c r="A939" t="s">
        <v>938</v>
      </c>
    </row>
    <row r="940" spans="1:1" x14ac:dyDescent="0.3">
      <c r="A940" t="s">
        <v>939</v>
      </c>
    </row>
    <row r="941" spans="1:1" x14ac:dyDescent="0.3">
      <c r="A941" t="s">
        <v>940</v>
      </c>
    </row>
    <row r="942" spans="1:1" x14ac:dyDescent="0.3">
      <c r="A942" t="s">
        <v>941</v>
      </c>
    </row>
    <row r="943" spans="1:1" x14ac:dyDescent="0.3">
      <c r="A943" t="s">
        <v>942</v>
      </c>
    </row>
    <row r="944" spans="1:1" x14ac:dyDescent="0.3">
      <c r="A944" t="s">
        <v>943</v>
      </c>
    </row>
    <row r="945" spans="1:1" x14ac:dyDescent="0.3">
      <c r="A945" t="s">
        <v>944</v>
      </c>
    </row>
    <row r="946" spans="1:1" x14ac:dyDescent="0.3">
      <c r="A946" t="s">
        <v>945</v>
      </c>
    </row>
    <row r="947" spans="1:1" x14ac:dyDescent="0.3">
      <c r="A947" t="s">
        <v>946</v>
      </c>
    </row>
    <row r="948" spans="1:1" x14ac:dyDescent="0.3">
      <c r="A948" t="s">
        <v>947</v>
      </c>
    </row>
    <row r="949" spans="1:1" x14ac:dyDescent="0.3">
      <c r="A949" t="s">
        <v>948</v>
      </c>
    </row>
    <row r="950" spans="1:1" x14ac:dyDescent="0.3">
      <c r="A950" t="s">
        <v>949</v>
      </c>
    </row>
    <row r="951" spans="1:1" x14ac:dyDescent="0.3">
      <c r="A951" t="s">
        <v>950</v>
      </c>
    </row>
    <row r="952" spans="1:1" x14ac:dyDescent="0.3">
      <c r="A952" t="s">
        <v>951</v>
      </c>
    </row>
    <row r="953" spans="1:1" x14ac:dyDescent="0.3">
      <c r="A953" t="s">
        <v>952</v>
      </c>
    </row>
    <row r="954" spans="1:1" x14ac:dyDescent="0.3">
      <c r="A954" t="s">
        <v>953</v>
      </c>
    </row>
    <row r="955" spans="1:1" x14ac:dyDescent="0.3">
      <c r="A955" t="s">
        <v>954</v>
      </c>
    </row>
    <row r="956" spans="1:1" x14ac:dyDescent="0.3">
      <c r="A956" t="s">
        <v>955</v>
      </c>
    </row>
    <row r="957" spans="1:1" x14ac:dyDescent="0.3">
      <c r="A957" t="s">
        <v>956</v>
      </c>
    </row>
    <row r="958" spans="1:1" x14ac:dyDescent="0.3">
      <c r="A958" t="s">
        <v>957</v>
      </c>
    </row>
    <row r="959" spans="1:1" x14ac:dyDescent="0.3">
      <c r="A959" t="s">
        <v>958</v>
      </c>
    </row>
    <row r="960" spans="1:1" x14ac:dyDescent="0.3">
      <c r="A960" t="s">
        <v>959</v>
      </c>
    </row>
    <row r="961" spans="1:1" x14ac:dyDescent="0.3">
      <c r="A961" t="s">
        <v>960</v>
      </c>
    </row>
    <row r="962" spans="1:1" x14ac:dyDescent="0.3">
      <c r="A962" t="s">
        <v>961</v>
      </c>
    </row>
    <row r="963" spans="1:1" x14ac:dyDescent="0.3">
      <c r="A963" t="s">
        <v>962</v>
      </c>
    </row>
    <row r="964" spans="1:1" x14ac:dyDescent="0.3">
      <c r="A964" t="s">
        <v>963</v>
      </c>
    </row>
    <row r="965" spans="1:1" x14ac:dyDescent="0.3">
      <c r="A965" t="s">
        <v>964</v>
      </c>
    </row>
    <row r="966" spans="1:1" x14ac:dyDescent="0.3">
      <c r="A966" t="s">
        <v>965</v>
      </c>
    </row>
    <row r="967" spans="1:1" x14ac:dyDescent="0.3">
      <c r="A967" t="s">
        <v>966</v>
      </c>
    </row>
    <row r="968" spans="1:1" x14ac:dyDescent="0.3">
      <c r="A968" t="s">
        <v>967</v>
      </c>
    </row>
    <row r="969" spans="1:1" x14ac:dyDescent="0.3">
      <c r="A969" t="s">
        <v>968</v>
      </c>
    </row>
    <row r="970" spans="1:1" x14ac:dyDescent="0.3">
      <c r="A970" t="s">
        <v>969</v>
      </c>
    </row>
    <row r="971" spans="1:1" x14ac:dyDescent="0.3">
      <c r="A971" t="s">
        <v>970</v>
      </c>
    </row>
    <row r="972" spans="1:1" x14ac:dyDescent="0.3">
      <c r="A972" t="s">
        <v>971</v>
      </c>
    </row>
    <row r="973" spans="1:1" x14ac:dyDescent="0.3">
      <c r="A973" t="s">
        <v>972</v>
      </c>
    </row>
    <row r="974" spans="1:1" x14ac:dyDescent="0.3">
      <c r="A974" t="s">
        <v>973</v>
      </c>
    </row>
    <row r="975" spans="1:1" x14ac:dyDescent="0.3">
      <c r="A975" t="s">
        <v>974</v>
      </c>
    </row>
    <row r="976" spans="1:1" x14ac:dyDescent="0.3">
      <c r="A976" t="s">
        <v>975</v>
      </c>
    </row>
    <row r="977" spans="1:1" x14ac:dyDescent="0.3">
      <c r="A977" t="s">
        <v>976</v>
      </c>
    </row>
    <row r="978" spans="1:1" x14ac:dyDescent="0.3">
      <c r="A978" t="s">
        <v>977</v>
      </c>
    </row>
    <row r="979" spans="1:1" x14ac:dyDescent="0.3">
      <c r="A979" t="s">
        <v>978</v>
      </c>
    </row>
    <row r="980" spans="1:1" x14ac:dyDescent="0.3">
      <c r="A980" t="s">
        <v>979</v>
      </c>
    </row>
    <row r="981" spans="1:1" x14ac:dyDescent="0.3">
      <c r="A981" t="s">
        <v>980</v>
      </c>
    </row>
    <row r="982" spans="1:1" x14ac:dyDescent="0.3">
      <c r="A982" t="s">
        <v>981</v>
      </c>
    </row>
    <row r="983" spans="1:1" x14ac:dyDescent="0.3">
      <c r="A983" t="s">
        <v>982</v>
      </c>
    </row>
    <row r="984" spans="1:1" x14ac:dyDescent="0.3">
      <c r="A984" t="s">
        <v>983</v>
      </c>
    </row>
    <row r="985" spans="1:1" x14ac:dyDescent="0.3">
      <c r="A985" t="s">
        <v>984</v>
      </c>
    </row>
    <row r="986" spans="1:1" x14ac:dyDescent="0.3">
      <c r="A986" t="s">
        <v>985</v>
      </c>
    </row>
    <row r="987" spans="1:1" x14ac:dyDescent="0.3">
      <c r="A987" t="s">
        <v>986</v>
      </c>
    </row>
    <row r="988" spans="1:1" x14ac:dyDescent="0.3">
      <c r="A988" t="s">
        <v>987</v>
      </c>
    </row>
    <row r="989" spans="1:1" x14ac:dyDescent="0.3">
      <c r="A989" t="s">
        <v>988</v>
      </c>
    </row>
    <row r="990" spans="1:1" x14ac:dyDescent="0.3">
      <c r="A990" t="s">
        <v>989</v>
      </c>
    </row>
    <row r="991" spans="1:1" x14ac:dyDescent="0.3">
      <c r="A991" t="s">
        <v>990</v>
      </c>
    </row>
    <row r="992" spans="1:1" x14ac:dyDescent="0.3">
      <c r="A992" t="s">
        <v>991</v>
      </c>
    </row>
    <row r="993" spans="1:1" x14ac:dyDescent="0.3">
      <c r="A993" t="s">
        <v>992</v>
      </c>
    </row>
    <row r="994" spans="1:1" x14ac:dyDescent="0.3">
      <c r="A994" t="s">
        <v>993</v>
      </c>
    </row>
    <row r="995" spans="1:1" x14ac:dyDescent="0.3">
      <c r="A995" t="s">
        <v>994</v>
      </c>
    </row>
    <row r="996" spans="1:1" x14ac:dyDescent="0.3">
      <c r="A996" t="s">
        <v>995</v>
      </c>
    </row>
    <row r="997" spans="1:1" x14ac:dyDescent="0.3">
      <c r="A997" t="s">
        <v>996</v>
      </c>
    </row>
    <row r="998" spans="1:1" x14ac:dyDescent="0.3">
      <c r="A998" t="s">
        <v>997</v>
      </c>
    </row>
    <row r="999" spans="1:1" x14ac:dyDescent="0.3">
      <c r="A999" t="s">
        <v>998</v>
      </c>
    </row>
    <row r="1000" spans="1:1" x14ac:dyDescent="0.3">
      <c r="A1000" t="s">
        <v>999</v>
      </c>
    </row>
    <row r="1001" spans="1:1" x14ac:dyDescent="0.3">
      <c r="A1001" t="s">
        <v>1000</v>
      </c>
    </row>
    <row r="1002" spans="1:1" x14ac:dyDescent="0.3">
      <c r="A1002" t="s">
        <v>1001</v>
      </c>
    </row>
    <row r="1003" spans="1:1" x14ac:dyDescent="0.3">
      <c r="A1003" t="s">
        <v>1002</v>
      </c>
    </row>
    <row r="1004" spans="1:1" x14ac:dyDescent="0.3">
      <c r="A1004" t="s">
        <v>1003</v>
      </c>
    </row>
    <row r="1005" spans="1:1" x14ac:dyDescent="0.3">
      <c r="A1005" t="s">
        <v>1004</v>
      </c>
    </row>
    <row r="1006" spans="1:1" x14ac:dyDescent="0.3">
      <c r="A1006" t="s">
        <v>1005</v>
      </c>
    </row>
    <row r="1007" spans="1:1" x14ac:dyDescent="0.3">
      <c r="A1007" t="s">
        <v>1006</v>
      </c>
    </row>
    <row r="1008" spans="1:1" x14ac:dyDescent="0.3">
      <c r="A1008" t="s">
        <v>1007</v>
      </c>
    </row>
    <row r="1009" spans="1:1" x14ac:dyDescent="0.3">
      <c r="A1009" t="s">
        <v>1008</v>
      </c>
    </row>
    <row r="1010" spans="1:1" x14ac:dyDescent="0.3">
      <c r="A1010" t="s">
        <v>1009</v>
      </c>
    </row>
    <row r="1011" spans="1:1" x14ac:dyDescent="0.3">
      <c r="A1011" t="s">
        <v>1010</v>
      </c>
    </row>
    <row r="1012" spans="1:1" x14ac:dyDescent="0.3">
      <c r="A1012" t="s">
        <v>1011</v>
      </c>
    </row>
    <row r="1013" spans="1:1" x14ac:dyDescent="0.3">
      <c r="A1013" t="s">
        <v>1012</v>
      </c>
    </row>
    <row r="1014" spans="1:1" x14ac:dyDescent="0.3">
      <c r="A1014" t="s">
        <v>1013</v>
      </c>
    </row>
    <row r="1015" spans="1:1" x14ac:dyDescent="0.3">
      <c r="A1015" t="s">
        <v>1014</v>
      </c>
    </row>
    <row r="1016" spans="1:1" x14ac:dyDescent="0.3">
      <c r="A1016" t="s">
        <v>1015</v>
      </c>
    </row>
    <row r="1017" spans="1:1" x14ac:dyDescent="0.3">
      <c r="A1017" t="s">
        <v>1016</v>
      </c>
    </row>
    <row r="1018" spans="1:1" x14ac:dyDescent="0.3">
      <c r="A1018" t="s">
        <v>1017</v>
      </c>
    </row>
    <row r="1019" spans="1:1" x14ac:dyDescent="0.3">
      <c r="A1019" t="s">
        <v>1018</v>
      </c>
    </row>
    <row r="1020" spans="1:1" x14ac:dyDescent="0.3">
      <c r="A1020" t="s">
        <v>1019</v>
      </c>
    </row>
    <row r="1021" spans="1:1" x14ac:dyDescent="0.3">
      <c r="A1021" t="s">
        <v>1020</v>
      </c>
    </row>
    <row r="1022" spans="1:1" x14ac:dyDescent="0.3">
      <c r="A1022" t="s">
        <v>1021</v>
      </c>
    </row>
    <row r="1023" spans="1:1" x14ac:dyDescent="0.3">
      <c r="A1023" t="s">
        <v>1022</v>
      </c>
    </row>
    <row r="1024" spans="1:1" x14ac:dyDescent="0.3">
      <c r="A1024" t="s">
        <v>1023</v>
      </c>
    </row>
    <row r="1025" spans="1:1" x14ac:dyDescent="0.3">
      <c r="A1025" t="s">
        <v>1024</v>
      </c>
    </row>
    <row r="1026" spans="1:1" x14ac:dyDescent="0.3">
      <c r="A1026" t="s">
        <v>1025</v>
      </c>
    </row>
    <row r="1027" spans="1:1" x14ac:dyDescent="0.3">
      <c r="A1027" t="s">
        <v>1026</v>
      </c>
    </row>
    <row r="1028" spans="1:1" x14ac:dyDescent="0.3">
      <c r="A1028" t="s">
        <v>1027</v>
      </c>
    </row>
    <row r="1029" spans="1:1" x14ac:dyDescent="0.3">
      <c r="A1029" t="s">
        <v>1028</v>
      </c>
    </row>
    <row r="1030" spans="1:1" x14ac:dyDescent="0.3">
      <c r="A1030" t="s">
        <v>1029</v>
      </c>
    </row>
    <row r="1031" spans="1:1" x14ac:dyDescent="0.3">
      <c r="A1031" t="s">
        <v>1030</v>
      </c>
    </row>
    <row r="1032" spans="1:1" x14ac:dyDescent="0.3">
      <c r="A1032" t="s">
        <v>1031</v>
      </c>
    </row>
    <row r="1033" spans="1:1" x14ac:dyDescent="0.3">
      <c r="A1033" t="s">
        <v>1032</v>
      </c>
    </row>
    <row r="1034" spans="1:1" x14ac:dyDescent="0.3">
      <c r="A1034" t="s">
        <v>1033</v>
      </c>
    </row>
    <row r="1035" spans="1:1" x14ac:dyDescent="0.3">
      <c r="A1035" t="s">
        <v>1034</v>
      </c>
    </row>
    <row r="1036" spans="1:1" x14ac:dyDescent="0.3">
      <c r="A1036" t="s">
        <v>1035</v>
      </c>
    </row>
    <row r="1037" spans="1:1" x14ac:dyDescent="0.3">
      <c r="A1037" t="s">
        <v>1036</v>
      </c>
    </row>
    <row r="1038" spans="1:1" x14ac:dyDescent="0.3">
      <c r="A1038" t="s">
        <v>1037</v>
      </c>
    </row>
    <row r="1039" spans="1:1" x14ac:dyDescent="0.3">
      <c r="A1039" t="s">
        <v>1038</v>
      </c>
    </row>
    <row r="1040" spans="1:1" x14ac:dyDescent="0.3">
      <c r="A1040" t="s">
        <v>1039</v>
      </c>
    </row>
    <row r="1041" spans="1:1" x14ac:dyDescent="0.3">
      <c r="A1041" t="s">
        <v>1040</v>
      </c>
    </row>
    <row r="1042" spans="1:1" x14ac:dyDescent="0.3">
      <c r="A1042" t="s">
        <v>1041</v>
      </c>
    </row>
    <row r="1043" spans="1:1" x14ac:dyDescent="0.3">
      <c r="A1043" t="s">
        <v>1042</v>
      </c>
    </row>
    <row r="1044" spans="1:1" x14ac:dyDescent="0.3">
      <c r="A1044" t="s">
        <v>1043</v>
      </c>
    </row>
    <row r="1045" spans="1:1" x14ac:dyDescent="0.3">
      <c r="A1045" t="s">
        <v>1044</v>
      </c>
    </row>
    <row r="1046" spans="1:1" x14ac:dyDescent="0.3">
      <c r="A1046" t="s">
        <v>1045</v>
      </c>
    </row>
    <row r="1047" spans="1:1" x14ac:dyDescent="0.3">
      <c r="A1047" t="s">
        <v>1046</v>
      </c>
    </row>
    <row r="1048" spans="1:1" x14ac:dyDescent="0.3">
      <c r="A1048" t="s">
        <v>1047</v>
      </c>
    </row>
    <row r="1049" spans="1:1" x14ac:dyDescent="0.3">
      <c r="A1049" t="s">
        <v>1048</v>
      </c>
    </row>
    <row r="1050" spans="1:1" x14ac:dyDescent="0.3">
      <c r="A1050" t="s">
        <v>1049</v>
      </c>
    </row>
    <row r="1051" spans="1:1" x14ac:dyDescent="0.3">
      <c r="A1051" t="s">
        <v>1050</v>
      </c>
    </row>
    <row r="1052" spans="1:1" x14ac:dyDescent="0.3">
      <c r="A1052" t="s">
        <v>1051</v>
      </c>
    </row>
    <row r="1053" spans="1:1" x14ac:dyDescent="0.3">
      <c r="A1053" t="s">
        <v>1052</v>
      </c>
    </row>
    <row r="1054" spans="1:1" x14ac:dyDescent="0.3">
      <c r="A1054" t="s">
        <v>1053</v>
      </c>
    </row>
    <row r="1055" spans="1:1" x14ac:dyDescent="0.3">
      <c r="A1055" t="s">
        <v>1054</v>
      </c>
    </row>
    <row r="1056" spans="1:1" x14ac:dyDescent="0.3">
      <c r="A1056" t="s">
        <v>1055</v>
      </c>
    </row>
    <row r="1057" spans="1:1" x14ac:dyDescent="0.3">
      <c r="A1057" t="s">
        <v>1056</v>
      </c>
    </row>
    <row r="1058" spans="1:1" x14ac:dyDescent="0.3">
      <c r="A1058" t="s">
        <v>1057</v>
      </c>
    </row>
    <row r="1059" spans="1:1" x14ac:dyDescent="0.3">
      <c r="A1059" t="s">
        <v>1058</v>
      </c>
    </row>
    <row r="1060" spans="1:1" x14ac:dyDescent="0.3">
      <c r="A1060" t="s">
        <v>1059</v>
      </c>
    </row>
    <row r="1061" spans="1:1" x14ac:dyDescent="0.3">
      <c r="A1061" t="s">
        <v>1060</v>
      </c>
    </row>
    <row r="1062" spans="1:1" x14ac:dyDescent="0.3">
      <c r="A1062" t="s">
        <v>1061</v>
      </c>
    </row>
    <row r="1063" spans="1:1" x14ac:dyDescent="0.3">
      <c r="A1063" t="s">
        <v>1062</v>
      </c>
    </row>
    <row r="1064" spans="1:1" x14ac:dyDescent="0.3">
      <c r="A1064" t="s">
        <v>1063</v>
      </c>
    </row>
    <row r="1065" spans="1:1" x14ac:dyDescent="0.3">
      <c r="A1065" t="s">
        <v>1064</v>
      </c>
    </row>
    <row r="1066" spans="1:1" x14ac:dyDescent="0.3">
      <c r="A1066" t="s">
        <v>1065</v>
      </c>
    </row>
    <row r="1067" spans="1:1" x14ac:dyDescent="0.3">
      <c r="A1067" t="s">
        <v>1066</v>
      </c>
    </row>
    <row r="1068" spans="1:1" x14ac:dyDescent="0.3">
      <c r="A1068" t="s">
        <v>1067</v>
      </c>
    </row>
    <row r="1069" spans="1:1" x14ac:dyDescent="0.3">
      <c r="A1069" t="s">
        <v>1068</v>
      </c>
    </row>
    <row r="1070" spans="1:1" x14ac:dyDescent="0.3">
      <c r="A1070" t="s">
        <v>1069</v>
      </c>
    </row>
    <row r="1071" spans="1:1" x14ac:dyDescent="0.3">
      <c r="A1071" t="s">
        <v>1070</v>
      </c>
    </row>
    <row r="1072" spans="1:1" x14ac:dyDescent="0.3">
      <c r="A1072" t="s">
        <v>1071</v>
      </c>
    </row>
    <row r="1073" spans="1:1" x14ac:dyDescent="0.3">
      <c r="A1073" t="s">
        <v>1072</v>
      </c>
    </row>
    <row r="1074" spans="1:1" x14ac:dyDescent="0.3">
      <c r="A1074" t="s">
        <v>1073</v>
      </c>
    </row>
    <row r="1075" spans="1:1" x14ac:dyDescent="0.3">
      <c r="A1075" t="s">
        <v>1074</v>
      </c>
    </row>
    <row r="1076" spans="1:1" x14ac:dyDescent="0.3">
      <c r="A1076" t="s">
        <v>1075</v>
      </c>
    </row>
    <row r="1077" spans="1:1" x14ac:dyDescent="0.3">
      <c r="A1077" t="s">
        <v>1076</v>
      </c>
    </row>
    <row r="1078" spans="1:1" x14ac:dyDescent="0.3">
      <c r="A1078" t="s">
        <v>1077</v>
      </c>
    </row>
    <row r="1079" spans="1:1" x14ac:dyDescent="0.3">
      <c r="A1079" t="s">
        <v>1078</v>
      </c>
    </row>
    <row r="1080" spans="1:1" x14ac:dyDescent="0.3">
      <c r="A1080" t="s">
        <v>1079</v>
      </c>
    </row>
    <row r="1081" spans="1:1" x14ac:dyDescent="0.3">
      <c r="A1081" t="s">
        <v>1080</v>
      </c>
    </row>
    <row r="1082" spans="1:1" x14ac:dyDescent="0.3">
      <c r="A1082" t="s">
        <v>1081</v>
      </c>
    </row>
    <row r="1083" spans="1:1" x14ac:dyDescent="0.3">
      <c r="A1083" t="s">
        <v>1082</v>
      </c>
    </row>
    <row r="1084" spans="1:1" x14ac:dyDescent="0.3">
      <c r="A1084" t="s">
        <v>1083</v>
      </c>
    </row>
    <row r="1085" spans="1:1" x14ac:dyDescent="0.3">
      <c r="A1085" t="s">
        <v>1084</v>
      </c>
    </row>
    <row r="1086" spans="1:1" x14ac:dyDescent="0.3">
      <c r="A1086" t="s">
        <v>1085</v>
      </c>
    </row>
    <row r="1087" spans="1:1" x14ac:dyDescent="0.3">
      <c r="A1087" t="s">
        <v>1086</v>
      </c>
    </row>
    <row r="1088" spans="1:1" x14ac:dyDescent="0.3">
      <c r="A1088" t="s">
        <v>1087</v>
      </c>
    </row>
    <row r="1089" spans="1:1" x14ac:dyDescent="0.3">
      <c r="A1089" t="s">
        <v>1088</v>
      </c>
    </row>
    <row r="1090" spans="1:1" x14ac:dyDescent="0.3">
      <c r="A1090" t="s">
        <v>1089</v>
      </c>
    </row>
    <row r="1091" spans="1:1" x14ac:dyDescent="0.3">
      <c r="A1091" t="s">
        <v>1090</v>
      </c>
    </row>
    <row r="1092" spans="1:1" x14ac:dyDescent="0.3">
      <c r="A1092" t="s">
        <v>1091</v>
      </c>
    </row>
    <row r="1093" spans="1:1" x14ac:dyDescent="0.3">
      <c r="A1093" t="s">
        <v>1092</v>
      </c>
    </row>
    <row r="1094" spans="1:1" x14ac:dyDescent="0.3">
      <c r="A1094" t="s">
        <v>1093</v>
      </c>
    </row>
    <row r="1095" spans="1:1" x14ac:dyDescent="0.3">
      <c r="A1095" t="s">
        <v>1094</v>
      </c>
    </row>
    <row r="1096" spans="1:1" x14ac:dyDescent="0.3">
      <c r="A1096" t="s">
        <v>1095</v>
      </c>
    </row>
    <row r="1097" spans="1:1" x14ac:dyDescent="0.3">
      <c r="A1097" t="s">
        <v>1096</v>
      </c>
    </row>
    <row r="1098" spans="1:1" x14ac:dyDescent="0.3">
      <c r="A1098" t="s">
        <v>1097</v>
      </c>
    </row>
    <row r="1099" spans="1:1" x14ac:dyDescent="0.3">
      <c r="A1099" t="s">
        <v>1098</v>
      </c>
    </row>
    <row r="1100" spans="1:1" x14ac:dyDescent="0.3">
      <c r="A1100" t="s">
        <v>1099</v>
      </c>
    </row>
    <row r="1101" spans="1:1" x14ac:dyDescent="0.3">
      <c r="A1101" t="s">
        <v>1100</v>
      </c>
    </row>
    <row r="1102" spans="1:1" x14ac:dyDescent="0.3">
      <c r="A1102" t="s">
        <v>1101</v>
      </c>
    </row>
    <row r="1103" spans="1:1" x14ac:dyDescent="0.3">
      <c r="A1103" t="s">
        <v>1102</v>
      </c>
    </row>
    <row r="1104" spans="1:1" x14ac:dyDescent="0.3">
      <c r="A1104" t="s">
        <v>1103</v>
      </c>
    </row>
    <row r="1105" spans="1:1" x14ac:dyDescent="0.3">
      <c r="A1105" t="s">
        <v>1104</v>
      </c>
    </row>
    <row r="1106" spans="1:1" x14ac:dyDescent="0.3">
      <c r="A1106" t="s">
        <v>1105</v>
      </c>
    </row>
    <row r="1107" spans="1:1" x14ac:dyDescent="0.3">
      <c r="A1107" t="s">
        <v>1106</v>
      </c>
    </row>
    <row r="1108" spans="1:1" x14ac:dyDescent="0.3">
      <c r="A1108" t="s">
        <v>1107</v>
      </c>
    </row>
    <row r="1109" spans="1:1" x14ac:dyDescent="0.3">
      <c r="A1109" t="s">
        <v>1108</v>
      </c>
    </row>
    <row r="1110" spans="1:1" x14ac:dyDescent="0.3">
      <c r="A1110" t="s">
        <v>1109</v>
      </c>
    </row>
    <row r="1111" spans="1:1" x14ac:dyDescent="0.3">
      <c r="A1111" t="s">
        <v>1110</v>
      </c>
    </row>
    <row r="1112" spans="1:1" x14ac:dyDescent="0.3">
      <c r="A1112" t="s">
        <v>1111</v>
      </c>
    </row>
    <row r="1113" spans="1:1" x14ac:dyDescent="0.3">
      <c r="A1113" t="s">
        <v>1112</v>
      </c>
    </row>
    <row r="1114" spans="1:1" x14ac:dyDescent="0.3">
      <c r="A1114" t="s">
        <v>1113</v>
      </c>
    </row>
    <row r="1115" spans="1:1" x14ac:dyDescent="0.3">
      <c r="A1115" t="s">
        <v>1114</v>
      </c>
    </row>
    <row r="1116" spans="1:1" x14ac:dyDescent="0.3">
      <c r="A1116" t="s">
        <v>1115</v>
      </c>
    </row>
    <row r="1117" spans="1:1" x14ac:dyDescent="0.3">
      <c r="A1117" t="s">
        <v>1116</v>
      </c>
    </row>
    <row r="1118" spans="1:1" x14ac:dyDescent="0.3">
      <c r="A1118" t="s">
        <v>1117</v>
      </c>
    </row>
    <row r="1119" spans="1:1" x14ac:dyDescent="0.3">
      <c r="A1119" t="s">
        <v>1118</v>
      </c>
    </row>
    <row r="1120" spans="1:1" x14ac:dyDescent="0.3">
      <c r="A1120" t="s">
        <v>1119</v>
      </c>
    </row>
    <row r="1121" spans="1:1" x14ac:dyDescent="0.3">
      <c r="A1121" t="s">
        <v>1120</v>
      </c>
    </row>
    <row r="1122" spans="1:1" x14ac:dyDescent="0.3">
      <c r="A1122" t="s">
        <v>1121</v>
      </c>
    </row>
    <row r="1123" spans="1:1" x14ac:dyDescent="0.3">
      <c r="A1123" t="s">
        <v>1122</v>
      </c>
    </row>
    <row r="1124" spans="1:1" x14ac:dyDescent="0.3">
      <c r="A1124" t="s">
        <v>1123</v>
      </c>
    </row>
    <row r="1125" spans="1:1" x14ac:dyDescent="0.3">
      <c r="A1125" t="s">
        <v>1124</v>
      </c>
    </row>
    <row r="1126" spans="1:1" x14ac:dyDescent="0.3">
      <c r="A1126" t="s">
        <v>1125</v>
      </c>
    </row>
    <row r="1127" spans="1:1" x14ac:dyDescent="0.3">
      <c r="A1127" t="s">
        <v>1126</v>
      </c>
    </row>
    <row r="1128" spans="1:1" x14ac:dyDescent="0.3">
      <c r="A1128" t="s">
        <v>1127</v>
      </c>
    </row>
    <row r="1129" spans="1:1" x14ac:dyDescent="0.3">
      <c r="A1129" t="s">
        <v>1128</v>
      </c>
    </row>
    <row r="1130" spans="1:1" x14ac:dyDescent="0.3">
      <c r="A1130" t="s">
        <v>1129</v>
      </c>
    </row>
    <row r="1131" spans="1:1" x14ac:dyDescent="0.3">
      <c r="A1131" t="s">
        <v>1130</v>
      </c>
    </row>
    <row r="1132" spans="1:1" x14ac:dyDescent="0.3">
      <c r="A1132" t="s">
        <v>1131</v>
      </c>
    </row>
    <row r="1133" spans="1:1" x14ac:dyDescent="0.3">
      <c r="A1133" t="s">
        <v>1132</v>
      </c>
    </row>
    <row r="1134" spans="1:1" x14ac:dyDescent="0.3">
      <c r="A1134" t="s">
        <v>1133</v>
      </c>
    </row>
    <row r="1135" spans="1:1" x14ac:dyDescent="0.3">
      <c r="A1135" t="s">
        <v>1134</v>
      </c>
    </row>
    <row r="1136" spans="1:1" x14ac:dyDescent="0.3">
      <c r="A1136" t="s">
        <v>1135</v>
      </c>
    </row>
    <row r="1137" spans="1:1" x14ac:dyDescent="0.3">
      <c r="A1137" t="s">
        <v>1136</v>
      </c>
    </row>
    <row r="1138" spans="1:1" x14ac:dyDescent="0.3">
      <c r="A1138" t="s">
        <v>1137</v>
      </c>
    </row>
    <row r="1139" spans="1:1" x14ac:dyDescent="0.3">
      <c r="A1139" t="s">
        <v>1138</v>
      </c>
    </row>
    <row r="1140" spans="1:1" x14ac:dyDescent="0.3">
      <c r="A1140" t="s">
        <v>1139</v>
      </c>
    </row>
    <row r="1141" spans="1:1" x14ac:dyDescent="0.3">
      <c r="A1141" t="s">
        <v>1140</v>
      </c>
    </row>
    <row r="1142" spans="1:1" x14ac:dyDescent="0.3">
      <c r="A1142" t="s">
        <v>1141</v>
      </c>
    </row>
    <row r="1143" spans="1:1" x14ac:dyDescent="0.3">
      <c r="A1143" t="s">
        <v>1142</v>
      </c>
    </row>
    <row r="1144" spans="1:1" x14ac:dyDescent="0.3">
      <c r="A1144" t="s">
        <v>1143</v>
      </c>
    </row>
    <row r="1145" spans="1:1" x14ac:dyDescent="0.3">
      <c r="A1145" t="s">
        <v>1144</v>
      </c>
    </row>
    <row r="1146" spans="1:1" x14ac:dyDescent="0.3">
      <c r="A1146" t="s">
        <v>1145</v>
      </c>
    </row>
    <row r="1147" spans="1:1" x14ac:dyDescent="0.3">
      <c r="A1147" t="s">
        <v>1146</v>
      </c>
    </row>
    <row r="1148" spans="1:1" x14ac:dyDescent="0.3">
      <c r="A1148" t="s">
        <v>1147</v>
      </c>
    </row>
    <row r="1149" spans="1:1" x14ac:dyDescent="0.3">
      <c r="A1149" t="s">
        <v>1148</v>
      </c>
    </row>
    <row r="1150" spans="1:1" x14ac:dyDescent="0.3">
      <c r="A1150" t="s">
        <v>1149</v>
      </c>
    </row>
    <row r="1151" spans="1:1" x14ac:dyDescent="0.3">
      <c r="A1151" t="s">
        <v>1150</v>
      </c>
    </row>
    <row r="1152" spans="1:1" x14ac:dyDescent="0.3">
      <c r="A1152" t="s">
        <v>1151</v>
      </c>
    </row>
    <row r="1153" spans="1:1" x14ac:dyDescent="0.3">
      <c r="A1153" t="s">
        <v>1152</v>
      </c>
    </row>
    <row r="1154" spans="1:1" x14ac:dyDescent="0.3">
      <c r="A1154" t="s">
        <v>1153</v>
      </c>
    </row>
    <row r="1155" spans="1:1" x14ac:dyDescent="0.3">
      <c r="A1155" t="s">
        <v>1154</v>
      </c>
    </row>
    <row r="1156" spans="1:1" x14ac:dyDescent="0.3">
      <c r="A1156" t="s">
        <v>1155</v>
      </c>
    </row>
    <row r="1157" spans="1:1" x14ac:dyDescent="0.3">
      <c r="A1157" t="s">
        <v>1156</v>
      </c>
    </row>
    <row r="1158" spans="1:1" x14ac:dyDescent="0.3">
      <c r="A1158" t="s">
        <v>1157</v>
      </c>
    </row>
    <row r="1159" spans="1:1" x14ac:dyDescent="0.3">
      <c r="A1159" t="s">
        <v>1158</v>
      </c>
    </row>
    <row r="1160" spans="1:1" x14ac:dyDescent="0.3">
      <c r="A1160" t="s">
        <v>1159</v>
      </c>
    </row>
    <row r="1161" spans="1:1" x14ac:dyDescent="0.3">
      <c r="A1161" t="s">
        <v>1160</v>
      </c>
    </row>
    <row r="1162" spans="1:1" x14ac:dyDescent="0.3">
      <c r="A1162" t="s">
        <v>1161</v>
      </c>
    </row>
    <row r="1163" spans="1:1" x14ac:dyDescent="0.3">
      <c r="A1163" t="s">
        <v>1162</v>
      </c>
    </row>
    <row r="1164" spans="1:1" x14ac:dyDescent="0.3">
      <c r="A1164" t="s">
        <v>1163</v>
      </c>
    </row>
    <row r="1165" spans="1:1" x14ac:dyDescent="0.3">
      <c r="A1165" t="s">
        <v>1164</v>
      </c>
    </row>
    <row r="1166" spans="1:1" x14ac:dyDescent="0.3">
      <c r="A1166" t="s">
        <v>1165</v>
      </c>
    </row>
    <row r="1167" spans="1:1" x14ac:dyDescent="0.3">
      <c r="A1167" t="s">
        <v>1166</v>
      </c>
    </row>
    <row r="1168" spans="1:1" x14ac:dyDescent="0.3">
      <c r="A1168" t="s">
        <v>1167</v>
      </c>
    </row>
    <row r="1169" spans="1:1" x14ac:dyDescent="0.3">
      <c r="A1169" t="s">
        <v>1168</v>
      </c>
    </row>
    <row r="1170" spans="1:1" x14ac:dyDescent="0.3">
      <c r="A1170" t="s">
        <v>1169</v>
      </c>
    </row>
    <row r="1171" spans="1:1" x14ac:dyDescent="0.3">
      <c r="A1171" t="s">
        <v>1170</v>
      </c>
    </row>
    <row r="1172" spans="1:1" x14ac:dyDescent="0.3">
      <c r="A1172" t="s">
        <v>1171</v>
      </c>
    </row>
    <row r="1173" spans="1:1" x14ac:dyDescent="0.3">
      <c r="A1173" t="s">
        <v>1172</v>
      </c>
    </row>
    <row r="1174" spans="1:1" x14ac:dyDescent="0.3">
      <c r="A1174" t="s">
        <v>1173</v>
      </c>
    </row>
    <row r="1175" spans="1:1" x14ac:dyDescent="0.3">
      <c r="A1175" t="s">
        <v>1174</v>
      </c>
    </row>
    <row r="1176" spans="1:1" x14ac:dyDescent="0.3">
      <c r="A1176" t="s">
        <v>1175</v>
      </c>
    </row>
    <row r="1177" spans="1:1" x14ac:dyDescent="0.3">
      <c r="A1177" t="s">
        <v>1176</v>
      </c>
    </row>
    <row r="1178" spans="1:1" x14ac:dyDescent="0.3">
      <c r="A1178" t="s">
        <v>1177</v>
      </c>
    </row>
    <row r="1179" spans="1:1" x14ac:dyDescent="0.3">
      <c r="A1179" t="s">
        <v>1178</v>
      </c>
    </row>
    <row r="1180" spans="1:1" x14ac:dyDescent="0.3">
      <c r="A1180" t="s">
        <v>1179</v>
      </c>
    </row>
    <row r="1181" spans="1:1" x14ac:dyDescent="0.3">
      <c r="A1181" t="s">
        <v>1180</v>
      </c>
    </row>
    <row r="1182" spans="1:1" x14ac:dyDescent="0.3">
      <c r="A1182" t="s">
        <v>1181</v>
      </c>
    </row>
    <row r="1183" spans="1:1" x14ac:dyDescent="0.3">
      <c r="A1183" t="s">
        <v>1182</v>
      </c>
    </row>
    <row r="1184" spans="1:1" x14ac:dyDescent="0.3">
      <c r="A1184" t="s">
        <v>1183</v>
      </c>
    </row>
    <row r="1185" spans="1:1" x14ac:dyDescent="0.3">
      <c r="A1185" t="s">
        <v>1184</v>
      </c>
    </row>
    <row r="1186" spans="1:1" x14ac:dyDescent="0.3">
      <c r="A1186" t="s">
        <v>1185</v>
      </c>
    </row>
    <row r="1187" spans="1:1" x14ac:dyDescent="0.3">
      <c r="A1187" t="s">
        <v>1186</v>
      </c>
    </row>
    <row r="1188" spans="1:1" x14ac:dyDescent="0.3">
      <c r="A1188" t="s">
        <v>1187</v>
      </c>
    </row>
    <row r="1189" spans="1:1" x14ac:dyDescent="0.3">
      <c r="A1189" t="s">
        <v>1188</v>
      </c>
    </row>
    <row r="1190" spans="1:1" x14ac:dyDescent="0.3">
      <c r="A1190" t="s">
        <v>1189</v>
      </c>
    </row>
    <row r="1191" spans="1:1" x14ac:dyDescent="0.3">
      <c r="A1191" t="s">
        <v>1190</v>
      </c>
    </row>
    <row r="1192" spans="1:1" x14ac:dyDescent="0.3">
      <c r="A1192" t="s">
        <v>1191</v>
      </c>
    </row>
    <row r="1193" spans="1:1" x14ac:dyDescent="0.3">
      <c r="A1193" t="s">
        <v>1192</v>
      </c>
    </row>
    <row r="1194" spans="1:1" x14ac:dyDescent="0.3">
      <c r="A1194" t="s">
        <v>1193</v>
      </c>
    </row>
    <row r="1195" spans="1:1" x14ac:dyDescent="0.3">
      <c r="A1195" t="s">
        <v>1194</v>
      </c>
    </row>
    <row r="1196" spans="1:1" x14ac:dyDescent="0.3">
      <c r="A1196" t="s">
        <v>1195</v>
      </c>
    </row>
    <row r="1197" spans="1:1" x14ac:dyDescent="0.3">
      <c r="A1197" t="s">
        <v>1196</v>
      </c>
    </row>
    <row r="1198" spans="1:1" x14ac:dyDescent="0.3">
      <c r="A1198" t="s">
        <v>1197</v>
      </c>
    </row>
    <row r="1199" spans="1:1" x14ac:dyDescent="0.3">
      <c r="A1199" t="s">
        <v>1198</v>
      </c>
    </row>
    <row r="1200" spans="1:1" x14ac:dyDescent="0.3">
      <c r="A1200" t="s">
        <v>1199</v>
      </c>
    </row>
    <row r="1201" spans="1:1" x14ac:dyDescent="0.3">
      <c r="A1201" t="s">
        <v>1200</v>
      </c>
    </row>
    <row r="1202" spans="1:1" x14ac:dyDescent="0.3">
      <c r="A1202" t="s">
        <v>1201</v>
      </c>
    </row>
    <row r="1203" spans="1:1" x14ac:dyDescent="0.3">
      <c r="A1203" t="s">
        <v>1202</v>
      </c>
    </row>
    <row r="1204" spans="1:1" x14ac:dyDescent="0.3">
      <c r="A1204" t="s">
        <v>1203</v>
      </c>
    </row>
    <row r="1205" spans="1:1" x14ac:dyDescent="0.3">
      <c r="A1205" t="s">
        <v>1204</v>
      </c>
    </row>
    <row r="1206" spans="1:1" x14ac:dyDescent="0.3">
      <c r="A1206" t="s">
        <v>1205</v>
      </c>
    </row>
    <row r="1207" spans="1:1" x14ac:dyDescent="0.3">
      <c r="A1207" t="s">
        <v>1206</v>
      </c>
    </row>
    <row r="1208" spans="1:1" x14ac:dyDescent="0.3">
      <c r="A1208" t="s">
        <v>1207</v>
      </c>
    </row>
    <row r="1209" spans="1:1" x14ac:dyDescent="0.3">
      <c r="A1209" t="s">
        <v>1208</v>
      </c>
    </row>
    <row r="1210" spans="1:1" x14ac:dyDescent="0.3">
      <c r="A1210" t="s">
        <v>1209</v>
      </c>
    </row>
    <row r="1211" spans="1:1" x14ac:dyDescent="0.3">
      <c r="A1211" t="s">
        <v>1210</v>
      </c>
    </row>
    <row r="1212" spans="1:1" x14ac:dyDescent="0.3">
      <c r="A1212" t="s">
        <v>1211</v>
      </c>
    </row>
    <row r="1213" spans="1:1" x14ac:dyDescent="0.3">
      <c r="A1213" t="s">
        <v>1212</v>
      </c>
    </row>
    <row r="1214" spans="1:1" x14ac:dyDescent="0.3">
      <c r="A1214" t="s">
        <v>1213</v>
      </c>
    </row>
    <row r="1215" spans="1:1" x14ac:dyDescent="0.3">
      <c r="A1215" t="s">
        <v>1214</v>
      </c>
    </row>
    <row r="1216" spans="1:1" x14ac:dyDescent="0.3">
      <c r="A1216" t="s">
        <v>1215</v>
      </c>
    </row>
    <row r="1217" spans="1:1" x14ac:dyDescent="0.3">
      <c r="A1217" t="s">
        <v>1216</v>
      </c>
    </row>
    <row r="1218" spans="1:1" x14ac:dyDescent="0.3">
      <c r="A1218" t="s">
        <v>1217</v>
      </c>
    </row>
    <row r="1219" spans="1:1" x14ac:dyDescent="0.3">
      <c r="A1219" t="s">
        <v>1218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9DCFD-1FB9-4AAE-9809-82F906452160}">
  <dimension ref="A1:AB1219"/>
  <sheetViews>
    <sheetView workbookViewId="0"/>
  </sheetViews>
  <sheetFormatPr baseColWidth="10" defaultRowHeight="14.4" x14ac:dyDescent="0.3"/>
  <cols>
    <col min="1" max="1" width="12" bestFit="1" customWidth="1"/>
    <col min="2" max="2" width="12.77734375" bestFit="1" customWidth="1"/>
    <col min="3" max="3" width="12.33203125" bestFit="1" customWidth="1"/>
    <col min="4" max="4" width="11" bestFit="1" customWidth="1"/>
    <col min="5" max="5" width="20.88671875" bestFit="1" customWidth="1"/>
    <col min="6" max="6" width="13.6640625" bestFit="1" customWidth="1"/>
    <col min="7" max="8" width="5.6640625" bestFit="1" customWidth="1"/>
    <col min="9" max="9" width="6.5546875" bestFit="1" customWidth="1"/>
    <col min="10" max="10" width="7" bestFit="1" customWidth="1"/>
    <col min="11" max="11" width="6.6640625" bestFit="1" customWidth="1"/>
    <col min="12" max="12" width="9.5546875" bestFit="1" customWidth="1"/>
    <col min="13" max="13" width="8" bestFit="1" customWidth="1"/>
    <col min="14" max="14" width="7.6640625" bestFit="1" customWidth="1"/>
    <col min="15" max="15" width="10.5546875" bestFit="1" customWidth="1"/>
    <col min="16" max="16" width="6.5546875" bestFit="1" customWidth="1"/>
    <col min="17" max="17" width="6.21875" bestFit="1" customWidth="1"/>
    <col min="18" max="18" width="9.109375" bestFit="1" customWidth="1"/>
    <col min="19" max="19" width="7.77734375" bestFit="1" customWidth="1"/>
    <col min="20" max="20" width="7.6640625" bestFit="1" customWidth="1"/>
    <col min="21" max="21" width="6.44140625" bestFit="1" customWidth="1"/>
    <col min="22" max="22" width="6.33203125" bestFit="1" customWidth="1"/>
    <col min="23" max="23" width="6.109375" bestFit="1" customWidth="1"/>
    <col min="24" max="24" width="6.33203125" bestFit="1" customWidth="1"/>
    <col min="25" max="25" width="6.5546875" bestFit="1" customWidth="1"/>
    <col min="26" max="26" width="5.33203125" bestFit="1" customWidth="1"/>
    <col min="27" max="27" width="6.33203125" bestFit="1" customWidth="1"/>
    <col min="28" max="28" width="21.33203125" bestFit="1" customWidth="1"/>
  </cols>
  <sheetData>
    <row r="1" spans="1:28" x14ac:dyDescent="0.3">
      <c r="A1" t="s">
        <v>1219</v>
      </c>
      <c r="B1" t="s">
        <v>1220</v>
      </c>
      <c r="C1" t="s">
        <v>1221</v>
      </c>
      <c r="D1" t="s">
        <v>1222</v>
      </c>
      <c r="E1" t="s">
        <v>1223</v>
      </c>
      <c r="F1" t="s">
        <v>1224</v>
      </c>
      <c r="G1" t="s">
        <v>1225</v>
      </c>
      <c r="H1" t="s">
        <v>1226</v>
      </c>
      <c r="I1" t="s">
        <v>1227</v>
      </c>
      <c r="J1" t="s">
        <v>1228</v>
      </c>
      <c r="K1" t="s">
        <v>1229</v>
      </c>
      <c r="L1" t="s">
        <v>1230</v>
      </c>
      <c r="M1" t="s">
        <v>1231</v>
      </c>
      <c r="N1" t="s">
        <v>1232</v>
      </c>
      <c r="O1" t="s">
        <v>1233</v>
      </c>
      <c r="P1" t="s">
        <v>1234</v>
      </c>
      <c r="Q1" t="s">
        <v>1235</v>
      </c>
      <c r="R1" t="s">
        <v>1236</v>
      </c>
      <c r="S1" t="s">
        <v>1237</v>
      </c>
      <c r="T1" t="s">
        <v>1238</v>
      </c>
      <c r="U1" t="s">
        <v>1239</v>
      </c>
      <c r="V1" t="s">
        <v>1240</v>
      </c>
      <c r="W1" t="s">
        <v>1241</v>
      </c>
      <c r="X1" t="s">
        <v>1242</v>
      </c>
      <c r="Y1" t="s">
        <v>1243</v>
      </c>
      <c r="Z1" t="s">
        <v>1244</v>
      </c>
      <c r="AA1" t="s">
        <v>1245</v>
      </c>
      <c r="AB1" t="s">
        <v>1246</v>
      </c>
    </row>
    <row r="2" spans="1:28" x14ac:dyDescent="0.3">
      <c r="A2">
        <v>78082</v>
      </c>
      <c r="B2" s="1" t="s">
        <v>1247</v>
      </c>
      <c r="C2">
        <v>0</v>
      </c>
      <c r="D2">
        <v>1610612752</v>
      </c>
      <c r="E2" s="1" t="s">
        <v>1248</v>
      </c>
      <c r="F2">
        <v>220</v>
      </c>
      <c r="G2">
        <v>12</v>
      </c>
      <c r="I2">
        <v>1670</v>
      </c>
      <c r="J2">
        <v>19</v>
      </c>
      <c r="K2">
        <v>65</v>
      </c>
      <c r="L2">
        <v>292</v>
      </c>
      <c r="P2">
        <v>9</v>
      </c>
      <c r="Q2">
        <v>14</v>
      </c>
      <c r="R2">
        <v>643</v>
      </c>
      <c r="U2">
        <v>260</v>
      </c>
      <c r="V2">
        <v>6</v>
      </c>
      <c r="Z2">
        <v>25</v>
      </c>
      <c r="AA2">
        <v>47</v>
      </c>
      <c r="AB2" s="1" t="s">
        <v>1249</v>
      </c>
    </row>
    <row r="3" spans="1:28" x14ac:dyDescent="0.3">
      <c r="A3">
        <v>76168</v>
      </c>
      <c r="B3" s="1" t="s">
        <v>1250</v>
      </c>
      <c r="C3">
        <v>0</v>
      </c>
      <c r="D3">
        <v>1610612752</v>
      </c>
      <c r="E3" s="1" t="s">
        <v>1248</v>
      </c>
      <c r="F3">
        <v>240</v>
      </c>
      <c r="G3">
        <v>11</v>
      </c>
      <c r="I3">
        <v>450</v>
      </c>
      <c r="J3">
        <v>12</v>
      </c>
      <c r="K3">
        <v>32</v>
      </c>
      <c r="L3">
        <v>375</v>
      </c>
      <c r="P3">
        <v>1</v>
      </c>
      <c r="Q3">
        <v>1</v>
      </c>
      <c r="R3">
        <v>10</v>
      </c>
      <c r="U3">
        <v>120</v>
      </c>
      <c r="V3">
        <v>4</v>
      </c>
      <c r="Z3">
        <v>7</v>
      </c>
      <c r="AA3">
        <v>25</v>
      </c>
      <c r="AB3" s="1" t="s">
        <v>1251</v>
      </c>
    </row>
    <row r="4" spans="1:28" x14ac:dyDescent="0.3">
      <c r="A4">
        <v>78113</v>
      </c>
      <c r="B4" s="1" t="s">
        <v>1250</v>
      </c>
      <c r="C4">
        <v>0</v>
      </c>
      <c r="D4">
        <v>1610612752</v>
      </c>
      <c r="E4" s="1" t="s">
        <v>1248</v>
      </c>
      <c r="F4">
        <v>260</v>
      </c>
      <c r="G4">
        <v>68</v>
      </c>
      <c r="I4">
        <v>14480</v>
      </c>
      <c r="J4">
        <v>233</v>
      </c>
      <c r="K4">
        <v>605</v>
      </c>
      <c r="L4">
        <v>385</v>
      </c>
      <c r="P4">
        <v>201</v>
      </c>
      <c r="Q4">
        <v>262</v>
      </c>
      <c r="R4">
        <v>767</v>
      </c>
      <c r="U4">
        <v>2480</v>
      </c>
      <c r="V4">
        <v>96</v>
      </c>
      <c r="Z4">
        <v>113</v>
      </c>
      <c r="AA4">
        <v>667</v>
      </c>
      <c r="AB4" s="1" t="s">
        <v>1252</v>
      </c>
    </row>
    <row r="5" spans="1:28" x14ac:dyDescent="0.3">
      <c r="A5">
        <v>78102</v>
      </c>
      <c r="B5" s="1" t="s">
        <v>1253</v>
      </c>
      <c r="C5">
        <v>0</v>
      </c>
      <c r="D5">
        <v>1610612752</v>
      </c>
      <c r="E5" s="1" t="s">
        <v>1248</v>
      </c>
      <c r="F5">
        <v>250</v>
      </c>
      <c r="G5">
        <v>4</v>
      </c>
      <c r="H5">
        <v>0</v>
      </c>
      <c r="I5">
        <v>80</v>
      </c>
      <c r="J5">
        <v>1</v>
      </c>
      <c r="K5">
        <v>2</v>
      </c>
      <c r="L5">
        <v>5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10</v>
      </c>
      <c r="T5">
        <v>20</v>
      </c>
      <c r="U5">
        <v>30</v>
      </c>
      <c r="V5">
        <v>1</v>
      </c>
      <c r="W5">
        <v>20</v>
      </c>
      <c r="X5">
        <v>10</v>
      </c>
      <c r="Y5">
        <v>20</v>
      </c>
      <c r="Z5">
        <v>3</v>
      </c>
      <c r="AA5">
        <v>2</v>
      </c>
      <c r="AB5" s="1" t="s">
        <v>1254</v>
      </c>
    </row>
    <row r="6" spans="1:28" x14ac:dyDescent="0.3">
      <c r="A6">
        <v>78037</v>
      </c>
      <c r="B6" s="1" t="s">
        <v>1255</v>
      </c>
      <c r="C6">
        <v>0</v>
      </c>
      <c r="D6">
        <v>1610612752</v>
      </c>
      <c r="E6" s="1" t="s">
        <v>1248</v>
      </c>
      <c r="F6">
        <v>230</v>
      </c>
      <c r="G6">
        <v>56</v>
      </c>
      <c r="I6">
        <v>5720</v>
      </c>
      <c r="J6">
        <v>108</v>
      </c>
      <c r="K6">
        <v>307</v>
      </c>
      <c r="L6">
        <v>352</v>
      </c>
      <c r="P6">
        <v>73</v>
      </c>
      <c r="Q6">
        <v>95</v>
      </c>
      <c r="R6">
        <v>768</v>
      </c>
      <c r="U6">
        <v>1490</v>
      </c>
      <c r="V6">
        <v>30</v>
      </c>
      <c r="Z6">
        <v>58</v>
      </c>
      <c r="AA6">
        <v>289</v>
      </c>
      <c r="AB6" s="1" t="s">
        <v>1256</v>
      </c>
    </row>
    <row r="7" spans="1:28" x14ac:dyDescent="0.3">
      <c r="A7">
        <v>78037</v>
      </c>
      <c r="B7" s="1" t="s">
        <v>1257</v>
      </c>
      <c r="C7">
        <v>0</v>
      </c>
      <c r="D7">
        <v>1610612752</v>
      </c>
      <c r="E7" s="1" t="s">
        <v>1248</v>
      </c>
      <c r="F7">
        <v>240</v>
      </c>
      <c r="G7">
        <v>52</v>
      </c>
      <c r="I7">
        <v>6960</v>
      </c>
      <c r="J7">
        <v>154</v>
      </c>
      <c r="K7">
        <v>326</v>
      </c>
      <c r="L7">
        <v>472</v>
      </c>
      <c r="P7">
        <v>87</v>
      </c>
      <c r="Q7">
        <v>116</v>
      </c>
      <c r="R7">
        <v>75</v>
      </c>
      <c r="U7">
        <v>1640</v>
      </c>
      <c r="V7">
        <v>26</v>
      </c>
      <c r="Z7">
        <v>86</v>
      </c>
      <c r="AA7">
        <v>395</v>
      </c>
      <c r="AB7" s="1" t="s">
        <v>1256</v>
      </c>
    </row>
    <row r="8" spans="1:28" x14ac:dyDescent="0.3">
      <c r="A8">
        <v>78037</v>
      </c>
      <c r="B8" s="1" t="s">
        <v>1258</v>
      </c>
      <c r="C8">
        <v>0</v>
      </c>
      <c r="D8">
        <v>1610612752</v>
      </c>
      <c r="E8" s="1" t="s">
        <v>1248</v>
      </c>
      <c r="F8">
        <v>250</v>
      </c>
      <c r="G8">
        <v>1</v>
      </c>
      <c r="I8">
        <v>220</v>
      </c>
      <c r="J8">
        <v>3</v>
      </c>
      <c r="K8">
        <v>8</v>
      </c>
      <c r="L8">
        <v>375</v>
      </c>
      <c r="P8">
        <v>0</v>
      </c>
      <c r="Q8">
        <v>0</v>
      </c>
      <c r="R8">
        <v>0</v>
      </c>
      <c r="U8">
        <v>70</v>
      </c>
      <c r="V8">
        <v>0</v>
      </c>
      <c r="Z8">
        <v>5</v>
      </c>
      <c r="AA8">
        <v>6</v>
      </c>
      <c r="AB8" s="1" t="s">
        <v>1256</v>
      </c>
    </row>
    <row r="9" spans="1:28" x14ac:dyDescent="0.3">
      <c r="A9">
        <v>201563</v>
      </c>
      <c r="B9" s="1" t="s">
        <v>1259</v>
      </c>
      <c r="C9">
        <v>0</v>
      </c>
      <c r="D9">
        <v>1610612752</v>
      </c>
      <c r="E9" s="1" t="s">
        <v>1248</v>
      </c>
      <c r="F9">
        <v>290</v>
      </c>
      <c r="G9">
        <v>74</v>
      </c>
      <c r="H9">
        <v>300</v>
      </c>
      <c r="I9">
        <v>16530</v>
      </c>
      <c r="J9">
        <v>409</v>
      </c>
      <c r="K9">
        <v>807</v>
      </c>
      <c r="L9">
        <v>507</v>
      </c>
      <c r="M9">
        <v>340</v>
      </c>
      <c r="N9">
        <v>860</v>
      </c>
      <c r="O9">
        <v>395</v>
      </c>
      <c r="P9">
        <v>124</v>
      </c>
      <c r="Q9">
        <v>159</v>
      </c>
      <c r="R9">
        <v>78</v>
      </c>
      <c r="S9">
        <v>970</v>
      </c>
      <c r="T9">
        <v>3170</v>
      </c>
      <c r="U9">
        <v>4140</v>
      </c>
      <c r="V9">
        <v>123</v>
      </c>
      <c r="W9">
        <v>360</v>
      </c>
      <c r="X9">
        <v>430</v>
      </c>
      <c r="Y9">
        <v>1430</v>
      </c>
      <c r="Z9">
        <v>145</v>
      </c>
      <c r="AA9">
        <v>976</v>
      </c>
      <c r="AB9" s="1" t="s">
        <v>1260</v>
      </c>
    </row>
    <row r="10" spans="1:28" x14ac:dyDescent="0.3">
      <c r="A10">
        <v>76130</v>
      </c>
      <c r="B10" s="1" t="s">
        <v>1261</v>
      </c>
      <c r="C10">
        <v>0</v>
      </c>
      <c r="D10">
        <v>1610612752</v>
      </c>
      <c r="E10" s="1" t="s">
        <v>1248</v>
      </c>
      <c r="F10">
        <v>290</v>
      </c>
      <c r="G10">
        <v>60</v>
      </c>
      <c r="I10">
        <v>14490</v>
      </c>
      <c r="J10">
        <v>193</v>
      </c>
      <c r="K10">
        <v>406</v>
      </c>
      <c r="L10">
        <v>475</v>
      </c>
      <c r="P10">
        <v>117</v>
      </c>
      <c r="Q10">
        <v>155</v>
      </c>
      <c r="R10">
        <v>755</v>
      </c>
      <c r="S10">
        <v>890</v>
      </c>
      <c r="T10">
        <v>1780</v>
      </c>
      <c r="U10">
        <v>2670</v>
      </c>
      <c r="V10">
        <v>173</v>
      </c>
      <c r="W10">
        <v>710</v>
      </c>
      <c r="X10">
        <v>60</v>
      </c>
      <c r="Z10">
        <v>180</v>
      </c>
      <c r="AA10">
        <v>503</v>
      </c>
      <c r="AB10" s="1" t="s">
        <v>1262</v>
      </c>
    </row>
    <row r="11" spans="1:28" x14ac:dyDescent="0.3">
      <c r="A11">
        <v>76130</v>
      </c>
      <c r="B11" s="1" t="s">
        <v>1263</v>
      </c>
      <c r="C11">
        <v>0</v>
      </c>
      <c r="D11">
        <v>1610612752</v>
      </c>
      <c r="E11" s="1" t="s">
        <v>1248</v>
      </c>
      <c r="F11">
        <v>300</v>
      </c>
      <c r="G11">
        <v>70</v>
      </c>
      <c r="I11">
        <v>10820</v>
      </c>
      <c r="J11">
        <v>148</v>
      </c>
      <c r="K11">
        <v>293</v>
      </c>
      <c r="L11">
        <v>505</v>
      </c>
      <c r="P11">
        <v>75</v>
      </c>
      <c r="Q11">
        <v>109</v>
      </c>
      <c r="R11">
        <v>688</v>
      </c>
      <c r="S11">
        <v>500</v>
      </c>
      <c r="T11">
        <v>1130</v>
      </c>
      <c r="U11">
        <v>1630</v>
      </c>
      <c r="V11">
        <v>144</v>
      </c>
      <c r="W11">
        <v>570</v>
      </c>
      <c r="X11">
        <v>50</v>
      </c>
      <c r="Z11">
        <v>137</v>
      </c>
      <c r="AA11">
        <v>371</v>
      </c>
      <c r="AB11" s="1" t="s">
        <v>1262</v>
      </c>
    </row>
    <row r="12" spans="1:28" x14ac:dyDescent="0.3">
      <c r="A12">
        <v>76130</v>
      </c>
      <c r="B12" s="1" t="s">
        <v>1264</v>
      </c>
      <c r="C12">
        <v>0</v>
      </c>
      <c r="D12">
        <v>1610612752</v>
      </c>
      <c r="E12" s="1" t="s">
        <v>1248</v>
      </c>
      <c r="F12">
        <v>310</v>
      </c>
      <c r="G12">
        <v>79</v>
      </c>
      <c r="I12">
        <v>19790</v>
      </c>
      <c r="J12">
        <v>308</v>
      </c>
      <c r="K12">
        <v>614</v>
      </c>
      <c r="L12">
        <v>502</v>
      </c>
      <c r="P12">
        <v>129</v>
      </c>
      <c r="Q12">
        <v>160</v>
      </c>
      <c r="R12">
        <v>806</v>
      </c>
      <c r="S12">
        <v>760</v>
      </c>
      <c r="T12">
        <v>1880</v>
      </c>
      <c r="U12">
        <v>2640</v>
      </c>
      <c r="V12">
        <v>339</v>
      </c>
      <c r="W12">
        <v>1170</v>
      </c>
      <c r="X12">
        <v>30</v>
      </c>
      <c r="Y12">
        <v>1540</v>
      </c>
      <c r="Z12">
        <v>201</v>
      </c>
      <c r="AA12">
        <v>745</v>
      </c>
      <c r="AB12" s="1" t="s">
        <v>1262</v>
      </c>
    </row>
    <row r="13" spans="1:28" x14ac:dyDescent="0.3">
      <c r="A13">
        <v>76130</v>
      </c>
      <c r="B13" s="1" t="s">
        <v>1265</v>
      </c>
      <c r="C13">
        <v>0</v>
      </c>
      <c r="D13">
        <v>1610612752</v>
      </c>
      <c r="E13" s="1" t="s">
        <v>1248</v>
      </c>
      <c r="F13">
        <v>320</v>
      </c>
      <c r="G13">
        <v>7</v>
      </c>
      <c r="I13">
        <v>850</v>
      </c>
      <c r="J13">
        <v>11</v>
      </c>
      <c r="K13">
        <v>26</v>
      </c>
      <c r="L13">
        <v>423</v>
      </c>
      <c r="P13">
        <v>0</v>
      </c>
      <c r="Q13">
        <v>0</v>
      </c>
      <c r="S13">
        <v>10</v>
      </c>
      <c r="T13">
        <v>90</v>
      </c>
      <c r="U13">
        <v>100</v>
      </c>
      <c r="V13">
        <v>19</v>
      </c>
      <c r="W13">
        <v>70</v>
      </c>
      <c r="X13">
        <v>0</v>
      </c>
      <c r="Y13">
        <v>100</v>
      </c>
      <c r="Z13">
        <v>13</v>
      </c>
      <c r="AA13">
        <v>22</v>
      </c>
      <c r="AB13" s="1" t="s">
        <v>1262</v>
      </c>
    </row>
    <row r="14" spans="1:28" x14ac:dyDescent="0.3">
      <c r="A14">
        <v>76117</v>
      </c>
      <c r="B14" s="1" t="s">
        <v>1266</v>
      </c>
      <c r="C14">
        <v>0</v>
      </c>
      <c r="D14">
        <v>1610612752</v>
      </c>
      <c r="E14" s="1" t="s">
        <v>1248</v>
      </c>
      <c r="F14">
        <v>240</v>
      </c>
      <c r="G14">
        <v>2</v>
      </c>
      <c r="I14">
        <v>0</v>
      </c>
      <c r="J14">
        <v>1</v>
      </c>
      <c r="K14">
        <v>4</v>
      </c>
      <c r="L14">
        <v>25</v>
      </c>
      <c r="P14">
        <v>2</v>
      </c>
      <c r="Q14">
        <v>3</v>
      </c>
      <c r="R14">
        <v>667</v>
      </c>
      <c r="U14">
        <v>0</v>
      </c>
      <c r="V14">
        <v>0</v>
      </c>
      <c r="Z14">
        <v>2</v>
      </c>
      <c r="AA14">
        <v>4</v>
      </c>
      <c r="AB14" s="1" t="s">
        <v>1267</v>
      </c>
    </row>
    <row r="15" spans="1:28" x14ac:dyDescent="0.3">
      <c r="A15">
        <v>891</v>
      </c>
      <c r="B15" s="1" t="s">
        <v>1268</v>
      </c>
      <c r="C15">
        <v>0</v>
      </c>
      <c r="D15">
        <v>1610612752</v>
      </c>
      <c r="E15" s="1" t="s">
        <v>1248</v>
      </c>
      <c r="F15">
        <v>250</v>
      </c>
      <c r="G15">
        <v>82</v>
      </c>
      <c r="H15">
        <v>820</v>
      </c>
      <c r="I15">
        <v>26040</v>
      </c>
      <c r="J15">
        <v>426</v>
      </c>
      <c r="K15">
        <v>835</v>
      </c>
      <c r="L15">
        <v>51</v>
      </c>
      <c r="M15">
        <v>120</v>
      </c>
      <c r="N15">
        <v>480</v>
      </c>
      <c r="O15">
        <v>25</v>
      </c>
      <c r="P15">
        <v>197</v>
      </c>
      <c r="Q15">
        <v>255</v>
      </c>
      <c r="R15">
        <v>773</v>
      </c>
      <c r="S15">
        <v>3430</v>
      </c>
      <c r="T15">
        <v>5180</v>
      </c>
      <c r="U15">
        <v>8610</v>
      </c>
      <c r="V15">
        <v>187</v>
      </c>
      <c r="W15">
        <v>1040</v>
      </c>
      <c r="X15">
        <v>140</v>
      </c>
      <c r="Y15">
        <v>2480</v>
      </c>
      <c r="Z15">
        <v>270</v>
      </c>
      <c r="AA15">
        <v>1061</v>
      </c>
      <c r="AB15" s="1" t="s">
        <v>1269</v>
      </c>
    </row>
    <row r="16" spans="1:28" x14ac:dyDescent="0.3">
      <c r="A16">
        <v>891</v>
      </c>
      <c r="B16" s="1" t="s">
        <v>1270</v>
      </c>
      <c r="C16">
        <v>0</v>
      </c>
      <c r="D16">
        <v>1610612752</v>
      </c>
      <c r="E16" s="1" t="s">
        <v>1248</v>
      </c>
      <c r="F16">
        <v>260</v>
      </c>
      <c r="G16">
        <v>61</v>
      </c>
      <c r="H16">
        <v>610</v>
      </c>
      <c r="I16">
        <v>21960</v>
      </c>
      <c r="J16">
        <v>336</v>
      </c>
      <c r="K16">
        <v>641</v>
      </c>
      <c r="L16">
        <v>524</v>
      </c>
      <c r="M16">
        <v>0</v>
      </c>
      <c r="N16">
        <v>30</v>
      </c>
      <c r="O16">
        <v>0</v>
      </c>
      <c r="P16">
        <v>217</v>
      </c>
      <c r="Q16">
        <v>285</v>
      </c>
      <c r="R16">
        <v>761</v>
      </c>
      <c r="S16">
        <v>2580</v>
      </c>
      <c r="T16">
        <v>4690</v>
      </c>
      <c r="U16">
        <v>7270</v>
      </c>
      <c r="V16">
        <v>146</v>
      </c>
      <c r="W16">
        <v>640</v>
      </c>
      <c r="X16">
        <v>160</v>
      </c>
      <c r="Y16">
        <v>1650</v>
      </c>
      <c r="Z16">
        <v>220</v>
      </c>
      <c r="AA16">
        <v>889</v>
      </c>
      <c r="AB16" s="1" t="s">
        <v>1269</v>
      </c>
    </row>
    <row r="17" spans="1:28" x14ac:dyDescent="0.3">
      <c r="A17">
        <v>891</v>
      </c>
      <c r="B17" s="1" t="s">
        <v>1271</v>
      </c>
      <c r="C17">
        <v>0</v>
      </c>
      <c r="D17">
        <v>1610612752</v>
      </c>
      <c r="E17" s="1" t="s">
        <v>1248</v>
      </c>
      <c r="F17">
        <v>270</v>
      </c>
      <c r="G17">
        <v>76</v>
      </c>
      <c r="H17">
        <v>740</v>
      </c>
      <c r="I17">
        <v>27390</v>
      </c>
      <c r="J17">
        <v>307</v>
      </c>
      <c r="K17">
        <v>595</v>
      </c>
      <c r="L17">
        <v>516</v>
      </c>
      <c r="M17">
        <v>0</v>
      </c>
      <c r="N17">
        <v>20</v>
      </c>
      <c r="O17">
        <v>0</v>
      </c>
      <c r="P17">
        <v>239</v>
      </c>
      <c r="Q17">
        <v>305</v>
      </c>
      <c r="R17">
        <v>784</v>
      </c>
      <c r="S17">
        <v>3050</v>
      </c>
      <c r="T17">
        <v>6150</v>
      </c>
      <c r="U17">
        <v>9200</v>
      </c>
      <c r="V17">
        <v>204</v>
      </c>
      <c r="W17">
        <v>620</v>
      </c>
      <c r="X17">
        <v>170</v>
      </c>
      <c r="Y17">
        <v>2150</v>
      </c>
      <c r="Z17">
        <v>288</v>
      </c>
      <c r="AA17">
        <v>853</v>
      </c>
      <c r="AB17" s="1" t="s">
        <v>1269</v>
      </c>
    </row>
    <row r="18" spans="1:28" x14ac:dyDescent="0.3">
      <c r="A18">
        <v>891</v>
      </c>
      <c r="B18" s="1" t="s">
        <v>1272</v>
      </c>
      <c r="C18">
        <v>0</v>
      </c>
      <c r="D18">
        <v>1610612752</v>
      </c>
      <c r="E18" s="1" t="s">
        <v>1248</v>
      </c>
      <c r="F18">
        <v>280</v>
      </c>
      <c r="G18">
        <v>82</v>
      </c>
      <c r="H18">
        <v>820</v>
      </c>
      <c r="I18">
        <v>23090</v>
      </c>
      <c r="J18">
        <v>210</v>
      </c>
      <c r="K18">
        <v>402</v>
      </c>
      <c r="L18">
        <v>522</v>
      </c>
      <c r="M18">
        <v>0</v>
      </c>
      <c r="N18">
        <v>30</v>
      </c>
      <c r="O18">
        <v>0</v>
      </c>
      <c r="P18">
        <v>86</v>
      </c>
      <c r="Q18">
        <v>117</v>
      </c>
      <c r="R18">
        <v>735</v>
      </c>
      <c r="S18">
        <v>2560</v>
      </c>
      <c r="T18">
        <v>4440</v>
      </c>
      <c r="U18">
        <v>7000</v>
      </c>
      <c r="V18">
        <v>133</v>
      </c>
      <c r="W18">
        <v>670</v>
      </c>
      <c r="X18">
        <v>150</v>
      </c>
      <c r="Y18">
        <v>1230</v>
      </c>
      <c r="Z18">
        <v>258</v>
      </c>
      <c r="AA18">
        <v>506</v>
      </c>
      <c r="AB18" s="1" t="s">
        <v>1269</v>
      </c>
    </row>
    <row r="19" spans="1:28" x14ac:dyDescent="0.3">
      <c r="A19">
        <v>891</v>
      </c>
      <c r="B19" s="1" t="s">
        <v>1273</v>
      </c>
      <c r="C19">
        <v>0</v>
      </c>
      <c r="D19">
        <v>1610612752</v>
      </c>
      <c r="E19" s="1" t="s">
        <v>1248</v>
      </c>
      <c r="F19">
        <v>290</v>
      </c>
      <c r="G19">
        <v>82</v>
      </c>
      <c r="H19">
        <v>820</v>
      </c>
      <c r="I19">
        <v>22300</v>
      </c>
      <c r="J19">
        <v>219</v>
      </c>
      <c r="K19">
        <v>431</v>
      </c>
      <c r="L19">
        <v>508</v>
      </c>
      <c r="M19">
        <v>0</v>
      </c>
      <c r="N19">
        <v>10</v>
      </c>
      <c r="O19">
        <v>0</v>
      </c>
      <c r="P19">
        <v>127</v>
      </c>
      <c r="Q19">
        <v>176</v>
      </c>
      <c r="R19">
        <v>722</v>
      </c>
      <c r="S19">
        <v>2880</v>
      </c>
      <c r="T19">
        <v>4200</v>
      </c>
      <c r="U19">
        <v>7080</v>
      </c>
      <c r="V19">
        <v>126</v>
      </c>
      <c r="W19">
        <v>850</v>
      </c>
      <c r="X19">
        <v>150</v>
      </c>
      <c r="Y19">
        <v>1240</v>
      </c>
      <c r="Z19">
        <v>289</v>
      </c>
      <c r="AA19">
        <v>565</v>
      </c>
      <c r="AB19" s="1" t="s">
        <v>1269</v>
      </c>
    </row>
    <row r="20" spans="1:28" x14ac:dyDescent="0.3">
      <c r="A20">
        <v>891</v>
      </c>
      <c r="B20" s="1" t="s">
        <v>1274</v>
      </c>
      <c r="C20">
        <v>0</v>
      </c>
      <c r="D20">
        <v>1610612752</v>
      </c>
      <c r="E20" s="1" t="s">
        <v>1248</v>
      </c>
      <c r="F20">
        <v>300</v>
      </c>
      <c r="G20">
        <v>82</v>
      </c>
      <c r="H20">
        <v>820</v>
      </c>
      <c r="I20">
        <v>29320</v>
      </c>
      <c r="J20">
        <v>363</v>
      </c>
      <c r="K20">
        <v>760</v>
      </c>
      <c r="L20">
        <v>478</v>
      </c>
      <c r="M20">
        <v>0</v>
      </c>
      <c r="N20">
        <v>30</v>
      </c>
      <c r="O20">
        <v>0</v>
      </c>
      <c r="P20">
        <v>243</v>
      </c>
      <c r="Q20">
        <v>313</v>
      </c>
      <c r="R20">
        <v>776</v>
      </c>
      <c r="S20">
        <v>3490</v>
      </c>
      <c r="T20">
        <v>6160</v>
      </c>
      <c r="U20">
        <v>9650</v>
      </c>
      <c r="V20">
        <v>218</v>
      </c>
      <c r="W20">
        <v>1100</v>
      </c>
      <c r="X20">
        <v>180</v>
      </c>
      <c r="Y20">
        <v>1930</v>
      </c>
      <c r="Z20">
        <v>293</v>
      </c>
      <c r="AA20">
        <v>969</v>
      </c>
      <c r="AB20" s="1" t="s">
        <v>1269</v>
      </c>
    </row>
    <row r="21" spans="1:28" x14ac:dyDescent="0.3">
      <c r="A21">
        <v>891</v>
      </c>
      <c r="B21" s="1" t="s">
        <v>1275</v>
      </c>
      <c r="C21">
        <v>0</v>
      </c>
      <c r="D21">
        <v>1610612752</v>
      </c>
      <c r="E21" s="1" t="s">
        <v>1248</v>
      </c>
      <c r="F21">
        <v>310</v>
      </c>
      <c r="G21">
        <v>50</v>
      </c>
      <c r="H21">
        <v>490</v>
      </c>
      <c r="I21">
        <v>15670</v>
      </c>
      <c r="J21">
        <v>192</v>
      </c>
      <c r="K21">
        <v>393</v>
      </c>
      <c r="L21">
        <v>489</v>
      </c>
      <c r="M21">
        <v>30</v>
      </c>
      <c r="N21">
        <v>120</v>
      </c>
      <c r="O21">
        <v>25</v>
      </c>
      <c r="P21">
        <v>119</v>
      </c>
      <c r="Q21">
        <v>150</v>
      </c>
      <c r="R21">
        <v>793</v>
      </c>
      <c r="S21">
        <v>1550</v>
      </c>
      <c r="T21">
        <v>2900</v>
      </c>
      <c r="U21">
        <v>4450</v>
      </c>
      <c r="V21">
        <v>126</v>
      </c>
      <c r="W21">
        <v>600</v>
      </c>
      <c r="X21">
        <v>70</v>
      </c>
      <c r="Y21">
        <v>1030</v>
      </c>
      <c r="Z21">
        <v>179</v>
      </c>
      <c r="AA21">
        <v>506</v>
      </c>
      <c r="AB21" s="1" t="s">
        <v>1269</v>
      </c>
    </row>
    <row r="22" spans="1:28" x14ac:dyDescent="0.3">
      <c r="A22">
        <v>891</v>
      </c>
      <c r="B22" s="1" t="s">
        <v>1276</v>
      </c>
      <c r="C22">
        <v>0</v>
      </c>
      <c r="D22">
        <v>1610612752</v>
      </c>
      <c r="E22" s="1" t="s">
        <v>1248</v>
      </c>
      <c r="F22">
        <v>320</v>
      </c>
      <c r="G22">
        <v>53</v>
      </c>
      <c r="H22">
        <v>510</v>
      </c>
      <c r="I22">
        <v>17750</v>
      </c>
      <c r="J22">
        <v>211</v>
      </c>
      <c r="K22">
        <v>448</v>
      </c>
      <c r="L22">
        <v>471</v>
      </c>
      <c r="M22">
        <v>70</v>
      </c>
      <c r="N22">
        <v>260</v>
      </c>
      <c r="O22">
        <v>269</v>
      </c>
      <c r="P22">
        <v>175</v>
      </c>
      <c r="Q22">
        <v>210</v>
      </c>
      <c r="R22">
        <v>833</v>
      </c>
      <c r="S22">
        <v>1620</v>
      </c>
      <c r="T22">
        <v>2980</v>
      </c>
      <c r="U22">
        <v>4600</v>
      </c>
      <c r="V22">
        <v>137</v>
      </c>
      <c r="W22">
        <v>580</v>
      </c>
      <c r="X22">
        <v>140</v>
      </c>
      <c r="Y22">
        <v>1040</v>
      </c>
      <c r="Z22">
        <v>195</v>
      </c>
      <c r="AA22">
        <v>604</v>
      </c>
      <c r="AB22" s="1" t="s">
        <v>1269</v>
      </c>
    </row>
    <row r="23" spans="1:28" x14ac:dyDescent="0.3">
      <c r="A23">
        <v>891</v>
      </c>
      <c r="B23" s="1" t="s">
        <v>1277</v>
      </c>
      <c r="C23">
        <v>0</v>
      </c>
      <c r="D23">
        <v>1610612752</v>
      </c>
      <c r="E23" s="1" t="s">
        <v>1248</v>
      </c>
      <c r="F23">
        <v>330</v>
      </c>
      <c r="G23">
        <v>80</v>
      </c>
      <c r="H23">
        <v>800</v>
      </c>
      <c r="I23">
        <v>28700</v>
      </c>
      <c r="J23">
        <v>339</v>
      </c>
      <c r="K23">
        <v>694</v>
      </c>
      <c r="L23">
        <v>488</v>
      </c>
      <c r="M23">
        <v>50</v>
      </c>
      <c r="N23">
        <v>190</v>
      </c>
      <c r="O23">
        <v>263</v>
      </c>
      <c r="P23">
        <v>181</v>
      </c>
      <c r="Q23">
        <v>224</v>
      </c>
      <c r="R23">
        <v>808</v>
      </c>
      <c r="S23">
        <v>2460</v>
      </c>
      <c r="T23">
        <v>5350</v>
      </c>
      <c r="U23">
        <v>7810</v>
      </c>
      <c r="V23">
        <v>221</v>
      </c>
      <c r="W23">
        <v>1110</v>
      </c>
      <c r="X23">
        <v>210</v>
      </c>
      <c r="Y23">
        <v>1710</v>
      </c>
      <c r="Z23">
        <v>305</v>
      </c>
      <c r="AA23">
        <v>864</v>
      </c>
      <c r="AB23" s="1" t="s">
        <v>1269</v>
      </c>
    </row>
    <row r="24" spans="1:28" x14ac:dyDescent="0.3">
      <c r="A24">
        <v>891</v>
      </c>
      <c r="B24" s="1" t="s">
        <v>1278</v>
      </c>
      <c r="C24">
        <v>0</v>
      </c>
      <c r="D24">
        <v>1610612752</v>
      </c>
      <c r="E24" s="1" t="s">
        <v>1248</v>
      </c>
      <c r="F24">
        <v>340</v>
      </c>
      <c r="G24">
        <v>79</v>
      </c>
      <c r="H24">
        <v>790</v>
      </c>
      <c r="I24">
        <v>27340</v>
      </c>
      <c r="J24">
        <v>307</v>
      </c>
      <c r="K24">
        <v>698</v>
      </c>
      <c r="L24">
        <v>44</v>
      </c>
      <c r="M24">
        <v>0</v>
      </c>
      <c r="N24">
        <v>60</v>
      </c>
      <c r="O24">
        <v>0</v>
      </c>
      <c r="P24">
        <v>97</v>
      </c>
      <c r="Q24">
        <v>114</v>
      </c>
      <c r="R24">
        <v>851</v>
      </c>
      <c r="S24">
        <v>2180</v>
      </c>
      <c r="T24">
        <v>5060</v>
      </c>
      <c r="U24">
        <v>7240</v>
      </c>
      <c r="V24">
        <v>201</v>
      </c>
      <c r="W24">
        <v>1230</v>
      </c>
      <c r="X24">
        <v>220</v>
      </c>
      <c r="Y24">
        <v>1260</v>
      </c>
      <c r="Z24">
        <v>280</v>
      </c>
      <c r="AA24">
        <v>711</v>
      </c>
      <c r="AB24" s="1" t="s">
        <v>1269</v>
      </c>
    </row>
    <row r="25" spans="1:28" x14ac:dyDescent="0.3">
      <c r="A25">
        <v>203124</v>
      </c>
      <c r="B25" s="1" t="s">
        <v>1279</v>
      </c>
      <c r="C25">
        <v>0</v>
      </c>
      <c r="D25">
        <v>1610612752</v>
      </c>
      <c r="E25" s="1" t="s">
        <v>1248</v>
      </c>
      <c r="F25">
        <v>260</v>
      </c>
      <c r="G25">
        <v>65</v>
      </c>
      <c r="H25">
        <v>10</v>
      </c>
      <c r="I25">
        <v>7640</v>
      </c>
      <c r="J25">
        <v>129</v>
      </c>
      <c r="K25">
        <v>271</v>
      </c>
      <c r="L25">
        <v>476</v>
      </c>
      <c r="M25">
        <v>50</v>
      </c>
      <c r="N25">
        <v>220</v>
      </c>
      <c r="O25">
        <v>227</v>
      </c>
      <c r="P25">
        <v>46</v>
      </c>
      <c r="Q25">
        <v>60</v>
      </c>
      <c r="R25">
        <v>767</v>
      </c>
      <c r="S25">
        <v>760</v>
      </c>
      <c r="T25">
        <v>1740</v>
      </c>
      <c r="U25">
        <v>2500</v>
      </c>
      <c r="V25">
        <v>72</v>
      </c>
      <c r="W25">
        <v>200</v>
      </c>
      <c r="X25">
        <v>490</v>
      </c>
      <c r="Y25">
        <v>610</v>
      </c>
      <c r="Z25">
        <v>107</v>
      </c>
      <c r="AA25">
        <v>309</v>
      </c>
      <c r="AB25" s="1" t="s">
        <v>1280</v>
      </c>
    </row>
    <row r="26" spans="1:28" x14ac:dyDescent="0.3">
      <c r="A26">
        <v>203124</v>
      </c>
      <c r="B26" s="1" t="s">
        <v>1281</v>
      </c>
      <c r="C26">
        <v>0</v>
      </c>
      <c r="D26">
        <v>1610612752</v>
      </c>
      <c r="E26" s="1" t="s">
        <v>1248</v>
      </c>
      <c r="F26">
        <v>270</v>
      </c>
      <c r="G26">
        <v>79</v>
      </c>
      <c r="H26">
        <v>80</v>
      </c>
      <c r="I26">
        <v>12290</v>
      </c>
      <c r="J26">
        <v>215</v>
      </c>
      <c r="K26">
        <v>413</v>
      </c>
      <c r="L26">
        <v>521</v>
      </c>
      <c r="M26">
        <v>20</v>
      </c>
      <c r="N26">
        <v>170</v>
      </c>
      <c r="O26">
        <v>118</v>
      </c>
      <c r="P26">
        <v>64</v>
      </c>
      <c r="Q26">
        <v>83</v>
      </c>
      <c r="R26">
        <v>771</v>
      </c>
      <c r="S26">
        <v>1570</v>
      </c>
      <c r="T26">
        <v>2820</v>
      </c>
      <c r="U26">
        <v>4390</v>
      </c>
      <c r="V26">
        <v>117</v>
      </c>
      <c r="W26">
        <v>360</v>
      </c>
      <c r="X26">
        <v>1040</v>
      </c>
      <c r="Y26">
        <v>760</v>
      </c>
      <c r="Z26">
        <v>174</v>
      </c>
      <c r="AA26">
        <v>496</v>
      </c>
      <c r="AB26" s="1" t="s">
        <v>1280</v>
      </c>
    </row>
    <row r="27" spans="1:28" x14ac:dyDescent="0.3">
      <c r="A27">
        <v>203124</v>
      </c>
      <c r="B27" s="1" t="s">
        <v>1259</v>
      </c>
      <c r="C27">
        <v>0</v>
      </c>
      <c r="D27">
        <v>1610612752</v>
      </c>
      <c r="E27" s="1" t="s">
        <v>1248</v>
      </c>
      <c r="F27">
        <v>280</v>
      </c>
      <c r="G27">
        <v>77</v>
      </c>
      <c r="H27">
        <v>100</v>
      </c>
      <c r="I27">
        <v>13870</v>
      </c>
      <c r="J27">
        <v>224</v>
      </c>
      <c r="K27">
        <v>384</v>
      </c>
      <c r="L27">
        <v>583</v>
      </c>
      <c r="M27">
        <v>40</v>
      </c>
      <c r="N27">
        <v>170</v>
      </c>
      <c r="O27">
        <v>235</v>
      </c>
      <c r="P27">
        <v>98</v>
      </c>
      <c r="Q27">
        <v>127</v>
      </c>
      <c r="R27">
        <v>772</v>
      </c>
      <c r="S27">
        <v>1210</v>
      </c>
      <c r="T27">
        <v>3490</v>
      </c>
      <c r="U27">
        <v>4700</v>
      </c>
      <c r="V27">
        <v>158</v>
      </c>
      <c r="W27">
        <v>360</v>
      </c>
      <c r="X27">
        <v>980</v>
      </c>
      <c r="Y27">
        <v>1000</v>
      </c>
      <c r="Z27">
        <v>192</v>
      </c>
      <c r="AA27">
        <v>550</v>
      </c>
      <c r="AB27" s="1" t="s">
        <v>1280</v>
      </c>
    </row>
    <row r="28" spans="1:28" x14ac:dyDescent="0.3">
      <c r="A28">
        <v>78068</v>
      </c>
      <c r="B28" s="1" t="s">
        <v>1282</v>
      </c>
      <c r="C28">
        <v>0</v>
      </c>
      <c r="D28">
        <v>1610612752</v>
      </c>
      <c r="E28" s="1" t="s">
        <v>1248</v>
      </c>
      <c r="F28">
        <v>220</v>
      </c>
      <c r="G28">
        <v>44</v>
      </c>
      <c r="I28">
        <v>4840</v>
      </c>
      <c r="J28">
        <v>94</v>
      </c>
      <c r="K28">
        <v>225</v>
      </c>
      <c r="L28">
        <v>418</v>
      </c>
      <c r="M28">
        <v>10</v>
      </c>
      <c r="N28">
        <v>60</v>
      </c>
      <c r="O28">
        <v>167</v>
      </c>
      <c r="P28">
        <v>26</v>
      </c>
      <c r="Q28">
        <v>39</v>
      </c>
      <c r="R28">
        <v>667</v>
      </c>
      <c r="S28">
        <v>470</v>
      </c>
      <c r="T28">
        <v>850</v>
      </c>
      <c r="U28">
        <v>1320</v>
      </c>
      <c r="V28">
        <v>10</v>
      </c>
      <c r="W28">
        <v>120</v>
      </c>
      <c r="X28">
        <v>40</v>
      </c>
      <c r="Y28">
        <v>300</v>
      </c>
      <c r="Z28">
        <v>54</v>
      </c>
      <c r="AA28">
        <v>215</v>
      </c>
      <c r="AB28" s="1" t="s">
        <v>1283</v>
      </c>
    </row>
    <row r="29" spans="1:28" x14ac:dyDescent="0.3">
      <c r="A29">
        <v>78068</v>
      </c>
      <c r="B29" s="1" t="s">
        <v>1284</v>
      </c>
      <c r="C29">
        <v>0</v>
      </c>
      <c r="D29">
        <v>1610612752</v>
      </c>
      <c r="E29" s="1" t="s">
        <v>1248</v>
      </c>
      <c r="F29">
        <v>230</v>
      </c>
      <c r="G29">
        <v>3</v>
      </c>
      <c r="H29">
        <v>0</v>
      </c>
      <c r="I29">
        <v>240</v>
      </c>
      <c r="J29">
        <v>1</v>
      </c>
      <c r="K29">
        <v>5</v>
      </c>
      <c r="L29">
        <v>2</v>
      </c>
      <c r="M29">
        <v>0</v>
      </c>
      <c r="N29">
        <v>0</v>
      </c>
      <c r="P29">
        <v>1</v>
      </c>
      <c r="Q29">
        <v>2</v>
      </c>
      <c r="R29">
        <v>5</v>
      </c>
      <c r="S29">
        <v>20</v>
      </c>
      <c r="T29">
        <v>30</v>
      </c>
      <c r="U29">
        <v>50</v>
      </c>
      <c r="V29">
        <v>0</v>
      </c>
      <c r="W29">
        <v>10</v>
      </c>
      <c r="X29">
        <v>10</v>
      </c>
      <c r="Y29">
        <v>20</v>
      </c>
      <c r="Z29">
        <v>3</v>
      </c>
      <c r="AA29">
        <v>3</v>
      </c>
      <c r="AB29" s="1" t="s">
        <v>1283</v>
      </c>
    </row>
    <row r="30" spans="1:28" x14ac:dyDescent="0.3">
      <c r="A30">
        <v>194</v>
      </c>
      <c r="B30" s="1" t="s">
        <v>1278</v>
      </c>
      <c r="C30">
        <v>0</v>
      </c>
      <c r="D30">
        <v>1610612752</v>
      </c>
      <c r="E30" s="1" t="s">
        <v>1248</v>
      </c>
      <c r="F30">
        <v>340</v>
      </c>
      <c r="G30">
        <v>27</v>
      </c>
      <c r="H30">
        <v>30</v>
      </c>
      <c r="I30">
        <v>2240</v>
      </c>
      <c r="J30">
        <v>32</v>
      </c>
      <c r="K30">
        <v>59</v>
      </c>
      <c r="L30">
        <v>542</v>
      </c>
      <c r="M30">
        <v>30</v>
      </c>
      <c r="N30">
        <v>40</v>
      </c>
      <c r="O30">
        <v>75</v>
      </c>
      <c r="P30">
        <v>8</v>
      </c>
      <c r="Q30">
        <v>9</v>
      </c>
      <c r="R30">
        <v>889</v>
      </c>
      <c r="S30">
        <v>90</v>
      </c>
      <c r="T30">
        <v>170</v>
      </c>
      <c r="U30">
        <v>260</v>
      </c>
      <c r="V30">
        <v>11</v>
      </c>
      <c r="W30">
        <v>60</v>
      </c>
      <c r="X30">
        <v>20</v>
      </c>
      <c r="Y30">
        <v>70</v>
      </c>
      <c r="Z30">
        <v>25</v>
      </c>
      <c r="AA30">
        <v>75</v>
      </c>
      <c r="AB30" s="1" t="s">
        <v>1285</v>
      </c>
    </row>
    <row r="31" spans="1:28" x14ac:dyDescent="0.3">
      <c r="A31">
        <v>1628373</v>
      </c>
      <c r="B31" s="1" t="s">
        <v>1259</v>
      </c>
      <c r="C31">
        <v>0</v>
      </c>
      <c r="D31">
        <v>1610612752</v>
      </c>
      <c r="E31" s="1" t="s">
        <v>1248</v>
      </c>
      <c r="F31">
        <v>190</v>
      </c>
      <c r="G31">
        <v>78</v>
      </c>
      <c r="H31">
        <v>90</v>
      </c>
      <c r="I31">
        <v>17060</v>
      </c>
      <c r="J31">
        <v>182</v>
      </c>
      <c r="K31">
        <v>500</v>
      </c>
      <c r="L31">
        <v>364</v>
      </c>
      <c r="M31">
        <v>500</v>
      </c>
      <c r="N31">
        <v>1570</v>
      </c>
      <c r="O31">
        <v>318</v>
      </c>
      <c r="P31">
        <v>49</v>
      </c>
      <c r="Q31">
        <v>68</v>
      </c>
      <c r="R31">
        <v>721</v>
      </c>
      <c r="S31">
        <v>370</v>
      </c>
      <c r="T31">
        <v>1400</v>
      </c>
      <c r="U31">
        <v>1770</v>
      </c>
      <c r="V31">
        <v>250</v>
      </c>
      <c r="W31">
        <v>650</v>
      </c>
      <c r="X31">
        <v>180</v>
      </c>
      <c r="Y31">
        <v>1310</v>
      </c>
      <c r="Z31">
        <v>181</v>
      </c>
      <c r="AA31">
        <v>463</v>
      </c>
      <c r="AB31" s="1" t="s">
        <v>1286</v>
      </c>
    </row>
    <row r="32" spans="1:28" x14ac:dyDescent="0.3">
      <c r="A32">
        <v>1628373</v>
      </c>
      <c r="B32" s="1" t="s">
        <v>1287</v>
      </c>
      <c r="C32">
        <v>0</v>
      </c>
      <c r="D32">
        <v>1610612752</v>
      </c>
      <c r="E32" s="1" t="s">
        <v>1248</v>
      </c>
      <c r="F32">
        <v>200</v>
      </c>
      <c r="G32">
        <v>43</v>
      </c>
      <c r="H32">
        <v>160</v>
      </c>
      <c r="I32">
        <v>9040</v>
      </c>
      <c r="J32">
        <v>95</v>
      </c>
      <c r="K32">
        <v>282</v>
      </c>
      <c r="L32">
        <v>337</v>
      </c>
      <c r="M32">
        <v>330</v>
      </c>
      <c r="N32">
        <v>1150</v>
      </c>
      <c r="O32">
        <v>287</v>
      </c>
      <c r="P32">
        <v>23</v>
      </c>
      <c r="Q32">
        <v>30</v>
      </c>
      <c r="R32">
        <v>767</v>
      </c>
      <c r="S32">
        <v>120</v>
      </c>
      <c r="T32">
        <v>750</v>
      </c>
      <c r="U32">
        <v>870</v>
      </c>
      <c r="V32">
        <v>121</v>
      </c>
      <c r="W32">
        <v>300</v>
      </c>
      <c r="X32">
        <v>140</v>
      </c>
      <c r="Y32">
        <v>560</v>
      </c>
      <c r="Z32">
        <v>104</v>
      </c>
      <c r="AA32">
        <v>246</v>
      </c>
      <c r="AB32" s="1" t="s">
        <v>1286</v>
      </c>
    </row>
    <row r="33" spans="1:28" x14ac:dyDescent="0.3">
      <c r="A33">
        <v>1628373</v>
      </c>
      <c r="B33" s="1" t="s">
        <v>1288</v>
      </c>
      <c r="C33">
        <v>0</v>
      </c>
      <c r="D33">
        <v>1610612752</v>
      </c>
      <c r="E33" s="1" t="s">
        <v>1248</v>
      </c>
      <c r="F33">
        <v>210</v>
      </c>
      <c r="G33">
        <v>57</v>
      </c>
      <c r="H33">
        <v>260</v>
      </c>
      <c r="I33">
        <v>11870</v>
      </c>
      <c r="J33">
        <v>131</v>
      </c>
      <c r="K33">
        <v>333</v>
      </c>
      <c r="L33">
        <v>393</v>
      </c>
      <c r="M33">
        <v>440</v>
      </c>
      <c r="N33">
        <v>1370</v>
      </c>
      <c r="O33">
        <v>321</v>
      </c>
      <c r="P33">
        <v>51</v>
      </c>
      <c r="Q33">
        <v>59</v>
      </c>
      <c r="R33">
        <v>864</v>
      </c>
      <c r="S33">
        <v>230</v>
      </c>
      <c r="T33">
        <v>980</v>
      </c>
      <c r="U33">
        <v>1210</v>
      </c>
      <c r="V33">
        <v>172</v>
      </c>
      <c r="W33">
        <v>540</v>
      </c>
      <c r="X33">
        <v>160</v>
      </c>
      <c r="Y33">
        <v>710</v>
      </c>
      <c r="Z33">
        <v>142</v>
      </c>
      <c r="AA33">
        <v>357</v>
      </c>
      <c r="AB33" s="1" t="s">
        <v>1286</v>
      </c>
    </row>
    <row r="34" spans="1:28" x14ac:dyDescent="0.3">
      <c r="A34">
        <v>1628373</v>
      </c>
      <c r="B34" s="1" t="s">
        <v>1289</v>
      </c>
      <c r="C34">
        <v>0</v>
      </c>
      <c r="D34">
        <v>1610612752</v>
      </c>
      <c r="E34" s="1" t="s">
        <v>1248</v>
      </c>
      <c r="F34">
        <v>220</v>
      </c>
      <c r="G34">
        <v>33</v>
      </c>
      <c r="H34">
        <v>40</v>
      </c>
      <c r="I34">
        <v>3220</v>
      </c>
      <c r="J34">
        <v>29</v>
      </c>
      <c r="K34">
        <v>79</v>
      </c>
      <c r="L34">
        <v>367</v>
      </c>
      <c r="M34">
        <v>230</v>
      </c>
      <c r="N34">
        <v>480</v>
      </c>
      <c r="O34">
        <v>479</v>
      </c>
      <c r="P34">
        <v>8</v>
      </c>
      <c r="Q34">
        <v>18</v>
      </c>
      <c r="R34">
        <v>444</v>
      </c>
      <c r="S34">
        <v>60</v>
      </c>
      <c r="T34">
        <v>250</v>
      </c>
      <c r="U34">
        <v>310</v>
      </c>
      <c r="V34">
        <v>19</v>
      </c>
      <c r="W34">
        <v>180</v>
      </c>
      <c r="X34">
        <v>40</v>
      </c>
      <c r="Y34">
        <v>110</v>
      </c>
      <c r="Z34">
        <v>45</v>
      </c>
      <c r="AA34">
        <v>89</v>
      </c>
      <c r="AB34" s="1" t="s">
        <v>1286</v>
      </c>
    </row>
    <row r="35" spans="1:28" x14ac:dyDescent="0.3">
      <c r="A35">
        <v>200779</v>
      </c>
      <c r="B35" s="1" t="s">
        <v>1290</v>
      </c>
      <c r="C35">
        <v>0</v>
      </c>
      <c r="D35">
        <v>1610612752</v>
      </c>
      <c r="E35" s="1" t="s">
        <v>1248</v>
      </c>
      <c r="F35">
        <v>290</v>
      </c>
      <c r="G35">
        <v>54</v>
      </c>
      <c r="H35">
        <v>0</v>
      </c>
      <c r="I35">
        <v>10200</v>
      </c>
      <c r="J35">
        <v>161</v>
      </c>
      <c r="K35">
        <v>337</v>
      </c>
      <c r="L35">
        <v>478</v>
      </c>
      <c r="M35">
        <v>1330</v>
      </c>
      <c r="N35">
        <v>2820</v>
      </c>
      <c r="O35">
        <v>472</v>
      </c>
      <c r="P35">
        <v>22</v>
      </c>
      <c r="Q35">
        <v>26</v>
      </c>
      <c r="R35">
        <v>846</v>
      </c>
      <c r="S35">
        <v>90</v>
      </c>
      <c r="T35">
        <v>950</v>
      </c>
      <c r="U35">
        <v>1040</v>
      </c>
      <c r="V35">
        <v>12</v>
      </c>
      <c r="W35">
        <v>160</v>
      </c>
      <c r="X35">
        <v>90</v>
      </c>
      <c r="Y35">
        <v>210</v>
      </c>
      <c r="Z35">
        <v>59</v>
      </c>
      <c r="AA35">
        <v>477</v>
      </c>
      <c r="AB35" s="1" t="s">
        <v>1291</v>
      </c>
    </row>
    <row r="36" spans="1:28" x14ac:dyDescent="0.3">
      <c r="A36">
        <v>200779</v>
      </c>
      <c r="B36" s="1" t="s">
        <v>1292</v>
      </c>
      <c r="C36">
        <v>0</v>
      </c>
      <c r="D36">
        <v>1610612752</v>
      </c>
      <c r="E36" s="1" t="s">
        <v>1248</v>
      </c>
      <c r="F36">
        <v>300</v>
      </c>
      <c r="G36">
        <v>81</v>
      </c>
      <c r="H36">
        <v>10</v>
      </c>
      <c r="I36">
        <v>16410</v>
      </c>
      <c r="J36">
        <v>178</v>
      </c>
      <c r="K36">
        <v>430</v>
      </c>
      <c r="L36">
        <v>414</v>
      </c>
      <c r="M36">
        <v>1490</v>
      </c>
      <c r="N36">
        <v>3510</v>
      </c>
      <c r="O36">
        <v>425</v>
      </c>
      <c r="P36">
        <v>30</v>
      </c>
      <c r="Q36">
        <v>33</v>
      </c>
      <c r="R36">
        <v>909</v>
      </c>
      <c r="S36">
        <v>170</v>
      </c>
      <c r="T36">
        <v>1350</v>
      </c>
      <c r="U36">
        <v>1520</v>
      </c>
      <c r="V36">
        <v>35</v>
      </c>
      <c r="W36">
        <v>280</v>
      </c>
      <c r="X36">
        <v>80</v>
      </c>
      <c r="Y36">
        <v>120</v>
      </c>
      <c r="Z36">
        <v>97</v>
      </c>
      <c r="AA36">
        <v>535</v>
      </c>
      <c r="AB36" s="1" t="s">
        <v>1291</v>
      </c>
    </row>
    <row r="37" spans="1:28" x14ac:dyDescent="0.3">
      <c r="A37">
        <v>983</v>
      </c>
      <c r="B37" s="1" t="s">
        <v>1293</v>
      </c>
      <c r="C37">
        <v>0</v>
      </c>
      <c r="D37">
        <v>1610612752</v>
      </c>
      <c r="E37" s="1" t="s">
        <v>1248</v>
      </c>
      <c r="F37">
        <v>300</v>
      </c>
      <c r="G37">
        <v>36</v>
      </c>
      <c r="H37">
        <v>0</v>
      </c>
      <c r="I37">
        <v>4460</v>
      </c>
      <c r="J37">
        <v>53</v>
      </c>
      <c r="K37">
        <v>130</v>
      </c>
      <c r="L37">
        <v>408</v>
      </c>
      <c r="M37">
        <v>120</v>
      </c>
      <c r="N37">
        <v>350</v>
      </c>
      <c r="O37">
        <v>343</v>
      </c>
      <c r="P37">
        <v>36</v>
      </c>
      <c r="Q37">
        <v>47</v>
      </c>
      <c r="R37">
        <v>766</v>
      </c>
      <c r="S37">
        <v>80</v>
      </c>
      <c r="T37">
        <v>270</v>
      </c>
      <c r="U37">
        <v>350</v>
      </c>
      <c r="V37">
        <v>73</v>
      </c>
      <c r="W37">
        <v>280</v>
      </c>
      <c r="X37">
        <v>30</v>
      </c>
      <c r="Y37">
        <v>340</v>
      </c>
      <c r="Z37">
        <v>35</v>
      </c>
      <c r="AA37">
        <v>154</v>
      </c>
      <c r="AB37" s="1" t="s">
        <v>1294</v>
      </c>
    </row>
    <row r="38" spans="1:28" x14ac:dyDescent="0.3">
      <c r="A38">
        <v>983</v>
      </c>
      <c r="B38" s="1" t="s">
        <v>1295</v>
      </c>
      <c r="C38">
        <v>0</v>
      </c>
      <c r="D38">
        <v>1610612752</v>
      </c>
      <c r="E38" s="1" t="s">
        <v>1248</v>
      </c>
      <c r="F38">
        <v>310</v>
      </c>
      <c r="G38">
        <v>32</v>
      </c>
      <c r="H38">
        <v>0</v>
      </c>
      <c r="I38">
        <v>3210</v>
      </c>
      <c r="J38">
        <v>32</v>
      </c>
      <c r="K38">
        <v>93</v>
      </c>
      <c r="L38">
        <v>344</v>
      </c>
      <c r="M38">
        <v>0</v>
      </c>
      <c r="N38">
        <v>120</v>
      </c>
      <c r="O38">
        <v>0</v>
      </c>
      <c r="P38">
        <v>18</v>
      </c>
      <c r="Q38">
        <v>22</v>
      </c>
      <c r="R38">
        <v>818</v>
      </c>
      <c r="S38">
        <v>90</v>
      </c>
      <c r="T38">
        <v>330</v>
      </c>
      <c r="U38">
        <v>420</v>
      </c>
      <c r="V38">
        <v>34</v>
      </c>
      <c r="W38">
        <v>170</v>
      </c>
      <c r="X38">
        <v>20</v>
      </c>
      <c r="Y38">
        <v>250</v>
      </c>
      <c r="Z38">
        <v>42</v>
      </c>
      <c r="AA38">
        <v>82</v>
      </c>
      <c r="AB38" s="1" t="s">
        <v>1294</v>
      </c>
    </row>
    <row r="39" spans="1:28" x14ac:dyDescent="0.3">
      <c r="A39">
        <v>944</v>
      </c>
      <c r="B39" s="1" t="s">
        <v>1273</v>
      </c>
      <c r="C39">
        <v>0</v>
      </c>
      <c r="D39">
        <v>1610612752</v>
      </c>
      <c r="E39" s="1" t="s">
        <v>1248</v>
      </c>
      <c r="F39">
        <v>230</v>
      </c>
      <c r="G39">
        <v>16</v>
      </c>
      <c r="H39">
        <v>0</v>
      </c>
      <c r="I39">
        <v>440</v>
      </c>
      <c r="J39">
        <v>5</v>
      </c>
      <c r="K39">
        <v>18</v>
      </c>
      <c r="L39">
        <v>278</v>
      </c>
      <c r="M39">
        <v>0</v>
      </c>
      <c r="N39">
        <v>0</v>
      </c>
      <c r="O39">
        <v>0</v>
      </c>
      <c r="P39">
        <v>11</v>
      </c>
      <c r="Q39">
        <v>13</v>
      </c>
      <c r="R39">
        <v>846</v>
      </c>
      <c r="S39">
        <v>60</v>
      </c>
      <c r="T39">
        <v>80</v>
      </c>
      <c r="U39">
        <v>140</v>
      </c>
      <c r="V39">
        <v>3</v>
      </c>
      <c r="W39">
        <v>30</v>
      </c>
      <c r="X39">
        <v>10</v>
      </c>
      <c r="Y39">
        <v>50</v>
      </c>
      <c r="Z39">
        <v>14</v>
      </c>
      <c r="AA39">
        <v>21</v>
      </c>
      <c r="AB39" s="1" t="s">
        <v>1296</v>
      </c>
    </row>
    <row r="40" spans="1:28" x14ac:dyDescent="0.3">
      <c r="A40">
        <v>944</v>
      </c>
      <c r="B40" s="1" t="s">
        <v>1274</v>
      </c>
      <c r="C40">
        <v>0</v>
      </c>
      <c r="D40">
        <v>1610612752</v>
      </c>
      <c r="E40" s="1" t="s">
        <v>1248</v>
      </c>
      <c r="F40">
        <v>240</v>
      </c>
      <c r="G40">
        <v>11</v>
      </c>
      <c r="H40">
        <v>0</v>
      </c>
      <c r="I40">
        <v>390</v>
      </c>
      <c r="J40">
        <v>7</v>
      </c>
      <c r="K40">
        <v>17</v>
      </c>
      <c r="L40">
        <v>412</v>
      </c>
      <c r="M40">
        <v>20</v>
      </c>
      <c r="N40">
        <v>20</v>
      </c>
      <c r="O40">
        <v>10</v>
      </c>
      <c r="P40">
        <v>5</v>
      </c>
      <c r="Q40">
        <v>14</v>
      </c>
      <c r="R40">
        <v>357</v>
      </c>
      <c r="S40">
        <v>60</v>
      </c>
      <c r="T40">
        <v>110</v>
      </c>
      <c r="U40">
        <v>170</v>
      </c>
      <c r="V40">
        <v>2</v>
      </c>
      <c r="W40">
        <v>0</v>
      </c>
      <c r="X40">
        <v>10</v>
      </c>
      <c r="Y40">
        <v>20</v>
      </c>
      <c r="Z40">
        <v>9</v>
      </c>
      <c r="AA40">
        <v>21</v>
      </c>
      <c r="AB40" s="1" t="s">
        <v>1296</v>
      </c>
    </row>
    <row r="41" spans="1:28" x14ac:dyDescent="0.3">
      <c r="A41">
        <v>77723</v>
      </c>
      <c r="B41" s="1" t="s">
        <v>1297</v>
      </c>
      <c r="C41">
        <v>0</v>
      </c>
      <c r="D41">
        <v>1610612752</v>
      </c>
      <c r="E41" s="1" t="s">
        <v>1248</v>
      </c>
      <c r="F41">
        <v>230</v>
      </c>
      <c r="G41">
        <v>29</v>
      </c>
      <c r="J41">
        <v>40</v>
      </c>
      <c r="K41">
        <v>138</v>
      </c>
      <c r="L41">
        <v>29</v>
      </c>
      <c r="P41">
        <v>19</v>
      </c>
      <c r="Q41">
        <v>30</v>
      </c>
      <c r="R41">
        <v>633</v>
      </c>
      <c r="V41">
        <v>3</v>
      </c>
      <c r="Z41">
        <v>41</v>
      </c>
      <c r="AA41">
        <v>99</v>
      </c>
      <c r="AB41" s="1" t="s">
        <v>1298</v>
      </c>
    </row>
    <row r="42" spans="1:28" x14ac:dyDescent="0.3">
      <c r="A42">
        <v>77723</v>
      </c>
      <c r="B42" s="1" t="s">
        <v>1299</v>
      </c>
      <c r="C42">
        <v>0</v>
      </c>
      <c r="D42">
        <v>1610612752</v>
      </c>
      <c r="E42" s="1" t="s">
        <v>1248</v>
      </c>
      <c r="F42">
        <v>240</v>
      </c>
      <c r="G42">
        <v>47</v>
      </c>
      <c r="J42">
        <v>70</v>
      </c>
      <c r="K42">
        <v>277</v>
      </c>
      <c r="L42">
        <v>253</v>
      </c>
      <c r="P42">
        <v>37</v>
      </c>
      <c r="Q42">
        <v>60</v>
      </c>
      <c r="R42">
        <v>617</v>
      </c>
      <c r="V42">
        <v>33</v>
      </c>
      <c r="Z42">
        <v>84</v>
      </c>
      <c r="AA42">
        <v>177</v>
      </c>
      <c r="AB42" s="1" t="s">
        <v>1298</v>
      </c>
    </row>
    <row r="43" spans="1:28" x14ac:dyDescent="0.3">
      <c r="A43">
        <v>77723</v>
      </c>
      <c r="B43" s="1" t="s">
        <v>1266</v>
      </c>
      <c r="C43">
        <v>0</v>
      </c>
      <c r="D43">
        <v>1610612752</v>
      </c>
      <c r="E43" s="1" t="s">
        <v>1248</v>
      </c>
      <c r="F43">
        <v>250</v>
      </c>
      <c r="G43">
        <v>65</v>
      </c>
      <c r="J43">
        <v>98</v>
      </c>
      <c r="K43">
        <v>291</v>
      </c>
      <c r="L43">
        <v>337</v>
      </c>
      <c r="P43">
        <v>53</v>
      </c>
      <c r="Q43">
        <v>87</v>
      </c>
      <c r="R43">
        <v>609</v>
      </c>
      <c r="V43">
        <v>67</v>
      </c>
      <c r="Z43">
        <v>132</v>
      </c>
      <c r="AA43">
        <v>249</v>
      </c>
      <c r="AB43" s="1" t="s">
        <v>1298</v>
      </c>
    </row>
    <row r="44" spans="1:28" x14ac:dyDescent="0.3">
      <c r="A44">
        <v>101126</v>
      </c>
      <c r="B44" s="1" t="s">
        <v>1300</v>
      </c>
      <c r="C44">
        <v>0</v>
      </c>
      <c r="D44">
        <v>1610612752</v>
      </c>
      <c r="E44" s="1" t="s">
        <v>1248</v>
      </c>
      <c r="F44">
        <v>220</v>
      </c>
      <c r="G44">
        <v>72</v>
      </c>
      <c r="H44">
        <v>260</v>
      </c>
      <c r="I44">
        <v>15440</v>
      </c>
      <c r="J44">
        <v>230</v>
      </c>
      <c r="K44">
        <v>565</v>
      </c>
      <c r="L44">
        <v>407</v>
      </c>
      <c r="M44">
        <v>580</v>
      </c>
      <c r="N44">
        <v>1460</v>
      </c>
      <c r="O44">
        <v>397</v>
      </c>
      <c r="P44">
        <v>152</v>
      </c>
      <c r="Q44">
        <v>202</v>
      </c>
      <c r="R44">
        <v>752</v>
      </c>
      <c r="S44">
        <v>560</v>
      </c>
      <c r="T44">
        <v>1110</v>
      </c>
      <c r="U44">
        <v>1670</v>
      </c>
      <c r="V44">
        <v>147</v>
      </c>
      <c r="W44">
        <v>590</v>
      </c>
      <c r="X44">
        <v>10</v>
      </c>
      <c r="Y44">
        <v>1140</v>
      </c>
      <c r="Z44">
        <v>201</v>
      </c>
      <c r="AA44">
        <v>670</v>
      </c>
      <c r="AB44" s="1" t="s">
        <v>1301</v>
      </c>
    </row>
    <row r="45" spans="1:28" x14ac:dyDescent="0.3">
      <c r="A45">
        <v>101126</v>
      </c>
      <c r="B45" s="1" t="s">
        <v>1302</v>
      </c>
      <c r="C45">
        <v>0</v>
      </c>
      <c r="D45">
        <v>1610612752</v>
      </c>
      <c r="E45" s="1" t="s">
        <v>1248</v>
      </c>
      <c r="F45">
        <v>230</v>
      </c>
      <c r="G45">
        <v>64</v>
      </c>
      <c r="H45">
        <v>50</v>
      </c>
      <c r="I45">
        <v>13560</v>
      </c>
      <c r="J45">
        <v>227</v>
      </c>
      <c r="K45">
        <v>523</v>
      </c>
      <c r="L45">
        <v>434</v>
      </c>
      <c r="M45">
        <v>830</v>
      </c>
      <c r="N45">
        <v>2130</v>
      </c>
      <c r="O45">
        <v>39</v>
      </c>
      <c r="P45">
        <v>108</v>
      </c>
      <c r="Q45">
        <v>139</v>
      </c>
      <c r="R45">
        <v>777</v>
      </c>
      <c r="S45">
        <v>550</v>
      </c>
      <c r="T45">
        <v>970</v>
      </c>
      <c r="U45">
        <v>1520</v>
      </c>
      <c r="V45">
        <v>90</v>
      </c>
      <c r="W45">
        <v>500</v>
      </c>
      <c r="X45">
        <v>60</v>
      </c>
      <c r="Y45">
        <v>720</v>
      </c>
      <c r="Z45">
        <v>160</v>
      </c>
      <c r="AA45">
        <v>645</v>
      </c>
      <c r="AB45" s="1" t="s">
        <v>1301</v>
      </c>
    </row>
    <row r="46" spans="1:28" x14ac:dyDescent="0.3">
      <c r="A46">
        <v>101126</v>
      </c>
      <c r="B46" s="1" t="s">
        <v>1303</v>
      </c>
      <c r="C46">
        <v>0</v>
      </c>
      <c r="D46">
        <v>1610612752</v>
      </c>
      <c r="E46" s="1" t="s">
        <v>1248</v>
      </c>
      <c r="F46">
        <v>240</v>
      </c>
      <c r="G46">
        <v>72</v>
      </c>
      <c r="H46">
        <v>170</v>
      </c>
      <c r="I46">
        <v>18830</v>
      </c>
      <c r="J46">
        <v>331</v>
      </c>
      <c r="K46">
        <v>782</v>
      </c>
      <c r="L46">
        <v>423</v>
      </c>
      <c r="M46">
        <v>970</v>
      </c>
      <c r="N46">
        <v>2920</v>
      </c>
      <c r="O46">
        <v>332</v>
      </c>
      <c r="P46">
        <v>154</v>
      </c>
      <c r="Q46">
        <v>196</v>
      </c>
      <c r="R46">
        <v>786</v>
      </c>
      <c r="S46">
        <v>510</v>
      </c>
      <c r="T46">
        <v>1710</v>
      </c>
      <c r="U46">
        <v>2220</v>
      </c>
      <c r="V46">
        <v>212</v>
      </c>
      <c r="W46">
        <v>600</v>
      </c>
      <c r="X46">
        <v>10</v>
      </c>
      <c r="Y46">
        <v>1030</v>
      </c>
      <c r="Z46">
        <v>186</v>
      </c>
      <c r="AA46">
        <v>913</v>
      </c>
      <c r="AB46" s="1" t="s">
        <v>1301</v>
      </c>
    </row>
    <row r="47" spans="1:28" x14ac:dyDescent="0.3">
      <c r="A47">
        <v>101126</v>
      </c>
      <c r="B47" s="1" t="s">
        <v>1304</v>
      </c>
      <c r="C47">
        <v>0</v>
      </c>
      <c r="D47">
        <v>1610612752</v>
      </c>
      <c r="E47" s="1" t="s">
        <v>1248</v>
      </c>
      <c r="F47">
        <v>250</v>
      </c>
      <c r="G47">
        <v>74</v>
      </c>
      <c r="H47">
        <v>110</v>
      </c>
      <c r="I47">
        <v>22090</v>
      </c>
      <c r="J47">
        <v>449</v>
      </c>
      <c r="K47">
        <v>1028</v>
      </c>
      <c r="L47">
        <v>437</v>
      </c>
      <c r="M47">
        <v>1250</v>
      </c>
      <c r="N47">
        <v>3850</v>
      </c>
      <c r="O47">
        <v>325</v>
      </c>
      <c r="P47">
        <v>249</v>
      </c>
      <c r="Q47">
        <v>296</v>
      </c>
      <c r="R47">
        <v>841</v>
      </c>
      <c r="S47">
        <v>980</v>
      </c>
      <c r="T47">
        <v>1920</v>
      </c>
      <c r="U47">
        <v>2900</v>
      </c>
      <c r="V47">
        <v>301</v>
      </c>
      <c r="W47">
        <v>950</v>
      </c>
      <c r="X47">
        <v>60</v>
      </c>
      <c r="Y47">
        <v>1390</v>
      </c>
      <c r="Z47">
        <v>206</v>
      </c>
      <c r="AA47">
        <v>1272</v>
      </c>
      <c r="AB47" s="1" t="s">
        <v>1301</v>
      </c>
    </row>
    <row r="48" spans="1:28" x14ac:dyDescent="0.3">
      <c r="A48">
        <v>101126</v>
      </c>
      <c r="B48" s="1" t="s">
        <v>1305</v>
      </c>
      <c r="C48">
        <v>0</v>
      </c>
      <c r="D48">
        <v>1610612752</v>
      </c>
      <c r="E48" s="1" t="s">
        <v>1248</v>
      </c>
      <c r="F48">
        <v>260</v>
      </c>
      <c r="G48">
        <v>30</v>
      </c>
      <c r="H48">
        <v>20</v>
      </c>
      <c r="I48">
        <v>7330</v>
      </c>
      <c r="J48">
        <v>152</v>
      </c>
      <c r="K48">
        <v>336</v>
      </c>
      <c r="L48">
        <v>452</v>
      </c>
      <c r="M48">
        <v>510</v>
      </c>
      <c r="N48">
        <v>1360</v>
      </c>
      <c r="O48">
        <v>375</v>
      </c>
      <c r="P48">
        <v>42</v>
      </c>
      <c r="Q48">
        <v>54</v>
      </c>
      <c r="R48">
        <v>778</v>
      </c>
      <c r="S48">
        <v>230</v>
      </c>
      <c r="T48">
        <v>490</v>
      </c>
      <c r="U48">
        <v>720</v>
      </c>
      <c r="V48">
        <v>112</v>
      </c>
      <c r="W48">
        <v>270</v>
      </c>
      <c r="X48">
        <v>50</v>
      </c>
      <c r="Y48">
        <v>530</v>
      </c>
      <c r="Z48">
        <v>66</v>
      </c>
      <c r="AA48">
        <v>397</v>
      </c>
      <c r="AB48" s="1" t="s">
        <v>1301</v>
      </c>
    </row>
    <row r="49" spans="1:28" x14ac:dyDescent="0.3">
      <c r="A49">
        <v>204001</v>
      </c>
      <c r="B49" s="1" t="s">
        <v>1279</v>
      </c>
      <c r="C49">
        <v>0</v>
      </c>
      <c r="D49">
        <v>1610612752</v>
      </c>
      <c r="E49" s="1" t="s">
        <v>1248</v>
      </c>
      <c r="F49">
        <v>200</v>
      </c>
      <c r="G49">
        <v>72</v>
      </c>
      <c r="H49">
        <v>720</v>
      </c>
      <c r="I49">
        <v>20470</v>
      </c>
      <c r="J49">
        <v>373</v>
      </c>
      <c r="K49">
        <v>886</v>
      </c>
      <c r="L49">
        <v>421</v>
      </c>
      <c r="M49">
        <v>810</v>
      </c>
      <c r="N49">
        <v>2430</v>
      </c>
      <c r="O49">
        <v>333</v>
      </c>
      <c r="P49">
        <v>201</v>
      </c>
      <c r="Q49">
        <v>240</v>
      </c>
      <c r="R49">
        <v>838</v>
      </c>
      <c r="S49">
        <v>1320</v>
      </c>
      <c r="T49">
        <v>3940</v>
      </c>
      <c r="U49">
        <v>5260</v>
      </c>
      <c r="V49">
        <v>94</v>
      </c>
      <c r="W49">
        <v>530</v>
      </c>
      <c r="X49">
        <v>1340</v>
      </c>
      <c r="Y49">
        <v>1210</v>
      </c>
      <c r="Z49">
        <v>205</v>
      </c>
      <c r="AA49">
        <v>1028</v>
      </c>
      <c r="AB49" s="1" t="s">
        <v>1306</v>
      </c>
    </row>
    <row r="50" spans="1:28" x14ac:dyDescent="0.3">
      <c r="A50">
        <v>204001</v>
      </c>
      <c r="B50" s="1" t="s">
        <v>1281</v>
      </c>
      <c r="C50">
        <v>0</v>
      </c>
      <c r="D50">
        <v>1610612752</v>
      </c>
      <c r="E50" s="1" t="s">
        <v>1248</v>
      </c>
      <c r="F50">
        <v>210</v>
      </c>
      <c r="G50">
        <v>66</v>
      </c>
      <c r="H50">
        <v>650</v>
      </c>
      <c r="I50">
        <v>21640</v>
      </c>
      <c r="J50">
        <v>443</v>
      </c>
      <c r="K50">
        <v>985</v>
      </c>
      <c r="L50">
        <v>45</v>
      </c>
      <c r="M50">
        <v>1120</v>
      </c>
      <c r="N50">
        <v>3140</v>
      </c>
      <c r="O50">
        <v>357</v>
      </c>
      <c r="P50">
        <v>198</v>
      </c>
      <c r="Q50">
        <v>252</v>
      </c>
      <c r="R50">
        <v>786</v>
      </c>
      <c r="S50">
        <v>1110</v>
      </c>
      <c r="T50">
        <v>3640</v>
      </c>
      <c r="U50">
        <v>4750</v>
      </c>
      <c r="V50">
        <v>97</v>
      </c>
      <c r="W50">
        <v>470</v>
      </c>
      <c r="X50">
        <v>1290</v>
      </c>
      <c r="Y50">
        <v>1180</v>
      </c>
      <c r="Z50">
        <v>244</v>
      </c>
      <c r="AA50">
        <v>1196</v>
      </c>
      <c r="AB50" s="1" t="s">
        <v>1306</v>
      </c>
    </row>
    <row r="51" spans="1:28" x14ac:dyDescent="0.3">
      <c r="A51">
        <v>204001</v>
      </c>
      <c r="B51" s="1" t="s">
        <v>1259</v>
      </c>
      <c r="C51">
        <v>0</v>
      </c>
      <c r="D51">
        <v>1610612752</v>
      </c>
      <c r="E51" s="1" t="s">
        <v>1248</v>
      </c>
      <c r="F51">
        <v>220</v>
      </c>
      <c r="G51">
        <v>48</v>
      </c>
      <c r="H51">
        <v>480</v>
      </c>
      <c r="I51">
        <v>15530</v>
      </c>
      <c r="J51">
        <v>390</v>
      </c>
      <c r="K51">
        <v>889</v>
      </c>
      <c r="L51">
        <v>439</v>
      </c>
      <c r="M51">
        <v>900</v>
      </c>
      <c r="N51">
        <v>2280</v>
      </c>
      <c r="O51">
        <v>395</v>
      </c>
      <c r="P51">
        <v>218</v>
      </c>
      <c r="Q51">
        <v>275</v>
      </c>
      <c r="R51">
        <v>793</v>
      </c>
      <c r="S51">
        <v>620</v>
      </c>
      <c r="T51">
        <v>2540</v>
      </c>
      <c r="U51">
        <v>3160</v>
      </c>
      <c r="V51">
        <v>57</v>
      </c>
      <c r="W51">
        <v>360</v>
      </c>
      <c r="X51">
        <v>1150</v>
      </c>
      <c r="Y51">
        <v>930</v>
      </c>
      <c r="Z51">
        <v>141</v>
      </c>
      <c r="AA51">
        <v>1088</v>
      </c>
      <c r="AB51" s="1" t="s">
        <v>1306</v>
      </c>
    </row>
    <row r="52" spans="1:28" x14ac:dyDescent="0.3">
      <c r="A52">
        <v>203457</v>
      </c>
      <c r="B52" s="1" t="s">
        <v>1289</v>
      </c>
      <c r="C52">
        <v>0</v>
      </c>
      <c r="D52">
        <v>1610612752</v>
      </c>
      <c r="E52" s="1" t="s">
        <v>1248</v>
      </c>
      <c r="F52">
        <v>270</v>
      </c>
      <c r="G52">
        <v>64</v>
      </c>
      <c r="H52">
        <v>410</v>
      </c>
      <c r="I52">
        <v>15470</v>
      </c>
      <c r="J52">
        <v>137</v>
      </c>
      <c r="K52">
        <v>223</v>
      </c>
      <c r="L52">
        <v>614</v>
      </c>
      <c r="M52">
        <v>0</v>
      </c>
      <c r="N52">
        <v>30</v>
      </c>
      <c r="O52">
        <v>0</v>
      </c>
      <c r="P52">
        <v>50</v>
      </c>
      <c r="Q52">
        <v>70</v>
      </c>
      <c r="R52">
        <v>714</v>
      </c>
      <c r="S52">
        <v>1420</v>
      </c>
      <c r="T52">
        <v>2650</v>
      </c>
      <c r="U52">
        <v>4070</v>
      </c>
      <c r="V52">
        <v>46</v>
      </c>
      <c r="W52">
        <v>700</v>
      </c>
      <c r="X52">
        <v>1410</v>
      </c>
      <c r="Y52">
        <v>650</v>
      </c>
      <c r="Z52">
        <v>176</v>
      </c>
      <c r="AA52">
        <v>324</v>
      </c>
      <c r="AB52" s="1" t="s">
        <v>1307</v>
      </c>
    </row>
    <row r="53" spans="1:28" x14ac:dyDescent="0.3">
      <c r="A53">
        <v>203457</v>
      </c>
      <c r="B53" s="1" t="s">
        <v>1308</v>
      </c>
      <c r="C53">
        <v>0</v>
      </c>
      <c r="D53">
        <v>1610612752</v>
      </c>
      <c r="E53" s="1" t="s">
        <v>1248</v>
      </c>
      <c r="F53">
        <v>280</v>
      </c>
      <c r="G53">
        <v>25</v>
      </c>
      <c r="H53">
        <v>110</v>
      </c>
      <c r="I53">
        <v>5620</v>
      </c>
      <c r="J53">
        <v>32</v>
      </c>
      <c r="K53">
        <v>60</v>
      </c>
      <c r="L53">
        <v>533</v>
      </c>
      <c r="M53">
        <v>0</v>
      </c>
      <c r="N53">
        <v>30</v>
      </c>
      <c r="O53">
        <v>0</v>
      </c>
      <c r="P53">
        <v>21</v>
      </c>
      <c r="Q53">
        <v>30</v>
      </c>
      <c r="R53">
        <v>7</v>
      </c>
      <c r="S53">
        <v>480</v>
      </c>
      <c r="T53">
        <v>930</v>
      </c>
      <c r="U53">
        <v>1410</v>
      </c>
      <c r="V53">
        <v>23</v>
      </c>
      <c r="W53">
        <v>300</v>
      </c>
      <c r="X53">
        <v>310</v>
      </c>
      <c r="Y53">
        <v>200</v>
      </c>
      <c r="Z53">
        <v>67</v>
      </c>
      <c r="AA53">
        <v>85</v>
      </c>
      <c r="AB53" s="1" t="s">
        <v>1307</v>
      </c>
    </row>
    <row r="54" spans="1:28" x14ac:dyDescent="0.3">
      <c r="A54">
        <v>201149</v>
      </c>
      <c r="B54" s="1" t="s">
        <v>1281</v>
      </c>
      <c r="C54">
        <v>0</v>
      </c>
      <c r="D54">
        <v>1610612752</v>
      </c>
      <c r="E54" s="1" t="s">
        <v>1248</v>
      </c>
      <c r="F54">
        <v>320</v>
      </c>
      <c r="G54">
        <v>46</v>
      </c>
      <c r="H54">
        <v>460</v>
      </c>
      <c r="I54">
        <v>10150</v>
      </c>
      <c r="J54">
        <v>99</v>
      </c>
      <c r="K54">
        <v>202</v>
      </c>
      <c r="L54">
        <v>49</v>
      </c>
      <c r="M54">
        <v>0</v>
      </c>
      <c r="N54">
        <v>10</v>
      </c>
      <c r="O54">
        <v>0</v>
      </c>
      <c r="P54">
        <v>34</v>
      </c>
      <c r="Q54">
        <v>78</v>
      </c>
      <c r="R54">
        <v>436</v>
      </c>
      <c r="S54">
        <v>1620</v>
      </c>
      <c r="T54">
        <v>2410</v>
      </c>
      <c r="U54">
        <v>4030</v>
      </c>
      <c r="V54">
        <v>103</v>
      </c>
      <c r="W54">
        <v>300</v>
      </c>
      <c r="X54">
        <v>370</v>
      </c>
      <c r="Y54">
        <v>580</v>
      </c>
      <c r="Z54">
        <v>127</v>
      </c>
      <c r="AA54">
        <v>232</v>
      </c>
      <c r="AB54" s="1" t="s">
        <v>1309</v>
      </c>
    </row>
    <row r="55" spans="1:28" x14ac:dyDescent="0.3">
      <c r="A55">
        <v>201149</v>
      </c>
      <c r="B55" s="1" t="s">
        <v>1259</v>
      </c>
      <c r="C55">
        <v>0</v>
      </c>
      <c r="D55">
        <v>1610612752</v>
      </c>
      <c r="E55" s="1" t="s">
        <v>1248</v>
      </c>
      <c r="F55">
        <v>330</v>
      </c>
      <c r="G55">
        <v>7</v>
      </c>
      <c r="H55">
        <v>0</v>
      </c>
      <c r="I55">
        <v>400</v>
      </c>
      <c r="J55">
        <v>5</v>
      </c>
      <c r="K55">
        <v>10</v>
      </c>
      <c r="L55">
        <v>5</v>
      </c>
      <c r="M55">
        <v>0</v>
      </c>
      <c r="N55">
        <v>0</v>
      </c>
      <c r="O55">
        <v>0</v>
      </c>
      <c r="P55">
        <v>2</v>
      </c>
      <c r="Q55">
        <v>4</v>
      </c>
      <c r="R55">
        <v>5</v>
      </c>
      <c r="S55">
        <v>60</v>
      </c>
      <c r="T55">
        <v>80</v>
      </c>
      <c r="U55">
        <v>140</v>
      </c>
      <c r="V55">
        <v>4</v>
      </c>
      <c r="W55">
        <v>20</v>
      </c>
      <c r="X55">
        <v>20</v>
      </c>
      <c r="Y55">
        <v>40</v>
      </c>
      <c r="Z55">
        <v>5</v>
      </c>
      <c r="AA55">
        <v>12</v>
      </c>
      <c r="AB55" s="1" t="s">
        <v>1309</v>
      </c>
    </row>
    <row r="56" spans="1:28" x14ac:dyDescent="0.3">
      <c r="A56">
        <v>201193</v>
      </c>
      <c r="B56" s="1" t="s">
        <v>1304</v>
      </c>
      <c r="C56">
        <v>0</v>
      </c>
      <c r="D56">
        <v>1610612752</v>
      </c>
      <c r="E56" s="1" t="s">
        <v>1248</v>
      </c>
      <c r="F56">
        <v>240</v>
      </c>
      <c r="G56">
        <v>2</v>
      </c>
      <c r="H56">
        <v>0</v>
      </c>
      <c r="I56">
        <v>90</v>
      </c>
      <c r="J56">
        <v>2</v>
      </c>
      <c r="K56">
        <v>5</v>
      </c>
      <c r="L56">
        <v>4</v>
      </c>
      <c r="M56">
        <v>0</v>
      </c>
      <c r="N56">
        <v>10</v>
      </c>
      <c r="O56">
        <v>0</v>
      </c>
      <c r="P56">
        <v>1</v>
      </c>
      <c r="Q56">
        <v>2</v>
      </c>
      <c r="R56">
        <v>5</v>
      </c>
      <c r="S56">
        <v>0</v>
      </c>
      <c r="T56">
        <v>20</v>
      </c>
      <c r="U56">
        <v>20</v>
      </c>
      <c r="V56">
        <v>0</v>
      </c>
      <c r="W56">
        <v>0</v>
      </c>
      <c r="X56">
        <v>10</v>
      </c>
      <c r="Y56">
        <v>0</v>
      </c>
      <c r="Z56">
        <v>0</v>
      </c>
      <c r="AA56">
        <v>5</v>
      </c>
      <c r="AB56" s="1" t="s">
        <v>1310</v>
      </c>
    </row>
    <row r="57" spans="1:28" x14ac:dyDescent="0.3">
      <c r="A57">
        <v>200764</v>
      </c>
      <c r="B57" s="1" t="s">
        <v>1302</v>
      </c>
      <c r="C57">
        <v>0</v>
      </c>
      <c r="D57">
        <v>1610612752</v>
      </c>
      <c r="E57" s="1" t="s">
        <v>1248</v>
      </c>
      <c r="F57">
        <v>220</v>
      </c>
      <c r="G57">
        <v>68</v>
      </c>
      <c r="H57">
        <v>10</v>
      </c>
      <c r="I57">
        <v>10640</v>
      </c>
      <c r="J57">
        <v>139</v>
      </c>
      <c r="K57">
        <v>275</v>
      </c>
      <c r="L57">
        <v>505</v>
      </c>
      <c r="M57">
        <v>50</v>
      </c>
      <c r="N57">
        <v>270</v>
      </c>
      <c r="O57">
        <v>185</v>
      </c>
      <c r="P57">
        <v>51</v>
      </c>
      <c r="Q57">
        <v>90</v>
      </c>
      <c r="R57">
        <v>567</v>
      </c>
      <c r="S57">
        <v>970</v>
      </c>
      <c r="T57">
        <v>1970</v>
      </c>
      <c r="U57">
        <v>2940</v>
      </c>
      <c r="V57">
        <v>44</v>
      </c>
      <c r="W57">
        <v>570</v>
      </c>
      <c r="X57">
        <v>440</v>
      </c>
      <c r="Y57">
        <v>490</v>
      </c>
      <c r="Z57">
        <v>146</v>
      </c>
      <c r="AA57">
        <v>334</v>
      </c>
      <c r="AB57" s="1" t="s">
        <v>1311</v>
      </c>
    </row>
    <row r="58" spans="1:28" x14ac:dyDescent="0.3">
      <c r="A58">
        <v>200764</v>
      </c>
      <c r="B58" s="1" t="s">
        <v>1303</v>
      </c>
      <c r="C58">
        <v>0</v>
      </c>
      <c r="D58">
        <v>1610612752</v>
      </c>
      <c r="E58" s="1" t="s">
        <v>1248</v>
      </c>
      <c r="F58">
        <v>230</v>
      </c>
      <c r="G58">
        <v>65</v>
      </c>
      <c r="H58">
        <v>0</v>
      </c>
      <c r="I58">
        <v>9520</v>
      </c>
      <c r="J58">
        <v>91</v>
      </c>
      <c r="K58">
        <v>186</v>
      </c>
      <c r="L58">
        <v>489</v>
      </c>
      <c r="M58">
        <v>10</v>
      </c>
      <c r="N58">
        <v>120</v>
      </c>
      <c r="O58">
        <v>83</v>
      </c>
      <c r="P58">
        <v>41</v>
      </c>
      <c r="Q58">
        <v>95</v>
      </c>
      <c r="R58">
        <v>432</v>
      </c>
      <c r="S58">
        <v>830</v>
      </c>
      <c r="T58">
        <v>1330</v>
      </c>
      <c r="U58">
        <v>2160</v>
      </c>
      <c r="V58">
        <v>40</v>
      </c>
      <c r="W58">
        <v>440</v>
      </c>
      <c r="X58">
        <v>300</v>
      </c>
      <c r="Y58">
        <v>370</v>
      </c>
      <c r="Z58">
        <v>132</v>
      </c>
      <c r="AA58">
        <v>224</v>
      </c>
      <c r="AB58" s="1" t="s">
        <v>1311</v>
      </c>
    </row>
    <row r="59" spans="1:28" x14ac:dyDescent="0.3">
      <c r="A59">
        <v>200764</v>
      </c>
      <c r="B59" s="1" t="s">
        <v>1312</v>
      </c>
      <c r="C59">
        <v>0</v>
      </c>
      <c r="D59">
        <v>1610612752</v>
      </c>
      <c r="E59" s="1" t="s">
        <v>1248</v>
      </c>
      <c r="F59">
        <v>260</v>
      </c>
      <c r="G59">
        <v>3</v>
      </c>
      <c r="H59">
        <v>0</v>
      </c>
      <c r="I59">
        <v>180</v>
      </c>
      <c r="J59">
        <v>1</v>
      </c>
      <c r="K59">
        <v>4</v>
      </c>
      <c r="L59">
        <v>25</v>
      </c>
      <c r="M59">
        <v>10</v>
      </c>
      <c r="N59">
        <v>20</v>
      </c>
      <c r="O59">
        <v>5</v>
      </c>
      <c r="P59">
        <v>0</v>
      </c>
      <c r="Q59">
        <v>0</v>
      </c>
      <c r="R59">
        <v>0</v>
      </c>
      <c r="S59">
        <v>10</v>
      </c>
      <c r="T59">
        <v>20</v>
      </c>
      <c r="U59">
        <v>30</v>
      </c>
      <c r="V59">
        <v>0</v>
      </c>
      <c r="W59">
        <v>10</v>
      </c>
      <c r="X59">
        <v>0</v>
      </c>
      <c r="Y59">
        <v>10</v>
      </c>
      <c r="Z59">
        <v>4</v>
      </c>
      <c r="AA59">
        <v>3</v>
      </c>
      <c r="AB59" s="1" t="s">
        <v>1311</v>
      </c>
    </row>
    <row r="60" spans="1:28" x14ac:dyDescent="0.3">
      <c r="A60">
        <v>200764</v>
      </c>
      <c r="B60" s="1" t="s">
        <v>1290</v>
      </c>
      <c r="C60">
        <v>0</v>
      </c>
      <c r="D60">
        <v>1610612752</v>
      </c>
      <c r="E60" s="1" t="s">
        <v>1248</v>
      </c>
      <c r="F60">
        <v>270</v>
      </c>
      <c r="G60">
        <v>14</v>
      </c>
      <c r="H60">
        <v>0</v>
      </c>
      <c r="I60">
        <v>1150</v>
      </c>
      <c r="J60">
        <v>16</v>
      </c>
      <c r="K60">
        <v>32</v>
      </c>
      <c r="L60">
        <v>5</v>
      </c>
      <c r="M60">
        <v>20</v>
      </c>
      <c r="N60">
        <v>90</v>
      </c>
      <c r="O60">
        <v>222</v>
      </c>
      <c r="P60">
        <v>8</v>
      </c>
      <c r="Q60">
        <v>11</v>
      </c>
      <c r="R60">
        <v>727</v>
      </c>
      <c r="S60">
        <v>60</v>
      </c>
      <c r="T60">
        <v>200</v>
      </c>
      <c r="U60">
        <v>260</v>
      </c>
      <c r="V60">
        <v>5</v>
      </c>
      <c r="W60">
        <v>40</v>
      </c>
      <c r="X60">
        <v>30</v>
      </c>
      <c r="Y60">
        <v>60</v>
      </c>
      <c r="Z60">
        <v>14</v>
      </c>
      <c r="AA60">
        <v>42</v>
      </c>
      <c r="AB60" s="1" t="s">
        <v>1311</v>
      </c>
    </row>
    <row r="61" spans="1:28" x14ac:dyDescent="0.3">
      <c r="A61">
        <v>271</v>
      </c>
      <c r="B61" s="1" t="s">
        <v>1253</v>
      </c>
      <c r="C61">
        <v>0</v>
      </c>
      <c r="D61">
        <v>1610612752</v>
      </c>
      <c r="E61" s="1" t="s">
        <v>1248</v>
      </c>
      <c r="F61">
        <v>240</v>
      </c>
      <c r="G61">
        <v>77</v>
      </c>
      <c r="H61">
        <v>250</v>
      </c>
      <c r="I61">
        <v>15890</v>
      </c>
      <c r="J61">
        <v>270</v>
      </c>
      <c r="K61">
        <v>620</v>
      </c>
      <c r="L61">
        <v>435</v>
      </c>
      <c r="M61">
        <v>260</v>
      </c>
      <c r="N61">
        <v>930</v>
      </c>
      <c r="O61">
        <v>28</v>
      </c>
      <c r="P61">
        <v>207</v>
      </c>
      <c r="Q61">
        <v>246</v>
      </c>
      <c r="R61">
        <v>841</v>
      </c>
      <c r="S61">
        <v>870</v>
      </c>
      <c r="T61">
        <v>720</v>
      </c>
      <c r="U61">
        <v>1590</v>
      </c>
      <c r="V61">
        <v>62</v>
      </c>
      <c r="W61">
        <v>720</v>
      </c>
      <c r="X61">
        <v>110</v>
      </c>
      <c r="Y61">
        <v>1030</v>
      </c>
      <c r="Z61">
        <v>204</v>
      </c>
      <c r="AA61">
        <v>773</v>
      </c>
      <c r="AB61" s="1" t="s">
        <v>1313</v>
      </c>
    </row>
    <row r="62" spans="1:28" x14ac:dyDescent="0.3">
      <c r="A62">
        <v>271</v>
      </c>
      <c r="B62" s="1" t="s">
        <v>1268</v>
      </c>
      <c r="C62">
        <v>0</v>
      </c>
      <c r="D62">
        <v>1610612752</v>
      </c>
      <c r="E62" s="1" t="s">
        <v>1248</v>
      </c>
      <c r="F62">
        <v>250</v>
      </c>
      <c r="G62">
        <v>81</v>
      </c>
      <c r="H62">
        <v>800</v>
      </c>
      <c r="I62">
        <v>23360</v>
      </c>
      <c r="J62">
        <v>455</v>
      </c>
      <c r="K62">
        <v>957</v>
      </c>
      <c r="L62">
        <v>475</v>
      </c>
      <c r="M62">
        <v>970</v>
      </c>
      <c r="N62">
        <v>2870</v>
      </c>
      <c r="O62">
        <v>338</v>
      </c>
      <c r="P62">
        <v>286</v>
      </c>
      <c r="Q62">
        <v>351</v>
      </c>
      <c r="R62">
        <v>815</v>
      </c>
      <c r="S62">
        <v>930</v>
      </c>
      <c r="T62">
        <v>1130</v>
      </c>
      <c r="U62">
        <v>2060</v>
      </c>
      <c r="V62">
        <v>162</v>
      </c>
      <c r="W62">
        <v>1110</v>
      </c>
      <c r="X62">
        <v>230</v>
      </c>
      <c r="Y62">
        <v>1530</v>
      </c>
      <c r="Z62">
        <v>259</v>
      </c>
      <c r="AA62">
        <v>1293</v>
      </c>
      <c r="AB62" s="1" t="s">
        <v>1313</v>
      </c>
    </row>
    <row r="63" spans="1:28" x14ac:dyDescent="0.3">
      <c r="A63">
        <v>271</v>
      </c>
      <c r="B63" s="1" t="s">
        <v>1270</v>
      </c>
      <c r="C63">
        <v>0</v>
      </c>
      <c r="D63">
        <v>1610612752</v>
      </c>
      <c r="E63" s="1" t="s">
        <v>1248</v>
      </c>
      <c r="F63">
        <v>260</v>
      </c>
      <c r="G63">
        <v>80</v>
      </c>
      <c r="H63">
        <v>690</v>
      </c>
      <c r="I63">
        <v>22770</v>
      </c>
      <c r="J63">
        <v>374</v>
      </c>
      <c r="K63">
        <v>786</v>
      </c>
      <c r="L63">
        <v>476</v>
      </c>
      <c r="M63">
        <v>450</v>
      </c>
      <c r="N63">
        <v>1420</v>
      </c>
      <c r="O63">
        <v>317</v>
      </c>
      <c r="P63">
        <v>239</v>
      </c>
      <c r="Q63">
        <v>299</v>
      </c>
      <c r="R63">
        <v>799</v>
      </c>
      <c r="S63">
        <v>600</v>
      </c>
      <c r="T63">
        <v>1310</v>
      </c>
      <c r="U63">
        <v>1910</v>
      </c>
      <c r="V63">
        <v>180</v>
      </c>
      <c r="W63">
        <v>950</v>
      </c>
      <c r="X63">
        <v>220</v>
      </c>
      <c r="Y63">
        <v>1430</v>
      </c>
      <c r="Z63">
        <v>254</v>
      </c>
      <c r="AA63">
        <v>1032</v>
      </c>
      <c r="AB63" s="1" t="s">
        <v>1313</v>
      </c>
    </row>
    <row r="64" spans="1:28" x14ac:dyDescent="0.3">
      <c r="A64">
        <v>77710</v>
      </c>
      <c r="B64" s="1" t="s">
        <v>1284</v>
      </c>
      <c r="C64">
        <v>0</v>
      </c>
      <c r="D64">
        <v>1610612752</v>
      </c>
      <c r="E64" s="1" t="s">
        <v>1248</v>
      </c>
      <c r="F64">
        <v>330</v>
      </c>
      <c r="G64">
        <v>76</v>
      </c>
      <c r="H64">
        <v>320</v>
      </c>
      <c r="I64">
        <v>15070</v>
      </c>
      <c r="J64">
        <v>286</v>
      </c>
      <c r="K64">
        <v>615</v>
      </c>
      <c r="L64">
        <v>465</v>
      </c>
      <c r="M64">
        <v>70</v>
      </c>
      <c r="N64">
        <v>230</v>
      </c>
      <c r="O64">
        <v>304</v>
      </c>
      <c r="P64">
        <v>126</v>
      </c>
      <c r="Q64">
        <v>147</v>
      </c>
      <c r="R64">
        <v>857</v>
      </c>
      <c r="S64">
        <v>360</v>
      </c>
      <c r="T64">
        <v>550</v>
      </c>
      <c r="U64">
        <v>910</v>
      </c>
      <c r="V64">
        <v>170</v>
      </c>
      <c r="W64">
        <v>330</v>
      </c>
      <c r="X64">
        <v>30</v>
      </c>
      <c r="Y64">
        <v>1040</v>
      </c>
      <c r="Z64">
        <v>194</v>
      </c>
      <c r="AA64">
        <v>705</v>
      </c>
      <c r="AB64" s="1" t="s">
        <v>1314</v>
      </c>
    </row>
    <row r="65" spans="1:28" x14ac:dyDescent="0.3">
      <c r="A65">
        <v>76069</v>
      </c>
      <c r="B65" s="1" t="s">
        <v>1315</v>
      </c>
      <c r="C65">
        <v>0</v>
      </c>
      <c r="D65">
        <v>1610612752</v>
      </c>
      <c r="E65" s="1" t="s">
        <v>1248</v>
      </c>
      <c r="F65">
        <v>240</v>
      </c>
      <c r="G65">
        <v>25</v>
      </c>
      <c r="I65">
        <v>2880</v>
      </c>
      <c r="J65">
        <v>36</v>
      </c>
      <c r="K65">
        <v>88</v>
      </c>
      <c r="L65">
        <v>409</v>
      </c>
      <c r="P65">
        <v>21</v>
      </c>
      <c r="Q65">
        <v>27</v>
      </c>
      <c r="R65">
        <v>778</v>
      </c>
      <c r="U65">
        <v>420</v>
      </c>
      <c r="V65">
        <v>32</v>
      </c>
      <c r="Z65">
        <v>39</v>
      </c>
      <c r="AA65">
        <v>93</v>
      </c>
      <c r="AB65" s="1" t="s">
        <v>1316</v>
      </c>
    </row>
    <row r="66" spans="1:28" x14ac:dyDescent="0.3">
      <c r="A66">
        <v>1626254</v>
      </c>
      <c r="B66" s="1" t="s">
        <v>1281</v>
      </c>
      <c r="C66">
        <v>0</v>
      </c>
      <c r="D66">
        <v>1610612752</v>
      </c>
      <c r="E66" s="1" t="s">
        <v>1248</v>
      </c>
      <c r="F66">
        <v>250</v>
      </c>
      <c r="G66">
        <v>32</v>
      </c>
      <c r="H66">
        <v>40</v>
      </c>
      <c r="I66">
        <v>3310</v>
      </c>
      <c r="J66">
        <v>39</v>
      </c>
      <c r="K66">
        <v>86</v>
      </c>
      <c r="L66">
        <v>453</v>
      </c>
      <c r="M66">
        <v>10</v>
      </c>
      <c r="N66">
        <v>70</v>
      </c>
      <c r="O66">
        <v>143</v>
      </c>
      <c r="P66">
        <v>19</v>
      </c>
      <c r="Q66">
        <v>26</v>
      </c>
      <c r="R66">
        <v>731</v>
      </c>
      <c r="S66">
        <v>220</v>
      </c>
      <c r="T66">
        <v>420</v>
      </c>
      <c r="U66">
        <v>640</v>
      </c>
      <c r="V66">
        <v>8</v>
      </c>
      <c r="W66">
        <v>150</v>
      </c>
      <c r="X66">
        <v>80</v>
      </c>
      <c r="Y66">
        <v>120</v>
      </c>
      <c r="Z66">
        <v>30</v>
      </c>
      <c r="AA66">
        <v>98</v>
      </c>
      <c r="AB66" s="1" t="s">
        <v>1317</v>
      </c>
    </row>
    <row r="67" spans="1:28" x14ac:dyDescent="0.3">
      <c r="A67">
        <v>77693</v>
      </c>
      <c r="B67" s="1" t="s">
        <v>1318</v>
      </c>
      <c r="C67">
        <v>0</v>
      </c>
      <c r="D67">
        <v>1610612752</v>
      </c>
      <c r="E67" s="1" t="s">
        <v>1248</v>
      </c>
      <c r="F67">
        <v>220</v>
      </c>
      <c r="G67">
        <v>71</v>
      </c>
      <c r="I67">
        <v>17780</v>
      </c>
      <c r="J67">
        <v>293</v>
      </c>
      <c r="K67">
        <v>820</v>
      </c>
      <c r="L67">
        <v>357</v>
      </c>
      <c r="P67">
        <v>132</v>
      </c>
      <c r="Q67">
        <v>195</v>
      </c>
      <c r="R67">
        <v>677</v>
      </c>
      <c r="U67">
        <v>6170</v>
      </c>
      <c r="V67">
        <v>84</v>
      </c>
      <c r="Z67">
        <v>186</v>
      </c>
      <c r="AA67">
        <v>718</v>
      </c>
      <c r="AB67" s="1" t="s">
        <v>1319</v>
      </c>
    </row>
    <row r="68" spans="1:28" x14ac:dyDescent="0.3">
      <c r="A68">
        <v>77693</v>
      </c>
      <c r="B68" s="1" t="s">
        <v>1320</v>
      </c>
      <c r="C68">
        <v>0</v>
      </c>
      <c r="D68">
        <v>1610612752</v>
      </c>
      <c r="E68" s="1" t="s">
        <v>1248</v>
      </c>
      <c r="F68">
        <v>230</v>
      </c>
      <c r="G68">
        <v>68</v>
      </c>
      <c r="I68">
        <v>23690</v>
      </c>
      <c r="J68">
        <v>472</v>
      </c>
      <c r="K68">
        <v>1189</v>
      </c>
      <c r="L68">
        <v>397</v>
      </c>
      <c r="P68">
        <v>284</v>
      </c>
      <c r="Q68">
        <v>344</v>
      </c>
      <c r="R68">
        <v>826</v>
      </c>
      <c r="U68">
        <v>7990</v>
      </c>
      <c r="V68">
        <v>97</v>
      </c>
      <c r="Z68">
        <v>220</v>
      </c>
      <c r="AA68">
        <v>1228</v>
      </c>
      <c r="AB68" s="1" t="s">
        <v>1319</v>
      </c>
    </row>
    <row r="69" spans="1:28" x14ac:dyDescent="0.3">
      <c r="A69">
        <v>77693</v>
      </c>
      <c r="B69" s="1" t="s">
        <v>1250</v>
      </c>
      <c r="C69">
        <v>0</v>
      </c>
      <c r="D69">
        <v>1610612752</v>
      </c>
      <c r="E69" s="1" t="s">
        <v>1248</v>
      </c>
      <c r="F69">
        <v>240</v>
      </c>
      <c r="G69">
        <v>68</v>
      </c>
      <c r="I69">
        <v>20610</v>
      </c>
      <c r="J69">
        <v>405</v>
      </c>
      <c r="K69">
        <v>1072</v>
      </c>
      <c r="L69">
        <v>378</v>
      </c>
      <c r="P69">
        <v>258</v>
      </c>
      <c r="Q69">
        <v>311</v>
      </c>
      <c r="R69">
        <v>83</v>
      </c>
      <c r="U69">
        <v>7230</v>
      </c>
      <c r="V69">
        <v>102</v>
      </c>
      <c r="Z69">
        <v>233</v>
      </c>
      <c r="AA69">
        <v>1068</v>
      </c>
      <c r="AB69" s="1" t="s">
        <v>1319</v>
      </c>
    </row>
    <row r="70" spans="1:28" x14ac:dyDescent="0.3">
      <c r="A70">
        <v>77693</v>
      </c>
      <c r="B70" s="1" t="s">
        <v>1321</v>
      </c>
      <c r="C70">
        <v>0</v>
      </c>
      <c r="D70">
        <v>1610612752</v>
      </c>
      <c r="E70" s="1" t="s">
        <v>1248</v>
      </c>
      <c r="F70">
        <v>250</v>
      </c>
      <c r="G70">
        <v>65</v>
      </c>
      <c r="I70">
        <v>22500</v>
      </c>
      <c r="J70">
        <v>551</v>
      </c>
      <c r="K70">
        <v>1286</v>
      </c>
      <c r="L70">
        <v>428</v>
      </c>
      <c r="P70">
        <v>286</v>
      </c>
      <c r="Q70">
        <v>342</v>
      </c>
      <c r="R70">
        <v>836</v>
      </c>
      <c r="U70">
        <v>9210</v>
      </c>
      <c r="V70">
        <v>138</v>
      </c>
      <c r="Z70">
        <v>214</v>
      </c>
      <c r="AA70">
        <v>1388</v>
      </c>
      <c r="AB70" s="1" t="s">
        <v>1319</v>
      </c>
    </row>
    <row r="71" spans="1:28" x14ac:dyDescent="0.3">
      <c r="A71">
        <v>77693</v>
      </c>
      <c r="B71" s="1" t="s">
        <v>1322</v>
      </c>
      <c r="C71">
        <v>0</v>
      </c>
      <c r="D71">
        <v>1610612752</v>
      </c>
      <c r="E71" s="1" t="s">
        <v>1248</v>
      </c>
      <c r="F71">
        <v>260</v>
      </c>
      <c r="G71">
        <v>79</v>
      </c>
      <c r="I71">
        <v>29760</v>
      </c>
      <c r="J71">
        <v>737</v>
      </c>
      <c r="K71">
        <v>1723</v>
      </c>
      <c r="L71">
        <v>428</v>
      </c>
      <c r="P71">
        <v>372</v>
      </c>
      <c r="Q71">
        <v>456</v>
      </c>
      <c r="R71">
        <v>816</v>
      </c>
      <c r="U71">
        <v>10550</v>
      </c>
      <c r="V71">
        <v>191</v>
      </c>
      <c r="Z71">
        <v>268</v>
      </c>
      <c r="AA71">
        <v>1846</v>
      </c>
      <c r="AB71" s="1" t="s">
        <v>1319</v>
      </c>
    </row>
    <row r="72" spans="1:28" x14ac:dyDescent="0.3">
      <c r="A72">
        <v>77693</v>
      </c>
      <c r="B72" s="1" t="s">
        <v>1323</v>
      </c>
      <c r="C72">
        <v>0</v>
      </c>
      <c r="D72">
        <v>1610612752</v>
      </c>
      <c r="E72" s="1" t="s">
        <v>1248</v>
      </c>
      <c r="F72">
        <v>270</v>
      </c>
      <c r="G72">
        <v>75</v>
      </c>
      <c r="I72">
        <v>29780</v>
      </c>
      <c r="J72">
        <v>747</v>
      </c>
      <c r="K72">
        <v>1798</v>
      </c>
      <c r="L72">
        <v>415</v>
      </c>
      <c r="P72">
        <v>383</v>
      </c>
      <c r="Q72">
        <v>455</v>
      </c>
      <c r="R72">
        <v>842</v>
      </c>
      <c r="U72">
        <v>8670</v>
      </c>
      <c r="V72">
        <v>192</v>
      </c>
      <c r="Z72">
        <v>260</v>
      </c>
      <c r="AA72">
        <v>1877</v>
      </c>
      <c r="AB72" s="1" t="s">
        <v>1319</v>
      </c>
    </row>
    <row r="73" spans="1:28" x14ac:dyDescent="0.3">
      <c r="A73">
        <v>2853</v>
      </c>
      <c r="B73" s="1" t="s">
        <v>1305</v>
      </c>
      <c r="C73">
        <v>0</v>
      </c>
      <c r="D73">
        <v>1610612752</v>
      </c>
      <c r="E73" s="1" t="s">
        <v>1248</v>
      </c>
      <c r="F73">
        <v>280</v>
      </c>
      <c r="G73">
        <v>7</v>
      </c>
      <c r="H73">
        <v>60</v>
      </c>
      <c r="I73">
        <v>2320</v>
      </c>
      <c r="J73">
        <v>30</v>
      </c>
      <c r="K73">
        <v>68</v>
      </c>
      <c r="L73">
        <v>441</v>
      </c>
      <c r="M73">
        <v>0</v>
      </c>
      <c r="N73">
        <v>0</v>
      </c>
      <c r="O73">
        <v>0</v>
      </c>
      <c r="P73">
        <v>22</v>
      </c>
      <c r="Q73">
        <v>29</v>
      </c>
      <c r="R73">
        <v>759</v>
      </c>
      <c r="S73">
        <v>310</v>
      </c>
      <c r="T73">
        <v>460</v>
      </c>
      <c r="U73">
        <v>770</v>
      </c>
      <c r="V73">
        <v>8</v>
      </c>
      <c r="W73">
        <v>40</v>
      </c>
      <c r="X73">
        <v>40</v>
      </c>
      <c r="Y73">
        <v>110</v>
      </c>
      <c r="Z73">
        <v>24</v>
      </c>
      <c r="AA73">
        <v>82</v>
      </c>
      <c r="AB73" s="1" t="s">
        <v>1324</v>
      </c>
    </row>
    <row r="74" spans="1:28" x14ac:dyDescent="0.3">
      <c r="A74">
        <v>2853</v>
      </c>
      <c r="B74" s="1" t="s">
        <v>1292</v>
      </c>
      <c r="C74">
        <v>0</v>
      </c>
      <c r="D74">
        <v>1610612752</v>
      </c>
      <c r="E74" s="1" t="s">
        <v>1248</v>
      </c>
      <c r="F74">
        <v>310</v>
      </c>
      <c r="G74">
        <v>1</v>
      </c>
      <c r="H74">
        <v>10</v>
      </c>
      <c r="I74">
        <v>370</v>
      </c>
      <c r="J74">
        <v>5</v>
      </c>
      <c r="K74">
        <v>14</v>
      </c>
      <c r="L74">
        <v>357</v>
      </c>
      <c r="M74">
        <v>0</v>
      </c>
      <c r="N74">
        <v>0</v>
      </c>
      <c r="O74">
        <v>0</v>
      </c>
      <c r="P74">
        <v>1</v>
      </c>
      <c r="Q74">
        <v>2</v>
      </c>
      <c r="R74">
        <v>5</v>
      </c>
      <c r="S74">
        <v>60</v>
      </c>
      <c r="T74">
        <v>120</v>
      </c>
      <c r="U74">
        <v>180</v>
      </c>
      <c r="V74">
        <v>2</v>
      </c>
      <c r="W74">
        <v>0</v>
      </c>
      <c r="X74">
        <v>10</v>
      </c>
      <c r="Y74">
        <v>10</v>
      </c>
      <c r="Z74">
        <v>1</v>
      </c>
      <c r="AA74">
        <v>11</v>
      </c>
      <c r="AB74" s="1" t="s">
        <v>1324</v>
      </c>
    </row>
    <row r="75" spans="1:28" x14ac:dyDescent="0.3">
      <c r="A75">
        <v>1924</v>
      </c>
      <c r="B75" s="1" t="s">
        <v>1325</v>
      </c>
      <c r="C75">
        <v>0</v>
      </c>
      <c r="D75">
        <v>1610612752</v>
      </c>
      <c r="E75" s="1" t="s">
        <v>1248</v>
      </c>
      <c r="F75">
        <v>280</v>
      </c>
      <c r="G75">
        <v>38</v>
      </c>
      <c r="H75">
        <v>0</v>
      </c>
      <c r="I75">
        <v>4060</v>
      </c>
      <c r="J75">
        <v>84</v>
      </c>
      <c r="K75">
        <v>190</v>
      </c>
      <c r="L75">
        <v>442</v>
      </c>
      <c r="M75">
        <v>0</v>
      </c>
      <c r="N75">
        <v>10</v>
      </c>
      <c r="O75">
        <v>0</v>
      </c>
      <c r="P75">
        <v>42</v>
      </c>
      <c r="Q75">
        <v>51</v>
      </c>
      <c r="R75">
        <v>824</v>
      </c>
      <c r="S75">
        <v>320</v>
      </c>
      <c r="T75">
        <v>380</v>
      </c>
      <c r="U75">
        <v>700</v>
      </c>
      <c r="V75">
        <v>26</v>
      </c>
      <c r="W75">
        <v>60</v>
      </c>
      <c r="X75">
        <v>30</v>
      </c>
      <c r="Y75">
        <v>320</v>
      </c>
      <c r="Z75">
        <v>46</v>
      </c>
      <c r="AA75">
        <v>210</v>
      </c>
      <c r="AB75" s="1" t="s">
        <v>1326</v>
      </c>
    </row>
    <row r="76" spans="1:28" x14ac:dyDescent="0.3">
      <c r="A76">
        <v>1629004</v>
      </c>
      <c r="B76" s="1" t="s">
        <v>1327</v>
      </c>
      <c r="C76">
        <v>0</v>
      </c>
      <c r="D76">
        <v>1610612752</v>
      </c>
      <c r="E76" s="1" t="s">
        <v>1248</v>
      </c>
      <c r="F76">
        <v>260</v>
      </c>
      <c r="G76">
        <v>13</v>
      </c>
      <c r="H76">
        <v>0</v>
      </c>
      <c r="I76">
        <v>400</v>
      </c>
      <c r="J76">
        <v>6</v>
      </c>
      <c r="K76">
        <v>12</v>
      </c>
      <c r="L76">
        <v>5</v>
      </c>
      <c r="M76">
        <v>60</v>
      </c>
      <c r="N76">
        <v>100</v>
      </c>
      <c r="O76">
        <v>6</v>
      </c>
      <c r="P76">
        <v>3</v>
      </c>
      <c r="Q76">
        <v>5</v>
      </c>
      <c r="R76">
        <v>6</v>
      </c>
      <c r="S76">
        <v>0</v>
      </c>
      <c r="T76">
        <v>70</v>
      </c>
      <c r="U76">
        <v>70</v>
      </c>
      <c r="V76">
        <v>1</v>
      </c>
      <c r="W76">
        <v>10</v>
      </c>
      <c r="X76">
        <v>0</v>
      </c>
      <c r="Y76">
        <v>20</v>
      </c>
      <c r="Z76">
        <v>1</v>
      </c>
      <c r="AA76">
        <v>21</v>
      </c>
      <c r="AB76" s="1" t="s">
        <v>1328</v>
      </c>
    </row>
    <row r="77" spans="1:28" x14ac:dyDescent="0.3">
      <c r="A77">
        <v>147</v>
      </c>
      <c r="B77" s="1" t="s">
        <v>1300</v>
      </c>
      <c r="C77">
        <v>0</v>
      </c>
      <c r="D77">
        <v>1610612752</v>
      </c>
      <c r="E77" s="1" t="s">
        <v>1248</v>
      </c>
      <c r="F77">
        <v>330</v>
      </c>
      <c r="G77">
        <v>26</v>
      </c>
      <c r="H77">
        <v>230</v>
      </c>
      <c r="I77">
        <v>7460</v>
      </c>
      <c r="J77">
        <v>110</v>
      </c>
      <c r="K77">
        <v>239</v>
      </c>
      <c r="L77">
        <v>46</v>
      </c>
      <c r="M77">
        <v>280</v>
      </c>
      <c r="N77">
        <v>570</v>
      </c>
      <c r="O77">
        <v>491</v>
      </c>
      <c r="P77">
        <v>82</v>
      </c>
      <c r="Q77">
        <v>101</v>
      </c>
      <c r="R77">
        <v>812</v>
      </c>
      <c r="S77">
        <v>130</v>
      </c>
      <c r="T77">
        <v>690</v>
      </c>
      <c r="U77">
        <v>820</v>
      </c>
      <c r="V77">
        <v>68</v>
      </c>
      <c r="W77">
        <v>100</v>
      </c>
      <c r="X77">
        <v>30</v>
      </c>
      <c r="Y77">
        <v>500</v>
      </c>
      <c r="Z77">
        <v>55</v>
      </c>
      <c r="AA77">
        <v>330</v>
      </c>
      <c r="AB77" s="1" t="s">
        <v>1329</v>
      </c>
    </row>
    <row r="78" spans="1:28" x14ac:dyDescent="0.3">
      <c r="A78">
        <v>1683</v>
      </c>
      <c r="B78" s="1" t="s">
        <v>1330</v>
      </c>
      <c r="C78">
        <v>0</v>
      </c>
      <c r="D78">
        <v>1610612752</v>
      </c>
      <c r="E78" s="1" t="s">
        <v>1248</v>
      </c>
      <c r="F78">
        <v>340</v>
      </c>
      <c r="G78">
        <v>2</v>
      </c>
      <c r="H78">
        <v>0</v>
      </c>
      <c r="I78">
        <v>110</v>
      </c>
      <c r="J78">
        <v>1</v>
      </c>
      <c r="K78">
        <v>4</v>
      </c>
      <c r="L78">
        <v>25</v>
      </c>
      <c r="M78">
        <v>10</v>
      </c>
      <c r="N78">
        <v>20</v>
      </c>
      <c r="O78">
        <v>5</v>
      </c>
      <c r="P78">
        <v>0</v>
      </c>
      <c r="Q78">
        <v>0</v>
      </c>
      <c r="R78">
        <v>0</v>
      </c>
      <c r="S78">
        <v>0</v>
      </c>
      <c r="T78">
        <v>20</v>
      </c>
      <c r="U78">
        <v>20</v>
      </c>
      <c r="V78">
        <v>0</v>
      </c>
      <c r="W78">
        <v>0</v>
      </c>
      <c r="X78">
        <v>0</v>
      </c>
      <c r="Y78">
        <v>0</v>
      </c>
      <c r="Z78">
        <v>1</v>
      </c>
      <c r="AA78">
        <v>3</v>
      </c>
      <c r="AB78" s="1" t="s">
        <v>1331</v>
      </c>
    </row>
    <row r="79" spans="1:28" x14ac:dyDescent="0.3">
      <c r="A79">
        <v>939</v>
      </c>
      <c r="B79" s="1" t="s">
        <v>1268</v>
      </c>
      <c r="C79">
        <v>0</v>
      </c>
      <c r="D79">
        <v>1610612752</v>
      </c>
      <c r="E79" s="1" t="s">
        <v>1248</v>
      </c>
      <c r="F79">
        <v>250</v>
      </c>
      <c r="G79">
        <v>29</v>
      </c>
      <c r="H79">
        <v>0</v>
      </c>
      <c r="I79">
        <v>2300</v>
      </c>
      <c r="J79">
        <v>25</v>
      </c>
      <c r="K79">
        <v>61</v>
      </c>
      <c r="L79">
        <v>41</v>
      </c>
      <c r="M79">
        <v>0</v>
      </c>
      <c r="N79">
        <v>20</v>
      </c>
      <c r="O79">
        <v>0</v>
      </c>
      <c r="P79">
        <v>31</v>
      </c>
      <c r="Q79">
        <v>44</v>
      </c>
      <c r="R79">
        <v>705</v>
      </c>
      <c r="S79">
        <v>120</v>
      </c>
      <c r="T79">
        <v>110</v>
      </c>
      <c r="U79">
        <v>230</v>
      </c>
      <c r="V79">
        <v>46</v>
      </c>
      <c r="W79">
        <v>170</v>
      </c>
      <c r="X79">
        <v>20</v>
      </c>
      <c r="Y79">
        <v>190</v>
      </c>
      <c r="Z79">
        <v>41</v>
      </c>
      <c r="AA79">
        <v>81</v>
      </c>
      <c r="AB79" s="1" t="s">
        <v>1332</v>
      </c>
    </row>
    <row r="80" spans="1:28" x14ac:dyDescent="0.3">
      <c r="A80">
        <v>939</v>
      </c>
      <c r="B80" s="1" t="s">
        <v>1270</v>
      </c>
      <c r="C80">
        <v>0</v>
      </c>
      <c r="D80">
        <v>1610612752</v>
      </c>
      <c r="E80" s="1" t="s">
        <v>1248</v>
      </c>
      <c r="F80">
        <v>260</v>
      </c>
      <c r="G80">
        <v>24</v>
      </c>
      <c r="H80">
        <v>0</v>
      </c>
      <c r="I80">
        <v>2080</v>
      </c>
      <c r="J80">
        <v>15</v>
      </c>
      <c r="K80">
        <v>45</v>
      </c>
      <c r="L80">
        <v>333</v>
      </c>
      <c r="M80">
        <v>0</v>
      </c>
      <c r="N80">
        <v>10</v>
      </c>
      <c r="O80">
        <v>0</v>
      </c>
      <c r="P80">
        <v>16</v>
      </c>
      <c r="Q80">
        <v>31</v>
      </c>
      <c r="R80">
        <v>516</v>
      </c>
      <c r="S80">
        <v>100</v>
      </c>
      <c r="T80">
        <v>180</v>
      </c>
      <c r="U80">
        <v>280</v>
      </c>
      <c r="V80">
        <v>35</v>
      </c>
      <c r="W80">
        <v>150</v>
      </c>
      <c r="X80">
        <v>20</v>
      </c>
      <c r="Y80">
        <v>180</v>
      </c>
      <c r="Z80">
        <v>39</v>
      </c>
      <c r="AA80">
        <v>46</v>
      </c>
      <c r="AB80" s="1" t="s">
        <v>1332</v>
      </c>
    </row>
    <row r="81" spans="1:28" x14ac:dyDescent="0.3">
      <c r="A81">
        <v>939</v>
      </c>
      <c r="B81" s="1" t="s">
        <v>1278</v>
      </c>
      <c r="C81">
        <v>0</v>
      </c>
      <c r="D81">
        <v>1610612752</v>
      </c>
      <c r="E81" s="1" t="s">
        <v>1248</v>
      </c>
      <c r="F81">
        <v>340</v>
      </c>
      <c r="G81">
        <v>9</v>
      </c>
      <c r="H81">
        <v>0</v>
      </c>
      <c r="I81">
        <v>400</v>
      </c>
      <c r="J81">
        <v>5</v>
      </c>
      <c r="K81">
        <v>10</v>
      </c>
      <c r="L81">
        <v>5</v>
      </c>
      <c r="M81">
        <v>0</v>
      </c>
      <c r="N81">
        <v>0</v>
      </c>
      <c r="O81">
        <v>0</v>
      </c>
      <c r="P81">
        <v>4</v>
      </c>
      <c r="Q81">
        <v>6</v>
      </c>
      <c r="R81">
        <v>667</v>
      </c>
      <c r="S81">
        <v>50</v>
      </c>
      <c r="T81">
        <v>50</v>
      </c>
      <c r="U81">
        <v>100</v>
      </c>
      <c r="V81">
        <v>3</v>
      </c>
      <c r="W81">
        <v>40</v>
      </c>
      <c r="X81">
        <v>0</v>
      </c>
      <c r="Y81">
        <v>40</v>
      </c>
      <c r="Z81">
        <v>7</v>
      </c>
      <c r="AA81">
        <v>14</v>
      </c>
      <c r="AB81" s="1" t="s">
        <v>1332</v>
      </c>
    </row>
    <row r="82" spans="1:28" x14ac:dyDescent="0.3">
      <c r="A82">
        <v>78200</v>
      </c>
      <c r="B82" s="1" t="s">
        <v>1284</v>
      </c>
      <c r="C82">
        <v>0</v>
      </c>
      <c r="D82">
        <v>1610612752</v>
      </c>
      <c r="E82" s="1" t="s">
        <v>1248</v>
      </c>
      <c r="F82">
        <v>330</v>
      </c>
      <c r="G82">
        <v>82</v>
      </c>
      <c r="H82">
        <v>400</v>
      </c>
      <c r="I82">
        <v>20330</v>
      </c>
      <c r="J82">
        <v>348</v>
      </c>
      <c r="K82">
        <v>748</v>
      </c>
      <c r="L82">
        <v>465</v>
      </c>
      <c r="M82">
        <v>30</v>
      </c>
      <c r="N82">
        <v>110</v>
      </c>
      <c r="O82">
        <v>273</v>
      </c>
      <c r="P82">
        <v>122</v>
      </c>
      <c r="Q82">
        <v>151</v>
      </c>
      <c r="R82">
        <v>808</v>
      </c>
      <c r="S82">
        <v>530</v>
      </c>
      <c r="T82">
        <v>1020</v>
      </c>
      <c r="U82">
        <v>1550</v>
      </c>
      <c r="V82">
        <v>255</v>
      </c>
      <c r="W82">
        <v>910</v>
      </c>
      <c r="X82">
        <v>10</v>
      </c>
      <c r="Y82">
        <v>1240</v>
      </c>
      <c r="Z82">
        <v>199</v>
      </c>
      <c r="AA82">
        <v>821</v>
      </c>
      <c r="AB82" s="1" t="s">
        <v>1333</v>
      </c>
    </row>
    <row r="83" spans="1:28" x14ac:dyDescent="0.3">
      <c r="A83">
        <v>87</v>
      </c>
      <c r="B83" s="1" t="s">
        <v>1293</v>
      </c>
      <c r="C83">
        <v>0</v>
      </c>
      <c r="D83">
        <v>1610612752</v>
      </c>
      <c r="E83" s="1" t="s">
        <v>1248</v>
      </c>
      <c r="F83">
        <v>380</v>
      </c>
      <c r="G83">
        <v>65</v>
      </c>
      <c r="H83">
        <v>560</v>
      </c>
      <c r="I83">
        <v>14970</v>
      </c>
      <c r="J83">
        <v>141</v>
      </c>
      <c r="K83">
        <v>295</v>
      </c>
      <c r="L83">
        <v>478</v>
      </c>
      <c r="M83">
        <v>0</v>
      </c>
      <c r="N83">
        <v>0</v>
      </c>
      <c r="O83">
        <v>0</v>
      </c>
      <c r="P83">
        <v>81</v>
      </c>
      <c r="Q83">
        <v>119</v>
      </c>
      <c r="R83">
        <v>681</v>
      </c>
      <c r="S83">
        <v>1450</v>
      </c>
      <c r="T83">
        <v>2920</v>
      </c>
      <c r="U83">
        <v>4370</v>
      </c>
      <c r="V83">
        <v>25</v>
      </c>
      <c r="W83">
        <v>170</v>
      </c>
      <c r="X83">
        <v>1230</v>
      </c>
      <c r="Y83">
        <v>540</v>
      </c>
      <c r="Z83">
        <v>141</v>
      </c>
      <c r="AA83">
        <v>363</v>
      </c>
      <c r="AB83" s="1" t="s">
        <v>1334</v>
      </c>
    </row>
    <row r="84" spans="1:28" x14ac:dyDescent="0.3">
      <c r="A84">
        <v>1710</v>
      </c>
      <c r="B84" s="1" t="s">
        <v>1290</v>
      </c>
      <c r="C84">
        <v>0</v>
      </c>
      <c r="D84">
        <v>1610612752</v>
      </c>
      <c r="E84" s="1" t="s">
        <v>1248</v>
      </c>
      <c r="F84">
        <v>340</v>
      </c>
      <c r="G84">
        <v>39</v>
      </c>
      <c r="H84">
        <v>40</v>
      </c>
      <c r="I84">
        <v>5570</v>
      </c>
      <c r="J84">
        <v>35</v>
      </c>
      <c r="K84">
        <v>124</v>
      </c>
      <c r="L84">
        <v>282</v>
      </c>
      <c r="M84">
        <v>270</v>
      </c>
      <c r="N84">
        <v>850</v>
      </c>
      <c r="O84">
        <v>318</v>
      </c>
      <c r="P84">
        <v>6</v>
      </c>
      <c r="Q84">
        <v>8</v>
      </c>
      <c r="R84">
        <v>75</v>
      </c>
      <c r="S84">
        <v>50</v>
      </c>
      <c r="T84">
        <v>540</v>
      </c>
      <c r="U84">
        <v>590</v>
      </c>
      <c r="V84">
        <v>80</v>
      </c>
      <c r="W84">
        <v>210</v>
      </c>
      <c r="X84">
        <v>30</v>
      </c>
      <c r="Y84">
        <v>200</v>
      </c>
      <c r="Z84">
        <v>45</v>
      </c>
      <c r="AA84">
        <v>103</v>
      </c>
      <c r="AB84" s="1" t="s">
        <v>1335</v>
      </c>
    </row>
    <row r="85" spans="1:28" x14ac:dyDescent="0.3">
      <c r="A85">
        <v>1054</v>
      </c>
      <c r="B85" s="1" t="s">
        <v>1271</v>
      </c>
      <c r="C85">
        <v>0</v>
      </c>
      <c r="D85">
        <v>1610612752</v>
      </c>
      <c r="E85" s="1" t="s">
        <v>1248</v>
      </c>
      <c r="F85">
        <v>210</v>
      </c>
      <c r="G85">
        <v>62</v>
      </c>
      <c r="H85">
        <v>50</v>
      </c>
      <c r="I85">
        <v>8250</v>
      </c>
      <c r="J85">
        <v>106</v>
      </c>
      <c r="K85">
        <v>228</v>
      </c>
      <c r="L85">
        <v>465</v>
      </c>
      <c r="M85">
        <v>0</v>
      </c>
      <c r="N85">
        <v>10</v>
      </c>
      <c r="O85">
        <v>0</v>
      </c>
      <c r="P85">
        <v>56</v>
      </c>
      <c r="Q85">
        <v>87</v>
      </c>
      <c r="R85">
        <v>644</v>
      </c>
      <c r="S85">
        <v>510</v>
      </c>
      <c r="T85">
        <v>1180</v>
      </c>
      <c r="U85">
        <v>1690</v>
      </c>
      <c r="V85">
        <v>36</v>
      </c>
      <c r="W85">
        <v>150</v>
      </c>
      <c r="X85">
        <v>140</v>
      </c>
      <c r="Y85">
        <v>610</v>
      </c>
      <c r="Z85">
        <v>109</v>
      </c>
      <c r="AA85">
        <v>268</v>
      </c>
      <c r="AB85" s="1" t="s">
        <v>1336</v>
      </c>
    </row>
    <row r="86" spans="1:28" x14ac:dyDescent="0.3">
      <c r="A86">
        <v>203315</v>
      </c>
      <c r="B86" s="1" t="s">
        <v>1337</v>
      </c>
      <c r="C86">
        <v>0</v>
      </c>
      <c r="D86">
        <v>1610612752</v>
      </c>
      <c r="E86" s="1" t="s">
        <v>1248</v>
      </c>
      <c r="F86">
        <v>240</v>
      </c>
      <c r="G86">
        <v>51</v>
      </c>
      <c r="H86">
        <v>0</v>
      </c>
      <c r="I86">
        <v>3720</v>
      </c>
      <c r="J86">
        <v>56</v>
      </c>
      <c r="K86">
        <v>129</v>
      </c>
      <c r="L86">
        <v>434</v>
      </c>
      <c r="M86">
        <v>50</v>
      </c>
      <c r="N86">
        <v>120</v>
      </c>
      <c r="O86">
        <v>417</v>
      </c>
      <c r="P86">
        <v>23</v>
      </c>
      <c r="Q86">
        <v>39</v>
      </c>
      <c r="R86">
        <v>59</v>
      </c>
      <c r="S86">
        <v>130</v>
      </c>
      <c r="T86">
        <v>310</v>
      </c>
      <c r="U86">
        <v>440</v>
      </c>
      <c r="V86">
        <v>49</v>
      </c>
      <c r="W86">
        <v>190</v>
      </c>
      <c r="X86">
        <v>10</v>
      </c>
      <c r="Y86">
        <v>340</v>
      </c>
      <c r="Z86">
        <v>46</v>
      </c>
      <c r="AA86">
        <v>140</v>
      </c>
      <c r="AB86" s="1" t="s">
        <v>1338</v>
      </c>
    </row>
    <row r="87" spans="1:28" x14ac:dyDescent="0.3">
      <c r="A87">
        <v>77671</v>
      </c>
      <c r="B87" s="1" t="s">
        <v>1339</v>
      </c>
      <c r="C87">
        <v>0</v>
      </c>
      <c r="D87">
        <v>1610612752</v>
      </c>
      <c r="E87" s="1" t="s">
        <v>1248</v>
      </c>
      <c r="F87">
        <v>220</v>
      </c>
      <c r="G87">
        <v>9</v>
      </c>
      <c r="I87">
        <v>0</v>
      </c>
      <c r="J87">
        <v>8</v>
      </c>
      <c r="K87">
        <v>25</v>
      </c>
      <c r="L87">
        <v>32</v>
      </c>
      <c r="P87">
        <v>8</v>
      </c>
      <c r="Q87">
        <v>12</v>
      </c>
      <c r="R87">
        <v>667</v>
      </c>
      <c r="U87">
        <v>0</v>
      </c>
      <c r="V87">
        <v>0</v>
      </c>
      <c r="Z87">
        <v>3</v>
      </c>
      <c r="AA87">
        <v>24</v>
      </c>
      <c r="AB87" s="1" t="s">
        <v>1340</v>
      </c>
    </row>
    <row r="88" spans="1:28" x14ac:dyDescent="0.3">
      <c r="A88">
        <v>77672</v>
      </c>
      <c r="B88" s="1" t="s">
        <v>1339</v>
      </c>
      <c r="C88">
        <v>0</v>
      </c>
      <c r="D88">
        <v>1610612752</v>
      </c>
      <c r="E88" s="1" t="s">
        <v>1248</v>
      </c>
      <c r="F88">
        <v>260</v>
      </c>
      <c r="G88">
        <v>24</v>
      </c>
      <c r="I88">
        <v>0</v>
      </c>
      <c r="J88">
        <v>14</v>
      </c>
      <c r="K88">
        <v>58</v>
      </c>
      <c r="L88">
        <v>241</v>
      </c>
      <c r="P88">
        <v>4</v>
      </c>
      <c r="Q88">
        <v>5</v>
      </c>
      <c r="R88">
        <v>8</v>
      </c>
      <c r="U88">
        <v>0</v>
      </c>
      <c r="V88">
        <v>5</v>
      </c>
      <c r="Z88">
        <v>9</v>
      </c>
      <c r="AA88">
        <v>32</v>
      </c>
      <c r="AB88" s="1" t="s">
        <v>1341</v>
      </c>
    </row>
    <row r="89" spans="1:28" x14ac:dyDescent="0.3">
      <c r="A89">
        <v>200745</v>
      </c>
      <c r="B89" s="1" t="s">
        <v>1337</v>
      </c>
      <c r="C89">
        <v>0</v>
      </c>
      <c r="D89">
        <v>1610612752</v>
      </c>
      <c r="E89" s="1" t="s">
        <v>1248</v>
      </c>
      <c r="F89">
        <v>280</v>
      </c>
      <c r="G89">
        <v>42</v>
      </c>
      <c r="H89">
        <v>390</v>
      </c>
      <c r="I89">
        <v>12570</v>
      </c>
      <c r="J89">
        <v>222</v>
      </c>
      <c r="K89">
        <v>502</v>
      </c>
      <c r="L89">
        <v>442</v>
      </c>
      <c r="M89">
        <v>300</v>
      </c>
      <c r="N89">
        <v>1080</v>
      </c>
      <c r="O89">
        <v>278</v>
      </c>
      <c r="P89">
        <v>84</v>
      </c>
      <c r="Q89">
        <v>102</v>
      </c>
      <c r="R89">
        <v>824</v>
      </c>
      <c r="S89">
        <v>690</v>
      </c>
      <c r="T89">
        <v>1530</v>
      </c>
      <c r="U89">
        <v>2220</v>
      </c>
      <c r="V89">
        <v>45</v>
      </c>
      <c r="W89">
        <v>140</v>
      </c>
      <c r="X89">
        <v>520</v>
      </c>
      <c r="Y89">
        <v>580</v>
      </c>
      <c r="Z89">
        <v>100</v>
      </c>
      <c r="AA89">
        <v>558</v>
      </c>
      <c r="AB89" s="1" t="s">
        <v>1342</v>
      </c>
    </row>
    <row r="90" spans="1:28" x14ac:dyDescent="0.3">
      <c r="A90">
        <v>200745</v>
      </c>
      <c r="B90" s="1" t="s">
        <v>1343</v>
      </c>
      <c r="C90">
        <v>0</v>
      </c>
      <c r="D90">
        <v>1610612752</v>
      </c>
      <c r="E90" s="1" t="s">
        <v>1248</v>
      </c>
      <c r="F90">
        <v>290</v>
      </c>
      <c r="G90">
        <v>29</v>
      </c>
      <c r="H90">
        <v>220</v>
      </c>
      <c r="I90">
        <v>7850</v>
      </c>
      <c r="J90">
        <v>164</v>
      </c>
      <c r="K90">
        <v>361</v>
      </c>
      <c r="L90">
        <v>454</v>
      </c>
      <c r="M90">
        <v>150</v>
      </c>
      <c r="N90">
        <v>410</v>
      </c>
      <c r="O90">
        <v>366</v>
      </c>
      <c r="P90">
        <v>87</v>
      </c>
      <c r="Q90">
        <v>107</v>
      </c>
      <c r="R90">
        <v>813</v>
      </c>
      <c r="S90">
        <v>320</v>
      </c>
      <c r="T90">
        <v>950</v>
      </c>
      <c r="U90">
        <v>1270</v>
      </c>
      <c r="V90">
        <v>46</v>
      </c>
      <c r="W90">
        <v>20</v>
      </c>
      <c r="X90">
        <v>270</v>
      </c>
      <c r="Y90">
        <v>420</v>
      </c>
      <c r="Z90">
        <v>53</v>
      </c>
      <c r="AA90">
        <v>430</v>
      </c>
      <c r="AB90" s="1" t="s">
        <v>1342</v>
      </c>
    </row>
    <row r="91" spans="1:28" x14ac:dyDescent="0.3">
      <c r="A91">
        <v>77660</v>
      </c>
      <c r="B91" s="1" t="s">
        <v>1339</v>
      </c>
      <c r="C91">
        <v>0</v>
      </c>
      <c r="D91">
        <v>1610612752</v>
      </c>
      <c r="E91" s="1" t="s">
        <v>1248</v>
      </c>
      <c r="F91">
        <v>240</v>
      </c>
      <c r="G91">
        <v>26</v>
      </c>
      <c r="I91">
        <v>0</v>
      </c>
      <c r="J91">
        <v>27</v>
      </c>
      <c r="K91">
        <v>104</v>
      </c>
      <c r="L91">
        <v>26</v>
      </c>
      <c r="P91">
        <v>22</v>
      </c>
      <c r="Q91">
        <v>34</v>
      </c>
      <c r="R91">
        <v>647</v>
      </c>
      <c r="U91">
        <v>0</v>
      </c>
      <c r="V91">
        <v>18</v>
      </c>
      <c r="Z91">
        <v>32</v>
      </c>
      <c r="AA91">
        <v>76</v>
      </c>
      <c r="AB91" s="1" t="s">
        <v>1344</v>
      </c>
    </row>
    <row r="92" spans="1:28" x14ac:dyDescent="0.3">
      <c r="A92">
        <v>1626144</v>
      </c>
      <c r="B92" s="1" t="s">
        <v>1259</v>
      </c>
      <c r="C92">
        <v>0</v>
      </c>
      <c r="D92">
        <v>1610612752</v>
      </c>
      <c r="E92" s="1" t="s">
        <v>1248</v>
      </c>
      <c r="F92">
        <v>220</v>
      </c>
      <c r="G92">
        <v>22</v>
      </c>
      <c r="H92">
        <v>140</v>
      </c>
      <c r="I92">
        <v>4930</v>
      </c>
      <c r="J92">
        <v>75</v>
      </c>
      <c r="K92">
        <v>204</v>
      </c>
      <c r="L92">
        <v>368</v>
      </c>
      <c r="M92">
        <v>90</v>
      </c>
      <c r="N92">
        <v>460</v>
      </c>
      <c r="O92">
        <v>196</v>
      </c>
      <c r="P92">
        <v>35</v>
      </c>
      <c r="Q92">
        <v>51</v>
      </c>
      <c r="R92">
        <v>686</v>
      </c>
      <c r="S92">
        <v>100</v>
      </c>
      <c r="T92">
        <v>480</v>
      </c>
      <c r="U92">
        <v>580</v>
      </c>
      <c r="V92">
        <v>85</v>
      </c>
      <c r="W92">
        <v>200</v>
      </c>
      <c r="X92">
        <v>70</v>
      </c>
      <c r="Y92">
        <v>410</v>
      </c>
      <c r="Z92">
        <v>33</v>
      </c>
      <c r="AA92">
        <v>194</v>
      </c>
      <c r="AB92" s="1" t="s">
        <v>1345</v>
      </c>
    </row>
    <row r="93" spans="1:28" x14ac:dyDescent="0.3">
      <c r="A93">
        <v>1626144</v>
      </c>
      <c r="B93" s="1" t="s">
        <v>1287</v>
      </c>
      <c r="C93">
        <v>0</v>
      </c>
      <c r="D93">
        <v>1610612752</v>
      </c>
      <c r="E93" s="1" t="s">
        <v>1248</v>
      </c>
      <c r="F93">
        <v>230</v>
      </c>
      <c r="G93">
        <v>59</v>
      </c>
      <c r="H93">
        <v>420</v>
      </c>
      <c r="I93">
        <v>16070</v>
      </c>
      <c r="J93">
        <v>330</v>
      </c>
      <c r="K93">
        <v>740</v>
      </c>
      <c r="L93">
        <v>446</v>
      </c>
      <c r="M93">
        <v>690</v>
      </c>
      <c r="N93">
        <v>2100</v>
      </c>
      <c r="O93">
        <v>329</v>
      </c>
      <c r="P93">
        <v>144</v>
      </c>
      <c r="Q93">
        <v>186</v>
      </c>
      <c r="R93">
        <v>774</v>
      </c>
      <c r="S93">
        <v>330</v>
      </c>
      <c r="T93">
        <v>1630</v>
      </c>
      <c r="U93">
        <v>1960</v>
      </c>
      <c r="V93">
        <v>228</v>
      </c>
      <c r="W93">
        <v>430</v>
      </c>
      <c r="X93">
        <v>190</v>
      </c>
      <c r="Y93">
        <v>1400</v>
      </c>
      <c r="Z93">
        <v>103</v>
      </c>
      <c r="AA93">
        <v>873</v>
      </c>
      <c r="AB93" s="1" t="s">
        <v>1345</v>
      </c>
    </row>
    <row r="94" spans="1:28" x14ac:dyDescent="0.3">
      <c r="A94">
        <v>202389</v>
      </c>
      <c r="B94" s="1" t="s">
        <v>1312</v>
      </c>
      <c r="C94">
        <v>0</v>
      </c>
      <c r="D94">
        <v>1610612752</v>
      </c>
      <c r="E94" s="1" t="s">
        <v>1248</v>
      </c>
      <c r="F94">
        <v>240</v>
      </c>
      <c r="G94">
        <v>34</v>
      </c>
      <c r="H94">
        <v>140</v>
      </c>
      <c r="I94">
        <v>4580</v>
      </c>
      <c r="J94">
        <v>52</v>
      </c>
      <c r="K94">
        <v>112</v>
      </c>
      <c r="L94">
        <v>464</v>
      </c>
      <c r="M94">
        <v>0</v>
      </c>
      <c r="N94">
        <v>0</v>
      </c>
      <c r="O94">
        <v>0</v>
      </c>
      <c r="P94">
        <v>31</v>
      </c>
      <c r="Q94">
        <v>44</v>
      </c>
      <c r="R94">
        <v>705</v>
      </c>
      <c r="S94">
        <v>410</v>
      </c>
      <c r="T94">
        <v>630</v>
      </c>
      <c r="U94">
        <v>1040</v>
      </c>
      <c r="V94">
        <v>15</v>
      </c>
      <c r="W94">
        <v>140</v>
      </c>
      <c r="X94">
        <v>230</v>
      </c>
      <c r="Y94">
        <v>320</v>
      </c>
      <c r="Z94">
        <v>76</v>
      </c>
      <c r="AA94">
        <v>135</v>
      </c>
      <c r="AB94" s="1" t="s">
        <v>1346</v>
      </c>
    </row>
    <row r="95" spans="1:28" x14ac:dyDescent="0.3">
      <c r="A95">
        <v>203085</v>
      </c>
      <c r="B95" s="1" t="s">
        <v>1289</v>
      </c>
      <c r="C95">
        <v>0</v>
      </c>
      <c r="D95">
        <v>1610612752</v>
      </c>
      <c r="E95" s="1" t="s">
        <v>1248</v>
      </c>
      <c r="F95">
        <v>280</v>
      </c>
      <c r="G95">
        <v>21</v>
      </c>
      <c r="H95">
        <v>20</v>
      </c>
      <c r="I95">
        <v>4420</v>
      </c>
      <c r="J95">
        <v>58</v>
      </c>
      <c r="K95">
        <v>135</v>
      </c>
      <c r="L95">
        <v>43</v>
      </c>
      <c r="M95">
        <v>280</v>
      </c>
      <c r="N95">
        <v>770</v>
      </c>
      <c r="O95">
        <v>364</v>
      </c>
      <c r="P95">
        <v>10</v>
      </c>
      <c r="Q95">
        <v>14</v>
      </c>
      <c r="R95">
        <v>714</v>
      </c>
      <c r="S95">
        <v>50</v>
      </c>
      <c r="T95">
        <v>420</v>
      </c>
      <c r="U95">
        <v>470</v>
      </c>
      <c r="V95">
        <v>42</v>
      </c>
      <c r="W95">
        <v>120</v>
      </c>
      <c r="X95">
        <v>0</v>
      </c>
      <c r="Y95">
        <v>220</v>
      </c>
      <c r="Z95">
        <v>32</v>
      </c>
      <c r="AA95">
        <v>154</v>
      </c>
      <c r="AB95" s="1" t="s">
        <v>1347</v>
      </c>
    </row>
    <row r="96" spans="1:28" x14ac:dyDescent="0.3">
      <c r="A96">
        <v>202694</v>
      </c>
      <c r="B96" s="1" t="s">
        <v>1288</v>
      </c>
      <c r="C96">
        <v>0</v>
      </c>
      <c r="D96">
        <v>1610612752</v>
      </c>
      <c r="E96" s="1" t="s">
        <v>1248</v>
      </c>
      <c r="F96">
        <v>300</v>
      </c>
      <c r="G96">
        <v>43</v>
      </c>
      <c r="H96">
        <v>430</v>
      </c>
      <c r="I96">
        <v>13870</v>
      </c>
      <c r="J96">
        <v>281</v>
      </c>
      <c r="K96">
        <v>636</v>
      </c>
      <c r="L96">
        <v>442</v>
      </c>
      <c r="M96">
        <v>1160</v>
      </c>
      <c r="N96">
        <v>2640</v>
      </c>
      <c r="O96">
        <v>439</v>
      </c>
      <c r="P96">
        <v>163</v>
      </c>
      <c r="Q96">
        <v>198</v>
      </c>
      <c r="R96">
        <v>823</v>
      </c>
      <c r="S96">
        <v>480</v>
      </c>
      <c r="T96">
        <v>1850</v>
      </c>
      <c r="U96">
        <v>2330</v>
      </c>
      <c r="V96">
        <v>59</v>
      </c>
      <c r="W96">
        <v>340</v>
      </c>
      <c r="X96">
        <v>170</v>
      </c>
      <c r="Y96">
        <v>730</v>
      </c>
      <c r="Z96">
        <v>128</v>
      </c>
      <c r="AA96">
        <v>841</v>
      </c>
      <c r="AB96" s="1" t="s">
        <v>1348</v>
      </c>
    </row>
    <row r="97" spans="1:28" x14ac:dyDescent="0.3">
      <c r="A97">
        <v>78075</v>
      </c>
      <c r="B97" s="1" t="s">
        <v>1349</v>
      </c>
      <c r="C97">
        <v>0</v>
      </c>
      <c r="D97">
        <v>1610612752</v>
      </c>
      <c r="E97" s="1" t="s">
        <v>1248</v>
      </c>
      <c r="F97">
        <v>280</v>
      </c>
      <c r="G97">
        <v>67</v>
      </c>
      <c r="I97">
        <v>15150</v>
      </c>
      <c r="J97">
        <v>161</v>
      </c>
      <c r="K97">
        <v>415</v>
      </c>
      <c r="L97">
        <v>388</v>
      </c>
      <c r="P97">
        <v>153</v>
      </c>
      <c r="Q97">
        <v>195</v>
      </c>
      <c r="R97">
        <v>785</v>
      </c>
      <c r="U97">
        <v>2670</v>
      </c>
      <c r="V97">
        <v>109</v>
      </c>
      <c r="Z97">
        <v>176</v>
      </c>
      <c r="AA97">
        <v>475</v>
      </c>
      <c r="AB97" s="1" t="s">
        <v>1350</v>
      </c>
    </row>
    <row r="98" spans="1:28" x14ac:dyDescent="0.3">
      <c r="A98">
        <v>201043</v>
      </c>
      <c r="B98" s="1" t="s">
        <v>1302</v>
      </c>
      <c r="C98">
        <v>0</v>
      </c>
      <c r="D98">
        <v>1610612752</v>
      </c>
      <c r="E98" s="1" t="s">
        <v>1248</v>
      </c>
      <c r="F98">
        <v>210</v>
      </c>
      <c r="G98">
        <v>5</v>
      </c>
      <c r="H98">
        <v>0</v>
      </c>
      <c r="I98">
        <v>440</v>
      </c>
      <c r="J98">
        <v>1</v>
      </c>
      <c r="K98">
        <v>6</v>
      </c>
      <c r="L98">
        <v>167</v>
      </c>
      <c r="M98">
        <v>0</v>
      </c>
      <c r="N98">
        <v>0</v>
      </c>
      <c r="O98">
        <v>0</v>
      </c>
      <c r="P98">
        <v>2</v>
      </c>
      <c r="Q98">
        <v>6</v>
      </c>
      <c r="R98">
        <v>333</v>
      </c>
      <c r="S98">
        <v>10</v>
      </c>
      <c r="T98">
        <v>80</v>
      </c>
      <c r="U98">
        <v>90</v>
      </c>
      <c r="V98">
        <v>1</v>
      </c>
      <c r="W98">
        <v>20</v>
      </c>
      <c r="X98">
        <v>10</v>
      </c>
      <c r="Y98">
        <v>20</v>
      </c>
      <c r="Z98">
        <v>4</v>
      </c>
      <c r="AA98">
        <v>4</v>
      </c>
      <c r="AB98" s="1" t="s">
        <v>1351</v>
      </c>
    </row>
    <row r="99" spans="1:28" x14ac:dyDescent="0.3">
      <c r="A99">
        <v>201043</v>
      </c>
      <c r="B99" s="1" t="s">
        <v>1303</v>
      </c>
      <c r="C99">
        <v>0</v>
      </c>
      <c r="D99">
        <v>1610612752</v>
      </c>
      <c r="E99" s="1" t="s">
        <v>1248</v>
      </c>
      <c r="F99">
        <v>220</v>
      </c>
      <c r="G99">
        <v>18</v>
      </c>
      <c r="H99">
        <v>20</v>
      </c>
      <c r="I99">
        <v>1810</v>
      </c>
      <c r="J99">
        <v>21</v>
      </c>
      <c r="K99">
        <v>58</v>
      </c>
      <c r="L99">
        <v>362</v>
      </c>
      <c r="M99">
        <v>0</v>
      </c>
      <c r="N99">
        <v>0</v>
      </c>
      <c r="O99">
        <v>0</v>
      </c>
      <c r="P99">
        <v>14</v>
      </c>
      <c r="Q99">
        <v>29</v>
      </c>
      <c r="R99">
        <v>483</v>
      </c>
      <c r="S99">
        <v>120</v>
      </c>
      <c r="T99">
        <v>250</v>
      </c>
      <c r="U99">
        <v>370</v>
      </c>
      <c r="V99">
        <v>2</v>
      </c>
      <c r="W99">
        <v>40</v>
      </c>
      <c r="X99">
        <v>20</v>
      </c>
      <c r="Y99">
        <v>90</v>
      </c>
      <c r="Z99">
        <v>37</v>
      </c>
      <c r="AA99">
        <v>56</v>
      </c>
      <c r="AB99" s="1" t="s">
        <v>1351</v>
      </c>
    </row>
    <row r="100" spans="1:28" x14ac:dyDescent="0.3">
      <c r="A100">
        <v>201235</v>
      </c>
      <c r="B100" s="1" t="s">
        <v>1304</v>
      </c>
      <c r="C100">
        <v>0</v>
      </c>
      <c r="D100">
        <v>1610612752</v>
      </c>
      <c r="E100" s="1" t="s">
        <v>1248</v>
      </c>
      <c r="F100">
        <v>250</v>
      </c>
      <c r="G100">
        <v>1</v>
      </c>
      <c r="H100">
        <v>0</v>
      </c>
      <c r="I100">
        <v>110</v>
      </c>
      <c r="J100">
        <v>3</v>
      </c>
      <c r="K100">
        <v>6</v>
      </c>
      <c r="L100">
        <v>5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20</v>
      </c>
      <c r="T100">
        <v>20</v>
      </c>
      <c r="U100">
        <v>40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6</v>
      </c>
      <c r="AB100" s="1" t="s">
        <v>1352</v>
      </c>
    </row>
    <row r="101" spans="1:28" x14ac:dyDescent="0.3">
      <c r="A101">
        <v>1629760</v>
      </c>
      <c r="B101" s="1" t="s">
        <v>1308</v>
      </c>
      <c r="C101">
        <v>0</v>
      </c>
      <c r="D101">
        <v>1610612752</v>
      </c>
      <c r="E101" s="1" t="s">
        <v>1248</v>
      </c>
      <c r="F101">
        <v>270</v>
      </c>
      <c r="G101">
        <v>1</v>
      </c>
      <c r="H101">
        <v>0</v>
      </c>
      <c r="I101">
        <v>20</v>
      </c>
      <c r="J101">
        <v>0</v>
      </c>
      <c r="K101">
        <v>1</v>
      </c>
      <c r="L101">
        <v>0</v>
      </c>
      <c r="M101">
        <v>0</v>
      </c>
      <c r="N101">
        <v>10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10</v>
      </c>
      <c r="X101">
        <v>0</v>
      </c>
      <c r="Y101">
        <v>10</v>
      </c>
      <c r="Z101">
        <v>0</v>
      </c>
      <c r="AA101">
        <v>0</v>
      </c>
      <c r="AB101" s="1" t="s">
        <v>1353</v>
      </c>
    </row>
    <row r="102" spans="1:28" x14ac:dyDescent="0.3">
      <c r="A102">
        <v>600006</v>
      </c>
      <c r="B102" s="1" t="s">
        <v>1354</v>
      </c>
      <c r="C102">
        <v>0</v>
      </c>
      <c r="D102">
        <v>1610612752</v>
      </c>
      <c r="E102" s="1" t="s">
        <v>1248</v>
      </c>
      <c r="F102">
        <v>270</v>
      </c>
      <c r="G102">
        <v>60</v>
      </c>
      <c r="I102">
        <v>12340</v>
      </c>
      <c r="J102">
        <v>261</v>
      </c>
      <c r="K102">
        <v>598</v>
      </c>
      <c r="L102">
        <v>436</v>
      </c>
      <c r="P102">
        <v>162</v>
      </c>
      <c r="Q102">
        <v>206</v>
      </c>
      <c r="R102">
        <v>786</v>
      </c>
      <c r="U102">
        <v>920</v>
      </c>
      <c r="V102">
        <v>132</v>
      </c>
      <c r="Z102">
        <v>130</v>
      </c>
      <c r="AA102">
        <v>684</v>
      </c>
      <c r="AB102" s="1" t="s">
        <v>1355</v>
      </c>
    </row>
    <row r="103" spans="1:28" x14ac:dyDescent="0.3">
      <c r="A103">
        <v>600006</v>
      </c>
      <c r="B103" s="1" t="s">
        <v>1356</v>
      </c>
      <c r="C103">
        <v>0</v>
      </c>
      <c r="D103">
        <v>1610612752</v>
      </c>
      <c r="E103" s="1" t="s">
        <v>1248</v>
      </c>
      <c r="F103">
        <v>280</v>
      </c>
      <c r="G103">
        <v>75</v>
      </c>
      <c r="I103">
        <v>23700</v>
      </c>
      <c r="J103">
        <v>496</v>
      </c>
      <c r="K103">
        <v>1016</v>
      </c>
      <c r="L103">
        <v>488</v>
      </c>
      <c r="P103">
        <v>171</v>
      </c>
      <c r="Q103">
        <v>208</v>
      </c>
      <c r="R103">
        <v>822</v>
      </c>
      <c r="U103">
        <v>2450</v>
      </c>
      <c r="V103">
        <v>288</v>
      </c>
      <c r="Z103">
        <v>195</v>
      </c>
      <c r="AA103">
        <v>1163</v>
      </c>
      <c r="AB103" s="1" t="s">
        <v>1355</v>
      </c>
    </row>
    <row r="104" spans="1:28" x14ac:dyDescent="0.3">
      <c r="A104">
        <v>600006</v>
      </c>
      <c r="B104" s="1" t="s">
        <v>1357</v>
      </c>
      <c r="C104">
        <v>0</v>
      </c>
      <c r="D104">
        <v>1610612752</v>
      </c>
      <c r="E104" s="1" t="s">
        <v>1248</v>
      </c>
      <c r="F104">
        <v>290</v>
      </c>
      <c r="G104">
        <v>41</v>
      </c>
      <c r="I104">
        <v>11940</v>
      </c>
      <c r="J104">
        <v>240</v>
      </c>
      <c r="K104">
        <v>513</v>
      </c>
      <c r="L104">
        <v>468</v>
      </c>
      <c r="P104">
        <v>93</v>
      </c>
      <c r="Q104">
        <v>113</v>
      </c>
      <c r="R104">
        <v>823</v>
      </c>
      <c r="S104">
        <v>220</v>
      </c>
      <c r="T104">
        <v>990</v>
      </c>
      <c r="U104">
        <v>1210</v>
      </c>
      <c r="V104">
        <v>110</v>
      </c>
      <c r="W104">
        <v>340</v>
      </c>
      <c r="X104">
        <v>190</v>
      </c>
      <c r="Z104">
        <v>97</v>
      </c>
      <c r="AA104">
        <v>573</v>
      </c>
      <c r="AB104" s="1" t="s">
        <v>1355</v>
      </c>
    </row>
    <row r="105" spans="1:28" x14ac:dyDescent="0.3">
      <c r="A105">
        <v>600006</v>
      </c>
      <c r="B105" s="1" t="s">
        <v>1358</v>
      </c>
      <c r="C105">
        <v>0</v>
      </c>
      <c r="D105">
        <v>1610612752</v>
      </c>
      <c r="E105" s="1" t="s">
        <v>1248</v>
      </c>
      <c r="F105">
        <v>300</v>
      </c>
      <c r="G105">
        <v>78</v>
      </c>
      <c r="I105">
        <v>28140</v>
      </c>
      <c r="J105">
        <v>668</v>
      </c>
      <c r="K105">
        <v>1462</v>
      </c>
      <c r="L105">
        <v>457</v>
      </c>
      <c r="P105">
        <v>297</v>
      </c>
      <c r="Q105">
        <v>359</v>
      </c>
      <c r="R105">
        <v>827</v>
      </c>
      <c r="S105">
        <v>560</v>
      </c>
      <c r="T105">
        <v>2710</v>
      </c>
      <c r="U105">
        <v>3270</v>
      </c>
      <c r="V105">
        <v>270</v>
      </c>
      <c r="W105">
        <v>1080</v>
      </c>
      <c r="X105">
        <v>290</v>
      </c>
      <c r="Z105">
        <v>200</v>
      </c>
      <c r="AA105">
        <v>1633</v>
      </c>
      <c r="AB105" s="1" t="s">
        <v>1355</v>
      </c>
    </row>
    <row r="106" spans="1:28" x14ac:dyDescent="0.3">
      <c r="A106">
        <v>600006</v>
      </c>
      <c r="B106" s="1" t="s">
        <v>1261</v>
      </c>
      <c r="C106">
        <v>0</v>
      </c>
      <c r="D106">
        <v>1610612752</v>
      </c>
      <c r="E106" s="1" t="s">
        <v>1248</v>
      </c>
      <c r="F106">
        <v>310</v>
      </c>
      <c r="G106">
        <v>76</v>
      </c>
      <c r="I106">
        <v>28890</v>
      </c>
      <c r="J106">
        <v>647</v>
      </c>
      <c r="K106">
        <v>1354</v>
      </c>
      <c r="L106">
        <v>478</v>
      </c>
      <c r="P106">
        <v>280</v>
      </c>
      <c r="Q106">
        <v>356</v>
      </c>
      <c r="R106">
        <v>787</v>
      </c>
      <c r="S106">
        <v>480</v>
      </c>
      <c r="T106">
        <v>2250</v>
      </c>
      <c r="U106">
        <v>2730</v>
      </c>
      <c r="V106">
        <v>304</v>
      </c>
      <c r="W106">
        <v>1110</v>
      </c>
      <c r="X106">
        <v>220</v>
      </c>
      <c r="Z106">
        <v>209</v>
      </c>
      <c r="AA106">
        <v>1574</v>
      </c>
      <c r="AB106" s="1" t="s">
        <v>1355</v>
      </c>
    </row>
    <row r="107" spans="1:28" x14ac:dyDescent="0.3">
      <c r="A107">
        <v>600006</v>
      </c>
      <c r="B107" s="1" t="s">
        <v>1263</v>
      </c>
      <c r="C107">
        <v>0</v>
      </c>
      <c r="D107">
        <v>1610612752</v>
      </c>
      <c r="E107" s="1" t="s">
        <v>1248</v>
      </c>
      <c r="F107">
        <v>320</v>
      </c>
      <c r="G107">
        <v>77</v>
      </c>
      <c r="I107">
        <v>26560</v>
      </c>
      <c r="J107">
        <v>613</v>
      </c>
      <c r="K107">
        <v>1185</v>
      </c>
      <c r="L107">
        <v>517</v>
      </c>
      <c r="P107">
        <v>307</v>
      </c>
      <c r="Q107">
        <v>366</v>
      </c>
      <c r="R107">
        <v>839</v>
      </c>
      <c r="S107">
        <v>450</v>
      </c>
      <c r="T107">
        <v>1780</v>
      </c>
      <c r="U107">
        <v>2230</v>
      </c>
      <c r="V107">
        <v>366</v>
      </c>
      <c r="W107">
        <v>910</v>
      </c>
      <c r="X107">
        <v>230</v>
      </c>
      <c r="Z107">
        <v>197</v>
      </c>
      <c r="AA107">
        <v>1533</v>
      </c>
      <c r="AB107" s="1" t="s">
        <v>1355</v>
      </c>
    </row>
    <row r="108" spans="1:28" x14ac:dyDescent="0.3">
      <c r="A108">
        <v>600006</v>
      </c>
      <c r="B108" s="1" t="s">
        <v>1264</v>
      </c>
      <c r="C108">
        <v>0</v>
      </c>
      <c r="D108">
        <v>1610612752</v>
      </c>
      <c r="E108" s="1" t="s">
        <v>1248</v>
      </c>
      <c r="F108">
        <v>330</v>
      </c>
      <c r="G108">
        <v>76</v>
      </c>
      <c r="I108">
        <v>23690</v>
      </c>
      <c r="J108">
        <v>556</v>
      </c>
      <c r="K108">
        <v>1123</v>
      </c>
      <c r="L108">
        <v>495</v>
      </c>
      <c r="P108">
        <v>242</v>
      </c>
      <c r="Q108">
        <v>291</v>
      </c>
      <c r="R108">
        <v>832</v>
      </c>
      <c r="S108">
        <v>470</v>
      </c>
      <c r="T108">
        <v>1350</v>
      </c>
      <c r="U108">
        <v>1820</v>
      </c>
      <c r="V108">
        <v>361</v>
      </c>
      <c r="W108">
        <v>600</v>
      </c>
      <c r="X108">
        <v>190</v>
      </c>
      <c r="Y108">
        <v>1790</v>
      </c>
      <c r="Z108">
        <v>189</v>
      </c>
      <c r="AA108">
        <v>1354</v>
      </c>
      <c r="AB108" s="1" t="s">
        <v>1355</v>
      </c>
    </row>
    <row r="109" spans="1:28" x14ac:dyDescent="0.3">
      <c r="A109">
        <v>600006</v>
      </c>
      <c r="B109" s="1" t="s">
        <v>1265</v>
      </c>
      <c r="C109">
        <v>0</v>
      </c>
      <c r="D109">
        <v>1610612752</v>
      </c>
      <c r="E109" s="1" t="s">
        <v>1248</v>
      </c>
      <c r="F109">
        <v>340</v>
      </c>
      <c r="G109">
        <v>64</v>
      </c>
      <c r="I109">
        <v>13930</v>
      </c>
      <c r="J109">
        <v>329</v>
      </c>
      <c r="K109">
        <v>699</v>
      </c>
      <c r="L109">
        <v>471</v>
      </c>
      <c r="P109">
        <v>129</v>
      </c>
      <c r="Q109">
        <v>154</v>
      </c>
      <c r="R109">
        <v>838</v>
      </c>
      <c r="S109">
        <v>260</v>
      </c>
      <c r="T109">
        <v>480</v>
      </c>
      <c r="U109">
        <v>740</v>
      </c>
      <c r="V109">
        <v>189</v>
      </c>
      <c r="W109">
        <v>480</v>
      </c>
      <c r="X109">
        <v>60</v>
      </c>
      <c r="Y109">
        <v>980</v>
      </c>
      <c r="Z109">
        <v>123</v>
      </c>
      <c r="AA109">
        <v>787</v>
      </c>
      <c r="AB109" s="1" t="s">
        <v>1355</v>
      </c>
    </row>
    <row r="110" spans="1:28" x14ac:dyDescent="0.3">
      <c r="A110">
        <v>600006</v>
      </c>
      <c r="B110" s="1" t="s">
        <v>1359</v>
      </c>
      <c r="C110">
        <v>0</v>
      </c>
      <c r="D110">
        <v>1610612752</v>
      </c>
      <c r="E110" s="1" t="s">
        <v>1248</v>
      </c>
      <c r="F110">
        <v>350</v>
      </c>
      <c r="G110">
        <v>51</v>
      </c>
      <c r="I110">
        <v>6330</v>
      </c>
      <c r="J110">
        <v>161</v>
      </c>
      <c r="K110">
        <v>352</v>
      </c>
      <c r="L110">
        <v>457</v>
      </c>
      <c r="M110">
        <v>0</v>
      </c>
      <c r="N110">
        <v>0</v>
      </c>
      <c r="P110">
        <v>56</v>
      </c>
      <c r="Q110">
        <v>64</v>
      </c>
      <c r="R110">
        <v>875</v>
      </c>
      <c r="S110">
        <v>160</v>
      </c>
      <c r="T110">
        <v>200</v>
      </c>
      <c r="U110">
        <v>360</v>
      </c>
      <c r="V110">
        <v>67</v>
      </c>
      <c r="W110">
        <v>210</v>
      </c>
      <c r="X110">
        <v>30</v>
      </c>
      <c r="Y110">
        <v>280</v>
      </c>
      <c r="Z110">
        <v>46</v>
      </c>
      <c r="AA110">
        <v>378</v>
      </c>
      <c r="AB110" s="1" t="s">
        <v>1355</v>
      </c>
    </row>
    <row r="111" spans="1:28" x14ac:dyDescent="0.3">
      <c r="A111">
        <v>77625</v>
      </c>
      <c r="B111" s="1" t="s">
        <v>1360</v>
      </c>
      <c r="C111">
        <v>0</v>
      </c>
      <c r="D111">
        <v>1610612752</v>
      </c>
      <c r="E111" s="1" t="s">
        <v>1248</v>
      </c>
      <c r="F111">
        <v>240</v>
      </c>
      <c r="G111">
        <v>13</v>
      </c>
      <c r="I111">
        <v>750</v>
      </c>
      <c r="J111">
        <v>19</v>
      </c>
      <c r="K111">
        <v>51</v>
      </c>
      <c r="L111">
        <v>373</v>
      </c>
      <c r="P111">
        <v>7</v>
      </c>
      <c r="Q111">
        <v>13</v>
      </c>
      <c r="R111">
        <v>538</v>
      </c>
      <c r="U111">
        <v>220</v>
      </c>
      <c r="V111">
        <v>2</v>
      </c>
      <c r="Z111">
        <v>9</v>
      </c>
      <c r="AA111">
        <v>45</v>
      </c>
      <c r="AB111" s="1" t="s">
        <v>1361</v>
      </c>
    </row>
    <row r="112" spans="1:28" x14ac:dyDescent="0.3">
      <c r="A112">
        <v>76049</v>
      </c>
      <c r="B112" s="1" t="s">
        <v>1362</v>
      </c>
      <c r="C112">
        <v>0</v>
      </c>
      <c r="D112">
        <v>1610612752</v>
      </c>
      <c r="E112" s="1" t="s">
        <v>1248</v>
      </c>
      <c r="F112">
        <v>240</v>
      </c>
      <c r="G112">
        <v>1</v>
      </c>
      <c r="I112">
        <v>100</v>
      </c>
      <c r="J112">
        <v>0</v>
      </c>
      <c r="K112">
        <v>4</v>
      </c>
      <c r="L112">
        <v>0</v>
      </c>
      <c r="P112">
        <v>3</v>
      </c>
      <c r="Q112">
        <v>4</v>
      </c>
      <c r="R112">
        <v>75</v>
      </c>
      <c r="U112">
        <v>20</v>
      </c>
      <c r="V112">
        <v>0</v>
      </c>
      <c r="Z112">
        <v>0</v>
      </c>
      <c r="AA112">
        <v>3</v>
      </c>
      <c r="AB112" s="1" t="s">
        <v>1363</v>
      </c>
    </row>
    <row r="113" spans="1:28" x14ac:dyDescent="0.3">
      <c r="A113">
        <v>1737</v>
      </c>
      <c r="B113" s="1" t="s">
        <v>1293</v>
      </c>
      <c r="C113">
        <v>0</v>
      </c>
      <c r="D113">
        <v>1610612752</v>
      </c>
      <c r="E113" s="1" t="s">
        <v>1248</v>
      </c>
      <c r="F113">
        <v>260</v>
      </c>
      <c r="G113">
        <v>27</v>
      </c>
      <c r="H113">
        <v>230</v>
      </c>
      <c r="I113">
        <v>6730</v>
      </c>
      <c r="J113">
        <v>108</v>
      </c>
      <c r="K113">
        <v>192</v>
      </c>
      <c r="L113">
        <v>563</v>
      </c>
      <c r="M113">
        <v>0</v>
      </c>
      <c r="N113">
        <v>0</v>
      </c>
      <c r="O113">
        <v>0</v>
      </c>
      <c r="P113">
        <v>31</v>
      </c>
      <c r="Q113">
        <v>59</v>
      </c>
      <c r="R113">
        <v>525</v>
      </c>
      <c r="S113">
        <v>770</v>
      </c>
      <c r="T113">
        <v>1300</v>
      </c>
      <c r="U113">
        <v>2070</v>
      </c>
      <c r="V113">
        <v>16</v>
      </c>
      <c r="W113">
        <v>330</v>
      </c>
      <c r="X113">
        <v>250</v>
      </c>
      <c r="Y113">
        <v>410</v>
      </c>
      <c r="Z113">
        <v>82</v>
      </c>
      <c r="AA113">
        <v>247</v>
      </c>
      <c r="AB113" s="1" t="s">
        <v>1364</v>
      </c>
    </row>
    <row r="114" spans="1:28" x14ac:dyDescent="0.3">
      <c r="A114">
        <v>1737</v>
      </c>
      <c r="B114" s="1" t="s">
        <v>1295</v>
      </c>
      <c r="C114">
        <v>0</v>
      </c>
      <c r="D114">
        <v>1610612752</v>
      </c>
      <c r="E114" s="1" t="s">
        <v>1248</v>
      </c>
      <c r="F114">
        <v>270</v>
      </c>
      <c r="G114">
        <v>54</v>
      </c>
      <c r="H114">
        <v>540</v>
      </c>
      <c r="I114">
        <v>15190</v>
      </c>
      <c r="J114">
        <v>234</v>
      </c>
      <c r="K114">
        <v>460</v>
      </c>
      <c r="L114">
        <v>509</v>
      </c>
      <c r="M114">
        <v>0</v>
      </c>
      <c r="N114">
        <v>10</v>
      </c>
      <c r="O114">
        <v>0</v>
      </c>
      <c r="P114">
        <v>121</v>
      </c>
      <c r="Q114">
        <v>171</v>
      </c>
      <c r="R114">
        <v>708</v>
      </c>
      <c r="S114">
        <v>1690</v>
      </c>
      <c r="T114">
        <v>2700</v>
      </c>
      <c r="U114">
        <v>4390</v>
      </c>
      <c r="V114">
        <v>26</v>
      </c>
      <c r="W114">
        <v>530</v>
      </c>
      <c r="X114">
        <v>530</v>
      </c>
      <c r="Y114">
        <v>810</v>
      </c>
      <c r="Z114">
        <v>172</v>
      </c>
      <c r="AA114">
        <v>589</v>
      </c>
      <c r="AB114" s="1" t="s">
        <v>1364</v>
      </c>
    </row>
    <row r="115" spans="1:28" x14ac:dyDescent="0.3">
      <c r="A115">
        <v>78036</v>
      </c>
      <c r="B115" s="1" t="s">
        <v>1265</v>
      </c>
      <c r="C115">
        <v>0</v>
      </c>
      <c r="D115">
        <v>1610612752</v>
      </c>
      <c r="E115" s="1" t="s">
        <v>1248</v>
      </c>
      <c r="F115">
        <v>230</v>
      </c>
      <c r="G115">
        <v>58</v>
      </c>
      <c r="I115">
        <v>7230</v>
      </c>
      <c r="J115">
        <v>59</v>
      </c>
      <c r="K115">
        <v>133</v>
      </c>
      <c r="L115">
        <v>444</v>
      </c>
      <c r="P115">
        <v>66</v>
      </c>
      <c r="Q115">
        <v>93</v>
      </c>
      <c r="R115">
        <v>71</v>
      </c>
      <c r="S115">
        <v>690</v>
      </c>
      <c r="T115">
        <v>980</v>
      </c>
      <c r="U115">
        <v>1670</v>
      </c>
      <c r="V115">
        <v>35</v>
      </c>
      <c r="W115">
        <v>170</v>
      </c>
      <c r="X115">
        <v>80</v>
      </c>
      <c r="Y115">
        <v>590</v>
      </c>
      <c r="Z115">
        <v>95</v>
      </c>
      <c r="AA115">
        <v>184</v>
      </c>
      <c r="AB115" s="1" t="s">
        <v>1365</v>
      </c>
    </row>
    <row r="116" spans="1:28" x14ac:dyDescent="0.3">
      <c r="A116">
        <v>77613</v>
      </c>
      <c r="B116" s="1" t="s">
        <v>1297</v>
      </c>
      <c r="C116">
        <v>0</v>
      </c>
      <c r="D116">
        <v>1610612752</v>
      </c>
      <c r="E116" s="1" t="s">
        <v>1248</v>
      </c>
      <c r="F116">
        <v>240</v>
      </c>
      <c r="G116">
        <v>3</v>
      </c>
      <c r="J116">
        <v>3</v>
      </c>
      <c r="K116">
        <v>13</v>
      </c>
      <c r="L116">
        <v>231</v>
      </c>
      <c r="P116">
        <v>1</v>
      </c>
      <c r="Q116">
        <v>3</v>
      </c>
      <c r="R116">
        <v>333</v>
      </c>
      <c r="V116">
        <v>0</v>
      </c>
      <c r="Z116">
        <v>7</v>
      </c>
      <c r="AA116">
        <v>7</v>
      </c>
      <c r="AB116" s="1" t="s">
        <v>1366</v>
      </c>
    </row>
    <row r="117" spans="1:28" x14ac:dyDescent="0.3">
      <c r="A117">
        <v>78078</v>
      </c>
      <c r="B117" s="1" t="s">
        <v>1339</v>
      </c>
      <c r="C117">
        <v>0</v>
      </c>
      <c r="D117">
        <v>1610612752</v>
      </c>
      <c r="E117" s="1" t="s">
        <v>1248</v>
      </c>
      <c r="F117">
        <v>280</v>
      </c>
      <c r="G117">
        <v>54</v>
      </c>
      <c r="J117">
        <v>162</v>
      </c>
      <c r="K117">
        <v>588</v>
      </c>
      <c r="L117">
        <v>276</v>
      </c>
      <c r="P117">
        <v>111</v>
      </c>
      <c r="Q117">
        <v>179</v>
      </c>
      <c r="R117">
        <v>62</v>
      </c>
      <c r="V117">
        <v>109</v>
      </c>
      <c r="Z117">
        <v>115</v>
      </c>
      <c r="AA117">
        <v>435</v>
      </c>
      <c r="AB117" s="1" t="s">
        <v>1367</v>
      </c>
    </row>
    <row r="118" spans="1:28" x14ac:dyDescent="0.3">
      <c r="A118">
        <v>2772</v>
      </c>
      <c r="B118" s="1" t="s">
        <v>1295</v>
      </c>
      <c r="C118">
        <v>0</v>
      </c>
      <c r="D118">
        <v>1610612752</v>
      </c>
      <c r="E118" s="1" t="s">
        <v>1248</v>
      </c>
      <c r="F118">
        <v>200</v>
      </c>
      <c r="G118">
        <v>80</v>
      </c>
      <c r="H118">
        <v>120</v>
      </c>
      <c r="I118">
        <v>13850</v>
      </c>
      <c r="J118">
        <v>172</v>
      </c>
      <c r="K118">
        <v>389</v>
      </c>
      <c r="L118">
        <v>442</v>
      </c>
      <c r="M118">
        <v>30</v>
      </c>
      <c r="N118">
        <v>130</v>
      </c>
      <c r="O118">
        <v>231</v>
      </c>
      <c r="P118">
        <v>121</v>
      </c>
      <c r="Q118">
        <v>174</v>
      </c>
      <c r="R118">
        <v>695</v>
      </c>
      <c r="S118">
        <v>890</v>
      </c>
      <c r="T118">
        <v>1530</v>
      </c>
      <c r="U118">
        <v>2420</v>
      </c>
      <c r="V118">
        <v>85</v>
      </c>
      <c r="W118">
        <v>700</v>
      </c>
      <c r="X118">
        <v>180</v>
      </c>
      <c r="Y118">
        <v>730</v>
      </c>
      <c r="Z118">
        <v>150</v>
      </c>
      <c r="AA118">
        <v>468</v>
      </c>
      <c r="AB118" s="1" t="s">
        <v>1368</v>
      </c>
    </row>
    <row r="119" spans="1:28" x14ac:dyDescent="0.3">
      <c r="A119">
        <v>2772</v>
      </c>
      <c r="B119" s="1" t="s">
        <v>1300</v>
      </c>
      <c r="C119">
        <v>0</v>
      </c>
      <c r="D119">
        <v>1610612752</v>
      </c>
      <c r="E119" s="1" t="s">
        <v>1248</v>
      </c>
      <c r="F119">
        <v>200</v>
      </c>
      <c r="G119">
        <v>36</v>
      </c>
      <c r="H119">
        <v>100</v>
      </c>
      <c r="I119">
        <v>7090</v>
      </c>
      <c r="J119">
        <v>61</v>
      </c>
      <c r="K119">
        <v>146</v>
      </c>
      <c r="L119">
        <v>418</v>
      </c>
      <c r="M119">
        <v>10</v>
      </c>
      <c r="N119">
        <v>30</v>
      </c>
      <c r="O119">
        <v>333</v>
      </c>
      <c r="P119">
        <v>42</v>
      </c>
      <c r="Q119">
        <v>77</v>
      </c>
      <c r="R119">
        <v>545</v>
      </c>
      <c r="S119">
        <v>490</v>
      </c>
      <c r="T119">
        <v>880</v>
      </c>
      <c r="U119">
        <v>1370</v>
      </c>
      <c r="V119">
        <v>46</v>
      </c>
      <c r="W119">
        <v>430</v>
      </c>
      <c r="X119">
        <v>90</v>
      </c>
      <c r="Y119">
        <v>460</v>
      </c>
      <c r="Z119">
        <v>78</v>
      </c>
      <c r="AA119">
        <v>165</v>
      </c>
      <c r="AB119" s="1" t="s">
        <v>1368</v>
      </c>
    </row>
    <row r="120" spans="1:28" x14ac:dyDescent="0.3">
      <c r="A120">
        <v>1629003</v>
      </c>
      <c r="B120" s="1" t="s">
        <v>1369</v>
      </c>
      <c r="C120">
        <v>0</v>
      </c>
      <c r="D120">
        <v>1610612752</v>
      </c>
      <c r="E120" s="1" t="s">
        <v>1248</v>
      </c>
      <c r="F120">
        <v>270</v>
      </c>
      <c r="G120">
        <v>6</v>
      </c>
      <c r="H120">
        <v>0</v>
      </c>
      <c r="I120">
        <v>270</v>
      </c>
      <c r="J120">
        <v>4</v>
      </c>
      <c r="K120">
        <v>9</v>
      </c>
      <c r="L120">
        <v>444</v>
      </c>
      <c r="M120">
        <v>10</v>
      </c>
      <c r="N120">
        <v>20</v>
      </c>
      <c r="O120">
        <v>5</v>
      </c>
      <c r="P120">
        <v>2</v>
      </c>
      <c r="Q120">
        <v>2</v>
      </c>
      <c r="R120">
        <v>10</v>
      </c>
      <c r="S120">
        <v>0</v>
      </c>
      <c r="T120">
        <v>60</v>
      </c>
      <c r="U120">
        <v>60</v>
      </c>
      <c r="V120">
        <v>4</v>
      </c>
      <c r="W120">
        <v>10</v>
      </c>
      <c r="X120">
        <v>0</v>
      </c>
      <c r="Y120">
        <v>0</v>
      </c>
      <c r="Z120">
        <v>7</v>
      </c>
      <c r="AA120">
        <v>11</v>
      </c>
      <c r="AB120" s="1" t="s">
        <v>1370</v>
      </c>
    </row>
    <row r="121" spans="1:28" x14ac:dyDescent="0.3">
      <c r="A121">
        <v>76176</v>
      </c>
      <c r="B121" s="1" t="s">
        <v>1273</v>
      </c>
      <c r="C121">
        <v>0</v>
      </c>
      <c r="D121">
        <v>1610612752</v>
      </c>
      <c r="E121" s="1" t="s">
        <v>1248</v>
      </c>
      <c r="F121">
        <v>340</v>
      </c>
      <c r="G121">
        <v>60</v>
      </c>
      <c r="H121">
        <v>330</v>
      </c>
      <c r="I121">
        <v>14340</v>
      </c>
      <c r="J121">
        <v>239</v>
      </c>
      <c r="K121">
        <v>539</v>
      </c>
      <c r="L121">
        <v>443</v>
      </c>
      <c r="M121">
        <v>310</v>
      </c>
      <c r="N121">
        <v>730</v>
      </c>
      <c r="O121">
        <v>425</v>
      </c>
      <c r="P121">
        <v>71</v>
      </c>
      <c r="Q121">
        <v>90</v>
      </c>
      <c r="R121">
        <v>789</v>
      </c>
      <c r="S121">
        <v>230</v>
      </c>
      <c r="T121">
        <v>790</v>
      </c>
      <c r="U121">
        <v>1020</v>
      </c>
      <c r="V121">
        <v>157</v>
      </c>
      <c r="W121">
        <v>220</v>
      </c>
      <c r="X121">
        <v>100</v>
      </c>
      <c r="Y121">
        <v>650</v>
      </c>
      <c r="Z121">
        <v>129</v>
      </c>
      <c r="AA121">
        <v>580</v>
      </c>
      <c r="AB121" s="1" t="s">
        <v>1371</v>
      </c>
    </row>
    <row r="122" spans="1:28" x14ac:dyDescent="0.3">
      <c r="A122">
        <v>76176</v>
      </c>
      <c r="B122" s="1" t="s">
        <v>1274</v>
      </c>
      <c r="C122">
        <v>0</v>
      </c>
      <c r="D122">
        <v>1610612752</v>
      </c>
      <c r="E122" s="1" t="s">
        <v>1248</v>
      </c>
      <c r="F122">
        <v>350</v>
      </c>
      <c r="G122">
        <v>55</v>
      </c>
      <c r="H122">
        <v>10</v>
      </c>
      <c r="I122">
        <v>9690</v>
      </c>
      <c r="J122">
        <v>161</v>
      </c>
      <c r="K122">
        <v>369</v>
      </c>
      <c r="L122">
        <v>436</v>
      </c>
      <c r="M122">
        <v>300</v>
      </c>
      <c r="N122">
        <v>840</v>
      </c>
      <c r="O122">
        <v>357</v>
      </c>
      <c r="P122">
        <v>48</v>
      </c>
      <c r="Q122">
        <v>53</v>
      </c>
      <c r="R122">
        <v>906</v>
      </c>
      <c r="S122">
        <v>230</v>
      </c>
      <c r="T122">
        <v>700</v>
      </c>
      <c r="U122">
        <v>930</v>
      </c>
      <c r="V122">
        <v>76</v>
      </c>
      <c r="W122">
        <v>250</v>
      </c>
      <c r="X122">
        <v>60</v>
      </c>
      <c r="Y122">
        <v>440</v>
      </c>
      <c r="Z122">
        <v>100</v>
      </c>
      <c r="AA122">
        <v>400</v>
      </c>
      <c r="AB122" s="1" t="s">
        <v>1371</v>
      </c>
    </row>
    <row r="123" spans="1:28" x14ac:dyDescent="0.3">
      <c r="A123">
        <v>203144</v>
      </c>
      <c r="B123" s="1" t="s">
        <v>1343</v>
      </c>
      <c r="C123">
        <v>0</v>
      </c>
      <c r="D123">
        <v>1610612752</v>
      </c>
      <c r="E123" s="1" t="s">
        <v>1248</v>
      </c>
      <c r="F123">
        <v>260</v>
      </c>
      <c r="G123">
        <v>16</v>
      </c>
      <c r="H123">
        <v>90</v>
      </c>
      <c r="I123">
        <v>4230</v>
      </c>
      <c r="J123">
        <v>73</v>
      </c>
      <c r="K123">
        <v>181</v>
      </c>
      <c r="L123">
        <v>403</v>
      </c>
      <c r="M123">
        <v>260</v>
      </c>
      <c r="N123">
        <v>700</v>
      </c>
      <c r="O123">
        <v>371</v>
      </c>
      <c r="P123">
        <v>64</v>
      </c>
      <c r="Q123">
        <v>82</v>
      </c>
      <c r="R123">
        <v>78</v>
      </c>
      <c r="S123">
        <v>140</v>
      </c>
      <c r="T123">
        <v>590</v>
      </c>
      <c r="U123">
        <v>730</v>
      </c>
      <c r="V123">
        <v>57</v>
      </c>
      <c r="W123">
        <v>150</v>
      </c>
      <c r="X123">
        <v>50</v>
      </c>
      <c r="Y123">
        <v>250</v>
      </c>
      <c r="Z123">
        <v>25</v>
      </c>
      <c r="AA123">
        <v>236</v>
      </c>
      <c r="AB123" s="1" t="s">
        <v>1372</v>
      </c>
    </row>
    <row r="124" spans="1:28" x14ac:dyDescent="0.3">
      <c r="A124">
        <v>168</v>
      </c>
      <c r="B124" s="1" t="s">
        <v>1278</v>
      </c>
      <c r="C124">
        <v>0</v>
      </c>
      <c r="D124">
        <v>1610612752</v>
      </c>
      <c r="E124" s="1" t="s">
        <v>1248</v>
      </c>
      <c r="F124">
        <v>280</v>
      </c>
      <c r="G124">
        <v>80</v>
      </c>
      <c r="H124">
        <v>290</v>
      </c>
      <c r="I124">
        <v>21830</v>
      </c>
      <c r="J124">
        <v>292</v>
      </c>
      <c r="K124">
        <v>675</v>
      </c>
      <c r="L124">
        <v>433</v>
      </c>
      <c r="M124">
        <v>400</v>
      </c>
      <c r="N124">
        <v>1370</v>
      </c>
      <c r="O124">
        <v>292</v>
      </c>
      <c r="P124">
        <v>152</v>
      </c>
      <c r="Q124">
        <v>189</v>
      </c>
      <c r="R124">
        <v>804</v>
      </c>
      <c r="S124">
        <v>1200</v>
      </c>
      <c r="T124">
        <v>2880</v>
      </c>
      <c r="U124">
        <v>4080</v>
      </c>
      <c r="V124">
        <v>133</v>
      </c>
      <c r="W124">
        <v>450</v>
      </c>
      <c r="X124">
        <v>300</v>
      </c>
      <c r="Y124">
        <v>1070</v>
      </c>
      <c r="Z124">
        <v>218</v>
      </c>
      <c r="AA124">
        <v>776</v>
      </c>
      <c r="AB124" s="1" t="s">
        <v>1373</v>
      </c>
    </row>
    <row r="125" spans="1:28" x14ac:dyDescent="0.3">
      <c r="A125">
        <v>201167</v>
      </c>
      <c r="B125" s="1" t="s">
        <v>1279</v>
      </c>
      <c r="C125">
        <v>0</v>
      </c>
      <c r="D125">
        <v>1610612752</v>
      </c>
      <c r="E125" s="1" t="s">
        <v>1248</v>
      </c>
      <c r="F125">
        <v>300</v>
      </c>
      <c r="G125">
        <v>71</v>
      </c>
      <c r="H125">
        <v>570</v>
      </c>
      <c r="I125">
        <v>23710</v>
      </c>
      <c r="J125">
        <v>354</v>
      </c>
      <c r="K125">
        <v>799</v>
      </c>
      <c r="L125">
        <v>443</v>
      </c>
      <c r="M125">
        <v>910</v>
      </c>
      <c r="N125">
        <v>2380</v>
      </c>
      <c r="O125">
        <v>382</v>
      </c>
      <c r="P125">
        <v>110</v>
      </c>
      <c r="Q125">
        <v>131</v>
      </c>
      <c r="R125">
        <v>84</v>
      </c>
      <c r="S125">
        <v>230</v>
      </c>
      <c r="T125">
        <v>2430</v>
      </c>
      <c r="U125">
        <v>2660</v>
      </c>
      <c r="V125">
        <v>144</v>
      </c>
      <c r="W125">
        <v>250</v>
      </c>
      <c r="X125">
        <v>100</v>
      </c>
      <c r="Y125">
        <v>820</v>
      </c>
      <c r="Z125">
        <v>142</v>
      </c>
      <c r="AA125">
        <v>909</v>
      </c>
      <c r="AB125" s="1" t="s">
        <v>1374</v>
      </c>
    </row>
    <row r="126" spans="1:28" x14ac:dyDescent="0.3">
      <c r="A126">
        <v>201196</v>
      </c>
      <c r="B126" s="1" t="s">
        <v>1259</v>
      </c>
      <c r="C126">
        <v>0</v>
      </c>
      <c r="D126">
        <v>1610612752</v>
      </c>
      <c r="E126" s="1" t="s">
        <v>1248</v>
      </c>
      <c r="F126">
        <v>320</v>
      </c>
      <c r="G126">
        <v>13</v>
      </c>
      <c r="H126">
        <v>30</v>
      </c>
      <c r="I126">
        <v>1670</v>
      </c>
      <c r="J126">
        <v>17</v>
      </c>
      <c r="K126">
        <v>53</v>
      </c>
      <c r="L126">
        <v>321</v>
      </c>
      <c r="M126">
        <v>20</v>
      </c>
      <c r="N126">
        <v>110</v>
      </c>
      <c r="O126">
        <v>182</v>
      </c>
      <c r="P126">
        <v>12</v>
      </c>
      <c r="Q126">
        <v>15</v>
      </c>
      <c r="R126">
        <v>8</v>
      </c>
      <c r="S126">
        <v>10</v>
      </c>
      <c r="T126">
        <v>170</v>
      </c>
      <c r="U126">
        <v>180</v>
      </c>
      <c r="V126">
        <v>27</v>
      </c>
      <c r="W126">
        <v>70</v>
      </c>
      <c r="X126">
        <v>10</v>
      </c>
      <c r="Y126">
        <v>150</v>
      </c>
      <c r="Z126">
        <v>14</v>
      </c>
      <c r="AA126">
        <v>48</v>
      </c>
      <c r="AB126" s="1" t="s">
        <v>1375</v>
      </c>
    </row>
    <row r="127" spans="1:28" x14ac:dyDescent="0.3">
      <c r="A127">
        <v>77598</v>
      </c>
      <c r="B127" s="1" t="s">
        <v>1339</v>
      </c>
      <c r="C127">
        <v>0</v>
      </c>
      <c r="D127">
        <v>1610612752</v>
      </c>
      <c r="E127" s="1" t="s">
        <v>1248</v>
      </c>
      <c r="F127">
        <v>240</v>
      </c>
      <c r="G127">
        <v>36</v>
      </c>
      <c r="I127">
        <v>0</v>
      </c>
      <c r="J127">
        <v>52</v>
      </c>
      <c r="K127">
        <v>214</v>
      </c>
      <c r="L127">
        <v>243</v>
      </c>
      <c r="P127">
        <v>40</v>
      </c>
      <c r="Q127">
        <v>73</v>
      </c>
      <c r="R127">
        <v>548</v>
      </c>
      <c r="U127">
        <v>0</v>
      </c>
      <c r="V127">
        <v>28</v>
      </c>
      <c r="Z127">
        <v>91</v>
      </c>
      <c r="AA127">
        <v>144</v>
      </c>
      <c r="AB127" s="1" t="s">
        <v>1376</v>
      </c>
    </row>
    <row r="128" spans="1:28" x14ac:dyDescent="0.3">
      <c r="A128">
        <v>77968</v>
      </c>
      <c r="B128" s="1" t="s">
        <v>1299</v>
      </c>
      <c r="C128">
        <v>0</v>
      </c>
      <c r="D128">
        <v>1610612752</v>
      </c>
      <c r="E128" s="1" t="s">
        <v>1248</v>
      </c>
      <c r="F128">
        <v>250</v>
      </c>
      <c r="G128">
        <v>55</v>
      </c>
      <c r="J128">
        <v>123</v>
      </c>
      <c r="K128">
        <v>353</v>
      </c>
      <c r="L128">
        <v>348</v>
      </c>
      <c r="P128">
        <v>91</v>
      </c>
      <c r="Q128">
        <v>146</v>
      </c>
      <c r="R128">
        <v>623</v>
      </c>
      <c r="V128">
        <v>57</v>
      </c>
      <c r="Z128">
        <v>71</v>
      </c>
      <c r="AA128">
        <v>337</v>
      </c>
      <c r="AB128" s="1" t="s">
        <v>1377</v>
      </c>
    </row>
    <row r="129" spans="1:28" x14ac:dyDescent="0.3">
      <c r="A129">
        <v>77968</v>
      </c>
      <c r="B129" s="1" t="s">
        <v>1266</v>
      </c>
      <c r="C129">
        <v>0</v>
      </c>
      <c r="D129">
        <v>1610612752</v>
      </c>
      <c r="E129" s="1" t="s">
        <v>1248</v>
      </c>
      <c r="F129">
        <v>260</v>
      </c>
      <c r="G129">
        <v>62</v>
      </c>
      <c r="J129">
        <v>100</v>
      </c>
      <c r="K129">
        <v>297</v>
      </c>
      <c r="L129">
        <v>337</v>
      </c>
      <c r="P129">
        <v>125</v>
      </c>
      <c r="Q129">
        <v>176</v>
      </c>
      <c r="R129">
        <v>71</v>
      </c>
      <c r="V129">
        <v>51</v>
      </c>
      <c r="Z129">
        <v>101</v>
      </c>
      <c r="AA129">
        <v>325</v>
      </c>
      <c r="AB129" s="1" t="s">
        <v>1377</v>
      </c>
    </row>
    <row r="130" spans="1:28" x14ac:dyDescent="0.3">
      <c r="A130">
        <v>77968</v>
      </c>
      <c r="B130" s="1" t="s">
        <v>1378</v>
      </c>
      <c r="C130">
        <v>0</v>
      </c>
      <c r="D130">
        <v>1610612752</v>
      </c>
      <c r="E130" s="1" t="s">
        <v>1248</v>
      </c>
      <c r="F130">
        <v>270</v>
      </c>
      <c r="G130">
        <v>34</v>
      </c>
      <c r="J130">
        <v>39</v>
      </c>
      <c r="K130">
        <v>103</v>
      </c>
      <c r="L130">
        <v>379</v>
      </c>
      <c r="P130">
        <v>49</v>
      </c>
      <c r="Q130">
        <v>71</v>
      </c>
      <c r="R130">
        <v>69</v>
      </c>
      <c r="U130">
        <v>650</v>
      </c>
      <c r="V130">
        <v>37</v>
      </c>
      <c r="Z130">
        <v>52</v>
      </c>
      <c r="AA130">
        <v>127</v>
      </c>
      <c r="AB130" s="1" t="s">
        <v>1377</v>
      </c>
    </row>
    <row r="131" spans="1:28" x14ac:dyDescent="0.3">
      <c r="A131">
        <v>2545</v>
      </c>
      <c r="B131" s="1" t="s">
        <v>1305</v>
      </c>
      <c r="C131">
        <v>0</v>
      </c>
      <c r="D131">
        <v>1610612752</v>
      </c>
      <c r="E131" s="1" t="s">
        <v>1248</v>
      </c>
      <c r="F131">
        <v>250</v>
      </c>
      <c r="G131">
        <v>8</v>
      </c>
      <c r="H131">
        <v>0</v>
      </c>
      <c r="I131">
        <v>710</v>
      </c>
      <c r="J131">
        <v>8</v>
      </c>
      <c r="K131">
        <v>17</v>
      </c>
      <c r="L131">
        <v>471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50</v>
      </c>
      <c r="T131">
        <v>130</v>
      </c>
      <c r="U131">
        <v>180</v>
      </c>
      <c r="V131">
        <v>4</v>
      </c>
      <c r="W131">
        <v>40</v>
      </c>
      <c r="X131">
        <v>10</v>
      </c>
      <c r="Y131">
        <v>20</v>
      </c>
      <c r="Z131">
        <v>7</v>
      </c>
      <c r="AA131">
        <v>16</v>
      </c>
      <c r="AB131" s="1" t="s">
        <v>1379</v>
      </c>
    </row>
    <row r="132" spans="1:28" x14ac:dyDescent="0.3">
      <c r="A132">
        <v>78023</v>
      </c>
      <c r="B132" s="1" t="s">
        <v>1299</v>
      </c>
      <c r="C132">
        <v>0</v>
      </c>
      <c r="D132">
        <v>1610612752</v>
      </c>
      <c r="E132" s="1" t="s">
        <v>1248</v>
      </c>
      <c r="F132">
        <v>270</v>
      </c>
      <c r="G132">
        <v>53</v>
      </c>
      <c r="J132">
        <v>101</v>
      </c>
      <c r="K132">
        <v>367</v>
      </c>
      <c r="L132">
        <v>275</v>
      </c>
      <c r="P132">
        <v>112</v>
      </c>
      <c r="Q132">
        <v>174</v>
      </c>
      <c r="R132">
        <v>644</v>
      </c>
      <c r="V132">
        <v>68</v>
      </c>
      <c r="Z132">
        <v>174</v>
      </c>
      <c r="AA132">
        <v>314</v>
      </c>
      <c r="AB132" s="1" t="s">
        <v>1380</v>
      </c>
    </row>
    <row r="133" spans="1:28" x14ac:dyDescent="0.3">
      <c r="A133">
        <v>78019</v>
      </c>
      <c r="B133" s="1" t="s">
        <v>1339</v>
      </c>
      <c r="C133">
        <v>0</v>
      </c>
      <c r="D133">
        <v>1610612752</v>
      </c>
      <c r="E133" s="1" t="s">
        <v>1248</v>
      </c>
      <c r="F133">
        <v>270</v>
      </c>
      <c r="G133">
        <v>31</v>
      </c>
      <c r="I133">
        <v>0</v>
      </c>
      <c r="J133">
        <v>38</v>
      </c>
      <c r="K133">
        <v>145</v>
      </c>
      <c r="L133">
        <v>262</v>
      </c>
      <c r="P133">
        <v>57</v>
      </c>
      <c r="Q133">
        <v>95</v>
      </c>
      <c r="R133">
        <v>6</v>
      </c>
      <c r="U133">
        <v>0</v>
      </c>
      <c r="V133">
        <v>19</v>
      </c>
      <c r="Z133">
        <v>71</v>
      </c>
      <c r="AA133">
        <v>133</v>
      </c>
      <c r="AB133" s="1" t="s">
        <v>1381</v>
      </c>
    </row>
    <row r="134" spans="1:28" x14ac:dyDescent="0.3">
      <c r="A134">
        <v>77596</v>
      </c>
      <c r="B134" s="1" t="s">
        <v>1354</v>
      </c>
      <c r="C134">
        <v>0</v>
      </c>
      <c r="D134">
        <v>1610612752</v>
      </c>
      <c r="E134" s="1" t="s">
        <v>1248</v>
      </c>
      <c r="F134">
        <v>310</v>
      </c>
      <c r="G134">
        <v>42</v>
      </c>
      <c r="I134">
        <v>1980</v>
      </c>
      <c r="J134">
        <v>23</v>
      </c>
      <c r="K134">
        <v>64</v>
      </c>
      <c r="L134">
        <v>359</v>
      </c>
      <c r="P134">
        <v>16</v>
      </c>
      <c r="Q134">
        <v>18</v>
      </c>
      <c r="R134">
        <v>889</v>
      </c>
      <c r="U134">
        <v>160</v>
      </c>
      <c r="V134">
        <v>17</v>
      </c>
      <c r="Z134">
        <v>46</v>
      </c>
      <c r="AA134">
        <v>62</v>
      </c>
      <c r="AB134" s="1" t="s">
        <v>1382</v>
      </c>
    </row>
    <row r="135" spans="1:28" x14ac:dyDescent="0.3">
      <c r="A135">
        <v>77582</v>
      </c>
      <c r="B135" s="1" t="s">
        <v>1265</v>
      </c>
      <c r="C135">
        <v>0</v>
      </c>
      <c r="D135">
        <v>1610612752</v>
      </c>
      <c r="E135" s="1" t="s">
        <v>1248</v>
      </c>
      <c r="F135">
        <v>250</v>
      </c>
      <c r="G135">
        <v>41</v>
      </c>
      <c r="I135">
        <v>10530</v>
      </c>
      <c r="J135">
        <v>158</v>
      </c>
      <c r="K135">
        <v>313</v>
      </c>
      <c r="L135">
        <v>505</v>
      </c>
      <c r="P135">
        <v>75</v>
      </c>
      <c r="Q135">
        <v>109</v>
      </c>
      <c r="R135">
        <v>688</v>
      </c>
      <c r="S135">
        <v>810</v>
      </c>
      <c r="T135">
        <v>1440</v>
      </c>
      <c r="U135">
        <v>2250</v>
      </c>
      <c r="V135">
        <v>48</v>
      </c>
      <c r="W135">
        <v>230</v>
      </c>
      <c r="X135">
        <v>530</v>
      </c>
      <c r="Y135">
        <v>850</v>
      </c>
      <c r="Z135">
        <v>178</v>
      </c>
      <c r="AA135">
        <v>391</v>
      </c>
      <c r="AB135" s="1" t="s">
        <v>1383</v>
      </c>
    </row>
    <row r="136" spans="1:28" x14ac:dyDescent="0.3">
      <c r="A136">
        <v>77582</v>
      </c>
      <c r="B136" s="1" t="s">
        <v>1359</v>
      </c>
      <c r="C136">
        <v>0</v>
      </c>
      <c r="D136">
        <v>1610612752</v>
      </c>
      <c r="E136" s="1" t="s">
        <v>1248</v>
      </c>
      <c r="F136">
        <v>260</v>
      </c>
      <c r="G136">
        <v>65</v>
      </c>
      <c r="I136">
        <v>15650</v>
      </c>
      <c r="J136">
        <v>252</v>
      </c>
      <c r="K136">
        <v>477</v>
      </c>
      <c r="L136">
        <v>528</v>
      </c>
      <c r="M136">
        <v>0</v>
      </c>
      <c r="N136">
        <v>10</v>
      </c>
      <c r="O136">
        <v>0</v>
      </c>
      <c r="P136">
        <v>78</v>
      </c>
      <c r="Q136">
        <v>121</v>
      </c>
      <c r="R136">
        <v>645</v>
      </c>
      <c r="S136">
        <v>1220</v>
      </c>
      <c r="T136">
        <v>2280</v>
      </c>
      <c r="U136">
        <v>3500</v>
      </c>
      <c r="V136">
        <v>66</v>
      </c>
      <c r="W136">
        <v>370</v>
      </c>
      <c r="X136">
        <v>1200</v>
      </c>
      <c r="Y136">
        <v>1120</v>
      </c>
      <c r="Z136">
        <v>239</v>
      </c>
      <c r="AA136">
        <v>582</v>
      </c>
      <c r="AB136" s="1" t="s">
        <v>1383</v>
      </c>
    </row>
    <row r="137" spans="1:28" x14ac:dyDescent="0.3">
      <c r="A137">
        <v>2440</v>
      </c>
      <c r="B137" s="1" t="s">
        <v>1300</v>
      </c>
      <c r="C137">
        <v>0</v>
      </c>
      <c r="D137">
        <v>1610612752</v>
      </c>
      <c r="E137" s="1" t="s">
        <v>1248</v>
      </c>
      <c r="F137">
        <v>260</v>
      </c>
      <c r="G137">
        <v>6</v>
      </c>
      <c r="H137">
        <v>50</v>
      </c>
      <c r="I137">
        <v>930</v>
      </c>
      <c r="J137">
        <v>11</v>
      </c>
      <c r="K137">
        <v>30</v>
      </c>
      <c r="L137">
        <v>367</v>
      </c>
      <c r="M137">
        <v>10</v>
      </c>
      <c r="N137">
        <v>40</v>
      </c>
      <c r="O137">
        <v>25</v>
      </c>
      <c r="P137">
        <v>3</v>
      </c>
      <c r="Q137">
        <v>4</v>
      </c>
      <c r="R137">
        <v>75</v>
      </c>
      <c r="S137">
        <v>70</v>
      </c>
      <c r="T137">
        <v>170</v>
      </c>
      <c r="U137">
        <v>240</v>
      </c>
      <c r="V137">
        <v>6</v>
      </c>
      <c r="W137">
        <v>40</v>
      </c>
      <c r="X137">
        <v>0</v>
      </c>
      <c r="Y137">
        <v>60</v>
      </c>
      <c r="Z137">
        <v>8</v>
      </c>
      <c r="AA137">
        <v>26</v>
      </c>
      <c r="AB137" s="1" t="s">
        <v>1384</v>
      </c>
    </row>
    <row r="138" spans="1:28" x14ac:dyDescent="0.3">
      <c r="A138">
        <v>78013</v>
      </c>
      <c r="B138" s="1" t="s">
        <v>1322</v>
      </c>
      <c r="C138">
        <v>0</v>
      </c>
      <c r="D138">
        <v>1610612752</v>
      </c>
      <c r="E138" s="1" t="s">
        <v>1248</v>
      </c>
      <c r="F138">
        <v>270</v>
      </c>
      <c r="G138">
        <v>60</v>
      </c>
      <c r="I138">
        <v>8160</v>
      </c>
      <c r="J138">
        <v>109</v>
      </c>
      <c r="K138">
        <v>293</v>
      </c>
      <c r="L138">
        <v>372</v>
      </c>
      <c r="P138">
        <v>58</v>
      </c>
      <c r="Q138">
        <v>88</v>
      </c>
      <c r="R138">
        <v>659</v>
      </c>
      <c r="U138">
        <v>970</v>
      </c>
      <c r="V138">
        <v>123</v>
      </c>
      <c r="Z138">
        <v>121</v>
      </c>
      <c r="AA138">
        <v>276</v>
      </c>
      <c r="AB138" s="1" t="s">
        <v>1385</v>
      </c>
    </row>
    <row r="139" spans="1:28" x14ac:dyDescent="0.3">
      <c r="A139">
        <v>77578</v>
      </c>
      <c r="B139" s="1" t="s">
        <v>1354</v>
      </c>
      <c r="C139">
        <v>0</v>
      </c>
      <c r="D139">
        <v>1610612752</v>
      </c>
      <c r="E139" s="1" t="s">
        <v>1248</v>
      </c>
      <c r="F139">
        <v>240</v>
      </c>
      <c r="G139">
        <v>78</v>
      </c>
      <c r="I139">
        <v>11730</v>
      </c>
      <c r="J139">
        <v>139</v>
      </c>
      <c r="K139">
        <v>293</v>
      </c>
      <c r="L139">
        <v>474</v>
      </c>
      <c r="P139">
        <v>79</v>
      </c>
      <c r="Q139">
        <v>140</v>
      </c>
      <c r="R139">
        <v>564</v>
      </c>
      <c r="U139">
        <v>1850</v>
      </c>
      <c r="V139">
        <v>103</v>
      </c>
      <c r="Z139">
        <v>137</v>
      </c>
      <c r="AA139">
        <v>357</v>
      </c>
      <c r="AB139" s="1" t="s">
        <v>1386</v>
      </c>
    </row>
    <row r="140" spans="1:28" x14ac:dyDescent="0.3">
      <c r="A140">
        <v>77578</v>
      </c>
      <c r="B140" s="1" t="s">
        <v>1356</v>
      </c>
      <c r="C140">
        <v>0</v>
      </c>
      <c r="D140">
        <v>1610612752</v>
      </c>
      <c r="E140" s="1" t="s">
        <v>1248</v>
      </c>
      <c r="F140">
        <v>250</v>
      </c>
      <c r="G140">
        <v>80</v>
      </c>
      <c r="I140">
        <v>14530</v>
      </c>
      <c r="J140">
        <v>188</v>
      </c>
      <c r="K140">
        <v>365</v>
      </c>
      <c r="L140">
        <v>515</v>
      </c>
      <c r="P140">
        <v>81</v>
      </c>
      <c r="Q140">
        <v>129</v>
      </c>
      <c r="R140">
        <v>628</v>
      </c>
      <c r="U140">
        <v>2290</v>
      </c>
      <c r="V140">
        <v>133</v>
      </c>
      <c r="Z140">
        <v>109</v>
      </c>
      <c r="AA140">
        <v>457</v>
      </c>
      <c r="AB140" s="1" t="s">
        <v>1386</v>
      </c>
    </row>
    <row r="141" spans="1:28" x14ac:dyDescent="0.3">
      <c r="A141">
        <v>77578</v>
      </c>
      <c r="B141" s="1" t="s">
        <v>1357</v>
      </c>
      <c r="C141">
        <v>0</v>
      </c>
      <c r="D141">
        <v>1610612752</v>
      </c>
      <c r="E141" s="1" t="s">
        <v>1248</v>
      </c>
      <c r="F141">
        <v>260</v>
      </c>
      <c r="G141">
        <v>78</v>
      </c>
      <c r="I141">
        <v>20790</v>
      </c>
      <c r="J141">
        <v>274</v>
      </c>
      <c r="K141">
        <v>539</v>
      </c>
      <c r="L141">
        <v>508</v>
      </c>
      <c r="P141">
        <v>103</v>
      </c>
      <c r="Q141">
        <v>160</v>
      </c>
      <c r="R141">
        <v>644</v>
      </c>
      <c r="S141">
        <v>1250</v>
      </c>
      <c r="T141">
        <v>1560</v>
      </c>
      <c r="U141">
        <v>2810</v>
      </c>
      <c r="V141">
        <v>162</v>
      </c>
      <c r="W141">
        <v>620</v>
      </c>
      <c r="X141">
        <v>80</v>
      </c>
      <c r="Z141">
        <v>161</v>
      </c>
      <c r="AA141">
        <v>651</v>
      </c>
      <c r="AB141" s="1" t="s">
        <v>1386</v>
      </c>
    </row>
    <row r="142" spans="1:28" x14ac:dyDescent="0.3">
      <c r="A142">
        <v>77578</v>
      </c>
      <c r="B142" s="1" t="s">
        <v>1263</v>
      </c>
      <c r="C142">
        <v>0</v>
      </c>
      <c r="D142">
        <v>1610612752</v>
      </c>
      <c r="E142" s="1" t="s">
        <v>1248</v>
      </c>
      <c r="F142">
        <v>290</v>
      </c>
      <c r="G142">
        <v>32</v>
      </c>
      <c r="I142">
        <v>2540</v>
      </c>
      <c r="J142">
        <v>15</v>
      </c>
      <c r="K142">
        <v>36</v>
      </c>
      <c r="L142">
        <v>417</v>
      </c>
      <c r="P142">
        <v>13</v>
      </c>
      <c r="Q142">
        <v>23</v>
      </c>
      <c r="R142">
        <v>565</v>
      </c>
      <c r="S142">
        <v>120</v>
      </c>
      <c r="T142">
        <v>140</v>
      </c>
      <c r="U142">
        <v>260</v>
      </c>
      <c r="V142">
        <v>29</v>
      </c>
      <c r="W142">
        <v>80</v>
      </c>
      <c r="X142">
        <v>10</v>
      </c>
      <c r="Z142">
        <v>17</v>
      </c>
      <c r="AA142">
        <v>43</v>
      </c>
      <c r="AB142" s="1" t="s">
        <v>1386</v>
      </c>
    </row>
    <row r="143" spans="1:28" x14ac:dyDescent="0.3">
      <c r="A143">
        <v>77562</v>
      </c>
      <c r="B143" s="1" t="s">
        <v>1322</v>
      </c>
      <c r="C143">
        <v>0</v>
      </c>
      <c r="D143">
        <v>1610612752</v>
      </c>
      <c r="E143" s="1" t="s">
        <v>1248</v>
      </c>
      <c r="F143">
        <v>220</v>
      </c>
      <c r="G143">
        <v>75</v>
      </c>
      <c r="I143">
        <v>13870</v>
      </c>
      <c r="J143">
        <v>166</v>
      </c>
      <c r="K143">
        <v>427</v>
      </c>
      <c r="L143">
        <v>389</v>
      </c>
      <c r="P143">
        <v>105</v>
      </c>
      <c r="Q143">
        <v>126</v>
      </c>
      <c r="R143">
        <v>833</v>
      </c>
      <c r="U143">
        <v>1230</v>
      </c>
      <c r="V143">
        <v>238</v>
      </c>
      <c r="Z143">
        <v>148</v>
      </c>
      <c r="AA143">
        <v>437</v>
      </c>
      <c r="AB143" s="1" t="s">
        <v>1387</v>
      </c>
    </row>
    <row r="144" spans="1:28" x14ac:dyDescent="0.3">
      <c r="A144">
        <v>452</v>
      </c>
      <c r="B144" s="1" t="s">
        <v>1293</v>
      </c>
      <c r="C144">
        <v>0</v>
      </c>
      <c r="D144">
        <v>1610612752</v>
      </c>
      <c r="E144" s="1" t="s">
        <v>1248</v>
      </c>
      <c r="F144">
        <v>320</v>
      </c>
      <c r="G144">
        <v>17</v>
      </c>
      <c r="H144">
        <v>0</v>
      </c>
      <c r="I144">
        <v>3130</v>
      </c>
      <c r="J144">
        <v>40</v>
      </c>
      <c r="K144">
        <v>99</v>
      </c>
      <c r="L144">
        <v>404</v>
      </c>
      <c r="M144">
        <v>10</v>
      </c>
      <c r="N144">
        <v>20</v>
      </c>
      <c r="O144">
        <v>5</v>
      </c>
      <c r="P144">
        <v>32</v>
      </c>
      <c r="Q144">
        <v>45</v>
      </c>
      <c r="R144">
        <v>711</v>
      </c>
      <c r="S144">
        <v>360</v>
      </c>
      <c r="T144">
        <v>340</v>
      </c>
      <c r="U144">
        <v>700</v>
      </c>
      <c r="V144">
        <v>12</v>
      </c>
      <c r="W144">
        <v>70</v>
      </c>
      <c r="X144">
        <v>90</v>
      </c>
      <c r="Y144">
        <v>250</v>
      </c>
      <c r="Z144">
        <v>62</v>
      </c>
      <c r="AA144">
        <v>113</v>
      </c>
      <c r="AB144" s="1" t="s">
        <v>1388</v>
      </c>
    </row>
    <row r="145" spans="1:28" x14ac:dyDescent="0.3">
      <c r="A145">
        <v>452</v>
      </c>
      <c r="B145" s="1" t="s">
        <v>1295</v>
      </c>
      <c r="C145">
        <v>0</v>
      </c>
      <c r="D145">
        <v>1610612752</v>
      </c>
      <c r="E145" s="1" t="s">
        <v>1248</v>
      </c>
      <c r="F145">
        <v>330</v>
      </c>
      <c r="G145">
        <v>24</v>
      </c>
      <c r="H145">
        <v>0</v>
      </c>
      <c r="I145">
        <v>1910</v>
      </c>
      <c r="J145">
        <v>13</v>
      </c>
      <c r="K145">
        <v>38</v>
      </c>
      <c r="L145">
        <v>342</v>
      </c>
      <c r="M145">
        <v>0</v>
      </c>
      <c r="N145">
        <v>10</v>
      </c>
      <c r="O145">
        <v>0</v>
      </c>
      <c r="P145">
        <v>7</v>
      </c>
      <c r="Q145">
        <v>15</v>
      </c>
      <c r="R145">
        <v>467</v>
      </c>
      <c r="S145">
        <v>170</v>
      </c>
      <c r="T145">
        <v>200</v>
      </c>
      <c r="U145">
        <v>370</v>
      </c>
      <c r="V145">
        <v>9</v>
      </c>
      <c r="W145">
        <v>20</v>
      </c>
      <c r="X145">
        <v>40</v>
      </c>
      <c r="Y145">
        <v>150</v>
      </c>
      <c r="Z145">
        <v>31</v>
      </c>
      <c r="AA145">
        <v>33</v>
      </c>
      <c r="AB145" s="1" t="s">
        <v>1388</v>
      </c>
    </row>
    <row r="146" spans="1:28" x14ac:dyDescent="0.3">
      <c r="A146">
        <v>78153</v>
      </c>
      <c r="B146" s="1" t="s">
        <v>1266</v>
      </c>
      <c r="C146">
        <v>0</v>
      </c>
      <c r="D146">
        <v>1610612752</v>
      </c>
      <c r="E146" s="1" t="s">
        <v>1248</v>
      </c>
      <c r="F146">
        <v>250</v>
      </c>
      <c r="G146">
        <v>60</v>
      </c>
      <c r="J146">
        <v>241</v>
      </c>
      <c r="K146">
        <v>729</v>
      </c>
      <c r="L146">
        <v>331</v>
      </c>
      <c r="P146">
        <v>198</v>
      </c>
      <c r="Q146">
        <v>299</v>
      </c>
      <c r="R146">
        <v>662</v>
      </c>
      <c r="V146">
        <v>102</v>
      </c>
      <c r="Z146">
        <v>203</v>
      </c>
      <c r="AA146">
        <v>680</v>
      </c>
      <c r="AB146" s="1" t="s">
        <v>1389</v>
      </c>
    </row>
    <row r="147" spans="1:28" x14ac:dyDescent="0.3">
      <c r="A147">
        <v>78153</v>
      </c>
      <c r="B147" s="1" t="s">
        <v>1378</v>
      </c>
      <c r="C147">
        <v>0</v>
      </c>
      <c r="D147">
        <v>1610612752</v>
      </c>
      <c r="E147" s="1" t="s">
        <v>1248</v>
      </c>
      <c r="F147">
        <v>260</v>
      </c>
      <c r="G147">
        <v>66</v>
      </c>
      <c r="J147">
        <v>229</v>
      </c>
      <c r="K147">
        <v>613</v>
      </c>
      <c r="L147">
        <v>374</v>
      </c>
      <c r="P147">
        <v>146</v>
      </c>
      <c r="Q147">
        <v>208</v>
      </c>
      <c r="R147">
        <v>702</v>
      </c>
      <c r="U147">
        <v>4260</v>
      </c>
      <c r="V147">
        <v>117</v>
      </c>
      <c r="Z147">
        <v>222</v>
      </c>
      <c r="AA147">
        <v>604</v>
      </c>
      <c r="AB147" s="1" t="s">
        <v>1389</v>
      </c>
    </row>
    <row r="148" spans="1:28" x14ac:dyDescent="0.3">
      <c r="A148">
        <v>78153</v>
      </c>
      <c r="B148" s="1" t="s">
        <v>1247</v>
      </c>
      <c r="C148">
        <v>0</v>
      </c>
      <c r="D148">
        <v>1610612752</v>
      </c>
      <c r="E148" s="1" t="s">
        <v>1248</v>
      </c>
      <c r="F148">
        <v>270</v>
      </c>
      <c r="G148">
        <v>66</v>
      </c>
      <c r="I148">
        <v>15580</v>
      </c>
      <c r="J148">
        <v>227</v>
      </c>
      <c r="K148">
        <v>600</v>
      </c>
      <c r="L148">
        <v>378</v>
      </c>
      <c r="P148">
        <v>175</v>
      </c>
      <c r="Q148">
        <v>254</v>
      </c>
      <c r="R148">
        <v>689</v>
      </c>
      <c r="U148">
        <v>4710</v>
      </c>
      <c r="V148">
        <v>121</v>
      </c>
      <c r="Z148">
        <v>214</v>
      </c>
      <c r="AA148">
        <v>629</v>
      </c>
      <c r="AB148" s="1" t="s">
        <v>1389</v>
      </c>
    </row>
    <row r="149" spans="1:28" x14ac:dyDescent="0.3">
      <c r="A149">
        <v>78153</v>
      </c>
      <c r="B149" s="1" t="s">
        <v>1390</v>
      </c>
      <c r="C149">
        <v>0</v>
      </c>
      <c r="D149">
        <v>1610612752</v>
      </c>
      <c r="E149" s="1" t="s">
        <v>1248</v>
      </c>
      <c r="F149">
        <v>280</v>
      </c>
      <c r="G149">
        <v>65</v>
      </c>
      <c r="I149">
        <v>17070</v>
      </c>
      <c r="J149">
        <v>240</v>
      </c>
      <c r="K149">
        <v>637</v>
      </c>
      <c r="L149">
        <v>377</v>
      </c>
      <c r="P149">
        <v>249</v>
      </c>
      <c r="Q149">
        <v>340</v>
      </c>
      <c r="R149">
        <v>732</v>
      </c>
      <c r="U149">
        <v>4580</v>
      </c>
      <c r="V149">
        <v>127</v>
      </c>
      <c r="Z149">
        <v>252</v>
      </c>
      <c r="AA149">
        <v>729</v>
      </c>
      <c r="AB149" s="1" t="s">
        <v>1389</v>
      </c>
    </row>
    <row r="150" spans="1:28" x14ac:dyDescent="0.3">
      <c r="A150">
        <v>78153</v>
      </c>
      <c r="B150" s="1" t="s">
        <v>1349</v>
      </c>
      <c r="C150">
        <v>0</v>
      </c>
      <c r="D150">
        <v>1610612752</v>
      </c>
      <c r="E150" s="1" t="s">
        <v>1248</v>
      </c>
      <c r="F150">
        <v>290</v>
      </c>
      <c r="G150">
        <v>72</v>
      </c>
      <c r="I150">
        <v>20060</v>
      </c>
      <c r="J150">
        <v>255</v>
      </c>
      <c r="K150">
        <v>713</v>
      </c>
      <c r="L150">
        <v>358</v>
      </c>
      <c r="P150">
        <v>210</v>
      </c>
      <c r="Q150">
        <v>305</v>
      </c>
      <c r="R150">
        <v>689</v>
      </c>
      <c r="U150">
        <v>4840</v>
      </c>
      <c r="V150">
        <v>128</v>
      </c>
      <c r="Z150">
        <v>234</v>
      </c>
      <c r="AA150">
        <v>720</v>
      </c>
      <c r="AB150" s="1" t="s">
        <v>1389</v>
      </c>
    </row>
    <row r="151" spans="1:28" x14ac:dyDescent="0.3">
      <c r="A151">
        <v>200771</v>
      </c>
      <c r="B151" s="1" t="s">
        <v>1305</v>
      </c>
      <c r="C151">
        <v>0</v>
      </c>
      <c r="D151">
        <v>1610612752</v>
      </c>
      <c r="E151" s="1" t="s">
        <v>1248</v>
      </c>
      <c r="F151">
        <v>240</v>
      </c>
      <c r="G151">
        <v>27</v>
      </c>
      <c r="H151">
        <v>80</v>
      </c>
      <c r="I151">
        <v>5310</v>
      </c>
      <c r="J151">
        <v>79</v>
      </c>
      <c r="K151">
        <v>161</v>
      </c>
      <c r="L151">
        <v>491</v>
      </c>
      <c r="M151">
        <v>170</v>
      </c>
      <c r="N151">
        <v>490</v>
      </c>
      <c r="O151">
        <v>347</v>
      </c>
      <c r="P151">
        <v>25</v>
      </c>
      <c r="Q151">
        <v>31</v>
      </c>
      <c r="R151">
        <v>806</v>
      </c>
      <c r="S151">
        <v>90</v>
      </c>
      <c r="T151">
        <v>300</v>
      </c>
      <c r="U151">
        <v>390</v>
      </c>
      <c r="V151">
        <v>91</v>
      </c>
      <c r="W151">
        <v>210</v>
      </c>
      <c r="X151">
        <v>20</v>
      </c>
      <c r="Y151">
        <v>550</v>
      </c>
      <c r="Z151">
        <v>38</v>
      </c>
      <c r="AA151">
        <v>200</v>
      </c>
      <c r="AB151" s="1" t="s">
        <v>1391</v>
      </c>
    </row>
    <row r="152" spans="1:28" x14ac:dyDescent="0.3">
      <c r="A152">
        <v>77560</v>
      </c>
      <c r="B152" s="1" t="s">
        <v>1392</v>
      </c>
      <c r="C152">
        <v>0</v>
      </c>
      <c r="D152">
        <v>1610612752</v>
      </c>
      <c r="E152" s="1" t="s">
        <v>1248</v>
      </c>
      <c r="F152">
        <v>240</v>
      </c>
      <c r="G152">
        <v>30</v>
      </c>
      <c r="H152">
        <v>60</v>
      </c>
      <c r="I152">
        <v>6270</v>
      </c>
      <c r="J152">
        <v>70</v>
      </c>
      <c r="K152">
        <v>144</v>
      </c>
      <c r="L152">
        <v>486</v>
      </c>
      <c r="M152">
        <v>0</v>
      </c>
      <c r="N152">
        <v>0</v>
      </c>
      <c r="P152">
        <v>31</v>
      </c>
      <c r="Q152">
        <v>47</v>
      </c>
      <c r="R152">
        <v>66</v>
      </c>
      <c r="S152">
        <v>620</v>
      </c>
      <c r="T152">
        <v>1410</v>
      </c>
      <c r="U152">
        <v>2030</v>
      </c>
      <c r="V152">
        <v>41</v>
      </c>
      <c r="W152">
        <v>380</v>
      </c>
      <c r="X152">
        <v>120</v>
      </c>
      <c r="Y152">
        <v>350</v>
      </c>
      <c r="Z152">
        <v>88</v>
      </c>
      <c r="AA152">
        <v>171</v>
      </c>
      <c r="AB152" s="1" t="s">
        <v>1393</v>
      </c>
    </row>
    <row r="153" spans="1:28" x14ac:dyDescent="0.3">
      <c r="A153">
        <v>77560</v>
      </c>
      <c r="B153" s="1" t="s">
        <v>1394</v>
      </c>
      <c r="C153">
        <v>0</v>
      </c>
      <c r="D153">
        <v>1610612752</v>
      </c>
      <c r="E153" s="1" t="s">
        <v>1248</v>
      </c>
      <c r="F153">
        <v>250</v>
      </c>
      <c r="G153">
        <v>59</v>
      </c>
      <c r="H153">
        <v>160</v>
      </c>
      <c r="I153">
        <v>9720</v>
      </c>
      <c r="J153">
        <v>88</v>
      </c>
      <c r="K153">
        <v>179</v>
      </c>
      <c r="L153">
        <v>492</v>
      </c>
      <c r="M153">
        <v>0</v>
      </c>
      <c r="N153">
        <v>0</v>
      </c>
      <c r="O153">
        <v>0</v>
      </c>
      <c r="P153">
        <v>52</v>
      </c>
      <c r="Q153">
        <v>80</v>
      </c>
      <c r="R153">
        <v>65</v>
      </c>
      <c r="S153">
        <v>740</v>
      </c>
      <c r="T153">
        <v>1530</v>
      </c>
      <c r="U153">
        <v>2270</v>
      </c>
      <c r="V153">
        <v>46</v>
      </c>
      <c r="W153">
        <v>360</v>
      </c>
      <c r="X153">
        <v>160</v>
      </c>
      <c r="Y153">
        <v>640</v>
      </c>
      <c r="Z153">
        <v>136</v>
      </c>
      <c r="AA153">
        <v>228</v>
      </c>
      <c r="AB153" s="1" t="s">
        <v>1393</v>
      </c>
    </row>
    <row r="154" spans="1:28" x14ac:dyDescent="0.3">
      <c r="A154">
        <v>77560</v>
      </c>
      <c r="B154" s="1" t="s">
        <v>1253</v>
      </c>
      <c r="C154">
        <v>0</v>
      </c>
      <c r="D154">
        <v>1610612752</v>
      </c>
      <c r="E154" s="1" t="s">
        <v>1248</v>
      </c>
      <c r="F154">
        <v>260</v>
      </c>
      <c r="G154">
        <v>19</v>
      </c>
      <c r="H154">
        <v>0</v>
      </c>
      <c r="I154">
        <v>2650</v>
      </c>
      <c r="J154">
        <v>23</v>
      </c>
      <c r="K154">
        <v>74</v>
      </c>
      <c r="L154">
        <v>311</v>
      </c>
      <c r="M154">
        <v>0</v>
      </c>
      <c r="N154">
        <v>0</v>
      </c>
      <c r="O154">
        <v>0</v>
      </c>
      <c r="P154">
        <v>21</v>
      </c>
      <c r="Q154">
        <v>31</v>
      </c>
      <c r="R154">
        <v>677</v>
      </c>
      <c r="S154">
        <v>240</v>
      </c>
      <c r="T154">
        <v>400</v>
      </c>
      <c r="U154">
        <v>640</v>
      </c>
      <c r="V154">
        <v>23</v>
      </c>
      <c r="W154">
        <v>160</v>
      </c>
      <c r="X154">
        <v>20</v>
      </c>
      <c r="Y154">
        <v>170</v>
      </c>
      <c r="Z154">
        <v>50</v>
      </c>
      <c r="AA154">
        <v>67</v>
      </c>
      <c r="AB154" s="1" t="s">
        <v>1393</v>
      </c>
    </row>
    <row r="155" spans="1:28" x14ac:dyDescent="0.3">
      <c r="A155">
        <v>1629628</v>
      </c>
      <c r="B155" s="1" t="s">
        <v>1288</v>
      </c>
      <c r="C155">
        <v>0</v>
      </c>
      <c r="D155">
        <v>1610612752</v>
      </c>
      <c r="E155" s="1" t="s">
        <v>1248</v>
      </c>
      <c r="F155">
        <v>200</v>
      </c>
      <c r="G155">
        <v>56</v>
      </c>
      <c r="H155">
        <v>550</v>
      </c>
      <c r="I155">
        <v>17040</v>
      </c>
      <c r="J155">
        <v>292</v>
      </c>
      <c r="K155">
        <v>727</v>
      </c>
      <c r="L155">
        <v>402</v>
      </c>
      <c r="M155">
        <v>630</v>
      </c>
      <c r="N155">
        <v>1970</v>
      </c>
      <c r="O155">
        <v>32</v>
      </c>
      <c r="P155">
        <v>156</v>
      </c>
      <c r="Q155">
        <v>254</v>
      </c>
      <c r="R155">
        <v>614</v>
      </c>
      <c r="S155">
        <v>500</v>
      </c>
      <c r="T155">
        <v>2290</v>
      </c>
      <c r="U155">
        <v>2790</v>
      </c>
      <c r="V155">
        <v>143</v>
      </c>
      <c r="W155">
        <v>550</v>
      </c>
      <c r="X155">
        <v>170</v>
      </c>
      <c r="Y155">
        <v>1240</v>
      </c>
      <c r="Z155">
        <v>122</v>
      </c>
      <c r="AA155">
        <v>803</v>
      </c>
      <c r="AB155" s="1" t="s">
        <v>1395</v>
      </c>
    </row>
    <row r="156" spans="1:28" x14ac:dyDescent="0.3">
      <c r="A156">
        <v>1629628</v>
      </c>
      <c r="B156" s="1" t="s">
        <v>1289</v>
      </c>
      <c r="C156">
        <v>0</v>
      </c>
      <c r="D156">
        <v>1610612752</v>
      </c>
      <c r="E156" s="1" t="s">
        <v>1248</v>
      </c>
      <c r="F156">
        <v>210</v>
      </c>
      <c r="G156">
        <v>72</v>
      </c>
      <c r="H156">
        <v>720</v>
      </c>
      <c r="I156">
        <v>25110</v>
      </c>
      <c r="J156">
        <v>467</v>
      </c>
      <c r="K156">
        <v>1060</v>
      </c>
      <c r="L156">
        <v>441</v>
      </c>
      <c r="M156">
        <v>1240</v>
      </c>
      <c r="N156">
        <v>3090</v>
      </c>
      <c r="O156">
        <v>401</v>
      </c>
      <c r="P156">
        <v>206</v>
      </c>
      <c r="Q156">
        <v>276</v>
      </c>
      <c r="R156">
        <v>746</v>
      </c>
      <c r="S156">
        <v>680</v>
      </c>
      <c r="T156">
        <v>3460</v>
      </c>
      <c r="U156">
        <v>4140</v>
      </c>
      <c r="V156">
        <v>217</v>
      </c>
      <c r="W156">
        <v>530</v>
      </c>
      <c r="X156">
        <v>200</v>
      </c>
      <c r="Y156">
        <v>1390</v>
      </c>
      <c r="Z156">
        <v>188</v>
      </c>
      <c r="AA156">
        <v>1264</v>
      </c>
      <c r="AB156" s="1" t="s">
        <v>1395</v>
      </c>
    </row>
    <row r="157" spans="1:28" x14ac:dyDescent="0.3">
      <c r="A157">
        <v>1629628</v>
      </c>
      <c r="B157" s="1" t="s">
        <v>1308</v>
      </c>
      <c r="C157">
        <v>0</v>
      </c>
      <c r="D157">
        <v>1610612752</v>
      </c>
      <c r="E157" s="1" t="s">
        <v>1248</v>
      </c>
      <c r="F157">
        <v>220</v>
      </c>
      <c r="G157">
        <v>70</v>
      </c>
      <c r="H157">
        <v>700</v>
      </c>
      <c r="I157">
        <v>24170</v>
      </c>
      <c r="J157">
        <v>487</v>
      </c>
      <c r="K157">
        <v>1194</v>
      </c>
      <c r="L157">
        <v>408</v>
      </c>
      <c r="M157">
        <v>1380</v>
      </c>
      <c r="N157">
        <v>4040</v>
      </c>
      <c r="O157">
        <v>342</v>
      </c>
      <c r="P157">
        <v>290</v>
      </c>
      <c r="Q157">
        <v>406</v>
      </c>
      <c r="R157">
        <v>714</v>
      </c>
      <c r="S157">
        <v>660</v>
      </c>
      <c r="T157">
        <v>3420</v>
      </c>
      <c r="U157">
        <v>4080</v>
      </c>
      <c r="V157">
        <v>208</v>
      </c>
      <c r="W157">
        <v>430</v>
      </c>
      <c r="X157">
        <v>160</v>
      </c>
      <c r="Y157">
        <v>1510</v>
      </c>
      <c r="Z157">
        <v>142</v>
      </c>
      <c r="AA157">
        <v>1402</v>
      </c>
      <c r="AB157" s="1" t="s">
        <v>1395</v>
      </c>
    </row>
    <row r="158" spans="1:28" x14ac:dyDescent="0.3">
      <c r="A158">
        <v>1629628</v>
      </c>
      <c r="B158" s="1" t="s">
        <v>1327</v>
      </c>
      <c r="C158">
        <v>0</v>
      </c>
      <c r="D158">
        <v>1610612752</v>
      </c>
      <c r="E158" s="1" t="s">
        <v>1248</v>
      </c>
      <c r="F158">
        <v>230</v>
      </c>
      <c r="G158">
        <v>73</v>
      </c>
      <c r="H158">
        <v>730</v>
      </c>
      <c r="I158">
        <v>24760</v>
      </c>
      <c r="J158">
        <v>510</v>
      </c>
      <c r="K158">
        <v>1176</v>
      </c>
      <c r="L158">
        <v>434</v>
      </c>
      <c r="M158">
        <v>1210</v>
      </c>
      <c r="N158">
        <v>3900</v>
      </c>
      <c r="O158">
        <v>31</v>
      </c>
      <c r="P158">
        <v>290</v>
      </c>
      <c r="Q158">
        <v>392</v>
      </c>
      <c r="R158">
        <v>74</v>
      </c>
      <c r="S158">
        <v>600</v>
      </c>
      <c r="T158">
        <v>3080</v>
      </c>
      <c r="U158">
        <v>3680</v>
      </c>
      <c r="V158">
        <v>201</v>
      </c>
      <c r="W158">
        <v>310</v>
      </c>
      <c r="X158">
        <v>150</v>
      </c>
      <c r="Y158">
        <v>1640</v>
      </c>
      <c r="Z158">
        <v>179</v>
      </c>
      <c r="AA158">
        <v>1431</v>
      </c>
      <c r="AB158" s="1" t="s">
        <v>1395</v>
      </c>
    </row>
    <row r="159" spans="1:28" x14ac:dyDescent="0.3">
      <c r="A159">
        <v>1629628</v>
      </c>
      <c r="B159" s="1" t="s">
        <v>1369</v>
      </c>
      <c r="C159">
        <v>0</v>
      </c>
      <c r="D159">
        <v>1610612752</v>
      </c>
      <c r="E159" s="1" t="s">
        <v>1248</v>
      </c>
      <c r="F159">
        <v>240</v>
      </c>
      <c r="G159">
        <v>26</v>
      </c>
      <c r="H159">
        <v>260</v>
      </c>
      <c r="I159">
        <v>7670</v>
      </c>
      <c r="J159">
        <v>164</v>
      </c>
      <c r="K159">
        <v>388</v>
      </c>
      <c r="L159">
        <v>423</v>
      </c>
      <c r="M159">
        <v>430</v>
      </c>
      <c r="N159">
        <v>1300</v>
      </c>
      <c r="O159">
        <v>331</v>
      </c>
      <c r="P159">
        <v>103</v>
      </c>
      <c r="Q159">
        <v>124</v>
      </c>
      <c r="R159">
        <v>831</v>
      </c>
      <c r="S159">
        <v>190</v>
      </c>
      <c r="T159">
        <v>920</v>
      </c>
      <c r="U159">
        <v>1110</v>
      </c>
      <c r="V159">
        <v>63</v>
      </c>
      <c r="W159">
        <v>120</v>
      </c>
      <c r="X159">
        <v>90</v>
      </c>
      <c r="Y159">
        <v>470</v>
      </c>
      <c r="Z159">
        <v>45</v>
      </c>
      <c r="AA159">
        <v>474</v>
      </c>
      <c r="AB159" s="1" t="s">
        <v>1395</v>
      </c>
    </row>
    <row r="160" spans="1:28" x14ac:dyDescent="0.3">
      <c r="A160">
        <v>77554</v>
      </c>
      <c r="B160" s="1" t="s">
        <v>1263</v>
      </c>
      <c r="C160">
        <v>0</v>
      </c>
      <c r="D160">
        <v>1610612752</v>
      </c>
      <c r="E160" s="1" t="s">
        <v>1248</v>
      </c>
      <c r="F160">
        <v>290</v>
      </c>
      <c r="G160">
        <v>67</v>
      </c>
      <c r="I160">
        <v>21580</v>
      </c>
      <c r="J160">
        <v>298</v>
      </c>
      <c r="K160">
        <v>642</v>
      </c>
      <c r="L160">
        <v>464</v>
      </c>
      <c r="P160">
        <v>67</v>
      </c>
      <c r="Q160">
        <v>86</v>
      </c>
      <c r="R160">
        <v>779</v>
      </c>
      <c r="S160">
        <v>660</v>
      </c>
      <c r="T160">
        <v>2410</v>
      </c>
      <c r="U160">
        <v>3070</v>
      </c>
      <c r="V160">
        <v>139</v>
      </c>
      <c r="W160">
        <v>630</v>
      </c>
      <c r="X160">
        <v>50</v>
      </c>
      <c r="Z160">
        <v>103</v>
      </c>
      <c r="AA160">
        <v>663</v>
      </c>
      <c r="AB160" s="1" t="s">
        <v>1396</v>
      </c>
    </row>
    <row r="161" spans="1:28" x14ac:dyDescent="0.3">
      <c r="A161">
        <v>77554</v>
      </c>
      <c r="B161" s="1" t="s">
        <v>1264</v>
      </c>
      <c r="C161">
        <v>0</v>
      </c>
      <c r="D161">
        <v>1610612752</v>
      </c>
      <c r="E161" s="1" t="s">
        <v>1248</v>
      </c>
      <c r="F161">
        <v>300</v>
      </c>
      <c r="G161">
        <v>81</v>
      </c>
      <c r="I161">
        <v>19770</v>
      </c>
      <c r="J161">
        <v>288</v>
      </c>
      <c r="K161">
        <v>623</v>
      </c>
      <c r="L161">
        <v>462</v>
      </c>
      <c r="P161">
        <v>115</v>
      </c>
      <c r="Q161">
        <v>134</v>
      </c>
      <c r="R161">
        <v>858</v>
      </c>
      <c r="S161">
        <v>800</v>
      </c>
      <c r="T161">
        <v>2090</v>
      </c>
      <c r="U161">
        <v>2890</v>
      </c>
      <c r="V161">
        <v>205</v>
      </c>
      <c r="W161">
        <v>760</v>
      </c>
      <c r="X161">
        <v>170</v>
      </c>
      <c r="Y161">
        <v>1040</v>
      </c>
      <c r="Z161">
        <v>116</v>
      </c>
      <c r="AA161">
        <v>691</v>
      </c>
      <c r="AB161" s="1" t="s">
        <v>1396</v>
      </c>
    </row>
    <row r="162" spans="1:28" x14ac:dyDescent="0.3">
      <c r="A162">
        <v>76140</v>
      </c>
      <c r="B162" s="1" t="s">
        <v>1265</v>
      </c>
      <c r="C162">
        <v>0</v>
      </c>
      <c r="D162">
        <v>1610612752</v>
      </c>
      <c r="E162" s="1" t="s">
        <v>1248</v>
      </c>
      <c r="F162">
        <v>280</v>
      </c>
      <c r="G162">
        <v>5</v>
      </c>
      <c r="I162">
        <v>380</v>
      </c>
      <c r="J162">
        <v>5</v>
      </c>
      <c r="K162">
        <v>12</v>
      </c>
      <c r="L162">
        <v>417</v>
      </c>
      <c r="P162">
        <v>2</v>
      </c>
      <c r="Q162">
        <v>2</v>
      </c>
      <c r="R162">
        <v>10</v>
      </c>
      <c r="S162">
        <v>20</v>
      </c>
      <c r="T162">
        <v>90</v>
      </c>
      <c r="U162">
        <v>110</v>
      </c>
      <c r="V162">
        <v>2</v>
      </c>
      <c r="W162">
        <v>20</v>
      </c>
      <c r="X162">
        <v>0</v>
      </c>
      <c r="Y162">
        <v>40</v>
      </c>
      <c r="Z162">
        <v>8</v>
      </c>
      <c r="AA162">
        <v>12</v>
      </c>
      <c r="AB162" s="1" t="s">
        <v>1397</v>
      </c>
    </row>
    <row r="163" spans="1:28" x14ac:dyDescent="0.3">
      <c r="A163">
        <v>78106</v>
      </c>
      <c r="B163" s="1" t="s">
        <v>1315</v>
      </c>
      <c r="C163">
        <v>0</v>
      </c>
      <c r="D163">
        <v>1610612752</v>
      </c>
      <c r="E163" s="1" t="s">
        <v>1248</v>
      </c>
      <c r="F163">
        <v>220</v>
      </c>
      <c r="G163">
        <v>70</v>
      </c>
      <c r="I163">
        <v>20690</v>
      </c>
      <c r="J163">
        <v>319</v>
      </c>
      <c r="K163">
        <v>728</v>
      </c>
      <c r="L163">
        <v>438</v>
      </c>
      <c r="P163">
        <v>258</v>
      </c>
      <c r="Q163">
        <v>324</v>
      </c>
      <c r="R163">
        <v>796</v>
      </c>
      <c r="U163">
        <v>6160</v>
      </c>
      <c r="V163">
        <v>114</v>
      </c>
      <c r="Z163">
        <v>201</v>
      </c>
      <c r="AA163">
        <v>896</v>
      </c>
      <c r="AB163" s="1" t="s">
        <v>1398</v>
      </c>
    </row>
    <row r="164" spans="1:28" x14ac:dyDescent="0.3">
      <c r="A164">
        <v>78106</v>
      </c>
      <c r="B164" s="1" t="s">
        <v>1318</v>
      </c>
      <c r="C164">
        <v>0</v>
      </c>
      <c r="D164">
        <v>1610612752</v>
      </c>
      <c r="E164" s="1" t="s">
        <v>1248</v>
      </c>
      <c r="F164">
        <v>230</v>
      </c>
      <c r="G164">
        <v>72</v>
      </c>
      <c r="I164">
        <v>25160</v>
      </c>
      <c r="J164">
        <v>343</v>
      </c>
      <c r="K164">
        <v>821</v>
      </c>
      <c r="L164">
        <v>418</v>
      </c>
      <c r="P164">
        <v>383</v>
      </c>
      <c r="Q164">
        <v>485</v>
      </c>
      <c r="R164">
        <v>79</v>
      </c>
      <c r="U164">
        <v>6140</v>
      </c>
      <c r="V164">
        <v>101</v>
      </c>
      <c r="Z164">
        <v>226</v>
      </c>
      <c r="AA164">
        <v>1069</v>
      </c>
      <c r="AB164" s="1" t="s">
        <v>1398</v>
      </c>
    </row>
    <row r="165" spans="1:28" x14ac:dyDescent="0.3">
      <c r="A165">
        <v>78106</v>
      </c>
      <c r="B165" s="1" t="s">
        <v>1320</v>
      </c>
      <c r="C165">
        <v>0</v>
      </c>
      <c r="D165">
        <v>1610612752</v>
      </c>
      <c r="E165" s="1" t="s">
        <v>1248</v>
      </c>
      <c r="F165">
        <v>240</v>
      </c>
      <c r="G165">
        <v>72</v>
      </c>
      <c r="I165">
        <v>26850</v>
      </c>
      <c r="J165">
        <v>445</v>
      </c>
      <c r="K165">
        <v>1014</v>
      </c>
      <c r="L165">
        <v>439</v>
      </c>
      <c r="P165">
        <v>452</v>
      </c>
      <c r="Q165">
        <v>550</v>
      </c>
      <c r="R165">
        <v>822</v>
      </c>
      <c r="U165">
        <v>7850</v>
      </c>
      <c r="V165">
        <v>126</v>
      </c>
      <c r="Z165">
        <v>251</v>
      </c>
      <c r="AA165">
        <v>1342</v>
      </c>
      <c r="AB165" s="1" t="s">
        <v>1398</v>
      </c>
    </row>
    <row r="166" spans="1:28" x14ac:dyDescent="0.3">
      <c r="A166">
        <v>78106</v>
      </c>
      <c r="B166" s="1" t="s">
        <v>1250</v>
      </c>
      <c r="C166">
        <v>0</v>
      </c>
      <c r="D166">
        <v>1610612752</v>
      </c>
      <c r="E166" s="1" t="s">
        <v>1248</v>
      </c>
      <c r="F166">
        <v>250</v>
      </c>
      <c r="G166">
        <v>71</v>
      </c>
      <c r="I166">
        <v>24980</v>
      </c>
      <c r="J166">
        <v>491</v>
      </c>
      <c r="K166">
        <v>1002</v>
      </c>
      <c r="L166">
        <v>49</v>
      </c>
      <c r="P166">
        <v>506</v>
      </c>
      <c r="Q166">
        <v>588</v>
      </c>
      <c r="R166">
        <v>861</v>
      </c>
      <c r="U166">
        <v>6580</v>
      </c>
      <c r="V166">
        <v>136</v>
      </c>
      <c r="Z166">
        <v>237</v>
      </c>
      <c r="AA166">
        <v>1488</v>
      </c>
      <c r="AB166" s="1" t="s">
        <v>1398</v>
      </c>
    </row>
    <row r="167" spans="1:28" x14ac:dyDescent="0.3">
      <c r="A167">
        <v>78106</v>
      </c>
      <c r="B167" s="1" t="s">
        <v>1321</v>
      </c>
      <c r="C167">
        <v>0</v>
      </c>
      <c r="D167">
        <v>1610612752</v>
      </c>
      <c r="E167" s="1" t="s">
        <v>1248</v>
      </c>
      <c r="F167">
        <v>260</v>
      </c>
      <c r="G167">
        <v>64</v>
      </c>
      <c r="I167">
        <v>20990</v>
      </c>
      <c r="J167">
        <v>412</v>
      </c>
      <c r="K167">
        <v>863</v>
      </c>
      <c r="L167">
        <v>477</v>
      </c>
      <c r="P167">
        <v>363</v>
      </c>
      <c r="Q167">
        <v>418</v>
      </c>
      <c r="R167">
        <v>868</v>
      </c>
      <c r="U167">
        <v>8760</v>
      </c>
      <c r="V167">
        <v>127</v>
      </c>
      <c r="Z167">
        <v>191</v>
      </c>
      <c r="AA167">
        <v>1187</v>
      </c>
      <c r="AB167" s="1" t="s">
        <v>1398</v>
      </c>
    </row>
    <row r="168" spans="1:28" x14ac:dyDescent="0.3">
      <c r="A168">
        <v>78106</v>
      </c>
      <c r="B168" s="1" t="s">
        <v>1322</v>
      </c>
      <c r="C168">
        <v>0</v>
      </c>
      <c r="D168">
        <v>1610612752</v>
      </c>
      <c r="E168" s="1" t="s">
        <v>1248</v>
      </c>
      <c r="F168">
        <v>270</v>
      </c>
      <c r="G168">
        <v>52</v>
      </c>
      <c r="I168">
        <v>13960</v>
      </c>
      <c r="J168">
        <v>241</v>
      </c>
      <c r="K168">
        <v>568</v>
      </c>
      <c r="L168">
        <v>424</v>
      </c>
      <c r="P168">
        <v>268</v>
      </c>
      <c r="Q168">
        <v>325</v>
      </c>
      <c r="R168">
        <v>825</v>
      </c>
      <c r="U168">
        <v>2930</v>
      </c>
      <c r="V168">
        <v>102</v>
      </c>
      <c r="Z168">
        <v>165</v>
      </c>
      <c r="AA168">
        <v>750</v>
      </c>
      <c r="AB168" s="1" t="s">
        <v>1398</v>
      </c>
    </row>
    <row r="169" spans="1:28" x14ac:dyDescent="0.3">
      <c r="A169">
        <v>76106</v>
      </c>
      <c r="B169" s="1" t="s">
        <v>1358</v>
      </c>
      <c r="C169">
        <v>0</v>
      </c>
      <c r="D169">
        <v>1610612752</v>
      </c>
      <c r="E169" s="1" t="s">
        <v>1248</v>
      </c>
      <c r="F169">
        <v>300</v>
      </c>
      <c r="G169">
        <v>28</v>
      </c>
      <c r="I169">
        <v>5380</v>
      </c>
      <c r="J169">
        <v>70</v>
      </c>
      <c r="K169">
        <v>172</v>
      </c>
      <c r="L169">
        <v>407</v>
      </c>
      <c r="P169">
        <v>43</v>
      </c>
      <c r="Q169">
        <v>50</v>
      </c>
      <c r="R169">
        <v>86</v>
      </c>
      <c r="S169">
        <v>150</v>
      </c>
      <c r="T169">
        <v>360</v>
      </c>
      <c r="U169">
        <v>510</v>
      </c>
      <c r="V169">
        <v>39</v>
      </c>
      <c r="W169">
        <v>120</v>
      </c>
      <c r="X169">
        <v>0</v>
      </c>
      <c r="Z169">
        <v>51</v>
      </c>
      <c r="AA169">
        <v>183</v>
      </c>
      <c r="AB169" s="1" t="s">
        <v>1399</v>
      </c>
    </row>
    <row r="170" spans="1:28" x14ac:dyDescent="0.3">
      <c r="A170">
        <v>76106</v>
      </c>
      <c r="B170" s="1" t="s">
        <v>1261</v>
      </c>
      <c r="C170">
        <v>0</v>
      </c>
      <c r="D170">
        <v>1610612752</v>
      </c>
      <c r="E170" s="1" t="s">
        <v>1248</v>
      </c>
      <c r="F170">
        <v>310</v>
      </c>
      <c r="G170">
        <v>71</v>
      </c>
      <c r="I170">
        <v>10260</v>
      </c>
      <c r="J170">
        <v>164</v>
      </c>
      <c r="K170">
        <v>371</v>
      </c>
      <c r="L170">
        <v>442</v>
      </c>
      <c r="P170">
        <v>90</v>
      </c>
      <c r="Q170">
        <v>114</v>
      </c>
      <c r="R170">
        <v>789</v>
      </c>
      <c r="S170">
        <v>480</v>
      </c>
      <c r="T170">
        <v>400</v>
      </c>
      <c r="U170">
        <v>880</v>
      </c>
      <c r="V170">
        <v>90</v>
      </c>
      <c r="W170">
        <v>240</v>
      </c>
      <c r="X170">
        <v>30</v>
      </c>
      <c r="Z170">
        <v>86</v>
      </c>
      <c r="AA170">
        <v>418</v>
      </c>
      <c r="AB170" s="1" t="s">
        <v>1399</v>
      </c>
    </row>
    <row r="171" spans="1:28" x14ac:dyDescent="0.3">
      <c r="A171">
        <v>77553</v>
      </c>
      <c r="B171" s="1" t="s">
        <v>1263</v>
      </c>
      <c r="C171">
        <v>0</v>
      </c>
      <c r="D171">
        <v>1610612752</v>
      </c>
      <c r="E171" s="1" t="s">
        <v>1248</v>
      </c>
      <c r="F171">
        <v>250</v>
      </c>
      <c r="G171">
        <v>56</v>
      </c>
      <c r="I171">
        <v>12220</v>
      </c>
      <c r="J171">
        <v>229</v>
      </c>
      <c r="K171">
        <v>471</v>
      </c>
      <c r="L171">
        <v>486</v>
      </c>
      <c r="P171">
        <v>70</v>
      </c>
      <c r="Q171">
        <v>87</v>
      </c>
      <c r="R171">
        <v>805</v>
      </c>
      <c r="S171">
        <v>850</v>
      </c>
      <c r="T171">
        <v>2320</v>
      </c>
      <c r="U171">
        <v>3170</v>
      </c>
      <c r="V171">
        <v>51</v>
      </c>
      <c r="W171">
        <v>100</v>
      </c>
      <c r="X171">
        <v>40</v>
      </c>
      <c r="Z171">
        <v>134</v>
      </c>
      <c r="AA171">
        <v>528</v>
      </c>
      <c r="AB171" s="1" t="s">
        <v>1400</v>
      </c>
    </row>
    <row r="172" spans="1:28" x14ac:dyDescent="0.3">
      <c r="A172">
        <v>202338</v>
      </c>
      <c r="B172" s="1" t="s">
        <v>1279</v>
      </c>
      <c r="C172">
        <v>0</v>
      </c>
      <c r="D172">
        <v>1610612752</v>
      </c>
      <c r="E172" s="1" t="s">
        <v>1248</v>
      </c>
      <c r="F172">
        <v>260</v>
      </c>
      <c r="G172">
        <v>48</v>
      </c>
      <c r="H172">
        <v>0</v>
      </c>
      <c r="I172">
        <v>5260</v>
      </c>
      <c r="J172">
        <v>84</v>
      </c>
      <c r="K172">
        <v>205</v>
      </c>
      <c r="L172">
        <v>41</v>
      </c>
      <c r="M172">
        <v>0</v>
      </c>
      <c r="N172">
        <v>20</v>
      </c>
      <c r="O172">
        <v>0</v>
      </c>
      <c r="P172">
        <v>19</v>
      </c>
      <c r="Q172">
        <v>23</v>
      </c>
      <c r="R172">
        <v>826</v>
      </c>
      <c r="S172">
        <v>310</v>
      </c>
      <c r="T172">
        <v>950</v>
      </c>
      <c r="U172">
        <v>1260</v>
      </c>
      <c r="V172">
        <v>47</v>
      </c>
      <c r="W172">
        <v>80</v>
      </c>
      <c r="X172">
        <v>360</v>
      </c>
      <c r="Y172">
        <v>430</v>
      </c>
      <c r="Z172">
        <v>67</v>
      </c>
      <c r="AA172">
        <v>187</v>
      </c>
      <c r="AB172" s="1" t="s">
        <v>1401</v>
      </c>
    </row>
    <row r="173" spans="1:28" x14ac:dyDescent="0.3">
      <c r="A173">
        <v>77545</v>
      </c>
      <c r="B173" s="1" t="s">
        <v>1272</v>
      </c>
      <c r="C173">
        <v>0</v>
      </c>
      <c r="D173">
        <v>1610612752</v>
      </c>
      <c r="E173" s="1" t="s">
        <v>1248</v>
      </c>
      <c r="F173">
        <v>270</v>
      </c>
      <c r="G173">
        <v>2</v>
      </c>
      <c r="H173">
        <v>0</v>
      </c>
      <c r="I173">
        <v>90</v>
      </c>
      <c r="J173">
        <v>2</v>
      </c>
      <c r="K173">
        <v>9</v>
      </c>
      <c r="L173">
        <v>222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10</v>
      </c>
      <c r="U173">
        <v>10</v>
      </c>
      <c r="V173">
        <v>0</v>
      </c>
      <c r="W173">
        <v>0</v>
      </c>
      <c r="X173">
        <v>0</v>
      </c>
      <c r="Y173">
        <v>0</v>
      </c>
      <c r="Z173">
        <v>1</v>
      </c>
      <c r="AA173">
        <v>4</v>
      </c>
      <c r="AB173" s="1" t="s">
        <v>1402</v>
      </c>
    </row>
    <row r="174" spans="1:28" x14ac:dyDescent="0.3">
      <c r="A174">
        <v>77960</v>
      </c>
      <c r="B174" s="1" t="s">
        <v>1356</v>
      </c>
      <c r="C174">
        <v>0</v>
      </c>
      <c r="D174">
        <v>1610612752</v>
      </c>
      <c r="E174" s="1" t="s">
        <v>1248</v>
      </c>
      <c r="F174">
        <v>230</v>
      </c>
      <c r="G174">
        <v>14</v>
      </c>
      <c r="I174">
        <v>650</v>
      </c>
      <c r="J174">
        <v>10</v>
      </c>
      <c r="K174">
        <v>24</v>
      </c>
      <c r="L174">
        <v>417</v>
      </c>
      <c r="P174">
        <v>15</v>
      </c>
      <c r="Q174">
        <v>24</v>
      </c>
      <c r="R174">
        <v>625</v>
      </c>
      <c r="U174">
        <v>160</v>
      </c>
      <c r="V174">
        <v>2</v>
      </c>
      <c r="Z174">
        <v>15</v>
      </c>
      <c r="AA174">
        <v>35</v>
      </c>
      <c r="AB174" s="1" t="s">
        <v>1403</v>
      </c>
    </row>
    <row r="175" spans="1:28" x14ac:dyDescent="0.3">
      <c r="A175">
        <v>77960</v>
      </c>
      <c r="B175" s="1" t="s">
        <v>1357</v>
      </c>
      <c r="C175">
        <v>0</v>
      </c>
      <c r="D175">
        <v>1610612752</v>
      </c>
      <c r="E175" s="1" t="s">
        <v>1248</v>
      </c>
      <c r="F175">
        <v>240</v>
      </c>
      <c r="G175">
        <v>17</v>
      </c>
      <c r="I175">
        <v>570</v>
      </c>
      <c r="J175">
        <v>13</v>
      </c>
      <c r="K175">
        <v>29</v>
      </c>
      <c r="L175">
        <v>448</v>
      </c>
      <c r="P175">
        <v>12</v>
      </c>
      <c r="Q175">
        <v>17</v>
      </c>
      <c r="R175">
        <v>706</v>
      </c>
      <c r="S175">
        <v>90</v>
      </c>
      <c r="T175">
        <v>60</v>
      </c>
      <c r="U175">
        <v>150</v>
      </c>
      <c r="V175">
        <v>3</v>
      </c>
      <c r="W175">
        <v>0</v>
      </c>
      <c r="X175">
        <v>0</v>
      </c>
      <c r="Z175">
        <v>6</v>
      </c>
      <c r="AA175">
        <v>38</v>
      </c>
      <c r="AB175" s="1" t="s">
        <v>1403</v>
      </c>
    </row>
    <row r="176" spans="1:28" x14ac:dyDescent="0.3">
      <c r="A176">
        <v>77960</v>
      </c>
      <c r="B176" s="1" t="s">
        <v>1358</v>
      </c>
      <c r="C176">
        <v>0</v>
      </c>
      <c r="D176">
        <v>1610612752</v>
      </c>
      <c r="E176" s="1" t="s">
        <v>1248</v>
      </c>
      <c r="F176">
        <v>250</v>
      </c>
      <c r="G176">
        <v>51</v>
      </c>
      <c r="I176">
        <v>4830</v>
      </c>
      <c r="J176">
        <v>53</v>
      </c>
      <c r="K176">
        <v>147</v>
      </c>
      <c r="L176">
        <v>361</v>
      </c>
      <c r="P176">
        <v>46</v>
      </c>
      <c r="Q176">
        <v>82</v>
      </c>
      <c r="R176">
        <v>561</v>
      </c>
      <c r="S176">
        <v>400</v>
      </c>
      <c r="T176">
        <v>670</v>
      </c>
      <c r="U176">
        <v>1070</v>
      </c>
      <c r="V176">
        <v>19</v>
      </c>
      <c r="W176">
        <v>150</v>
      </c>
      <c r="X176">
        <v>50</v>
      </c>
      <c r="Z176">
        <v>64</v>
      </c>
      <c r="AA176">
        <v>152</v>
      </c>
      <c r="AB176" s="1" t="s">
        <v>1403</v>
      </c>
    </row>
    <row r="177" spans="1:28" x14ac:dyDescent="0.3">
      <c r="A177">
        <v>203143</v>
      </c>
      <c r="B177" s="1" t="s">
        <v>1292</v>
      </c>
      <c r="C177">
        <v>0</v>
      </c>
      <c r="D177">
        <v>1610612752</v>
      </c>
      <c r="E177" s="1" t="s">
        <v>1248</v>
      </c>
      <c r="F177">
        <v>360</v>
      </c>
      <c r="G177">
        <v>78</v>
      </c>
      <c r="H177">
        <v>180</v>
      </c>
      <c r="I177">
        <v>12630</v>
      </c>
      <c r="J177">
        <v>100</v>
      </c>
      <c r="K177">
        <v>220</v>
      </c>
      <c r="L177">
        <v>455</v>
      </c>
      <c r="M177">
        <v>530</v>
      </c>
      <c r="N177">
        <v>1340</v>
      </c>
      <c r="O177">
        <v>396</v>
      </c>
      <c r="P177">
        <v>22</v>
      </c>
      <c r="Q177">
        <v>25</v>
      </c>
      <c r="R177">
        <v>88</v>
      </c>
      <c r="S177">
        <v>410</v>
      </c>
      <c r="T177">
        <v>1020</v>
      </c>
      <c r="U177">
        <v>1430</v>
      </c>
      <c r="V177">
        <v>236</v>
      </c>
      <c r="W177">
        <v>690</v>
      </c>
      <c r="X177">
        <v>20</v>
      </c>
      <c r="Y177">
        <v>860</v>
      </c>
      <c r="Z177">
        <v>127</v>
      </c>
      <c r="AA177">
        <v>275</v>
      </c>
      <c r="AB177" s="1" t="s">
        <v>1404</v>
      </c>
    </row>
    <row r="178" spans="1:28" x14ac:dyDescent="0.3">
      <c r="A178">
        <v>203143</v>
      </c>
      <c r="B178" s="1" t="s">
        <v>1337</v>
      </c>
      <c r="C178">
        <v>0</v>
      </c>
      <c r="D178">
        <v>1610612752</v>
      </c>
      <c r="E178" s="1" t="s">
        <v>1248</v>
      </c>
      <c r="F178">
        <v>370</v>
      </c>
      <c r="G178">
        <v>66</v>
      </c>
      <c r="H178">
        <v>270</v>
      </c>
      <c r="I178">
        <v>12830</v>
      </c>
      <c r="J178">
        <v>88</v>
      </c>
      <c r="K178">
        <v>191</v>
      </c>
      <c r="L178">
        <v>461</v>
      </c>
      <c r="M178">
        <v>650</v>
      </c>
      <c r="N178">
        <v>1400</v>
      </c>
      <c r="O178">
        <v>464</v>
      </c>
      <c r="P178">
        <v>11</v>
      </c>
      <c r="Q178">
        <v>12</v>
      </c>
      <c r="R178">
        <v>917</v>
      </c>
      <c r="S178">
        <v>360</v>
      </c>
      <c r="T178">
        <v>930</v>
      </c>
      <c r="U178">
        <v>1290</v>
      </c>
      <c r="V178">
        <v>228</v>
      </c>
      <c r="W178">
        <v>670</v>
      </c>
      <c r="X178">
        <v>20</v>
      </c>
      <c r="Y178">
        <v>600</v>
      </c>
      <c r="Z178">
        <v>132</v>
      </c>
      <c r="AA178">
        <v>252</v>
      </c>
      <c r="AB178" s="1" t="s">
        <v>1404</v>
      </c>
    </row>
    <row r="179" spans="1:28" x14ac:dyDescent="0.3">
      <c r="A179">
        <v>203143</v>
      </c>
      <c r="B179" s="1" t="s">
        <v>1343</v>
      </c>
      <c r="C179">
        <v>0</v>
      </c>
      <c r="D179">
        <v>1610612752</v>
      </c>
      <c r="E179" s="1" t="s">
        <v>1248</v>
      </c>
      <c r="F179">
        <v>380</v>
      </c>
      <c r="G179">
        <v>43</v>
      </c>
      <c r="H179">
        <v>30</v>
      </c>
      <c r="I179">
        <v>7950</v>
      </c>
      <c r="J179">
        <v>68</v>
      </c>
      <c r="K179">
        <v>161</v>
      </c>
      <c r="L179">
        <v>422</v>
      </c>
      <c r="M179">
        <v>430</v>
      </c>
      <c r="N179">
        <v>1150</v>
      </c>
      <c r="O179">
        <v>374</v>
      </c>
      <c r="P179">
        <v>22</v>
      </c>
      <c r="Q179">
        <v>26</v>
      </c>
      <c r="R179">
        <v>846</v>
      </c>
      <c r="S179">
        <v>180</v>
      </c>
      <c r="T179">
        <v>620</v>
      </c>
      <c r="U179">
        <v>800</v>
      </c>
      <c r="V179">
        <v>104</v>
      </c>
      <c r="W179">
        <v>520</v>
      </c>
      <c r="X179">
        <v>10</v>
      </c>
      <c r="Y179">
        <v>470</v>
      </c>
      <c r="Z179">
        <v>53</v>
      </c>
      <c r="AA179">
        <v>201</v>
      </c>
      <c r="AB179" s="1" t="s">
        <v>1404</v>
      </c>
    </row>
    <row r="180" spans="1:28" x14ac:dyDescent="0.3">
      <c r="A180">
        <v>77537</v>
      </c>
      <c r="B180" s="1" t="s">
        <v>1266</v>
      </c>
      <c r="C180">
        <v>0</v>
      </c>
      <c r="D180">
        <v>1610612752</v>
      </c>
      <c r="E180" s="1" t="s">
        <v>1248</v>
      </c>
      <c r="F180">
        <v>240</v>
      </c>
      <c r="G180">
        <v>68</v>
      </c>
      <c r="J180">
        <v>190</v>
      </c>
      <c r="K180">
        <v>563</v>
      </c>
      <c r="L180">
        <v>337</v>
      </c>
      <c r="P180">
        <v>204</v>
      </c>
      <c r="Q180">
        <v>313</v>
      </c>
      <c r="R180">
        <v>652</v>
      </c>
      <c r="V180">
        <v>386</v>
      </c>
      <c r="Z180">
        <v>160</v>
      </c>
      <c r="AA180">
        <v>584</v>
      </c>
      <c r="AB180" s="1" t="s">
        <v>1405</v>
      </c>
    </row>
    <row r="181" spans="1:28" x14ac:dyDescent="0.3">
      <c r="A181">
        <v>77537</v>
      </c>
      <c r="B181" s="1" t="s">
        <v>1378</v>
      </c>
      <c r="C181">
        <v>0</v>
      </c>
      <c r="D181">
        <v>1610612752</v>
      </c>
      <c r="E181" s="1" t="s">
        <v>1248</v>
      </c>
      <c r="F181">
        <v>250</v>
      </c>
      <c r="G181">
        <v>64</v>
      </c>
      <c r="J181">
        <v>179</v>
      </c>
      <c r="K181">
        <v>482</v>
      </c>
      <c r="L181">
        <v>371</v>
      </c>
      <c r="P181">
        <v>179</v>
      </c>
      <c r="Q181">
        <v>276</v>
      </c>
      <c r="R181">
        <v>649</v>
      </c>
      <c r="U181">
        <v>3340</v>
      </c>
      <c r="V181">
        <v>400</v>
      </c>
      <c r="Z181">
        <v>154</v>
      </c>
      <c r="AA181">
        <v>537</v>
      </c>
      <c r="AB181" s="1" t="s">
        <v>1405</v>
      </c>
    </row>
    <row r="182" spans="1:28" x14ac:dyDescent="0.3">
      <c r="A182">
        <v>77537</v>
      </c>
      <c r="B182" s="1" t="s">
        <v>1247</v>
      </c>
      <c r="C182">
        <v>0</v>
      </c>
      <c r="D182">
        <v>1610612752</v>
      </c>
      <c r="E182" s="1" t="s">
        <v>1248</v>
      </c>
      <c r="F182">
        <v>260</v>
      </c>
      <c r="G182">
        <v>64</v>
      </c>
      <c r="I182">
        <v>20180</v>
      </c>
      <c r="J182">
        <v>204</v>
      </c>
      <c r="K182">
        <v>474</v>
      </c>
      <c r="L182">
        <v>43</v>
      </c>
      <c r="P182">
        <v>183</v>
      </c>
      <c r="Q182">
        <v>290</v>
      </c>
      <c r="R182">
        <v>631</v>
      </c>
      <c r="U182">
        <v>3320</v>
      </c>
      <c r="V182">
        <v>388</v>
      </c>
      <c r="Z182">
        <v>181</v>
      </c>
      <c r="AA182">
        <v>591</v>
      </c>
      <c r="AB182" s="1" t="s">
        <v>1405</v>
      </c>
    </row>
    <row r="183" spans="1:28" x14ac:dyDescent="0.3">
      <c r="A183">
        <v>77537</v>
      </c>
      <c r="B183" s="1" t="s">
        <v>1390</v>
      </c>
      <c r="C183">
        <v>0</v>
      </c>
      <c r="D183">
        <v>1610612752</v>
      </c>
      <c r="E183" s="1" t="s">
        <v>1248</v>
      </c>
      <c r="F183">
        <v>270</v>
      </c>
      <c r="G183">
        <v>61</v>
      </c>
      <c r="I183">
        <v>17830</v>
      </c>
      <c r="J183">
        <v>142</v>
      </c>
      <c r="K183">
        <v>373</v>
      </c>
      <c r="L183">
        <v>381</v>
      </c>
      <c r="P183">
        <v>153</v>
      </c>
      <c r="Q183">
        <v>269</v>
      </c>
      <c r="R183">
        <v>569</v>
      </c>
      <c r="U183">
        <v>2800</v>
      </c>
      <c r="V183">
        <v>296</v>
      </c>
      <c r="Z183">
        <v>172</v>
      </c>
      <c r="AA183">
        <v>437</v>
      </c>
      <c r="AB183" s="1" t="s">
        <v>1405</v>
      </c>
    </row>
    <row r="184" spans="1:28" x14ac:dyDescent="0.3">
      <c r="A184">
        <v>77537</v>
      </c>
      <c r="B184" s="1" t="s">
        <v>1349</v>
      </c>
      <c r="C184">
        <v>0</v>
      </c>
      <c r="D184">
        <v>1610612752</v>
      </c>
      <c r="E184" s="1" t="s">
        <v>1248</v>
      </c>
      <c r="F184">
        <v>280</v>
      </c>
      <c r="G184">
        <v>68</v>
      </c>
      <c r="I184">
        <v>23430</v>
      </c>
      <c r="J184">
        <v>201</v>
      </c>
      <c r="K184">
        <v>493</v>
      </c>
      <c r="L184">
        <v>408</v>
      </c>
      <c r="P184">
        <v>220</v>
      </c>
      <c r="Q184">
        <v>345</v>
      </c>
      <c r="R184">
        <v>638</v>
      </c>
      <c r="U184">
        <v>3100</v>
      </c>
      <c r="V184">
        <v>354</v>
      </c>
      <c r="Z184">
        <v>199</v>
      </c>
      <c r="AA184">
        <v>622</v>
      </c>
      <c r="AB184" s="1" t="s">
        <v>1405</v>
      </c>
    </row>
    <row r="185" spans="1:28" x14ac:dyDescent="0.3">
      <c r="A185">
        <v>77537</v>
      </c>
      <c r="B185" s="1" t="s">
        <v>1362</v>
      </c>
      <c r="C185">
        <v>0</v>
      </c>
      <c r="D185">
        <v>1610612752</v>
      </c>
      <c r="E185" s="1" t="s">
        <v>1248</v>
      </c>
      <c r="F185">
        <v>290</v>
      </c>
      <c r="G185">
        <v>71</v>
      </c>
      <c r="I185">
        <v>23100</v>
      </c>
      <c r="J185">
        <v>226</v>
      </c>
      <c r="K185">
        <v>581</v>
      </c>
      <c r="L185">
        <v>389</v>
      </c>
      <c r="P185">
        <v>195</v>
      </c>
      <c r="Q185">
        <v>303</v>
      </c>
      <c r="R185">
        <v>644</v>
      </c>
      <c r="U185">
        <v>3220</v>
      </c>
      <c r="V185">
        <v>542</v>
      </c>
      <c r="Z185">
        <v>143</v>
      </c>
      <c r="AA185">
        <v>647</v>
      </c>
      <c r="AB185" s="1" t="s">
        <v>1405</v>
      </c>
    </row>
    <row r="186" spans="1:28" x14ac:dyDescent="0.3">
      <c r="A186">
        <v>77537</v>
      </c>
      <c r="B186" s="1" t="s">
        <v>1315</v>
      </c>
      <c r="C186">
        <v>0</v>
      </c>
      <c r="D186">
        <v>1610612752</v>
      </c>
      <c r="E186" s="1" t="s">
        <v>1248</v>
      </c>
      <c r="F186">
        <v>300</v>
      </c>
      <c r="G186">
        <v>62</v>
      </c>
      <c r="I186">
        <v>16850</v>
      </c>
      <c r="J186">
        <v>152</v>
      </c>
      <c r="K186">
        <v>438</v>
      </c>
      <c r="L186">
        <v>347</v>
      </c>
      <c r="P186">
        <v>121</v>
      </c>
      <c r="Q186">
        <v>193</v>
      </c>
      <c r="R186">
        <v>627</v>
      </c>
      <c r="U186">
        <v>2200</v>
      </c>
      <c r="V186">
        <v>362</v>
      </c>
      <c r="Z186">
        <v>146</v>
      </c>
      <c r="AA186">
        <v>425</v>
      </c>
      <c r="AB186" s="1" t="s">
        <v>1405</v>
      </c>
    </row>
    <row r="187" spans="1:28" x14ac:dyDescent="0.3">
      <c r="A187">
        <v>77537</v>
      </c>
      <c r="B187" s="1" t="s">
        <v>1318</v>
      </c>
      <c r="C187">
        <v>0</v>
      </c>
      <c r="D187">
        <v>1610612752</v>
      </c>
      <c r="E187" s="1" t="s">
        <v>1248</v>
      </c>
      <c r="F187">
        <v>310</v>
      </c>
      <c r="G187">
        <v>72</v>
      </c>
      <c r="I187">
        <v>11910</v>
      </c>
      <c r="J187">
        <v>140</v>
      </c>
      <c r="K187">
        <v>366</v>
      </c>
      <c r="L187">
        <v>383</v>
      </c>
      <c r="P187">
        <v>105</v>
      </c>
      <c r="Q187">
        <v>163</v>
      </c>
      <c r="R187">
        <v>644</v>
      </c>
      <c r="U187">
        <v>1460</v>
      </c>
      <c r="V187">
        <v>222</v>
      </c>
      <c r="Z187">
        <v>103</v>
      </c>
      <c r="AA187">
        <v>385</v>
      </c>
      <c r="AB187" s="1" t="s">
        <v>1405</v>
      </c>
    </row>
    <row r="188" spans="1:28" x14ac:dyDescent="0.3">
      <c r="A188">
        <v>76094</v>
      </c>
      <c r="B188" s="1" t="s">
        <v>1406</v>
      </c>
      <c r="C188">
        <v>0</v>
      </c>
      <c r="D188">
        <v>1610612752</v>
      </c>
      <c r="E188" s="1" t="s">
        <v>1248</v>
      </c>
      <c r="F188">
        <v>250</v>
      </c>
      <c r="G188">
        <v>75</v>
      </c>
      <c r="H188">
        <v>500</v>
      </c>
      <c r="I188">
        <v>14040</v>
      </c>
      <c r="J188">
        <v>209</v>
      </c>
      <c r="K188">
        <v>445</v>
      </c>
      <c r="L188">
        <v>47</v>
      </c>
      <c r="M188">
        <v>0</v>
      </c>
      <c r="N188">
        <v>0</v>
      </c>
      <c r="O188">
        <v>0</v>
      </c>
      <c r="P188">
        <v>91</v>
      </c>
      <c r="Q188">
        <v>192</v>
      </c>
      <c r="R188">
        <v>474</v>
      </c>
      <c r="S188">
        <v>1080</v>
      </c>
      <c r="T188">
        <v>2220</v>
      </c>
      <c r="U188">
        <v>3300</v>
      </c>
      <c r="V188">
        <v>39</v>
      </c>
      <c r="W188">
        <v>380</v>
      </c>
      <c r="X188">
        <v>400</v>
      </c>
      <c r="Y188">
        <v>1410</v>
      </c>
      <c r="Z188">
        <v>279</v>
      </c>
      <c r="AA188">
        <v>509</v>
      </c>
      <c r="AB188" s="1" t="s">
        <v>1407</v>
      </c>
    </row>
    <row r="189" spans="1:28" x14ac:dyDescent="0.3">
      <c r="A189">
        <v>76094</v>
      </c>
      <c r="B189" s="1" t="s">
        <v>1392</v>
      </c>
      <c r="C189">
        <v>0</v>
      </c>
      <c r="D189">
        <v>1610612752</v>
      </c>
      <c r="E189" s="1" t="s">
        <v>1248</v>
      </c>
      <c r="F189">
        <v>260</v>
      </c>
      <c r="G189">
        <v>70</v>
      </c>
      <c r="H189">
        <v>150</v>
      </c>
      <c r="I189">
        <v>14050</v>
      </c>
      <c r="J189">
        <v>235</v>
      </c>
      <c r="K189">
        <v>479</v>
      </c>
      <c r="L189">
        <v>491</v>
      </c>
      <c r="M189">
        <v>0</v>
      </c>
      <c r="N189">
        <v>10</v>
      </c>
      <c r="O189">
        <v>0</v>
      </c>
      <c r="P189">
        <v>131</v>
      </c>
      <c r="Q189">
        <v>249</v>
      </c>
      <c r="R189">
        <v>526</v>
      </c>
      <c r="S189">
        <v>890</v>
      </c>
      <c r="T189">
        <v>2330</v>
      </c>
      <c r="U189">
        <v>3220</v>
      </c>
      <c r="V189">
        <v>42</v>
      </c>
      <c r="W189">
        <v>420</v>
      </c>
      <c r="X189">
        <v>240</v>
      </c>
      <c r="Y189">
        <v>1290</v>
      </c>
      <c r="Z189">
        <v>208</v>
      </c>
      <c r="AA189">
        <v>601</v>
      </c>
      <c r="AB189" s="1" t="s">
        <v>1407</v>
      </c>
    </row>
    <row r="190" spans="1:28" x14ac:dyDescent="0.3">
      <c r="A190">
        <v>201565</v>
      </c>
      <c r="B190" s="1" t="s">
        <v>1281</v>
      </c>
      <c r="C190">
        <v>0</v>
      </c>
      <c r="D190">
        <v>1610612752</v>
      </c>
      <c r="E190" s="1" t="s">
        <v>1248</v>
      </c>
      <c r="F190">
        <v>280</v>
      </c>
      <c r="G190">
        <v>64</v>
      </c>
      <c r="H190">
        <v>640</v>
      </c>
      <c r="I190">
        <v>20820</v>
      </c>
      <c r="J190">
        <v>460</v>
      </c>
      <c r="K190">
        <v>977</v>
      </c>
      <c r="L190">
        <v>471</v>
      </c>
      <c r="M190">
        <v>130</v>
      </c>
      <c r="N190">
        <v>600</v>
      </c>
      <c r="O190">
        <v>217</v>
      </c>
      <c r="P190">
        <v>221</v>
      </c>
      <c r="Q190">
        <v>253</v>
      </c>
      <c r="R190">
        <v>874</v>
      </c>
      <c r="S190">
        <v>660</v>
      </c>
      <c r="T190">
        <v>1800</v>
      </c>
      <c r="U190">
        <v>2460</v>
      </c>
      <c r="V190">
        <v>283</v>
      </c>
      <c r="W190">
        <v>440</v>
      </c>
      <c r="X190">
        <v>170</v>
      </c>
      <c r="Y190">
        <v>1470</v>
      </c>
      <c r="Z190">
        <v>84</v>
      </c>
      <c r="AA190">
        <v>1154</v>
      </c>
      <c r="AB190" s="1" t="s">
        <v>1408</v>
      </c>
    </row>
    <row r="191" spans="1:28" x14ac:dyDescent="0.3">
      <c r="A191">
        <v>201565</v>
      </c>
      <c r="B191" s="1" t="s">
        <v>1289</v>
      </c>
      <c r="C191">
        <v>0</v>
      </c>
      <c r="D191">
        <v>1610612752</v>
      </c>
      <c r="E191" s="1" t="s">
        <v>1248</v>
      </c>
      <c r="F191">
        <v>320</v>
      </c>
      <c r="G191">
        <v>35</v>
      </c>
      <c r="H191">
        <v>30</v>
      </c>
      <c r="I191">
        <v>9370</v>
      </c>
      <c r="J191">
        <v>208</v>
      </c>
      <c r="K191">
        <v>427</v>
      </c>
      <c r="L191">
        <v>487</v>
      </c>
      <c r="M191">
        <v>370</v>
      </c>
      <c r="N191">
        <v>900</v>
      </c>
      <c r="O191">
        <v>411</v>
      </c>
      <c r="P191">
        <v>68</v>
      </c>
      <c r="Q191">
        <v>77</v>
      </c>
      <c r="R191">
        <v>883</v>
      </c>
      <c r="S191">
        <v>140</v>
      </c>
      <c r="T191">
        <v>870</v>
      </c>
      <c r="U191">
        <v>1010</v>
      </c>
      <c r="V191">
        <v>146</v>
      </c>
      <c r="W191">
        <v>310</v>
      </c>
      <c r="X191">
        <v>150</v>
      </c>
      <c r="Y191">
        <v>490</v>
      </c>
      <c r="Z191">
        <v>39</v>
      </c>
      <c r="AA191">
        <v>521</v>
      </c>
      <c r="AB191" s="1" t="s">
        <v>1408</v>
      </c>
    </row>
    <row r="192" spans="1:28" x14ac:dyDescent="0.3">
      <c r="A192">
        <v>201565</v>
      </c>
      <c r="B192" s="1" t="s">
        <v>1308</v>
      </c>
      <c r="C192">
        <v>0</v>
      </c>
      <c r="D192">
        <v>1610612752</v>
      </c>
      <c r="E192" s="1" t="s">
        <v>1248</v>
      </c>
      <c r="F192">
        <v>330</v>
      </c>
      <c r="G192">
        <v>26</v>
      </c>
      <c r="H192">
        <v>40</v>
      </c>
      <c r="I192">
        <v>6360</v>
      </c>
      <c r="J192">
        <v>122</v>
      </c>
      <c r="K192">
        <v>274</v>
      </c>
      <c r="L192">
        <v>445</v>
      </c>
      <c r="M192">
        <v>370</v>
      </c>
      <c r="N192">
        <v>920</v>
      </c>
      <c r="O192">
        <v>402</v>
      </c>
      <c r="P192">
        <v>30</v>
      </c>
      <c r="Q192">
        <v>31</v>
      </c>
      <c r="R192">
        <v>968</v>
      </c>
      <c r="S192">
        <v>210</v>
      </c>
      <c r="T192">
        <v>570</v>
      </c>
      <c r="U192">
        <v>780</v>
      </c>
      <c r="V192">
        <v>103</v>
      </c>
      <c r="W192">
        <v>220</v>
      </c>
      <c r="X192">
        <v>120</v>
      </c>
      <c r="Y192">
        <v>390</v>
      </c>
      <c r="Z192">
        <v>15</v>
      </c>
      <c r="AA192">
        <v>311</v>
      </c>
      <c r="AB192" s="1" t="s">
        <v>1408</v>
      </c>
    </row>
    <row r="193" spans="1:28" x14ac:dyDescent="0.3">
      <c r="A193">
        <v>201565</v>
      </c>
      <c r="B193" s="1" t="s">
        <v>1327</v>
      </c>
      <c r="C193">
        <v>0</v>
      </c>
      <c r="D193">
        <v>1610612752</v>
      </c>
      <c r="E193" s="1" t="s">
        <v>1248</v>
      </c>
      <c r="F193">
        <v>340</v>
      </c>
      <c r="G193">
        <v>27</v>
      </c>
      <c r="H193">
        <v>0</v>
      </c>
      <c r="I193">
        <v>3380</v>
      </c>
      <c r="J193">
        <v>61</v>
      </c>
      <c r="K193">
        <v>159</v>
      </c>
      <c r="L193">
        <v>384</v>
      </c>
      <c r="M193">
        <v>190</v>
      </c>
      <c r="N193">
        <v>630</v>
      </c>
      <c r="O193">
        <v>302</v>
      </c>
      <c r="P193">
        <v>11</v>
      </c>
      <c r="Q193">
        <v>12</v>
      </c>
      <c r="R193">
        <v>917</v>
      </c>
      <c r="S193">
        <v>80</v>
      </c>
      <c r="T193">
        <v>320</v>
      </c>
      <c r="U193">
        <v>400</v>
      </c>
      <c r="V193">
        <v>46</v>
      </c>
      <c r="W193">
        <v>70</v>
      </c>
      <c r="X193">
        <v>50</v>
      </c>
      <c r="Y193">
        <v>220</v>
      </c>
      <c r="Z193">
        <v>18</v>
      </c>
      <c r="AA193">
        <v>152</v>
      </c>
      <c r="AB193" s="1" t="s">
        <v>1408</v>
      </c>
    </row>
    <row r="194" spans="1:28" x14ac:dyDescent="0.3">
      <c r="A194">
        <v>77535</v>
      </c>
      <c r="B194" s="1" t="s">
        <v>1357</v>
      </c>
      <c r="C194">
        <v>0</v>
      </c>
      <c r="D194">
        <v>1610612752</v>
      </c>
      <c r="E194" s="1" t="s">
        <v>1248</v>
      </c>
      <c r="F194">
        <v>220</v>
      </c>
      <c r="G194">
        <v>2</v>
      </c>
      <c r="I194">
        <v>100</v>
      </c>
      <c r="J194">
        <v>2</v>
      </c>
      <c r="K194">
        <v>4</v>
      </c>
      <c r="L194">
        <v>5</v>
      </c>
      <c r="P194">
        <v>0</v>
      </c>
      <c r="Q194">
        <v>0</v>
      </c>
      <c r="S194">
        <v>0</v>
      </c>
      <c r="T194">
        <v>20</v>
      </c>
      <c r="U194">
        <v>20</v>
      </c>
      <c r="V194">
        <v>1</v>
      </c>
      <c r="W194">
        <v>0</v>
      </c>
      <c r="X194">
        <v>0</v>
      </c>
      <c r="Z194">
        <v>2</v>
      </c>
      <c r="AA194">
        <v>4</v>
      </c>
      <c r="AB194" s="1" t="s">
        <v>1409</v>
      </c>
    </row>
    <row r="195" spans="1:28" x14ac:dyDescent="0.3">
      <c r="A195">
        <v>76081</v>
      </c>
      <c r="B195" s="1" t="s">
        <v>1349</v>
      </c>
      <c r="C195">
        <v>0</v>
      </c>
      <c r="D195">
        <v>1610612752</v>
      </c>
      <c r="E195" s="1" t="s">
        <v>1248</v>
      </c>
      <c r="F195">
        <v>260</v>
      </c>
      <c r="G195">
        <v>70</v>
      </c>
      <c r="I195">
        <v>16270</v>
      </c>
      <c r="J195">
        <v>170</v>
      </c>
      <c r="K195">
        <v>465</v>
      </c>
      <c r="L195">
        <v>366</v>
      </c>
      <c r="P195">
        <v>134</v>
      </c>
      <c r="Q195">
        <v>177</v>
      </c>
      <c r="R195">
        <v>757</v>
      </c>
      <c r="U195">
        <v>1830</v>
      </c>
      <c r="V195">
        <v>117</v>
      </c>
      <c r="Z195">
        <v>195</v>
      </c>
      <c r="AA195">
        <v>474</v>
      </c>
      <c r="AB195" s="1" t="s">
        <v>1410</v>
      </c>
    </row>
    <row r="196" spans="1:28" x14ac:dyDescent="0.3">
      <c r="A196">
        <v>76081</v>
      </c>
      <c r="B196" s="1" t="s">
        <v>1362</v>
      </c>
      <c r="C196">
        <v>0</v>
      </c>
      <c r="D196">
        <v>1610612752</v>
      </c>
      <c r="E196" s="1" t="s">
        <v>1248</v>
      </c>
      <c r="F196">
        <v>270</v>
      </c>
      <c r="G196">
        <v>72</v>
      </c>
      <c r="I196">
        <v>25360</v>
      </c>
      <c r="J196">
        <v>362</v>
      </c>
      <c r="K196">
        <v>898</v>
      </c>
      <c r="L196">
        <v>403</v>
      </c>
      <c r="P196">
        <v>279</v>
      </c>
      <c r="Q196">
        <v>339</v>
      </c>
      <c r="R196">
        <v>823</v>
      </c>
      <c r="U196">
        <v>3070</v>
      </c>
      <c r="V196">
        <v>218</v>
      </c>
      <c r="Z196">
        <v>202</v>
      </c>
      <c r="AA196">
        <v>1003</v>
      </c>
      <c r="AB196" s="1" t="s">
        <v>1410</v>
      </c>
    </row>
    <row r="197" spans="1:28" x14ac:dyDescent="0.3">
      <c r="A197">
        <v>76081</v>
      </c>
      <c r="B197" s="1" t="s">
        <v>1315</v>
      </c>
      <c r="C197">
        <v>0</v>
      </c>
      <c r="D197">
        <v>1610612752</v>
      </c>
      <c r="E197" s="1" t="s">
        <v>1248</v>
      </c>
      <c r="F197">
        <v>280</v>
      </c>
      <c r="G197">
        <v>70</v>
      </c>
      <c r="I197">
        <v>17380</v>
      </c>
      <c r="J197">
        <v>268</v>
      </c>
      <c r="K197">
        <v>695</v>
      </c>
      <c r="L197">
        <v>386</v>
      </c>
      <c r="P197">
        <v>233</v>
      </c>
      <c r="Q197">
        <v>291</v>
      </c>
      <c r="R197">
        <v>801</v>
      </c>
      <c r="U197">
        <v>2200</v>
      </c>
      <c r="V197">
        <v>163</v>
      </c>
      <c r="Z197">
        <v>156</v>
      </c>
      <c r="AA197">
        <v>769</v>
      </c>
      <c r="AB197" s="1" t="s">
        <v>1410</v>
      </c>
    </row>
    <row r="198" spans="1:28" x14ac:dyDescent="0.3">
      <c r="A198">
        <v>76081</v>
      </c>
      <c r="B198" s="1" t="s">
        <v>1318</v>
      </c>
      <c r="C198">
        <v>0</v>
      </c>
      <c r="D198">
        <v>1610612752</v>
      </c>
      <c r="E198" s="1" t="s">
        <v>1248</v>
      </c>
      <c r="F198">
        <v>290</v>
      </c>
      <c r="G198">
        <v>45</v>
      </c>
      <c r="I198">
        <v>4620</v>
      </c>
      <c r="J198">
        <v>75</v>
      </c>
      <c r="K198">
        <v>197</v>
      </c>
      <c r="L198">
        <v>381</v>
      </c>
      <c r="P198">
        <v>66</v>
      </c>
      <c r="Q198">
        <v>88</v>
      </c>
      <c r="R198">
        <v>75</v>
      </c>
      <c r="U198">
        <v>800</v>
      </c>
      <c r="V198">
        <v>33</v>
      </c>
      <c r="Z198">
        <v>39</v>
      </c>
      <c r="AA198">
        <v>216</v>
      </c>
      <c r="AB198" s="1" t="s">
        <v>1410</v>
      </c>
    </row>
    <row r="199" spans="1:28" x14ac:dyDescent="0.3">
      <c r="A199">
        <v>77536</v>
      </c>
      <c r="B199" s="1" t="s">
        <v>1247</v>
      </c>
      <c r="C199">
        <v>0</v>
      </c>
      <c r="D199">
        <v>1610612752</v>
      </c>
      <c r="E199" s="1" t="s">
        <v>1248</v>
      </c>
      <c r="F199">
        <v>230</v>
      </c>
      <c r="G199">
        <v>59</v>
      </c>
      <c r="I199">
        <v>7880</v>
      </c>
      <c r="J199">
        <v>72</v>
      </c>
      <c r="K199">
        <v>167</v>
      </c>
      <c r="L199">
        <v>431</v>
      </c>
      <c r="P199">
        <v>64</v>
      </c>
      <c r="Q199">
        <v>122</v>
      </c>
      <c r="R199">
        <v>525</v>
      </c>
      <c r="U199">
        <v>1210</v>
      </c>
      <c r="V199">
        <v>107</v>
      </c>
      <c r="Z199">
        <v>136</v>
      </c>
      <c r="AA199">
        <v>208</v>
      </c>
      <c r="AB199" s="1" t="s">
        <v>1411</v>
      </c>
    </row>
    <row r="200" spans="1:28" x14ac:dyDescent="0.3">
      <c r="A200">
        <v>77536</v>
      </c>
      <c r="B200" s="1" t="s">
        <v>1390</v>
      </c>
      <c r="C200">
        <v>0</v>
      </c>
      <c r="D200">
        <v>1610612752</v>
      </c>
      <c r="E200" s="1" t="s">
        <v>1248</v>
      </c>
      <c r="F200">
        <v>240</v>
      </c>
      <c r="G200">
        <v>58</v>
      </c>
      <c r="I200">
        <v>12310</v>
      </c>
      <c r="J200">
        <v>112</v>
      </c>
      <c r="K200">
        <v>287</v>
      </c>
      <c r="L200">
        <v>39</v>
      </c>
      <c r="P200">
        <v>128</v>
      </c>
      <c r="Q200">
        <v>201</v>
      </c>
      <c r="R200">
        <v>637</v>
      </c>
      <c r="U200">
        <v>1670</v>
      </c>
      <c r="V200">
        <v>145</v>
      </c>
      <c r="Z200">
        <v>206</v>
      </c>
      <c r="AA200">
        <v>352</v>
      </c>
      <c r="AB200" s="1" t="s">
        <v>1411</v>
      </c>
    </row>
    <row r="201" spans="1:28" x14ac:dyDescent="0.3">
      <c r="A201">
        <v>77536</v>
      </c>
      <c r="B201" s="1" t="s">
        <v>1349</v>
      </c>
      <c r="C201">
        <v>0</v>
      </c>
      <c r="D201">
        <v>1610612752</v>
      </c>
      <c r="E201" s="1" t="s">
        <v>1248</v>
      </c>
      <c r="F201">
        <v>250</v>
      </c>
      <c r="G201">
        <v>64</v>
      </c>
      <c r="I201">
        <v>8490</v>
      </c>
      <c r="J201">
        <v>58</v>
      </c>
      <c r="K201">
        <v>177</v>
      </c>
      <c r="L201">
        <v>328</v>
      </c>
      <c r="P201">
        <v>58</v>
      </c>
      <c r="Q201">
        <v>133</v>
      </c>
      <c r="R201">
        <v>436</v>
      </c>
      <c r="U201">
        <v>1210</v>
      </c>
      <c r="V201">
        <v>103</v>
      </c>
      <c r="Z201">
        <v>144</v>
      </c>
      <c r="AA201">
        <v>174</v>
      </c>
      <c r="AB201" s="1" t="s">
        <v>1411</v>
      </c>
    </row>
    <row r="202" spans="1:28" x14ac:dyDescent="0.3">
      <c r="A202">
        <v>76107</v>
      </c>
      <c r="B202" s="1" t="s">
        <v>1412</v>
      </c>
      <c r="C202">
        <v>0</v>
      </c>
      <c r="D202">
        <v>1610612752</v>
      </c>
      <c r="E202" s="1" t="s">
        <v>1248</v>
      </c>
      <c r="F202">
        <v>290</v>
      </c>
      <c r="G202">
        <v>75</v>
      </c>
      <c r="I202">
        <v>25890</v>
      </c>
      <c r="J202">
        <v>631</v>
      </c>
      <c r="K202">
        <v>1344</v>
      </c>
      <c r="L202">
        <v>469</v>
      </c>
      <c r="P202">
        <v>467</v>
      </c>
      <c r="Q202">
        <v>605</v>
      </c>
      <c r="R202">
        <v>772</v>
      </c>
      <c r="U202">
        <v>3100</v>
      </c>
      <c r="V202">
        <v>259</v>
      </c>
      <c r="Z202">
        <v>235</v>
      </c>
      <c r="AA202">
        <v>1729</v>
      </c>
      <c r="AB202" s="1" t="s">
        <v>1413</v>
      </c>
    </row>
    <row r="203" spans="1:28" x14ac:dyDescent="0.3">
      <c r="A203">
        <v>76107</v>
      </c>
      <c r="B203" s="1" t="s">
        <v>1360</v>
      </c>
      <c r="C203">
        <v>0</v>
      </c>
      <c r="D203">
        <v>1610612752</v>
      </c>
      <c r="E203" s="1" t="s">
        <v>1248</v>
      </c>
      <c r="F203">
        <v>300</v>
      </c>
      <c r="G203">
        <v>67</v>
      </c>
      <c r="I203">
        <v>19690</v>
      </c>
      <c r="J203">
        <v>454</v>
      </c>
      <c r="K203">
        <v>949</v>
      </c>
      <c r="L203">
        <v>478</v>
      </c>
      <c r="P203">
        <v>231</v>
      </c>
      <c r="Q203">
        <v>295</v>
      </c>
      <c r="R203">
        <v>783</v>
      </c>
      <c r="U203">
        <v>2260</v>
      </c>
      <c r="V203">
        <v>161</v>
      </c>
      <c r="Z203">
        <v>185</v>
      </c>
      <c r="AA203">
        <v>1139</v>
      </c>
      <c r="AB203" s="1" t="s">
        <v>1413</v>
      </c>
    </row>
    <row r="204" spans="1:28" x14ac:dyDescent="0.3">
      <c r="A204">
        <v>76107</v>
      </c>
      <c r="B204" s="1" t="s">
        <v>1414</v>
      </c>
      <c r="C204">
        <v>0</v>
      </c>
      <c r="D204">
        <v>1610612752</v>
      </c>
      <c r="E204" s="1" t="s">
        <v>1248</v>
      </c>
      <c r="F204">
        <v>310</v>
      </c>
      <c r="G204">
        <v>81</v>
      </c>
      <c r="I204">
        <v>24880</v>
      </c>
      <c r="J204">
        <v>559</v>
      </c>
      <c r="K204">
        <v>1159</v>
      </c>
      <c r="L204">
        <v>482</v>
      </c>
      <c r="P204">
        <v>343</v>
      </c>
      <c r="Q204">
        <v>440</v>
      </c>
      <c r="R204">
        <v>78</v>
      </c>
      <c r="U204">
        <v>2380</v>
      </c>
      <c r="V204">
        <v>242</v>
      </c>
      <c r="Z204">
        <v>222</v>
      </c>
      <c r="AA204">
        <v>1461</v>
      </c>
      <c r="AB204" s="1" t="s">
        <v>1413</v>
      </c>
    </row>
    <row r="205" spans="1:28" x14ac:dyDescent="0.3">
      <c r="A205">
        <v>76107</v>
      </c>
      <c r="B205" s="1" t="s">
        <v>1415</v>
      </c>
      <c r="C205">
        <v>0</v>
      </c>
      <c r="D205">
        <v>1610612752</v>
      </c>
      <c r="E205" s="1" t="s">
        <v>1248</v>
      </c>
      <c r="F205">
        <v>320</v>
      </c>
      <c r="G205">
        <v>82</v>
      </c>
      <c r="I205">
        <v>29530</v>
      </c>
      <c r="J205">
        <v>565</v>
      </c>
      <c r="K205">
        <v>1220</v>
      </c>
      <c r="L205">
        <v>463</v>
      </c>
      <c r="P205">
        <v>312</v>
      </c>
      <c r="Q205">
        <v>403</v>
      </c>
      <c r="R205">
        <v>774</v>
      </c>
      <c r="U205">
        <v>2510</v>
      </c>
      <c r="V205">
        <v>291</v>
      </c>
      <c r="Z205">
        <v>239</v>
      </c>
      <c r="AA205">
        <v>1442</v>
      </c>
      <c r="AB205" s="1" t="s">
        <v>1413</v>
      </c>
    </row>
    <row r="206" spans="1:28" x14ac:dyDescent="0.3">
      <c r="A206">
        <v>76107</v>
      </c>
      <c r="B206" s="1" t="s">
        <v>1416</v>
      </c>
      <c r="C206">
        <v>0</v>
      </c>
      <c r="D206">
        <v>1610612752</v>
      </c>
      <c r="E206" s="1" t="s">
        <v>1248</v>
      </c>
      <c r="F206">
        <v>330</v>
      </c>
      <c r="G206">
        <v>82</v>
      </c>
      <c r="I206">
        <v>27720</v>
      </c>
      <c r="J206">
        <v>494</v>
      </c>
      <c r="K206">
        <v>1039</v>
      </c>
      <c r="L206">
        <v>475</v>
      </c>
      <c r="P206">
        <v>232</v>
      </c>
      <c r="Q206">
        <v>325</v>
      </c>
      <c r="R206">
        <v>714</v>
      </c>
      <c r="U206">
        <v>2210</v>
      </c>
      <c r="V206">
        <v>298</v>
      </c>
      <c r="Z206">
        <v>220</v>
      </c>
      <c r="AA206">
        <v>1220</v>
      </c>
      <c r="AB206" s="1" t="s">
        <v>1413</v>
      </c>
    </row>
    <row r="207" spans="1:28" x14ac:dyDescent="0.3">
      <c r="A207">
        <v>76107</v>
      </c>
      <c r="B207" s="1" t="s">
        <v>1417</v>
      </c>
      <c r="C207">
        <v>0</v>
      </c>
      <c r="D207">
        <v>1610612752</v>
      </c>
      <c r="E207" s="1" t="s">
        <v>1248</v>
      </c>
      <c r="F207">
        <v>340</v>
      </c>
      <c r="G207">
        <v>82</v>
      </c>
      <c r="I207">
        <v>28430</v>
      </c>
      <c r="J207">
        <v>540</v>
      </c>
      <c r="K207">
        <v>1184</v>
      </c>
      <c r="L207">
        <v>456</v>
      </c>
      <c r="P207">
        <v>193</v>
      </c>
      <c r="Q207">
        <v>278</v>
      </c>
      <c r="R207">
        <v>694</v>
      </c>
      <c r="U207">
        <v>2380</v>
      </c>
      <c r="V207">
        <v>225</v>
      </c>
      <c r="Z207">
        <v>232</v>
      </c>
      <c r="AA207">
        <v>1273</v>
      </c>
      <c r="AB207" s="1" t="s">
        <v>1413</v>
      </c>
    </row>
    <row r="208" spans="1:28" x14ac:dyDescent="0.3">
      <c r="A208">
        <v>76107</v>
      </c>
      <c r="B208" s="1" t="s">
        <v>1354</v>
      </c>
      <c r="C208">
        <v>0</v>
      </c>
      <c r="D208">
        <v>1610612752</v>
      </c>
      <c r="E208" s="1" t="s">
        <v>1248</v>
      </c>
      <c r="F208">
        <v>350</v>
      </c>
      <c r="G208">
        <v>79</v>
      </c>
      <c r="I208">
        <v>22560</v>
      </c>
      <c r="J208">
        <v>401</v>
      </c>
      <c r="K208">
        <v>918</v>
      </c>
      <c r="L208">
        <v>437</v>
      </c>
      <c r="P208">
        <v>162</v>
      </c>
      <c r="Q208">
        <v>215</v>
      </c>
      <c r="R208">
        <v>753</v>
      </c>
      <c r="U208">
        <v>1530</v>
      </c>
      <c r="V208">
        <v>198</v>
      </c>
      <c r="Z208">
        <v>229</v>
      </c>
      <c r="AA208">
        <v>964</v>
      </c>
      <c r="AB208" s="1" t="s">
        <v>1413</v>
      </c>
    </row>
    <row r="209" spans="1:28" x14ac:dyDescent="0.3">
      <c r="A209">
        <v>76107</v>
      </c>
      <c r="B209" s="1" t="s">
        <v>1356</v>
      </c>
      <c r="C209">
        <v>0</v>
      </c>
      <c r="D209">
        <v>1610612752</v>
      </c>
      <c r="E209" s="1" t="s">
        <v>1248</v>
      </c>
      <c r="F209">
        <v>360</v>
      </c>
      <c r="G209">
        <v>51</v>
      </c>
      <c r="I209">
        <v>5140</v>
      </c>
      <c r="J209">
        <v>88</v>
      </c>
      <c r="K209">
        <v>226</v>
      </c>
      <c r="L209">
        <v>389</v>
      </c>
      <c r="P209">
        <v>16</v>
      </c>
      <c r="Q209">
        <v>30</v>
      </c>
      <c r="R209">
        <v>533</v>
      </c>
      <c r="U209">
        <v>410</v>
      </c>
      <c r="V209">
        <v>50</v>
      </c>
      <c r="Z209">
        <v>52</v>
      </c>
      <c r="AA209">
        <v>192</v>
      </c>
      <c r="AB209" s="1" t="s">
        <v>1413</v>
      </c>
    </row>
    <row r="210" spans="1:28" x14ac:dyDescent="0.3">
      <c r="A210">
        <v>76107</v>
      </c>
      <c r="B210" s="1" t="s">
        <v>1357</v>
      </c>
      <c r="C210">
        <v>0</v>
      </c>
      <c r="D210">
        <v>1610612752</v>
      </c>
      <c r="E210" s="1" t="s">
        <v>1248</v>
      </c>
      <c r="F210">
        <v>370</v>
      </c>
      <c r="G210">
        <v>5</v>
      </c>
      <c r="I210">
        <v>580</v>
      </c>
      <c r="J210">
        <v>10</v>
      </c>
      <c r="K210">
        <v>26</v>
      </c>
      <c r="L210">
        <v>385</v>
      </c>
      <c r="P210">
        <v>2</v>
      </c>
      <c r="Q210">
        <v>3</v>
      </c>
      <c r="R210">
        <v>667</v>
      </c>
      <c r="S210">
        <v>10</v>
      </c>
      <c r="T210">
        <v>30</v>
      </c>
      <c r="U210">
        <v>40</v>
      </c>
      <c r="V210">
        <v>6</v>
      </c>
      <c r="W210">
        <v>10</v>
      </c>
      <c r="X210">
        <v>0</v>
      </c>
      <c r="Z210">
        <v>2</v>
      </c>
      <c r="AA210">
        <v>22</v>
      </c>
      <c r="AB210" s="1" t="s">
        <v>1413</v>
      </c>
    </row>
    <row r="211" spans="1:28" x14ac:dyDescent="0.3">
      <c r="A211">
        <v>1503</v>
      </c>
      <c r="B211" s="1" t="s">
        <v>1305</v>
      </c>
      <c r="C211">
        <v>0</v>
      </c>
      <c r="D211">
        <v>1610612752</v>
      </c>
      <c r="E211" s="1" t="s">
        <v>1248</v>
      </c>
      <c r="F211">
        <v>310</v>
      </c>
      <c r="G211">
        <v>24</v>
      </c>
      <c r="H211">
        <v>240</v>
      </c>
      <c r="I211">
        <v>6270</v>
      </c>
      <c r="J211">
        <v>84</v>
      </c>
      <c r="K211">
        <v>216</v>
      </c>
      <c r="L211">
        <v>389</v>
      </c>
      <c r="M211">
        <v>150</v>
      </c>
      <c r="N211">
        <v>620</v>
      </c>
      <c r="O211">
        <v>242</v>
      </c>
      <c r="P211">
        <v>43</v>
      </c>
      <c r="Q211">
        <v>57</v>
      </c>
      <c r="R211">
        <v>754</v>
      </c>
      <c r="S211">
        <v>220</v>
      </c>
      <c r="T211">
        <v>670</v>
      </c>
      <c r="U211">
        <v>890</v>
      </c>
      <c r="V211">
        <v>93</v>
      </c>
      <c r="W211">
        <v>150</v>
      </c>
      <c r="X211">
        <v>120</v>
      </c>
      <c r="Y211">
        <v>430</v>
      </c>
      <c r="Z211">
        <v>38</v>
      </c>
      <c r="AA211">
        <v>226</v>
      </c>
      <c r="AB211" s="1" t="s">
        <v>1418</v>
      </c>
    </row>
    <row r="212" spans="1:28" x14ac:dyDescent="0.3">
      <c r="A212">
        <v>2546</v>
      </c>
      <c r="B212" s="1" t="s">
        <v>1312</v>
      </c>
      <c r="C212">
        <v>0</v>
      </c>
      <c r="D212">
        <v>1610612752</v>
      </c>
      <c r="E212" s="1" t="s">
        <v>1248</v>
      </c>
      <c r="F212">
        <v>270</v>
      </c>
      <c r="G212">
        <v>27</v>
      </c>
      <c r="H212">
        <v>270</v>
      </c>
      <c r="I212">
        <v>9770</v>
      </c>
      <c r="J212">
        <v>247</v>
      </c>
      <c r="K212">
        <v>536</v>
      </c>
      <c r="L212">
        <v>461</v>
      </c>
      <c r="M212">
        <v>530</v>
      </c>
      <c r="N212">
        <v>1250</v>
      </c>
      <c r="O212">
        <v>424</v>
      </c>
      <c r="P212">
        <v>164</v>
      </c>
      <c r="Q212">
        <v>188</v>
      </c>
      <c r="R212">
        <v>872</v>
      </c>
      <c r="S212">
        <v>410</v>
      </c>
      <c r="T212">
        <v>1400</v>
      </c>
      <c r="U212">
        <v>1810</v>
      </c>
      <c r="V212">
        <v>81</v>
      </c>
      <c r="W212">
        <v>250</v>
      </c>
      <c r="X212">
        <v>150</v>
      </c>
      <c r="Y212">
        <v>640</v>
      </c>
      <c r="Z212">
        <v>90</v>
      </c>
      <c r="AA212">
        <v>711</v>
      </c>
      <c r="AB212" s="1" t="s">
        <v>1419</v>
      </c>
    </row>
    <row r="213" spans="1:28" x14ac:dyDescent="0.3">
      <c r="A213">
        <v>2546</v>
      </c>
      <c r="B213" s="1" t="s">
        <v>1290</v>
      </c>
      <c r="C213">
        <v>0</v>
      </c>
      <c r="D213">
        <v>1610612752</v>
      </c>
      <c r="E213" s="1" t="s">
        <v>1248</v>
      </c>
      <c r="F213">
        <v>280</v>
      </c>
      <c r="G213">
        <v>55</v>
      </c>
      <c r="H213">
        <v>550</v>
      </c>
      <c r="I213">
        <v>18760</v>
      </c>
      <c r="J213">
        <v>441</v>
      </c>
      <c r="K213">
        <v>1025</v>
      </c>
      <c r="L213">
        <v>43</v>
      </c>
      <c r="M213">
        <v>680</v>
      </c>
      <c r="N213">
        <v>2030</v>
      </c>
      <c r="O213">
        <v>335</v>
      </c>
      <c r="P213">
        <v>295</v>
      </c>
      <c r="Q213">
        <v>367</v>
      </c>
      <c r="R213">
        <v>804</v>
      </c>
      <c r="S213">
        <v>880</v>
      </c>
      <c r="T213">
        <v>2560</v>
      </c>
      <c r="U213">
        <v>3440</v>
      </c>
      <c r="V213">
        <v>200</v>
      </c>
      <c r="W213">
        <v>620</v>
      </c>
      <c r="X213">
        <v>240</v>
      </c>
      <c r="Y213">
        <v>1440</v>
      </c>
      <c r="Z213">
        <v>156</v>
      </c>
      <c r="AA213">
        <v>1245</v>
      </c>
      <c r="AB213" s="1" t="s">
        <v>1419</v>
      </c>
    </row>
    <row r="214" spans="1:28" x14ac:dyDescent="0.3">
      <c r="A214">
        <v>2546</v>
      </c>
      <c r="B214" s="1" t="s">
        <v>1292</v>
      </c>
      <c r="C214">
        <v>0</v>
      </c>
      <c r="D214">
        <v>1610612752</v>
      </c>
      <c r="E214" s="1" t="s">
        <v>1248</v>
      </c>
      <c r="F214">
        <v>290</v>
      </c>
      <c r="G214">
        <v>67</v>
      </c>
      <c r="H214">
        <v>670</v>
      </c>
      <c r="I214">
        <v>24820</v>
      </c>
      <c r="J214">
        <v>669</v>
      </c>
      <c r="K214">
        <v>1489</v>
      </c>
      <c r="L214">
        <v>449</v>
      </c>
      <c r="M214">
        <v>1570</v>
      </c>
      <c r="N214">
        <v>4140</v>
      </c>
      <c r="O214">
        <v>379</v>
      </c>
      <c r="P214">
        <v>425</v>
      </c>
      <c r="Q214">
        <v>512</v>
      </c>
      <c r="R214">
        <v>83</v>
      </c>
      <c r="S214">
        <v>1340</v>
      </c>
      <c r="T214">
        <v>3260</v>
      </c>
      <c r="U214">
        <v>4600</v>
      </c>
      <c r="V214">
        <v>171</v>
      </c>
      <c r="W214">
        <v>520</v>
      </c>
      <c r="X214">
        <v>320</v>
      </c>
      <c r="Y214">
        <v>1750</v>
      </c>
      <c r="Z214">
        <v>205</v>
      </c>
      <c r="AA214">
        <v>1920</v>
      </c>
      <c r="AB214" s="1" t="s">
        <v>1419</v>
      </c>
    </row>
    <row r="215" spans="1:28" x14ac:dyDescent="0.3">
      <c r="A215">
        <v>2546</v>
      </c>
      <c r="B215" s="1" t="s">
        <v>1337</v>
      </c>
      <c r="C215">
        <v>0</v>
      </c>
      <c r="D215">
        <v>1610612752</v>
      </c>
      <c r="E215" s="1" t="s">
        <v>1248</v>
      </c>
      <c r="F215">
        <v>300</v>
      </c>
      <c r="G215">
        <v>77</v>
      </c>
      <c r="H215">
        <v>770</v>
      </c>
      <c r="I215">
        <v>29820</v>
      </c>
      <c r="J215">
        <v>743</v>
      </c>
      <c r="K215">
        <v>1643</v>
      </c>
      <c r="L215">
        <v>452</v>
      </c>
      <c r="M215">
        <v>1670</v>
      </c>
      <c r="N215">
        <v>4150</v>
      </c>
      <c r="O215">
        <v>402</v>
      </c>
      <c r="P215">
        <v>459</v>
      </c>
      <c r="Q215">
        <v>541</v>
      </c>
      <c r="R215">
        <v>848</v>
      </c>
      <c r="S215">
        <v>1450</v>
      </c>
      <c r="T215">
        <v>4770</v>
      </c>
      <c r="U215">
        <v>6220</v>
      </c>
      <c r="V215">
        <v>242</v>
      </c>
      <c r="W215">
        <v>950</v>
      </c>
      <c r="X215">
        <v>510</v>
      </c>
      <c r="Y215">
        <v>1980</v>
      </c>
      <c r="Z215">
        <v>224</v>
      </c>
      <c r="AA215">
        <v>2112</v>
      </c>
      <c r="AB215" s="1" t="s">
        <v>1419</v>
      </c>
    </row>
    <row r="216" spans="1:28" x14ac:dyDescent="0.3">
      <c r="A216">
        <v>2546</v>
      </c>
      <c r="B216" s="1" t="s">
        <v>1343</v>
      </c>
      <c r="C216">
        <v>0</v>
      </c>
      <c r="D216">
        <v>1610612752</v>
      </c>
      <c r="E216" s="1" t="s">
        <v>1248</v>
      </c>
      <c r="F216">
        <v>310</v>
      </c>
      <c r="G216">
        <v>40</v>
      </c>
      <c r="H216">
        <v>400</v>
      </c>
      <c r="I216">
        <v>14280</v>
      </c>
      <c r="J216">
        <v>358</v>
      </c>
      <c r="K216">
        <v>806</v>
      </c>
      <c r="L216">
        <v>444</v>
      </c>
      <c r="M216">
        <v>610</v>
      </c>
      <c r="N216">
        <v>1790</v>
      </c>
      <c r="O216">
        <v>341</v>
      </c>
      <c r="P216">
        <v>189</v>
      </c>
      <c r="Q216">
        <v>237</v>
      </c>
      <c r="R216">
        <v>797</v>
      </c>
      <c r="S216">
        <v>720</v>
      </c>
      <c r="T216">
        <v>1920</v>
      </c>
      <c r="U216">
        <v>2640</v>
      </c>
      <c r="V216">
        <v>122</v>
      </c>
      <c r="W216">
        <v>400</v>
      </c>
      <c r="X216">
        <v>170</v>
      </c>
      <c r="Y216">
        <v>890</v>
      </c>
      <c r="Z216">
        <v>87</v>
      </c>
      <c r="AA216">
        <v>966</v>
      </c>
      <c r="AB216" s="1" t="s">
        <v>1419</v>
      </c>
    </row>
    <row r="217" spans="1:28" x14ac:dyDescent="0.3">
      <c r="A217">
        <v>2546</v>
      </c>
      <c r="B217" s="1" t="s">
        <v>1279</v>
      </c>
      <c r="C217">
        <v>0</v>
      </c>
      <c r="D217">
        <v>1610612752</v>
      </c>
      <c r="E217" s="1" t="s">
        <v>1248</v>
      </c>
      <c r="F217">
        <v>320</v>
      </c>
      <c r="G217">
        <v>72</v>
      </c>
      <c r="H217">
        <v>720</v>
      </c>
      <c r="I217">
        <v>25300</v>
      </c>
      <c r="J217">
        <v>567</v>
      </c>
      <c r="K217">
        <v>1307</v>
      </c>
      <c r="L217">
        <v>434</v>
      </c>
      <c r="M217">
        <v>1050</v>
      </c>
      <c r="N217">
        <v>3100</v>
      </c>
      <c r="O217">
        <v>339</v>
      </c>
      <c r="P217">
        <v>334</v>
      </c>
      <c r="Q217">
        <v>403</v>
      </c>
      <c r="R217">
        <v>829</v>
      </c>
      <c r="S217">
        <v>980</v>
      </c>
      <c r="T217">
        <v>4580</v>
      </c>
      <c r="U217">
        <v>5560</v>
      </c>
      <c r="V217">
        <v>299</v>
      </c>
      <c r="W217">
        <v>620</v>
      </c>
      <c r="X217">
        <v>380</v>
      </c>
      <c r="Y217">
        <v>1760</v>
      </c>
      <c r="Z217">
        <v>180</v>
      </c>
      <c r="AA217">
        <v>1573</v>
      </c>
      <c r="AB217" s="1" t="s">
        <v>1419</v>
      </c>
    </row>
    <row r="218" spans="1:28" x14ac:dyDescent="0.3">
      <c r="A218">
        <v>2546</v>
      </c>
      <c r="B218" s="1" t="s">
        <v>1281</v>
      </c>
      <c r="C218">
        <v>0</v>
      </c>
      <c r="D218">
        <v>1610612752</v>
      </c>
      <c r="E218" s="1" t="s">
        <v>1248</v>
      </c>
      <c r="F218">
        <v>330</v>
      </c>
      <c r="G218">
        <v>74</v>
      </c>
      <c r="H218">
        <v>740</v>
      </c>
      <c r="I218">
        <v>25380</v>
      </c>
      <c r="J218">
        <v>602</v>
      </c>
      <c r="K218">
        <v>1389</v>
      </c>
      <c r="L218">
        <v>433</v>
      </c>
      <c r="M218">
        <v>1510</v>
      </c>
      <c r="N218">
        <v>4210</v>
      </c>
      <c r="O218">
        <v>359</v>
      </c>
      <c r="P218">
        <v>304</v>
      </c>
      <c r="Q218">
        <v>365</v>
      </c>
      <c r="R218">
        <v>833</v>
      </c>
      <c r="S218">
        <v>620</v>
      </c>
      <c r="T218">
        <v>3760</v>
      </c>
      <c r="U218">
        <v>4380</v>
      </c>
      <c r="V218">
        <v>213</v>
      </c>
      <c r="W218">
        <v>600</v>
      </c>
      <c r="X218">
        <v>340</v>
      </c>
      <c r="Y218">
        <v>1530</v>
      </c>
      <c r="Z218">
        <v>198</v>
      </c>
      <c r="AA218">
        <v>1659</v>
      </c>
      <c r="AB218" s="1" t="s">
        <v>1419</v>
      </c>
    </row>
    <row r="219" spans="1:28" x14ac:dyDescent="0.3">
      <c r="A219">
        <v>77531</v>
      </c>
      <c r="B219" s="1" t="s">
        <v>1257</v>
      </c>
      <c r="C219">
        <v>0</v>
      </c>
      <c r="D219">
        <v>1610612752</v>
      </c>
      <c r="E219" s="1" t="s">
        <v>1248</v>
      </c>
      <c r="F219">
        <v>240</v>
      </c>
      <c r="G219">
        <v>74</v>
      </c>
      <c r="I219">
        <v>17840</v>
      </c>
      <c r="J219">
        <v>456</v>
      </c>
      <c r="K219">
        <v>937</v>
      </c>
      <c r="L219">
        <v>487</v>
      </c>
      <c r="P219">
        <v>204</v>
      </c>
      <c r="Q219">
        <v>282</v>
      </c>
      <c r="R219">
        <v>723</v>
      </c>
      <c r="U219">
        <v>4140</v>
      </c>
      <c r="V219">
        <v>121</v>
      </c>
      <c r="Z219">
        <v>217</v>
      </c>
      <c r="AA219">
        <v>1116</v>
      </c>
      <c r="AB219" s="1" t="s">
        <v>1420</v>
      </c>
    </row>
    <row r="220" spans="1:28" x14ac:dyDescent="0.3">
      <c r="A220">
        <v>202332</v>
      </c>
      <c r="B220" s="1" t="s">
        <v>1337</v>
      </c>
      <c r="C220">
        <v>0</v>
      </c>
      <c r="D220">
        <v>1610612752</v>
      </c>
      <c r="E220" s="1" t="s">
        <v>1248</v>
      </c>
      <c r="F220">
        <v>250</v>
      </c>
      <c r="G220">
        <v>46</v>
      </c>
      <c r="H220">
        <v>20</v>
      </c>
      <c r="I220">
        <v>3300</v>
      </c>
      <c r="J220">
        <v>33</v>
      </c>
      <c r="K220">
        <v>61</v>
      </c>
      <c r="L220">
        <v>541</v>
      </c>
      <c r="M220">
        <v>0</v>
      </c>
      <c r="N220">
        <v>0</v>
      </c>
      <c r="O220">
        <v>0</v>
      </c>
      <c r="P220">
        <v>26</v>
      </c>
      <c r="Q220">
        <v>30</v>
      </c>
      <c r="R220">
        <v>867</v>
      </c>
      <c r="S220">
        <v>370</v>
      </c>
      <c r="T220">
        <v>920</v>
      </c>
      <c r="U220">
        <v>1290</v>
      </c>
      <c r="V220">
        <v>14</v>
      </c>
      <c r="W220">
        <v>80</v>
      </c>
      <c r="X220">
        <v>300</v>
      </c>
      <c r="Y220">
        <v>180</v>
      </c>
      <c r="Z220">
        <v>40</v>
      </c>
      <c r="AA220">
        <v>92</v>
      </c>
      <c r="AB220" s="1" t="s">
        <v>1421</v>
      </c>
    </row>
    <row r="221" spans="1:28" x14ac:dyDescent="0.3">
      <c r="A221">
        <v>202332</v>
      </c>
      <c r="B221" s="1" t="s">
        <v>1343</v>
      </c>
      <c r="C221">
        <v>0</v>
      </c>
      <c r="D221">
        <v>1610612752</v>
      </c>
      <c r="E221" s="1" t="s">
        <v>1248</v>
      </c>
      <c r="F221">
        <v>260</v>
      </c>
      <c r="G221">
        <v>61</v>
      </c>
      <c r="H221">
        <v>160</v>
      </c>
      <c r="I221">
        <v>9760</v>
      </c>
      <c r="J221">
        <v>144</v>
      </c>
      <c r="K221">
        <v>301</v>
      </c>
      <c r="L221">
        <v>478</v>
      </c>
      <c r="M221">
        <v>0</v>
      </c>
      <c r="N221">
        <v>0</v>
      </c>
      <c r="O221">
        <v>0</v>
      </c>
      <c r="P221">
        <v>50</v>
      </c>
      <c r="Q221">
        <v>64</v>
      </c>
      <c r="R221">
        <v>781</v>
      </c>
      <c r="S221">
        <v>1010</v>
      </c>
      <c r="T221">
        <v>2370</v>
      </c>
      <c r="U221">
        <v>3380</v>
      </c>
      <c r="V221">
        <v>75</v>
      </c>
      <c r="W221">
        <v>370</v>
      </c>
      <c r="X221">
        <v>650</v>
      </c>
      <c r="Y221">
        <v>590</v>
      </c>
      <c r="Z221">
        <v>122</v>
      </c>
      <c r="AA221">
        <v>338</v>
      </c>
      <c r="AB221" s="1" t="s">
        <v>1421</v>
      </c>
    </row>
    <row r="222" spans="1:28" x14ac:dyDescent="0.3">
      <c r="A222">
        <v>76099</v>
      </c>
      <c r="B222" s="1" t="s">
        <v>1265</v>
      </c>
      <c r="C222">
        <v>0</v>
      </c>
      <c r="D222">
        <v>1610612752</v>
      </c>
      <c r="E222" s="1" t="s">
        <v>1248</v>
      </c>
      <c r="F222">
        <v>240</v>
      </c>
      <c r="G222">
        <v>22</v>
      </c>
      <c r="I222">
        <v>3290</v>
      </c>
      <c r="J222">
        <v>44</v>
      </c>
      <c r="K222">
        <v>102</v>
      </c>
      <c r="L222">
        <v>431</v>
      </c>
      <c r="P222">
        <v>14</v>
      </c>
      <c r="Q222">
        <v>20</v>
      </c>
      <c r="R222">
        <v>7</v>
      </c>
      <c r="S222">
        <v>310</v>
      </c>
      <c r="T222">
        <v>520</v>
      </c>
      <c r="U222">
        <v>830</v>
      </c>
      <c r="V222">
        <v>9</v>
      </c>
      <c r="W222">
        <v>60</v>
      </c>
      <c r="X222">
        <v>70</v>
      </c>
      <c r="Y222">
        <v>200</v>
      </c>
      <c r="Z222">
        <v>45</v>
      </c>
      <c r="AA222">
        <v>102</v>
      </c>
      <c r="AB222" s="1" t="s">
        <v>1422</v>
      </c>
    </row>
    <row r="223" spans="1:28" x14ac:dyDescent="0.3">
      <c r="A223">
        <v>77529</v>
      </c>
      <c r="B223" s="1" t="s">
        <v>1299</v>
      </c>
      <c r="C223">
        <v>0</v>
      </c>
      <c r="D223">
        <v>1610612752</v>
      </c>
      <c r="E223" s="1" t="s">
        <v>1248</v>
      </c>
      <c r="F223">
        <v>220</v>
      </c>
      <c r="G223">
        <v>51</v>
      </c>
      <c r="J223">
        <v>62</v>
      </c>
      <c r="K223">
        <v>195</v>
      </c>
      <c r="L223">
        <v>318</v>
      </c>
      <c r="P223">
        <v>52</v>
      </c>
      <c r="Q223">
        <v>88</v>
      </c>
      <c r="R223">
        <v>591</v>
      </c>
      <c r="V223">
        <v>51</v>
      </c>
      <c r="Z223">
        <v>104</v>
      </c>
      <c r="AA223">
        <v>176</v>
      </c>
      <c r="AB223" s="1" t="s">
        <v>1423</v>
      </c>
    </row>
    <row r="224" spans="1:28" x14ac:dyDescent="0.3">
      <c r="A224">
        <v>1627853</v>
      </c>
      <c r="B224" s="1" t="s">
        <v>1308</v>
      </c>
      <c r="C224">
        <v>0</v>
      </c>
      <c r="D224">
        <v>1610612752</v>
      </c>
      <c r="E224" s="1" t="s">
        <v>1248</v>
      </c>
      <c r="F224">
        <v>280</v>
      </c>
      <c r="G224">
        <v>10</v>
      </c>
      <c r="H224">
        <v>0</v>
      </c>
      <c r="I224">
        <v>760</v>
      </c>
      <c r="J224">
        <v>6</v>
      </c>
      <c r="K224">
        <v>12</v>
      </c>
      <c r="L224">
        <v>5</v>
      </c>
      <c r="M224">
        <v>40</v>
      </c>
      <c r="N224">
        <v>90</v>
      </c>
      <c r="O224">
        <v>444</v>
      </c>
      <c r="P224">
        <v>0</v>
      </c>
      <c r="Q224">
        <v>0</v>
      </c>
      <c r="R224">
        <v>0</v>
      </c>
      <c r="S224">
        <v>0</v>
      </c>
      <c r="T224">
        <v>80</v>
      </c>
      <c r="U224">
        <v>80</v>
      </c>
      <c r="V224">
        <v>4</v>
      </c>
      <c r="W224">
        <v>10</v>
      </c>
      <c r="X224">
        <v>0</v>
      </c>
      <c r="Y224">
        <v>30</v>
      </c>
      <c r="Z224">
        <v>5</v>
      </c>
      <c r="AA224">
        <v>16</v>
      </c>
      <c r="AB224" s="1" t="s">
        <v>1424</v>
      </c>
    </row>
    <row r="225" spans="1:28" x14ac:dyDescent="0.3">
      <c r="A225">
        <v>1627853</v>
      </c>
      <c r="B225" s="1" t="s">
        <v>1327</v>
      </c>
      <c r="C225">
        <v>0</v>
      </c>
      <c r="D225">
        <v>1610612752</v>
      </c>
      <c r="E225" s="1" t="s">
        <v>1248</v>
      </c>
      <c r="F225">
        <v>290</v>
      </c>
      <c r="G225">
        <v>11</v>
      </c>
      <c r="H225">
        <v>0</v>
      </c>
      <c r="I225">
        <v>260</v>
      </c>
      <c r="J225">
        <v>1</v>
      </c>
      <c r="K225">
        <v>5</v>
      </c>
      <c r="L225">
        <v>2</v>
      </c>
      <c r="M225">
        <v>10</v>
      </c>
      <c r="N225">
        <v>30</v>
      </c>
      <c r="O225">
        <v>333</v>
      </c>
      <c r="P225">
        <v>0</v>
      </c>
      <c r="Q225">
        <v>0</v>
      </c>
      <c r="R225">
        <v>0</v>
      </c>
      <c r="S225">
        <v>0</v>
      </c>
      <c r="T225">
        <v>40</v>
      </c>
      <c r="U225">
        <v>40</v>
      </c>
      <c r="V225">
        <v>2</v>
      </c>
      <c r="W225">
        <v>20</v>
      </c>
      <c r="X225">
        <v>0</v>
      </c>
      <c r="Y225">
        <v>10</v>
      </c>
      <c r="Z225">
        <v>3</v>
      </c>
      <c r="AA225">
        <v>3</v>
      </c>
      <c r="AB225" s="1" t="s">
        <v>1424</v>
      </c>
    </row>
    <row r="226" spans="1:28" x14ac:dyDescent="0.3">
      <c r="A226">
        <v>1627853</v>
      </c>
      <c r="B226" s="1" t="s">
        <v>1369</v>
      </c>
      <c r="C226">
        <v>0</v>
      </c>
      <c r="D226">
        <v>1610612752</v>
      </c>
      <c r="E226" s="1" t="s">
        <v>1248</v>
      </c>
      <c r="F226">
        <v>300</v>
      </c>
      <c r="G226">
        <v>20</v>
      </c>
      <c r="H226">
        <v>0</v>
      </c>
      <c r="I226">
        <v>450</v>
      </c>
      <c r="J226">
        <v>0</v>
      </c>
      <c r="K226">
        <v>6</v>
      </c>
      <c r="L226">
        <v>0</v>
      </c>
      <c r="M226">
        <v>0</v>
      </c>
      <c r="N226">
        <v>60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80</v>
      </c>
      <c r="U226">
        <v>80</v>
      </c>
      <c r="V226">
        <v>4</v>
      </c>
      <c r="W226">
        <v>20</v>
      </c>
      <c r="X226">
        <v>0</v>
      </c>
      <c r="Y226">
        <v>20</v>
      </c>
      <c r="Z226">
        <v>5</v>
      </c>
      <c r="AA226">
        <v>0</v>
      </c>
      <c r="AB226" s="1" t="s">
        <v>1424</v>
      </c>
    </row>
    <row r="227" spans="1:28" x14ac:dyDescent="0.3">
      <c r="A227">
        <v>1497</v>
      </c>
      <c r="B227" s="1" t="s">
        <v>1312</v>
      </c>
      <c r="C227">
        <v>0</v>
      </c>
      <c r="D227">
        <v>1610612752</v>
      </c>
      <c r="E227" s="1" t="s">
        <v>1248</v>
      </c>
      <c r="F227">
        <v>340</v>
      </c>
      <c r="G227">
        <v>21</v>
      </c>
      <c r="H227">
        <v>210</v>
      </c>
      <c r="I227">
        <v>6640</v>
      </c>
      <c r="J227">
        <v>104</v>
      </c>
      <c r="K227">
        <v>258</v>
      </c>
      <c r="L227">
        <v>403</v>
      </c>
      <c r="M227">
        <v>410</v>
      </c>
      <c r="N227">
        <v>1250</v>
      </c>
      <c r="O227">
        <v>328</v>
      </c>
      <c r="P227">
        <v>119</v>
      </c>
      <c r="Q227">
        <v>132</v>
      </c>
      <c r="R227">
        <v>902</v>
      </c>
      <c r="S227">
        <v>130</v>
      </c>
      <c r="T227">
        <v>520</v>
      </c>
      <c r="U227">
        <v>650</v>
      </c>
      <c r="V227">
        <v>116</v>
      </c>
      <c r="W227">
        <v>190</v>
      </c>
      <c r="X227">
        <v>20</v>
      </c>
      <c r="Y227">
        <v>480</v>
      </c>
      <c r="Z227">
        <v>52</v>
      </c>
      <c r="AA227">
        <v>368</v>
      </c>
      <c r="AB227" s="1" t="s">
        <v>1425</v>
      </c>
    </row>
    <row r="228" spans="1:28" x14ac:dyDescent="0.3">
      <c r="A228">
        <v>686</v>
      </c>
      <c r="B228" s="1" t="s">
        <v>1293</v>
      </c>
      <c r="C228">
        <v>0</v>
      </c>
      <c r="D228">
        <v>1610612752</v>
      </c>
      <c r="E228" s="1" t="s">
        <v>1248</v>
      </c>
      <c r="F228">
        <v>290</v>
      </c>
      <c r="G228">
        <v>18</v>
      </c>
      <c r="H228">
        <v>60</v>
      </c>
      <c r="I228">
        <v>4220</v>
      </c>
      <c r="J228">
        <v>65</v>
      </c>
      <c r="K228">
        <v>142</v>
      </c>
      <c r="L228">
        <v>458</v>
      </c>
      <c r="M228">
        <v>0</v>
      </c>
      <c r="N228">
        <v>0</v>
      </c>
      <c r="O228">
        <v>0</v>
      </c>
      <c r="P228">
        <v>22</v>
      </c>
      <c r="Q228">
        <v>38</v>
      </c>
      <c r="R228">
        <v>579</v>
      </c>
      <c r="S228">
        <v>310</v>
      </c>
      <c r="T228">
        <v>880</v>
      </c>
      <c r="U228">
        <v>1190</v>
      </c>
      <c r="V228">
        <v>20</v>
      </c>
      <c r="W228">
        <v>120</v>
      </c>
      <c r="X228">
        <v>110</v>
      </c>
      <c r="Y228">
        <v>270</v>
      </c>
      <c r="Z228">
        <v>46</v>
      </c>
      <c r="AA228">
        <v>152</v>
      </c>
      <c r="AB228" s="1" t="s">
        <v>1426</v>
      </c>
    </row>
    <row r="229" spans="1:28" x14ac:dyDescent="0.3">
      <c r="A229">
        <v>203926</v>
      </c>
      <c r="B229" s="1" t="s">
        <v>1259</v>
      </c>
      <c r="C229">
        <v>0</v>
      </c>
      <c r="D229">
        <v>1610612752</v>
      </c>
      <c r="E229" s="1" t="s">
        <v>1248</v>
      </c>
      <c r="F229">
        <v>260</v>
      </c>
      <c r="G229">
        <v>55</v>
      </c>
      <c r="H229">
        <v>10</v>
      </c>
      <c r="I229">
        <v>11720</v>
      </c>
      <c r="J229">
        <v>151</v>
      </c>
      <c r="K229">
        <v>328</v>
      </c>
      <c r="L229">
        <v>46</v>
      </c>
      <c r="M229">
        <v>530</v>
      </c>
      <c r="N229">
        <v>1370</v>
      </c>
      <c r="O229">
        <v>387</v>
      </c>
      <c r="P229">
        <v>40</v>
      </c>
      <c r="Q229">
        <v>53</v>
      </c>
      <c r="R229">
        <v>755</v>
      </c>
      <c r="S229">
        <v>330</v>
      </c>
      <c r="T229">
        <v>1010</v>
      </c>
      <c r="U229">
        <v>1340</v>
      </c>
      <c r="V229">
        <v>50</v>
      </c>
      <c r="W229">
        <v>100</v>
      </c>
      <c r="X229">
        <v>120</v>
      </c>
      <c r="Y229">
        <v>340</v>
      </c>
      <c r="Z229">
        <v>73</v>
      </c>
      <c r="AA229">
        <v>395</v>
      </c>
      <c r="AB229" s="1" t="s">
        <v>1427</v>
      </c>
    </row>
    <row r="230" spans="1:28" x14ac:dyDescent="0.3">
      <c r="A230">
        <v>78061</v>
      </c>
      <c r="B230" s="1" t="s">
        <v>1315</v>
      </c>
      <c r="C230">
        <v>0</v>
      </c>
      <c r="D230">
        <v>1610612752</v>
      </c>
      <c r="E230" s="1" t="s">
        <v>1248</v>
      </c>
      <c r="F230">
        <v>210</v>
      </c>
      <c r="G230">
        <v>4</v>
      </c>
      <c r="I230">
        <v>230</v>
      </c>
      <c r="J230">
        <v>5</v>
      </c>
      <c r="K230">
        <v>10</v>
      </c>
      <c r="L230">
        <v>5</v>
      </c>
      <c r="P230">
        <v>1</v>
      </c>
      <c r="Q230">
        <v>2</v>
      </c>
      <c r="R230">
        <v>5</v>
      </c>
      <c r="U230">
        <v>30</v>
      </c>
      <c r="V230">
        <v>1</v>
      </c>
      <c r="Z230">
        <v>4</v>
      </c>
      <c r="AA230">
        <v>11</v>
      </c>
      <c r="AB230" s="1" t="s">
        <v>1428</v>
      </c>
    </row>
    <row r="231" spans="1:28" x14ac:dyDescent="0.3">
      <c r="A231">
        <v>192</v>
      </c>
      <c r="B231" s="1" t="s">
        <v>1429</v>
      </c>
      <c r="C231">
        <v>0</v>
      </c>
      <c r="D231">
        <v>1610612752</v>
      </c>
      <c r="E231" s="1" t="s">
        <v>1248</v>
      </c>
      <c r="F231">
        <v>300</v>
      </c>
      <c r="G231">
        <v>15</v>
      </c>
      <c r="H231">
        <v>0</v>
      </c>
      <c r="I231">
        <v>2060</v>
      </c>
      <c r="J231">
        <v>17</v>
      </c>
      <c r="K231">
        <v>56</v>
      </c>
      <c r="L231">
        <v>304</v>
      </c>
      <c r="M231">
        <v>80</v>
      </c>
      <c r="N231">
        <v>290</v>
      </c>
      <c r="O231">
        <v>276</v>
      </c>
      <c r="P231">
        <v>1</v>
      </c>
      <c r="Q231">
        <v>4</v>
      </c>
      <c r="R231">
        <v>25</v>
      </c>
      <c r="S231">
        <v>30</v>
      </c>
      <c r="T231">
        <v>170</v>
      </c>
      <c r="U231">
        <v>200</v>
      </c>
      <c r="V231">
        <v>8</v>
      </c>
      <c r="W231">
        <v>30</v>
      </c>
      <c r="X231">
        <v>10</v>
      </c>
      <c r="Y231">
        <v>50</v>
      </c>
      <c r="Z231">
        <v>17</v>
      </c>
      <c r="AA231">
        <v>43</v>
      </c>
      <c r="AB231" s="1" t="s">
        <v>1430</v>
      </c>
    </row>
    <row r="232" spans="1:28" x14ac:dyDescent="0.3">
      <c r="A232">
        <v>1365</v>
      </c>
      <c r="B232" s="1" t="s">
        <v>1272</v>
      </c>
      <c r="C232">
        <v>0</v>
      </c>
      <c r="D232">
        <v>1610612752</v>
      </c>
      <c r="E232" s="1" t="s">
        <v>1248</v>
      </c>
      <c r="F232">
        <v>290</v>
      </c>
      <c r="G232">
        <v>82</v>
      </c>
      <c r="H232">
        <v>820</v>
      </c>
      <c r="I232">
        <v>23440</v>
      </c>
      <c r="J232">
        <v>488</v>
      </c>
      <c r="K232">
        <v>1021</v>
      </c>
      <c r="L232">
        <v>478</v>
      </c>
      <c r="M232">
        <v>120</v>
      </c>
      <c r="N232">
        <v>390</v>
      </c>
      <c r="O232">
        <v>308</v>
      </c>
      <c r="P232">
        <v>137</v>
      </c>
      <c r="Q232">
        <v>192</v>
      </c>
      <c r="R232">
        <v>714</v>
      </c>
      <c r="S232">
        <v>1760</v>
      </c>
      <c r="T232">
        <v>2840</v>
      </c>
      <c r="U232">
        <v>4600</v>
      </c>
      <c r="V232">
        <v>149</v>
      </c>
      <c r="W232">
        <v>570</v>
      </c>
      <c r="X232">
        <v>240</v>
      </c>
      <c r="Y232">
        <v>1470</v>
      </c>
      <c r="Z232">
        <v>241</v>
      </c>
      <c r="AA232">
        <v>1125</v>
      </c>
      <c r="AB232" s="1" t="s">
        <v>1431</v>
      </c>
    </row>
    <row r="233" spans="1:28" x14ac:dyDescent="0.3">
      <c r="A233">
        <v>76034</v>
      </c>
      <c r="B233" s="1" t="s">
        <v>1321</v>
      </c>
      <c r="C233">
        <v>0</v>
      </c>
      <c r="D233">
        <v>1610612752</v>
      </c>
      <c r="E233" s="1" t="s">
        <v>1248</v>
      </c>
      <c r="F233">
        <v>220</v>
      </c>
      <c r="G233">
        <v>33</v>
      </c>
      <c r="I233">
        <v>3730</v>
      </c>
      <c r="J233">
        <v>55</v>
      </c>
      <c r="K233">
        <v>143</v>
      </c>
      <c r="L233">
        <v>385</v>
      </c>
      <c r="P233">
        <v>23</v>
      </c>
      <c r="Q233">
        <v>42</v>
      </c>
      <c r="R233">
        <v>548</v>
      </c>
      <c r="U233">
        <v>690</v>
      </c>
      <c r="V233">
        <v>29</v>
      </c>
      <c r="Z233">
        <v>32</v>
      </c>
      <c r="AA233">
        <v>133</v>
      </c>
      <c r="AB233" s="1" t="s">
        <v>1432</v>
      </c>
    </row>
    <row r="234" spans="1:28" x14ac:dyDescent="0.3">
      <c r="A234">
        <v>1627782</v>
      </c>
      <c r="B234" s="1" t="s">
        <v>1308</v>
      </c>
      <c r="C234">
        <v>0</v>
      </c>
      <c r="D234">
        <v>1610612752</v>
      </c>
      <c r="E234" s="1" t="s">
        <v>1248</v>
      </c>
      <c r="F234">
        <v>270</v>
      </c>
      <c r="G234">
        <v>3</v>
      </c>
      <c r="H234">
        <v>0</v>
      </c>
      <c r="I234">
        <v>190</v>
      </c>
      <c r="J234">
        <v>1</v>
      </c>
      <c r="K234">
        <v>4</v>
      </c>
      <c r="L234">
        <v>25</v>
      </c>
      <c r="M234">
        <v>10</v>
      </c>
      <c r="N234">
        <v>20</v>
      </c>
      <c r="O234">
        <v>5</v>
      </c>
      <c r="P234">
        <v>2</v>
      </c>
      <c r="Q234">
        <v>4</v>
      </c>
      <c r="R234">
        <v>5</v>
      </c>
      <c r="S234">
        <v>0</v>
      </c>
      <c r="T234">
        <v>10</v>
      </c>
      <c r="U234">
        <v>10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5</v>
      </c>
      <c r="AB234" s="1" t="s">
        <v>1433</v>
      </c>
    </row>
    <row r="235" spans="1:28" x14ac:dyDescent="0.3">
      <c r="A235">
        <v>77516</v>
      </c>
      <c r="B235" s="1" t="s">
        <v>1272</v>
      </c>
      <c r="C235">
        <v>0</v>
      </c>
      <c r="D235">
        <v>1610612752</v>
      </c>
      <c r="E235" s="1" t="s">
        <v>1248</v>
      </c>
      <c r="F235">
        <v>300</v>
      </c>
      <c r="G235">
        <v>22</v>
      </c>
      <c r="H235">
        <v>0</v>
      </c>
      <c r="I235">
        <v>1080</v>
      </c>
      <c r="J235">
        <v>14</v>
      </c>
      <c r="K235">
        <v>33</v>
      </c>
      <c r="L235">
        <v>424</v>
      </c>
      <c r="M235">
        <v>0</v>
      </c>
      <c r="N235">
        <v>0</v>
      </c>
      <c r="O235">
        <v>0</v>
      </c>
      <c r="P235">
        <v>14</v>
      </c>
      <c r="Q235">
        <v>21</v>
      </c>
      <c r="R235">
        <v>667</v>
      </c>
      <c r="S235">
        <v>140</v>
      </c>
      <c r="T235">
        <v>200</v>
      </c>
      <c r="U235">
        <v>340</v>
      </c>
      <c r="V235">
        <v>9</v>
      </c>
      <c r="W235">
        <v>20</v>
      </c>
      <c r="X235">
        <v>0</v>
      </c>
      <c r="Y235">
        <v>80</v>
      </c>
      <c r="Z235">
        <v>18</v>
      </c>
      <c r="AA235">
        <v>42</v>
      </c>
      <c r="AB235" s="1" t="s">
        <v>1434</v>
      </c>
    </row>
    <row r="236" spans="1:28" x14ac:dyDescent="0.3">
      <c r="A236">
        <v>962</v>
      </c>
      <c r="B236" s="1" t="s">
        <v>1277</v>
      </c>
      <c r="C236">
        <v>0</v>
      </c>
      <c r="D236">
        <v>1610612752</v>
      </c>
      <c r="E236" s="1" t="s">
        <v>1248</v>
      </c>
      <c r="F236">
        <v>230</v>
      </c>
      <c r="G236">
        <v>35</v>
      </c>
      <c r="H236">
        <v>0</v>
      </c>
      <c r="I236">
        <v>1890</v>
      </c>
      <c r="J236">
        <v>26</v>
      </c>
      <c r="K236">
        <v>68</v>
      </c>
      <c r="L236">
        <v>382</v>
      </c>
      <c r="M236">
        <v>40</v>
      </c>
      <c r="N236">
        <v>140</v>
      </c>
      <c r="O236">
        <v>286</v>
      </c>
      <c r="P236">
        <v>8</v>
      </c>
      <c r="Q236">
        <v>14</v>
      </c>
      <c r="R236">
        <v>571</v>
      </c>
      <c r="S236">
        <v>80</v>
      </c>
      <c r="T236">
        <v>150</v>
      </c>
      <c r="U236">
        <v>230</v>
      </c>
      <c r="V236">
        <v>13</v>
      </c>
      <c r="W236">
        <v>70</v>
      </c>
      <c r="X236">
        <v>90</v>
      </c>
      <c r="Y236">
        <v>170</v>
      </c>
      <c r="Z236">
        <v>38</v>
      </c>
      <c r="AA236">
        <v>64</v>
      </c>
      <c r="AB236" s="1" t="s">
        <v>1435</v>
      </c>
    </row>
    <row r="237" spans="1:28" x14ac:dyDescent="0.3">
      <c r="A237">
        <v>203648</v>
      </c>
      <c r="B237" s="1" t="s">
        <v>1279</v>
      </c>
      <c r="C237">
        <v>0</v>
      </c>
      <c r="D237">
        <v>1610612752</v>
      </c>
      <c r="E237" s="1" t="s">
        <v>1248</v>
      </c>
      <c r="F237">
        <v>230</v>
      </c>
      <c r="G237">
        <v>2</v>
      </c>
      <c r="H237">
        <v>0</v>
      </c>
      <c r="I237">
        <v>60</v>
      </c>
      <c r="J237">
        <v>3</v>
      </c>
      <c r="K237">
        <v>4</v>
      </c>
      <c r="L237">
        <v>75</v>
      </c>
      <c r="M237">
        <v>0</v>
      </c>
      <c r="N237">
        <v>10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10</v>
      </c>
      <c r="U237">
        <v>10</v>
      </c>
      <c r="V237">
        <v>0</v>
      </c>
      <c r="W237">
        <v>0</v>
      </c>
      <c r="X237">
        <v>0</v>
      </c>
      <c r="Y237">
        <v>0</v>
      </c>
      <c r="Z237">
        <v>2</v>
      </c>
      <c r="AA237">
        <v>6</v>
      </c>
      <c r="AB237" s="1" t="s">
        <v>1436</v>
      </c>
    </row>
    <row r="238" spans="1:28" x14ac:dyDescent="0.3">
      <c r="A238">
        <v>77500</v>
      </c>
      <c r="B238" s="1" t="s">
        <v>1320</v>
      </c>
      <c r="C238">
        <v>0</v>
      </c>
      <c r="D238">
        <v>1610612752</v>
      </c>
      <c r="E238" s="1" t="s">
        <v>1248</v>
      </c>
      <c r="F238">
        <v>220</v>
      </c>
      <c r="G238">
        <v>36</v>
      </c>
      <c r="I238">
        <v>2950</v>
      </c>
      <c r="J238">
        <v>22</v>
      </c>
      <c r="K238">
        <v>100</v>
      </c>
      <c r="L238">
        <v>22</v>
      </c>
      <c r="P238">
        <v>25</v>
      </c>
      <c r="Q238">
        <v>37</v>
      </c>
      <c r="R238">
        <v>676</v>
      </c>
      <c r="U238">
        <v>450</v>
      </c>
      <c r="V238">
        <v>54</v>
      </c>
      <c r="Z238">
        <v>34</v>
      </c>
      <c r="AA238">
        <v>69</v>
      </c>
      <c r="AB238" s="1" t="s">
        <v>1437</v>
      </c>
    </row>
    <row r="239" spans="1:28" x14ac:dyDescent="0.3">
      <c r="A239">
        <v>77500</v>
      </c>
      <c r="B239" s="1" t="s">
        <v>1250</v>
      </c>
      <c r="C239">
        <v>0</v>
      </c>
      <c r="D239">
        <v>1610612752</v>
      </c>
      <c r="E239" s="1" t="s">
        <v>1248</v>
      </c>
      <c r="F239">
        <v>230</v>
      </c>
      <c r="G239">
        <v>1</v>
      </c>
      <c r="I239">
        <v>70</v>
      </c>
      <c r="J239">
        <v>0</v>
      </c>
      <c r="K239">
        <v>3</v>
      </c>
      <c r="L239">
        <v>0</v>
      </c>
      <c r="P239">
        <v>0</v>
      </c>
      <c r="Q239">
        <v>0</v>
      </c>
      <c r="U239">
        <v>10</v>
      </c>
      <c r="V239">
        <v>1</v>
      </c>
      <c r="Z239">
        <v>1</v>
      </c>
      <c r="AA239">
        <v>0</v>
      </c>
      <c r="AB239" s="1" t="s">
        <v>1437</v>
      </c>
    </row>
    <row r="240" spans="1:28" x14ac:dyDescent="0.3">
      <c r="A240">
        <v>77500</v>
      </c>
      <c r="B240" s="1" t="s">
        <v>1321</v>
      </c>
      <c r="C240">
        <v>0</v>
      </c>
      <c r="D240">
        <v>1610612752</v>
      </c>
      <c r="E240" s="1" t="s">
        <v>1248</v>
      </c>
      <c r="F240">
        <v>240</v>
      </c>
      <c r="G240">
        <v>4</v>
      </c>
      <c r="I240">
        <v>290</v>
      </c>
      <c r="J240">
        <v>1</v>
      </c>
      <c r="K240">
        <v>10</v>
      </c>
      <c r="L240">
        <v>1</v>
      </c>
      <c r="P240">
        <v>3</v>
      </c>
      <c r="Q240">
        <v>3</v>
      </c>
      <c r="R240">
        <v>10</v>
      </c>
      <c r="U240">
        <v>40</v>
      </c>
      <c r="V240">
        <v>10</v>
      </c>
      <c r="Z240">
        <v>2</v>
      </c>
      <c r="AA240">
        <v>5</v>
      </c>
      <c r="AB240" s="1" t="s">
        <v>1437</v>
      </c>
    </row>
    <row r="241" spans="1:28" x14ac:dyDescent="0.3">
      <c r="A241">
        <v>1630540</v>
      </c>
      <c r="B241" s="1" t="s">
        <v>1308</v>
      </c>
      <c r="C241">
        <v>0</v>
      </c>
      <c r="D241">
        <v>1610612752</v>
      </c>
      <c r="E241" s="1" t="s">
        <v>1248</v>
      </c>
      <c r="F241">
        <v>210</v>
      </c>
      <c r="G241">
        <v>40</v>
      </c>
      <c r="H241">
        <v>20</v>
      </c>
      <c r="I241">
        <v>3720</v>
      </c>
      <c r="J241">
        <v>32</v>
      </c>
      <c r="K241">
        <v>108</v>
      </c>
      <c r="L241">
        <v>296</v>
      </c>
      <c r="M241">
        <v>170</v>
      </c>
      <c r="N241">
        <v>680</v>
      </c>
      <c r="O241">
        <v>25</v>
      </c>
      <c r="P241">
        <v>8</v>
      </c>
      <c r="Q241">
        <v>12</v>
      </c>
      <c r="R241">
        <v>667</v>
      </c>
      <c r="S241">
        <v>40</v>
      </c>
      <c r="T241">
        <v>380</v>
      </c>
      <c r="U241">
        <v>420</v>
      </c>
      <c r="V241">
        <v>41</v>
      </c>
      <c r="W241">
        <v>140</v>
      </c>
      <c r="X241">
        <v>10</v>
      </c>
      <c r="Y241">
        <v>50</v>
      </c>
      <c r="Z241">
        <v>45</v>
      </c>
      <c r="AA241">
        <v>89</v>
      </c>
      <c r="AB241" s="1" t="s">
        <v>1438</v>
      </c>
    </row>
    <row r="242" spans="1:28" x14ac:dyDescent="0.3">
      <c r="A242">
        <v>1630540</v>
      </c>
      <c r="B242" s="1" t="s">
        <v>1327</v>
      </c>
      <c r="C242">
        <v>0</v>
      </c>
      <c r="D242">
        <v>1610612752</v>
      </c>
      <c r="E242" s="1" t="s">
        <v>1248</v>
      </c>
      <c r="F242">
        <v>220</v>
      </c>
      <c r="G242">
        <v>64</v>
      </c>
      <c r="H242">
        <v>20</v>
      </c>
      <c r="I242">
        <v>7600</v>
      </c>
      <c r="J242">
        <v>77</v>
      </c>
      <c r="K242">
        <v>215</v>
      </c>
      <c r="L242">
        <v>358</v>
      </c>
      <c r="M242">
        <v>400</v>
      </c>
      <c r="N242">
        <v>1340</v>
      </c>
      <c r="O242">
        <v>299</v>
      </c>
      <c r="P242">
        <v>28</v>
      </c>
      <c r="Q242">
        <v>42</v>
      </c>
      <c r="R242">
        <v>667</v>
      </c>
      <c r="S242">
        <v>130</v>
      </c>
      <c r="T242">
        <v>370</v>
      </c>
      <c r="U242">
        <v>500</v>
      </c>
      <c r="V242">
        <v>72</v>
      </c>
      <c r="W242">
        <v>370</v>
      </c>
      <c r="X242">
        <v>80</v>
      </c>
      <c r="Y242">
        <v>250</v>
      </c>
      <c r="Z242">
        <v>60</v>
      </c>
      <c r="AA242">
        <v>222</v>
      </c>
      <c r="AB242" s="1" t="s">
        <v>1438</v>
      </c>
    </row>
    <row r="243" spans="1:28" x14ac:dyDescent="0.3">
      <c r="A243">
        <v>1630540</v>
      </c>
      <c r="B243" s="1" t="s">
        <v>1369</v>
      </c>
      <c r="C243">
        <v>0</v>
      </c>
      <c r="D243">
        <v>1610612752</v>
      </c>
      <c r="E243" s="1" t="s">
        <v>1248</v>
      </c>
      <c r="F243">
        <v>230</v>
      </c>
      <c r="G243">
        <v>68</v>
      </c>
      <c r="H243">
        <v>140</v>
      </c>
      <c r="I243">
        <v>13280</v>
      </c>
      <c r="J243">
        <v>205</v>
      </c>
      <c r="K243">
        <v>454</v>
      </c>
      <c r="L243">
        <v>452</v>
      </c>
      <c r="M243">
        <v>1090</v>
      </c>
      <c r="N243">
        <v>2660</v>
      </c>
      <c r="O243">
        <v>41</v>
      </c>
      <c r="P243">
        <v>43</v>
      </c>
      <c r="Q243">
        <v>50</v>
      </c>
      <c r="R243">
        <v>86</v>
      </c>
      <c r="S243">
        <v>310</v>
      </c>
      <c r="T243">
        <v>690</v>
      </c>
      <c r="U243">
        <v>1000</v>
      </c>
      <c r="V243">
        <v>114</v>
      </c>
      <c r="W243">
        <v>500</v>
      </c>
      <c r="X243">
        <v>70</v>
      </c>
      <c r="Y243">
        <v>300</v>
      </c>
      <c r="Z243">
        <v>108</v>
      </c>
      <c r="AA243">
        <v>562</v>
      </c>
      <c r="AB243" s="1" t="s">
        <v>1438</v>
      </c>
    </row>
    <row r="244" spans="1:28" x14ac:dyDescent="0.3">
      <c r="A244">
        <v>77893</v>
      </c>
      <c r="B244" s="1" t="s">
        <v>1270</v>
      </c>
      <c r="C244">
        <v>0</v>
      </c>
      <c r="D244">
        <v>1610612752</v>
      </c>
      <c r="E244" s="1" t="s">
        <v>1248</v>
      </c>
      <c r="F244">
        <v>240</v>
      </c>
      <c r="G244">
        <v>31</v>
      </c>
      <c r="H244">
        <v>0</v>
      </c>
      <c r="I244">
        <v>1930</v>
      </c>
      <c r="J244">
        <v>19</v>
      </c>
      <c r="K244">
        <v>58</v>
      </c>
      <c r="L244">
        <v>328</v>
      </c>
      <c r="M244">
        <v>0</v>
      </c>
      <c r="N244">
        <v>20</v>
      </c>
      <c r="O244">
        <v>0</v>
      </c>
      <c r="P244">
        <v>2</v>
      </c>
      <c r="Q244">
        <v>3</v>
      </c>
      <c r="R244">
        <v>667</v>
      </c>
      <c r="S244">
        <v>90</v>
      </c>
      <c r="T244">
        <v>190</v>
      </c>
      <c r="U244">
        <v>280</v>
      </c>
      <c r="V244">
        <v>11</v>
      </c>
      <c r="W244">
        <v>30</v>
      </c>
      <c r="X244">
        <v>40</v>
      </c>
      <c r="Y244">
        <v>40</v>
      </c>
      <c r="Z244">
        <v>27</v>
      </c>
      <c r="AA244">
        <v>40</v>
      </c>
      <c r="AB244" s="1" t="s">
        <v>1439</v>
      </c>
    </row>
    <row r="245" spans="1:28" x14ac:dyDescent="0.3">
      <c r="A245">
        <v>77893</v>
      </c>
      <c r="B245" s="1" t="s">
        <v>1271</v>
      </c>
      <c r="C245">
        <v>0</v>
      </c>
      <c r="D245">
        <v>1610612752</v>
      </c>
      <c r="E245" s="1" t="s">
        <v>1248</v>
      </c>
      <c r="F245">
        <v>250</v>
      </c>
      <c r="G245">
        <v>68</v>
      </c>
      <c r="H245">
        <v>50</v>
      </c>
      <c r="I245">
        <v>10110</v>
      </c>
      <c r="J245">
        <v>139</v>
      </c>
      <c r="K245">
        <v>303</v>
      </c>
      <c r="L245">
        <v>459</v>
      </c>
      <c r="M245">
        <v>150</v>
      </c>
      <c r="N245">
        <v>430</v>
      </c>
      <c r="O245">
        <v>349</v>
      </c>
      <c r="P245">
        <v>26</v>
      </c>
      <c r="Q245">
        <v>36</v>
      </c>
      <c r="R245">
        <v>722</v>
      </c>
      <c r="S245">
        <v>650</v>
      </c>
      <c r="T245">
        <v>800</v>
      </c>
      <c r="U245">
        <v>1450</v>
      </c>
      <c r="V245">
        <v>53</v>
      </c>
      <c r="W245">
        <v>220</v>
      </c>
      <c r="X245">
        <v>130</v>
      </c>
      <c r="Y245">
        <v>520</v>
      </c>
      <c r="Z245">
        <v>100</v>
      </c>
      <c r="AA245">
        <v>319</v>
      </c>
      <c r="AB245" s="1" t="s">
        <v>1439</v>
      </c>
    </row>
    <row r="246" spans="1:28" x14ac:dyDescent="0.3">
      <c r="A246">
        <v>77893</v>
      </c>
      <c r="B246" s="1" t="s">
        <v>1272</v>
      </c>
      <c r="C246">
        <v>0</v>
      </c>
      <c r="D246">
        <v>1610612752</v>
      </c>
      <c r="E246" s="1" t="s">
        <v>1248</v>
      </c>
      <c r="F246">
        <v>260</v>
      </c>
      <c r="G246">
        <v>24</v>
      </c>
      <c r="H246">
        <v>0</v>
      </c>
      <c r="I246">
        <v>1900</v>
      </c>
      <c r="J246">
        <v>28</v>
      </c>
      <c r="K246">
        <v>73</v>
      </c>
      <c r="L246">
        <v>384</v>
      </c>
      <c r="M246">
        <v>100</v>
      </c>
      <c r="N246">
        <v>260</v>
      </c>
      <c r="O246">
        <v>385</v>
      </c>
      <c r="P246">
        <v>8</v>
      </c>
      <c r="Q246">
        <v>14</v>
      </c>
      <c r="R246">
        <v>571</v>
      </c>
      <c r="S246">
        <v>90</v>
      </c>
      <c r="T246">
        <v>150</v>
      </c>
      <c r="U246">
        <v>240</v>
      </c>
      <c r="V246">
        <v>7</v>
      </c>
      <c r="W246">
        <v>70</v>
      </c>
      <c r="X246">
        <v>60</v>
      </c>
      <c r="Y246">
        <v>80</v>
      </c>
      <c r="Z246">
        <v>21</v>
      </c>
      <c r="AA246">
        <v>74</v>
      </c>
      <c r="AB246" s="1" t="s">
        <v>1439</v>
      </c>
    </row>
    <row r="247" spans="1:28" x14ac:dyDescent="0.3">
      <c r="A247">
        <v>203901</v>
      </c>
      <c r="B247" s="1" t="s">
        <v>1288</v>
      </c>
      <c r="C247">
        <v>0</v>
      </c>
      <c r="D247">
        <v>1610612752</v>
      </c>
      <c r="E247" s="1" t="s">
        <v>1248</v>
      </c>
      <c r="F247">
        <v>260</v>
      </c>
      <c r="G247">
        <v>45</v>
      </c>
      <c r="H247">
        <v>360</v>
      </c>
      <c r="I247">
        <v>12460</v>
      </c>
      <c r="J247">
        <v>193</v>
      </c>
      <c r="K247">
        <v>440</v>
      </c>
      <c r="L247">
        <v>439</v>
      </c>
      <c r="M247">
        <v>140</v>
      </c>
      <c r="N247">
        <v>690</v>
      </c>
      <c r="O247">
        <v>203</v>
      </c>
      <c r="P247">
        <v>49</v>
      </c>
      <c r="Q247">
        <v>86</v>
      </c>
      <c r="R247">
        <v>57</v>
      </c>
      <c r="S247">
        <v>520</v>
      </c>
      <c r="T247">
        <v>1600</v>
      </c>
      <c r="U247">
        <v>2120</v>
      </c>
      <c r="V247">
        <v>323</v>
      </c>
      <c r="W247">
        <v>700</v>
      </c>
      <c r="X247">
        <v>170</v>
      </c>
      <c r="Y247">
        <v>960</v>
      </c>
      <c r="Z247">
        <v>89</v>
      </c>
      <c r="AA247">
        <v>449</v>
      </c>
      <c r="AB247" s="1" t="s">
        <v>1440</v>
      </c>
    </row>
    <row r="248" spans="1:28" x14ac:dyDescent="0.3">
      <c r="A248">
        <v>203901</v>
      </c>
      <c r="B248" s="1" t="s">
        <v>1289</v>
      </c>
      <c r="C248">
        <v>0</v>
      </c>
      <c r="D248">
        <v>1610612752</v>
      </c>
      <c r="E248" s="1" t="s">
        <v>1248</v>
      </c>
      <c r="F248">
        <v>270</v>
      </c>
      <c r="G248">
        <v>63</v>
      </c>
      <c r="H248">
        <v>630</v>
      </c>
      <c r="I248">
        <v>14840</v>
      </c>
      <c r="J248">
        <v>269</v>
      </c>
      <c r="K248">
        <v>622</v>
      </c>
      <c r="L248">
        <v>432</v>
      </c>
      <c r="M248">
        <v>280</v>
      </c>
      <c r="N248">
        <v>980</v>
      </c>
      <c r="O248">
        <v>286</v>
      </c>
      <c r="P248">
        <v>73</v>
      </c>
      <c r="Q248">
        <v>107</v>
      </c>
      <c r="R248">
        <v>682</v>
      </c>
      <c r="S248">
        <v>640</v>
      </c>
      <c r="T248">
        <v>1520</v>
      </c>
      <c r="U248">
        <v>2160</v>
      </c>
      <c r="V248">
        <v>203</v>
      </c>
      <c r="W248">
        <v>470</v>
      </c>
      <c r="X248">
        <v>90</v>
      </c>
      <c r="Y248">
        <v>1030</v>
      </c>
      <c r="Z248">
        <v>116</v>
      </c>
      <c r="AA248">
        <v>639</v>
      </c>
      <c r="AB248" s="1" t="s">
        <v>1440</v>
      </c>
    </row>
    <row r="249" spans="1:28" x14ac:dyDescent="0.3">
      <c r="A249">
        <v>78209</v>
      </c>
      <c r="B249" s="1" t="s">
        <v>1323</v>
      </c>
      <c r="C249">
        <v>0</v>
      </c>
      <c r="D249">
        <v>1610612752</v>
      </c>
      <c r="E249" s="1" t="s">
        <v>1248</v>
      </c>
      <c r="F249">
        <v>230</v>
      </c>
      <c r="G249">
        <v>9</v>
      </c>
      <c r="I249">
        <v>830</v>
      </c>
      <c r="J249">
        <v>8</v>
      </c>
      <c r="K249">
        <v>33</v>
      </c>
      <c r="L249">
        <v>242</v>
      </c>
      <c r="P249">
        <v>7</v>
      </c>
      <c r="Q249">
        <v>8</v>
      </c>
      <c r="R249">
        <v>875</v>
      </c>
      <c r="U249">
        <v>160</v>
      </c>
      <c r="V249">
        <v>7</v>
      </c>
      <c r="Z249">
        <v>6</v>
      </c>
      <c r="AA249">
        <v>23</v>
      </c>
      <c r="AB249" s="1" t="s">
        <v>1441</v>
      </c>
    </row>
    <row r="250" spans="1:28" x14ac:dyDescent="0.3">
      <c r="A250">
        <v>78047</v>
      </c>
      <c r="B250" s="1" t="s">
        <v>1282</v>
      </c>
      <c r="C250">
        <v>0</v>
      </c>
      <c r="D250">
        <v>1610612752</v>
      </c>
      <c r="E250" s="1" t="s">
        <v>1248</v>
      </c>
      <c r="F250">
        <v>290</v>
      </c>
      <c r="G250">
        <v>79</v>
      </c>
      <c r="I250">
        <v>28650</v>
      </c>
      <c r="J250">
        <v>508</v>
      </c>
      <c r="K250">
        <v>1095</v>
      </c>
      <c r="L250">
        <v>464</v>
      </c>
      <c r="M250">
        <v>80</v>
      </c>
      <c r="N250">
        <v>260</v>
      </c>
      <c r="O250">
        <v>308</v>
      </c>
      <c r="P250">
        <v>268</v>
      </c>
      <c r="Q250">
        <v>343</v>
      </c>
      <c r="R250">
        <v>781</v>
      </c>
      <c r="S250">
        <v>1090</v>
      </c>
      <c r="T250">
        <v>2440</v>
      </c>
      <c r="U250">
        <v>3530</v>
      </c>
      <c r="V250">
        <v>257</v>
      </c>
      <c r="W250">
        <v>990</v>
      </c>
      <c r="X250">
        <v>80</v>
      </c>
      <c r="Y250">
        <v>2120</v>
      </c>
      <c r="Z250">
        <v>248</v>
      </c>
      <c r="AA250">
        <v>1292</v>
      </c>
      <c r="AB250" s="1" t="s">
        <v>1442</v>
      </c>
    </row>
    <row r="251" spans="1:28" x14ac:dyDescent="0.3">
      <c r="A251">
        <v>78047</v>
      </c>
      <c r="B251" s="1" t="s">
        <v>1284</v>
      </c>
      <c r="C251">
        <v>0</v>
      </c>
      <c r="D251">
        <v>1610612752</v>
      </c>
      <c r="E251" s="1" t="s">
        <v>1248</v>
      </c>
      <c r="F251">
        <v>300</v>
      </c>
      <c r="G251">
        <v>77</v>
      </c>
      <c r="H251">
        <v>630</v>
      </c>
      <c r="I251">
        <v>23580</v>
      </c>
      <c r="J251">
        <v>410</v>
      </c>
      <c r="K251">
        <v>858</v>
      </c>
      <c r="L251">
        <v>478</v>
      </c>
      <c r="M251">
        <v>250</v>
      </c>
      <c r="N251">
        <v>570</v>
      </c>
      <c r="O251">
        <v>439</v>
      </c>
      <c r="P251">
        <v>228</v>
      </c>
      <c r="Q251">
        <v>294</v>
      </c>
      <c r="R251">
        <v>776</v>
      </c>
      <c r="S251">
        <v>860</v>
      </c>
      <c r="T251">
        <v>1500</v>
      </c>
      <c r="U251">
        <v>2360</v>
      </c>
      <c r="V251">
        <v>284</v>
      </c>
      <c r="W251">
        <v>770</v>
      </c>
      <c r="X251">
        <v>120</v>
      </c>
      <c r="Y251">
        <v>1950</v>
      </c>
      <c r="Z251">
        <v>221</v>
      </c>
      <c r="AA251">
        <v>1073</v>
      </c>
      <c r="AB251" s="1" t="s">
        <v>1442</v>
      </c>
    </row>
    <row r="252" spans="1:28" x14ac:dyDescent="0.3">
      <c r="A252">
        <v>77498</v>
      </c>
      <c r="B252" s="1" t="s">
        <v>1263</v>
      </c>
      <c r="C252">
        <v>0</v>
      </c>
      <c r="D252">
        <v>1610612752</v>
      </c>
      <c r="E252" s="1" t="s">
        <v>1248</v>
      </c>
      <c r="F252">
        <v>250</v>
      </c>
      <c r="G252">
        <v>52</v>
      </c>
      <c r="I252">
        <v>20310</v>
      </c>
      <c r="J252">
        <v>558</v>
      </c>
      <c r="K252">
        <v>1045</v>
      </c>
      <c r="L252">
        <v>534</v>
      </c>
      <c r="P252">
        <v>271</v>
      </c>
      <c r="Q252">
        <v>358</v>
      </c>
      <c r="R252">
        <v>757</v>
      </c>
      <c r="S252">
        <v>1330</v>
      </c>
      <c r="T252">
        <v>5290</v>
      </c>
      <c r="U252">
        <v>6620</v>
      </c>
      <c r="V252">
        <v>140</v>
      </c>
      <c r="W252">
        <v>610</v>
      </c>
      <c r="X252">
        <v>650</v>
      </c>
      <c r="Z252">
        <v>188</v>
      </c>
      <c r="AA252">
        <v>1387</v>
      </c>
      <c r="AB252" s="1" t="s">
        <v>1443</v>
      </c>
    </row>
    <row r="253" spans="1:28" x14ac:dyDescent="0.3">
      <c r="A253">
        <v>77498</v>
      </c>
      <c r="B253" s="1" t="s">
        <v>1264</v>
      </c>
      <c r="C253">
        <v>0</v>
      </c>
      <c r="D253">
        <v>1610612752</v>
      </c>
      <c r="E253" s="1" t="s">
        <v>1248</v>
      </c>
      <c r="F253">
        <v>260</v>
      </c>
      <c r="G253">
        <v>79</v>
      </c>
      <c r="I253">
        <v>31820</v>
      </c>
      <c r="J253">
        <v>814</v>
      </c>
      <c r="K253">
        <v>1564</v>
      </c>
      <c r="L253">
        <v>52</v>
      </c>
      <c r="P253">
        <v>469</v>
      </c>
      <c r="Q253">
        <v>645</v>
      </c>
      <c r="R253">
        <v>727</v>
      </c>
      <c r="S253">
        <v>2360</v>
      </c>
      <c r="T253">
        <v>7740</v>
      </c>
      <c r="U253">
        <v>10100</v>
      </c>
      <c r="V253">
        <v>298</v>
      </c>
      <c r="W253">
        <v>1050</v>
      </c>
      <c r="X253">
        <v>1260</v>
      </c>
      <c r="Y253">
        <v>3460</v>
      </c>
      <c r="Z253">
        <v>297</v>
      </c>
      <c r="AA253">
        <v>2097</v>
      </c>
      <c r="AB253" s="1" t="s">
        <v>1443</v>
      </c>
    </row>
    <row r="254" spans="1:28" x14ac:dyDescent="0.3">
      <c r="A254">
        <v>77498</v>
      </c>
      <c r="B254" s="1" t="s">
        <v>1265</v>
      </c>
      <c r="C254">
        <v>0</v>
      </c>
      <c r="D254">
        <v>1610612752</v>
      </c>
      <c r="E254" s="1" t="s">
        <v>1248</v>
      </c>
      <c r="F254">
        <v>270</v>
      </c>
      <c r="G254">
        <v>40</v>
      </c>
      <c r="I254">
        <v>15940</v>
      </c>
      <c r="J254">
        <v>429</v>
      </c>
      <c r="K254">
        <v>793</v>
      </c>
      <c r="L254">
        <v>541</v>
      </c>
      <c r="P254">
        <v>218</v>
      </c>
      <c r="Q254">
        <v>335</v>
      </c>
      <c r="R254">
        <v>651</v>
      </c>
      <c r="S254">
        <v>940</v>
      </c>
      <c r="T254">
        <v>2850</v>
      </c>
      <c r="U254">
        <v>3790</v>
      </c>
      <c r="V254">
        <v>128</v>
      </c>
      <c r="W254">
        <v>620</v>
      </c>
      <c r="X254">
        <v>470</v>
      </c>
      <c r="Y254">
        <v>1530</v>
      </c>
      <c r="Z254">
        <v>134</v>
      </c>
      <c r="AA254">
        <v>1076</v>
      </c>
      <c r="AB254" s="1" t="s">
        <v>1443</v>
      </c>
    </row>
    <row r="255" spans="1:28" x14ac:dyDescent="0.3">
      <c r="A255">
        <v>77089</v>
      </c>
      <c r="B255" s="1" t="s">
        <v>1320</v>
      </c>
      <c r="C255">
        <v>0</v>
      </c>
      <c r="D255">
        <v>1610612752</v>
      </c>
      <c r="E255" s="1" t="s">
        <v>1248</v>
      </c>
      <c r="F255">
        <v>290</v>
      </c>
      <c r="G255">
        <v>18</v>
      </c>
      <c r="I255">
        <v>3840</v>
      </c>
      <c r="J255">
        <v>51</v>
      </c>
      <c r="K255">
        <v>131</v>
      </c>
      <c r="L255">
        <v>389</v>
      </c>
      <c r="P255">
        <v>24</v>
      </c>
      <c r="Q255">
        <v>43</v>
      </c>
      <c r="R255">
        <v>558</v>
      </c>
      <c r="U255">
        <v>860</v>
      </c>
      <c r="V255">
        <v>34</v>
      </c>
      <c r="Z255">
        <v>31</v>
      </c>
      <c r="AA255">
        <v>126</v>
      </c>
      <c r="AB255" s="1" t="s">
        <v>1444</v>
      </c>
    </row>
    <row r="256" spans="1:28" x14ac:dyDescent="0.3">
      <c r="A256">
        <v>76750</v>
      </c>
      <c r="B256" s="1" t="s">
        <v>1414</v>
      </c>
      <c r="C256">
        <v>0</v>
      </c>
      <c r="D256">
        <v>1610612752</v>
      </c>
      <c r="E256" s="1" t="s">
        <v>1248</v>
      </c>
      <c r="F256">
        <v>230</v>
      </c>
      <c r="G256">
        <v>74</v>
      </c>
      <c r="I256">
        <v>15880</v>
      </c>
      <c r="J256">
        <v>256</v>
      </c>
      <c r="K256">
        <v>568</v>
      </c>
      <c r="L256">
        <v>451</v>
      </c>
      <c r="P256">
        <v>154</v>
      </c>
      <c r="Q256">
        <v>235</v>
      </c>
      <c r="R256">
        <v>655</v>
      </c>
      <c r="U256">
        <v>3130</v>
      </c>
      <c r="V256">
        <v>305</v>
      </c>
      <c r="Z256">
        <v>199</v>
      </c>
      <c r="AA256">
        <v>666</v>
      </c>
      <c r="AB256" s="1" t="s">
        <v>1445</v>
      </c>
    </row>
    <row r="257" spans="1:28" x14ac:dyDescent="0.3">
      <c r="A257">
        <v>76750</v>
      </c>
      <c r="B257" s="1" t="s">
        <v>1415</v>
      </c>
      <c r="C257">
        <v>0</v>
      </c>
      <c r="D257">
        <v>1610612752</v>
      </c>
      <c r="E257" s="1" t="s">
        <v>1248</v>
      </c>
      <c r="F257">
        <v>240</v>
      </c>
      <c r="G257">
        <v>80</v>
      </c>
      <c r="I257">
        <v>29490</v>
      </c>
      <c r="J257">
        <v>531</v>
      </c>
      <c r="K257">
        <v>1052</v>
      </c>
      <c r="L257">
        <v>505</v>
      </c>
      <c r="P257">
        <v>341</v>
      </c>
      <c r="Q257">
        <v>457</v>
      </c>
      <c r="R257">
        <v>746</v>
      </c>
      <c r="U257">
        <v>4990</v>
      </c>
      <c r="V257">
        <v>635</v>
      </c>
      <c r="Z257">
        <v>245</v>
      </c>
      <c r="AA257">
        <v>1403</v>
      </c>
      <c r="AB257" s="1" t="s">
        <v>1445</v>
      </c>
    </row>
    <row r="258" spans="1:28" x14ac:dyDescent="0.3">
      <c r="A258">
        <v>76750</v>
      </c>
      <c r="B258" s="1" t="s">
        <v>1416</v>
      </c>
      <c r="C258">
        <v>0</v>
      </c>
      <c r="D258">
        <v>1610612752</v>
      </c>
      <c r="E258" s="1" t="s">
        <v>1248</v>
      </c>
      <c r="F258">
        <v>250</v>
      </c>
      <c r="G258">
        <v>77</v>
      </c>
      <c r="I258">
        <v>30400</v>
      </c>
      <c r="J258">
        <v>600</v>
      </c>
      <c r="K258">
        <v>1158</v>
      </c>
      <c r="L258">
        <v>518</v>
      </c>
      <c r="P258">
        <v>409</v>
      </c>
      <c r="Q258">
        <v>547</v>
      </c>
      <c r="R258">
        <v>748</v>
      </c>
      <c r="U258">
        <v>4650</v>
      </c>
      <c r="V258">
        <v>629</v>
      </c>
      <c r="Z258">
        <v>203</v>
      </c>
      <c r="AA258">
        <v>1609</v>
      </c>
      <c r="AB258" s="1" t="s">
        <v>1445</v>
      </c>
    </row>
    <row r="259" spans="1:28" x14ac:dyDescent="0.3">
      <c r="A259">
        <v>76750</v>
      </c>
      <c r="B259" s="1" t="s">
        <v>1417</v>
      </c>
      <c r="C259">
        <v>0</v>
      </c>
      <c r="D259">
        <v>1610612752</v>
      </c>
      <c r="E259" s="1" t="s">
        <v>1248</v>
      </c>
      <c r="F259">
        <v>260</v>
      </c>
      <c r="G259">
        <v>80</v>
      </c>
      <c r="I259">
        <v>34550</v>
      </c>
      <c r="J259">
        <v>651</v>
      </c>
      <c r="K259">
        <v>1317</v>
      </c>
      <c r="L259">
        <v>494</v>
      </c>
      <c r="P259">
        <v>434</v>
      </c>
      <c r="Q259">
        <v>557</v>
      </c>
      <c r="R259">
        <v>779</v>
      </c>
      <c r="U259">
        <v>5440</v>
      </c>
      <c r="V259">
        <v>536</v>
      </c>
      <c r="Z259">
        <v>240</v>
      </c>
      <c r="AA259">
        <v>1736</v>
      </c>
      <c r="AB259" s="1" t="s">
        <v>1445</v>
      </c>
    </row>
    <row r="260" spans="1:28" x14ac:dyDescent="0.3">
      <c r="A260">
        <v>76750</v>
      </c>
      <c r="B260" s="1" t="s">
        <v>1354</v>
      </c>
      <c r="C260">
        <v>0</v>
      </c>
      <c r="D260">
        <v>1610612752</v>
      </c>
      <c r="E260" s="1" t="s">
        <v>1248</v>
      </c>
      <c r="F260">
        <v>270</v>
      </c>
      <c r="G260">
        <v>77</v>
      </c>
      <c r="I260">
        <v>31260</v>
      </c>
      <c r="J260">
        <v>669</v>
      </c>
      <c r="K260">
        <v>1307</v>
      </c>
      <c r="L260">
        <v>512</v>
      </c>
      <c r="P260">
        <v>450</v>
      </c>
      <c r="Q260">
        <v>557</v>
      </c>
      <c r="R260">
        <v>808</v>
      </c>
      <c r="U260">
        <v>5130</v>
      </c>
      <c r="V260">
        <v>446</v>
      </c>
      <c r="Z260">
        <v>185</v>
      </c>
      <c r="AA260">
        <v>1788</v>
      </c>
      <c r="AB260" s="1" t="s">
        <v>1445</v>
      </c>
    </row>
    <row r="261" spans="1:28" x14ac:dyDescent="0.3">
      <c r="A261">
        <v>76750</v>
      </c>
      <c r="B261" s="1" t="s">
        <v>1356</v>
      </c>
      <c r="C261">
        <v>0</v>
      </c>
      <c r="D261">
        <v>1610612752</v>
      </c>
      <c r="E261" s="1" t="s">
        <v>1248</v>
      </c>
      <c r="F261">
        <v>280</v>
      </c>
      <c r="G261">
        <v>78</v>
      </c>
      <c r="I261">
        <v>31810</v>
      </c>
      <c r="J261">
        <v>681</v>
      </c>
      <c r="K261">
        <v>1389</v>
      </c>
      <c r="L261">
        <v>49</v>
      </c>
      <c r="P261">
        <v>286</v>
      </c>
      <c r="Q261">
        <v>350</v>
      </c>
      <c r="R261">
        <v>817</v>
      </c>
      <c r="U261">
        <v>5700</v>
      </c>
      <c r="V261">
        <v>461</v>
      </c>
      <c r="Z261">
        <v>186</v>
      </c>
      <c r="AA261">
        <v>1648</v>
      </c>
      <c r="AB261" s="1" t="s">
        <v>1445</v>
      </c>
    </row>
    <row r="262" spans="1:28" x14ac:dyDescent="0.3">
      <c r="A262">
        <v>76750</v>
      </c>
      <c r="B262" s="1" t="s">
        <v>1357</v>
      </c>
      <c r="C262">
        <v>0</v>
      </c>
      <c r="D262">
        <v>1610612752</v>
      </c>
      <c r="E262" s="1" t="s">
        <v>1248</v>
      </c>
      <c r="F262">
        <v>290</v>
      </c>
      <c r="G262">
        <v>80</v>
      </c>
      <c r="I262">
        <v>33380</v>
      </c>
      <c r="J262">
        <v>674</v>
      </c>
      <c r="K262">
        <v>1429</v>
      </c>
      <c r="L262">
        <v>472</v>
      </c>
      <c r="P262">
        <v>295</v>
      </c>
      <c r="Q262">
        <v>352</v>
      </c>
      <c r="R262">
        <v>838</v>
      </c>
      <c r="S262">
        <v>1200</v>
      </c>
      <c r="T262">
        <v>4160</v>
      </c>
      <c r="U262">
        <v>5360</v>
      </c>
      <c r="V262">
        <v>551</v>
      </c>
      <c r="W262">
        <v>1610</v>
      </c>
      <c r="X262">
        <v>150</v>
      </c>
      <c r="Z262">
        <v>212</v>
      </c>
      <c r="AA262">
        <v>1643</v>
      </c>
      <c r="AB262" s="1" t="s">
        <v>1445</v>
      </c>
    </row>
    <row r="263" spans="1:28" x14ac:dyDescent="0.3">
      <c r="A263">
        <v>76750</v>
      </c>
      <c r="B263" s="1" t="s">
        <v>1358</v>
      </c>
      <c r="C263">
        <v>0</v>
      </c>
      <c r="D263">
        <v>1610612752</v>
      </c>
      <c r="E263" s="1" t="s">
        <v>1248</v>
      </c>
      <c r="F263">
        <v>300</v>
      </c>
      <c r="G263">
        <v>78</v>
      </c>
      <c r="I263">
        <v>32040</v>
      </c>
      <c r="J263">
        <v>672</v>
      </c>
      <c r="K263">
        <v>1391</v>
      </c>
      <c r="L263">
        <v>483</v>
      </c>
      <c r="P263">
        <v>331</v>
      </c>
      <c r="Q263">
        <v>400</v>
      </c>
      <c r="R263">
        <v>828</v>
      </c>
      <c r="S263">
        <v>900</v>
      </c>
      <c r="T263">
        <v>3750</v>
      </c>
      <c r="U263">
        <v>4650</v>
      </c>
      <c r="V263">
        <v>474</v>
      </c>
      <c r="W263">
        <v>1900</v>
      </c>
      <c r="X263">
        <v>140</v>
      </c>
      <c r="Z263">
        <v>205</v>
      </c>
      <c r="AA263">
        <v>1675</v>
      </c>
      <c r="AB263" s="1" t="s">
        <v>1445</v>
      </c>
    </row>
    <row r="264" spans="1:28" x14ac:dyDescent="0.3">
      <c r="A264">
        <v>76750</v>
      </c>
      <c r="B264" s="1" t="s">
        <v>1261</v>
      </c>
      <c r="C264">
        <v>0</v>
      </c>
      <c r="D264">
        <v>1610612752</v>
      </c>
      <c r="E264" s="1" t="s">
        <v>1248</v>
      </c>
      <c r="F264">
        <v>310</v>
      </c>
      <c r="G264">
        <v>59</v>
      </c>
      <c r="I264">
        <v>24270</v>
      </c>
      <c r="J264">
        <v>470</v>
      </c>
      <c r="K264">
        <v>969</v>
      </c>
      <c r="L264">
        <v>485</v>
      </c>
      <c r="P264">
        <v>186</v>
      </c>
      <c r="Q264">
        <v>226</v>
      </c>
      <c r="R264">
        <v>823</v>
      </c>
      <c r="S264">
        <v>790</v>
      </c>
      <c r="T264">
        <v>3210</v>
      </c>
      <c r="U264">
        <v>4000</v>
      </c>
      <c r="V264">
        <v>351</v>
      </c>
      <c r="W264">
        <v>1060</v>
      </c>
      <c r="X264">
        <v>90</v>
      </c>
      <c r="Z264">
        <v>163</v>
      </c>
      <c r="AA264">
        <v>1126</v>
      </c>
      <c r="AB264" s="1" t="s">
        <v>1445</v>
      </c>
    </row>
    <row r="265" spans="1:28" x14ac:dyDescent="0.3">
      <c r="A265">
        <v>76750</v>
      </c>
      <c r="B265" s="1" t="s">
        <v>1263</v>
      </c>
      <c r="C265">
        <v>0</v>
      </c>
      <c r="D265">
        <v>1610612752</v>
      </c>
      <c r="E265" s="1" t="s">
        <v>1248</v>
      </c>
      <c r="F265">
        <v>320</v>
      </c>
      <c r="G265">
        <v>76</v>
      </c>
      <c r="I265">
        <v>26870</v>
      </c>
      <c r="J265">
        <v>532</v>
      </c>
      <c r="K265">
        <v>1089</v>
      </c>
      <c r="L265">
        <v>489</v>
      </c>
      <c r="P265">
        <v>259</v>
      </c>
      <c r="Q265">
        <v>336</v>
      </c>
      <c r="R265">
        <v>771</v>
      </c>
      <c r="S265">
        <v>520</v>
      </c>
      <c r="T265">
        <v>2410</v>
      </c>
      <c r="U265">
        <v>2930</v>
      </c>
      <c r="V265">
        <v>403</v>
      </c>
      <c r="W265">
        <v>1320</v>
      </c>
      <c r="X265">
        <v>90</v>
      </c>
      <c r="Z265">
        <v>194</v>
      </c>
      <c r="AA265">
        <v>1323</v>
      </c>
      <c r="AB265" s="1" t="s">
        <v>1445</v>
      </c>
    </row>
    <row r="266" spans="1:28" x14ac:dyDescent="0.3">
      <c r="A266">
        <v>201163</v>
      </c>
      <c r="B266" s="1" t="s">
        <v>1303</v>
      </c>
      <c r="C266">
        <v>0</v>
      </c>
      <c r="D266">
        <v>1610612752</v>
      </c>
      <c r="E266" s="1" t="s">
        <v>1248</v>
      </c>
      <c r="F266">
        <v>210</v>
      </c>
      <c r="G266">
        <v>35</v>
      </c>
      <c r="H266">
        <v>160</v>
      </c>
      <c r="I266">
        <v>6850</v>
      </c>
      <c r="J266">
        <v>106</v>
      </c>
      <c r="K266">
        <v>242</v>
      </c>
      <c r="L266">
        <v>438</v>
      </c>
      <c r="M266">
        <v>90</v>
      </c>
      <c r="N266">
        <v>300</v>
      </c>
      <c r="O266">
        <v>3</v>
      </c>
      <c r="P266">
        <v>34</v>
      </c>
      <c r="Q266">
        <v>54</v>
      </c>
      <c r="R266">
        <v>63</v>
      </c>
      <c r="S266">
        <v>380</v>
      </c>
      <c r="T266">
        <v>890</v>
      </c>
      <c r="U266">
        <v>1270</v>
      </c>
      <c r="V266">
        <v>33</v>
      </c>
      <c r="W266">
        <v>150</v>
      </c>
      <c r="X266">
        <v>160</v>
      </c>
      <c r="Y266">
        <v>270</v>
      </c>
      <c r="Z266">
        <v>83</v>
      </c>
      <c r="AA266">
        <v>255</v>
      </c>
      <c r="AB266" s="1" t="s">
        <v>1446</v>
      </c>
    </row>
    <row r="267" spans="1:28" x14ac:dyDescent="0.3">
      <c r="A267">
        <v>201163</v>
      </c>
      <c r="B267" s="1" t="s">
        <v>1304</v>
      </c>
      <c r="C267">
        <v>0</v>
      </c>
      <c r="D267">
        <v>1610612752</v>
      </c>
      <c r="E267" s="1" t="s">
        <v>1248</v>
      </c>
      <c r="F267">
        <v>220</v>
      </c>
      <c r="G267">
        <v>82</v>
      </c>
      <c r="H267">
        <v>700</v>
      </c>
      <c r="I267">
        <v>27350</v>
      </c>
      <c r="J267">
        <v>455</v>
      </c>
      <c r="K267">
        <v>1054</v>
      </c>
      <c r="L267">
        <v>432</v>
      </c>
      <c r="M267">
        <v>1030</v>
      </c>
      <c r="N267">
        <v>3140</v>
      </c>
      <c r="O267">
        <v>328</v>
      </c>
      <c r="P267">
        <v>171</v>
      </c>
      <c r="Q267">
        <v>215</v>
      </c>
      <c r="R267">
        <v>795</v>
      </c>
      <c r="S267">
        <v>910</v>
      </c>
      <c r="T267">
        <v>3540</v>
      </c>
      <c r="U267">
        <v>4450</v>
      </c>
      <c r="V267">
        <v>170</v>
      </c>
      <c r="W267">
        <v>710</v>
      </c>
      <c r="X267">
        <v>750</v>
      </c>
      <c r="Y267">
        <v>1390</v>
      </c>
      <c r="Z267">
        <v>250</v>
      </c>
      <c r="AA267">
        <v>1184</v>
      </c>
      <c r="AB267" s="1" t="s">
        <v>1446</v>
      </c>
    </row>
    <row r="268" spans="1:28" x14ac:dyDescent="0.3">
      <c r="A268">
        <v>201163</v>
      </c>
      <c r="B268" s="1" t="s">
        <v>1305</v>
      </c>
      <c r="C268">
        <v>0</v>
      </c>
      <c r="D268">
        <v>1610612752</v>
      </c>
      <c r="E268" s="1" t="s">
        <v>1248</v>
      </c>
      <c r="F268">
        <v>230</v>
      </c>
      <c r="G268">
        <v>65</v>
      </c>
      <c r="H268">
        <v>640</v>
      </c>
      <c r="I268">
        <v>23200</v>
      </c>
      <c r="J268">
        <v>412</v>
      </c>
      <c r="K268">
        <v>860</v>
      </c>
      <c r="L268">
        <v>479</v>
      </c>
      <c r="M268">
        <v>400</v>
      </c>
      <c r="N268">
        <v>1500</v>
      </c>
      <c r="O268">
        <v>267</v>
      </c>
      <c r="P268">
        <v>129</v>
      </c>
      <c r="Q268">
        <v>160</v>
      </c>
      <c r="R268">
        <v>806</v>
      </c>
      <c r="S268">
        <v>930</v>
      </c>
      <c r="T268">
        <v>2550</v>
      </c>
      <c r="U268">
        <v>3480</v>
      </c>
      <c r="V268">
        <v>138</v>
      </c>
      <c r="W268">
        <v>460</v>
      </c>
      <c r="X268">
        <v>490</v>
      </c>
      <c r="Y268">
        <v>1080</v>
      </c>
      <c r="Z268">
        <v>184</v>
      </c>
      <c r="AA268">
        <v>993</v>
      </c>
      <c r="AB268" s="1" t="s">
        <v>1446</v>
      </c>
    </row>
    <row r="269" spans="1:28" x14ac:dyDescent="0.3">
      <c r="A269">
        <v>201163</v>
      </c>
      <c r="B269" s="1" t="s">
        <v>1312</v>
      </c>
      <c r="C269">
        <v>0</v>
      </c>
      <c r="D269">
        <v>1610612752</v>
      </c>
      <c r="E269" s="1" t="s">
        <v>1248</v>
      </c>
      <c r="F269">
        <v>240</v>
      </c>
      <c r="G269">
        <v>51</v>
      </c>
      <c r="H269">
        <v>300</v>
      </c>
      <c r="I269">
        <v>17590</v>
      </c>
      <c r="J269">
        <v>328</v>
      </c>
      <c r="K269">
        <v>712</v>
      </c>
      <c r="L269">
        <v>461</v>
      </c>
      <c r="M269">
        <v>860</v>
      </c>
      <c r="N269">
        <v>2450</v>
      </c>
      <c r="O269">
        <v>351</v>
      </c>
      <c r="P269">
        <v>96</v>
      </c>
      <c r="Q269">
        <v>119</v>
      </c>
      <c r="R269">
        <v>807</v>
      </c>
      <c r="S269">
        <v>620</v>
      </c>
      <c r="T269">
        <v>2410</v>
      </c>
      <c r="U269">
        <v>3030</v>
      </c>
      <c r="V269">
        <v>86</v>
      </c>
      <c r="W269">
        <v>340</v>
      </c>
      <c r="X269">
        <v>700</v>
      </c>
      <c r="Y269">
        <v>670</v>
      </c>
      <c r="Z269">
        <v>152</v>
      </c>
      <c r="AA269">
        <v>838</v>
      </c>
      <c r="AB269" s="1" t="s">
        <v>1446</v>
      </c>
    </row>
    <row r="270" spans="1:28" x14ac:dyDescent="0.3">
      <c r="A270">
        <v>77494</v>
      </c>
      <c r="B270" s="1" t="s">
        <v>1261</v>
      </c>
      <c r="C270">
        <v>0</v>
      </c>
      <c r="D270">
        <v>1610612752</v>
      </c>
      <c r="E270" s="1" t="s">
        <v>1248</v>
      </c>
      <c r="F270">
        <v>280</v>
      </c>
      <c r="G270">
        <v>13</v>
      </c>
      <c r="I270">
        <v>640</v>
      </c>
      <c r="J270">
        <v>17</v>
      </c>
      <c r="K270">
        <v>46</v>
      </c>
      <c r="L270">
        <v>37</v>
      </c>
      <c r="P270">
        <v>3</v>
      </c>
      <c r="Q270">
        <v>3</v>
      </c>
      <c r="R270">
        <v>10</v>
      </c>
      <c r="S270">
        <v>10</v>
      </c>
      <c r="T270">
        <v>70</v>
      </c>
      <c r="U270">
        <v>80</v>
      </c>
      <c r="V270">
        <v>4</v>
      </c>
      <c r="W270">
        <v>0</v>
      </c>
      <c r="X270">
        <v>0</v>
      </c>
      <c r="Z270">
        <v>18</v>
      </c>
      <c r="AA270">
        <v>37</v>
      </c>
      <c r="AB270" s="1" t="s">
        <v>1447</v>
      </c>
    </row>
    <row r="271" spans="1:28" x14ac:dyDescent="0.3">
      <c r="A271">
        <v>77087</v>
      </c>
      <c r="B271" s="1" t="s">
        <v>1359</v>
      </c>
      <c r="C271">
        <v>0</v>
      </c>
      <c r="D271">
        <v>1610612752</v>
      </c>
      <c r="E271" s="1" t="s">
        <v>1248</v>
      </c>
      <c r="F271">
        <v>220</v>
      </c>
      <c r="G271">
        <v>71</v>
      </c>
      <c r="I271">
        <v>9230</v>
      </c>
      <c r="J271">
        <v>94</v>
      </c>
      <c r="K271">
        <v>241</v>
      </c>
      <c r="L271">
        <v>39</v>
      </c>
      <c r="M271">
        <v>30</v>
      </c>
      <c r="N271">
        <v>170</v>
      </c>
      <c r="O271">
        <v>176</v>
      </c>
      <c r="P271">
        <v>28</v>
      </c>
      <c r="Q271">
        <v>38</v>
      </c>
      <c r="R271">
        <v>737</v>
      </c>
      <c r="S271">
        <v>140</v>
      </c>
      <c r="T271">
        <v>440</v>
      </c>
      <c r="U271">
        <v>580</v>
      </c>
      <c r="V271">
        <v>159</v>
      </c>
      <c r="W271">
        <v>390</v>
      </c>
      <c r="X271">
        <v>50</v>
      </c>
      <c r="Y271">
        <v>730</v>
      </c>
      <c r="Z271">
        <v>83</v>
      </c>
      <c r="AA271">
        <v>219</v>
      </c>
      <c r="AB271" s="1" t="s">
        <v>1448</v>
      </c>
    </row>
    <row r="272" spans="1:28" x14ac:dyDescent="0.3">
      <c r="A272">
        <v>1883</v>
      </c>
      <c r="B272" s="1" t="s">
        <v>1300</v>
      </c>
      <c r="C272">
        <v>0</v>
      </c>
      <c r="D272">
        <v>1610612752</v>
      </c>
      <c r="E272" s="1" t="s">
        <v>1248</v>
      </c>
      <c r="F272">
        <v>290</v>
      </c>
      <c r="G272">
        <v>24</v>
      </c>
      <c r="H272">
        <v>150</v>
      </c>
      <c r="I272">
        <v>6590</v>
      </c>
      <c r="J272">
        <v>84</v>
      </c>
      <c r="K272">
        <v>190</v>
      </c>
      <c r="L272">
        <v>442</v>
      </c>
      <c r="M272">
        <v>70</v>
      </c>
      <c r="N272">
        <v>130</v>
      </c>
      <c r="O272">
        <v>538</v>
      </c>
      <c r="P272">
        <v>83</v>
      </c>
      <c r="Q272">
        <v>109</v>
      </c>
      <c r="R272">
        <v>761</v>
      </c>
      <c r="S272">
        <v>140</v>
      </c>
      <c r="T272">
        <v>570</v>
      </c>
      <c r="U272">
        <v>710</v>
      </c>
      <c r="V272">
        <v>83</v>
      </c>
      <c r="W272">
        <v>230</v>
      </c>
      <c r="X272">
        <v>60</v>
      </c>
      <c r="Y272">
        <v>580</v>
      </c>
      <c r="Z272">
        <v>62</v>
      </c>
      <c r="AA272">
        <v>258</v>
      </c>
      <c r="AB272" s="1" t="s">
        <v>1449</v>
      </c>
    </row>
    <row r="273" spans="1:28" x14ac:dyDescent="0.3">
      <c r="A273">
        <v>1883</v>
      </c>
      <c r="B273" s="1" t="s">
        <v>1302</v>
      </c>
      <c r="C273">
        <v>0</v>
      </c>
      <c r="D273">
        <v>1610612752</v>
      </c>
      <c r="E273" s="1" t="s">
        <v>1248</v>
      </c>
      <c r="F273">
        <v>300</v>
      </c>
      <c r="G273">
        <v>44</v>
      </c>
      <c r="H273">
        <v>300</v>
      </c>
      <c r="I273">
        <v>12370</v>
      </c>
      <c r="J273">
        <v>140</v>
      </c>
      <c r="K273">
        <v>343</v>
      </c>
      <c r="L273">
        <v>408</v>
      </c>
      <c r="M273">
        <v>420</v>
      </c>
      <c r="N273">
        <v>1110</v>
      </c>
      <c r="O273">
        <v>378</v>
      </c>
      <c r="P273">
        <v>175</v>
      </c>
      <c r="Q273">
        <v>211</v>
      </c>
      <c r="R273">
        <v>829</v>
      </c>
      <c r="S273">
        <v>330</v>
      </c>
      <c r="T273">
        <v>1240</v>
      </c>
      <c r="U273">
        <v>1570</v>
      </c>
      <c r="V273">
        <v>170</v>
      </c>
      <c r="W273">
        <v>410</v>
      </c>
      <c r="X273">
        <v>120</v>
      </c>
      <c r="Y273">
        <v>1000</v>
      </c>
      <c r="Z273">
        <v>126</v>
      </c>
      <c r="AA273">
        <v>497</v>
      </c>
      <c r="AB273" s="1" t="s">
        <v>1449</v>
      </c>
    </row>
    <row r="274" spans="1:28" x14ac:dyDescent="0.3">
      <c r="A274">
        <v>2199</v>
      </c>
      <c r="B274" s="1" t="s">
        <v>1290</v>
      </c>
      <c r="C274">
        <v>0</v>
      </c>
      <c r="D274">
        <v>1610612752</v>
      </c>
      <c r="E274" s="1" t="s">
        <v>1248</v>
      </c>
      <c r="F274">
        <v>290</v>
      </c>
      <c r="G274">
        <v>62</v>
      </c>
      <c r="H274">
        <v>620</v>
      </c>
      <c r="I274">
        <v>20610</v>
      </c>
      <c r="J274">
        <v>241</v>
      </c>
      <c r="K274">
        <v>355</v>
      </c>
      <c r="L274">
        <v>679</v>
      </c>
      <c r="M274">
        <v>0</v>
      </c>
      <c r="N274">
        <v>20</v>
      </c>
      <c r="O274">
        <v>0</v>
      </c>
      <c r="P274">
        <v>217</v>
      </c>
      <c r="Q274">
        <v>315</v>
      </c>
      <c r="R274">
        <v>689</v>
      </c>
      <c r="S274">
        <v>2120</v>
      </c>
      <c r="T274">
        <v>4000</v>
      </c>
      <c r="U274">
        <v>6120</v>
      </c>
      <c r="V274">
        <v>56</v>
      </c>
      <c r="W274">
        <v>560</v>
      </c>
      <c r="X274">
        <v>890</v>
      </c>
      <c r="Y274">
        <v>1020</v>
      </c>
      <c r="Z274">
        <v>186</v>
      </c>
      <c r="AA274">
        <v>699</v>
      </c>
      <c r="AB274" s="1" t="s">
        <v>1450</v>
      </c>
    </row>
    <row r="275" spans="1:28" x14ac:dyDescent="0.3">
      <c r="A275">
        <v>2199</v>
      </c>
      <c r="B275" s="1" t="s">
        <v>1292</v>
      </c>
      <c r="C275">
        <v>0</v>
      </c>
      <c r="D275">
        <v>1610612752</v>
      </c>
      <c r="E275" s="1" t="s">
        <v>1248</v>
      </c>
      <c r="F275">
        <v>300</v>
      </c>
      <c r="G275">
        <v>66</v>
      </c>
      <c r="H275">
        <v>660</v>
      </c>
      <c r="I275">
        <v>21640</v>
      </c>
      <c r="J275">
        <v>255</v>
      </c>
      <c r="K275">
        <v>400</v>
      </c>
      <c r="L275">
        <v>637</v>
      </c>
      <c r="M275">
        <v>0</v>
      </c>
      <c r="N275">
        <v>0</v>
      </c>
      <c r="O275">
        <v>0</v>
      </c>
      <c r="P275">
        <v>179</v>
      </c>
      <c r="Q275">
        <v>258</v>
      </c>
      <c r="R275">
        <v>694</v>
      </c>
      <c r="S275">
        <v>2690</v>
      </c>
      <c r="T275">
        <v>4340</v>
      </c>
      <c r="U275">
        <v>7030</v>
      </c>
      <c r="V275">
        <v>62</v>
      </c>
      <c r="W275">
        <v>420</v>
      </c>
      <c r="X275">
        <v>750</v>
      </c>
      <c r="Y275">
        <v>870</v>
      </c>
      <c r="Z275">
        <v>188</v>
      </c>
      <c r="AA275">
        <v>689</v>
      </c>
      <c r="AB275" s="1" t="s">
        <v>1450</v>
      </c>
    </row>
    <row r="276" spans="1:28" x14ac:dyDescent="0.3">
      <c r="A276">
        <v>2199</v>
      </c>
      <c r="B276" s="1" t="s">
        <v>1337</v>
      </c>
      <c r="C276">
        <v>0</v>
      </c>
      <c r="D276">
        <v>1610612752</v>
      </c>
      <c r="E276" s="1" t="s">
        <v>1248</v>
      </c>
      <c r="F276">
        <v>310</v>
      </c>
      <c r="G276">
        <v>55</v>
      </c>
      <c r="H276">
        <v>550</v>
      </c>
      <c r="I276">
        <v>16620</v>
      </c>
      <c r="J276">
        <v>191</v>
      </c>
      <c r="K276">
        <v>322</v>
      </c>
      <c r="L276">
        <v>593</v>
      </c>
      <c r="M276">
        <v>0</v>
      </c>
      <c r="N276">
        <v>10</v>
      </c>
      <c r="O276">
        <v>0</v>
      </c>
      <c r="P276">
        <v>98</v>
      </c>
      <c r="Q276">
        <v>155</v>
      </c>
      <c r="R276">
        <v>632</v>
      </c>
      <c r="S276">
        <v>1590</v>
      </c>
      <c r="T276">
        <v>3700</v>
      </c>
      <c r="U276">
        <v>5290</v>
      </c>
      <c r="V276">
        <v>59</v>
      </c>
      <c r="W276">
        <v>360</v>
      </c>
      <c r="X276">
        <v>630</v>
      </c>
      <c r="Y276">
        <v>710</v>
      </c>
      <c r="Z276">
        <v>145</v>
      </c>
      <c r="AA276">
        <v>480</v>
      </c>
      <c r="AB276" s="1" t="s">
        <v>1450</v>
      </c>
    </row>
    <row r="277" spans="1:28" x14ac:dyDescent="0.3">
      <c r="A277">
        <v>2747</v>
      </c>
      <c r="B277" s="1" t="s">
        <v>1290</v>
      </c>
      <c r="C277">
        <v>0</v>
      </c>
      <c r="D277">
        <v>1610612752</v>
      </c>
      <c r="E277" s="1" t="s">
        <v>1248</v>
      </c>
      <c r="F277">
        <v>260</v>
      </c>
      <c r="G277">
        <v>35</v>
      </c>
      <c r="H277">
        <v>10</v>
      </c>
      <c r="I277">
        <v>9670</v>
      </c>
      <c r="J277">
        <v>165</v>
      </c>
      <c r="K277">
        <v>405</v>
      </c>
      <c r="L277">
        <v>407</v>
      </c>
      <c r="M277">
        <v>670</v>
      </c>
      <c r="N277">
        <v>1930</v>
      </c>
      <c r="O277">
        <v>347</v>
      </c>
      <c r="P277">
        <v>39</v>
      </c>
      <c r="Q277">
        <v>55</v>
      </c>
      <c r="R277">
        <v>709</v>
      </c>
      <c r="S277">
        <v>290</v>
      </c>
      <c r="T277">
        <v>1070</v>
      </c>
      <c r="U277">
        <v>1360</v>
      </c>
      <c r="V277">
        <v>84</v>
      </c>
      <c r="W277">
        <v>540</v>
      </c>
      <c r="X277">
        <v>60</v>
      </c>
      <c r="Y277">
        <v>460</v>
      </c>
      <c r="Z277">
        <v>87</v>
      </c>
      <c r="AA277">
        <v>436</v>
      </c>
      <c r="AB277" s="1" t="s">
        <v>1451</v>
      </c>
    </row>
    <row r="278" spans="1:28" x14ac:dyDescent="0.3">
      <c r="A278">
        <v>2747</v>
      </c>
      <c r="B278" s="1" t="s">
        <v>1292</v>
      </c>
      <c r="C278">
        <v>0</v>
      </c>
      <c r="D278">
        <v>1610612752</v>
      </c>
      <c r="E278" s="1" t="s">
        <v>1248</v>
      </c>
      <c r="F278">
        <v>270</v>
      </c>
      <c r="G278">
        <v>80</v>
      </c>
      <c r="H278">
        <v>0</v>
      </c>
      <c r="I278">
        <v>26780</v>
      </c>
      <c r="J278">
        <v>527</v>
      </c>
      <c r="K278">
        <v>1249</v>
      </c>
      <c r="L278">
        <v>422</v>
      </c>
      <c r="M278">
        <v>1550</v>
      </c>
      <c r="N278">
        <v>4360</v>
      </c>
      <c r="O278">
        <v>356</v>
      </c>
      <c r="P278">
        <v>237</v>
      </c>
      <c r="Q278">
        <v>311</v>
      </c>
      <c r="R278">
        <v>762</v>
      </c>
      <c r="S278">
        <v>640</v>
      </c>
      <c r="T278">
        <v>3610</v>
      </c>
      <c r="U278">
        <v>4250</v>
      </c>
      <c r="V278">
        <v>218</v>
      </c>
      <c r="W278">
        <v>1000</v>
      </c>
      <c r="X278">
        <v>240</v>
      </c>
      <c r="Y278">
        <v>1340</v>
      </c>
      <c r="Z278">
        <v>226</v>
      </c>
      <c r="AA278">
        <v>1446</v>
      </c>
      <c r="AB278" s="1" t="s">
        <v>1451</v>
      </c>
    </row>
    <row r="279" spans="1:28" x14ac:dyDescent="0.3">
      <c r="A279">
        <v>2747</v>
      </c>
      <c r="B279" s="1" t="s">
        <v>1337</v>
      </c>
      <c r="C279">
        <v>0</v>
      </c>
      <c r="D279">
        <v>1610612752</v>
      </c>
      <c r="E279" s="1" t="s">
        <v>1248</v>
      </c>
      <c r="F279">
        <v>280</v>
      </c>
      <c r="G279">
        <v>74</v>
      </c>
      <c r="H279">
        <v>370</v>
      </c>
      <c r="I279">
        <v>24210</v>
      </c>
      <c r="J279">
        <v>396</v>
      </c>
      <c r="K279">
        <v>955</v>
      </c>
      <c r="L279">
        <v>415</v>
      </c>
      <c r="M279">
        <v>1890</v>
      </c>
      <c r="N279">
        <v>4800</v>
      </c>
      <c r="O279">
        <v>394</v>
      </c>
      <c r="P279">
        <v>90</v>
      </c>
      <c r="Q279">
        <v>138</v>
      </c>
      <c r="R279">
        <v>652</v>
      </c>
      <c r="S279">
        <v>350</v>
      </c>
      <c r="T279">
        <v>2610</v>
      </c>
      <c r="U279">
        <v>2960</v>
      </c>
      <c r="V279">
        <v>219</v>
      </c>
      <c r="W279">
        <v>650</v>
      </c>
      <c r="X279">
        <v>200</v>
      </c>
      <c r="Y279">
        <v>1080</v>
      </c>
      <c r="Z279">
        <v>196</v>
      </c>
      <c r="AA279">
        <v>1071</v>
      </c>
      <c r="AB279" s="1" t="s">
        <v>1451</v>
      </c>
    </row>
    <row r="280" spans="1:28" x14ac:dyDescent="0.3">
      <c r="A280">
        <v>2747</v>
      </c>
      <c r="B280" s="1" t="s">
        <v>1343</v>
      </c>
      <c r="C280">
        <v>0</v>
      </c>
      <c r="D280">
        <v>1610612752</v>
      </c>
      <c r="E280" s="1" t="s">
        <v>1248</v>
      </c>
      <c r="F280">
        <v>290</v>
      </c>
      <c r="G280">
        <v>24</v>
      </c>
      <c r="H280">
        <v>60</v>
      </c>
      <c r="I280">
        <v>6190</v>
      </c>
      <c r="J280">
        <v>101</v>
      </c>
      <c r="K280">
        <v>251</v>
      </c>
      <c r="L280">
        <v>402</v>
      </c>
      <c r="M280">
        <v>320</v>
      </c>
      <c r="N280">
        <v>900</v>
      </c>
      <c r="O280">
        <v>356</v>
      </c>
      <c r="P280">
        <v>27</v>
      </c>
      <c r="Q280">
        <v>39</v>
      </c>
      <c r="R280">
        <v>692</v>
      </c>
      <c r="S280">
        <v>40</v>
      </c>
      <c r="T280">
        <v>540</v>
      </c>
      <c r="U280">
        <v>580</v>
      </c>
      <c r="V280">
        <v>81</v>
      </c>
      <c r="W280">
        <v>180</v>
      </c>
      <c r="X280">
        <v>40</v>
      </c>
      <c r="Y280">
        <v>450</v>
      </c>
      <c r="Z280">
        <v>44</v>
      </c>
      <c r="AA280">
        <v>261</v>
      </c>
      <c r="AB280" s="1" t="s">
        <v>1451</v>
      </c>
    </row>
    <row r="281" spans="1:28" x14ac:dyDescent="0.3">
      <c r="A281">
        <v>78045</v>
      </c>
      <c r="B281" s="1" t="s">
        <v>1360</v>
      </c>
      <c r="C281">
        <v>0</v>
      </c>
      <c r="D281">
        <v>1610612752</v>
      </c>
      <c r="E281" s="1" t="s">
        <v>1248</v>
      </c>
      <c r="F281">
        <v>230</v>
      </c>
      <c r="G281">
        <v>77</v>
      </c>
      <c r="I281">
        <v>16960</v>
      </c>
      <c r="J281">
        <v>344</v>
      </c>
      <c r="K281">
        <v>789</v>
      </c>
      <c r="L281">
        <v>436</v>
      </c>
      <c r="P281">
        <v>179</v>
      </c>
      <c r="Q281">
        <v>228</v>
      </c>
      <c r="R281">
        <v>785</v>
      </c>
      <c r="U281">
        <v>2510</v>
      </c>
      <c r="V281">
        <v>187</v>
      </c>
      <c r="Z281">
        <v>174</v>
      </c>
      <c r="AA281">
        <v>867</v>
      </c>
      <c r="AB281" s="1" t="s">
        <v>1452</v>
      </c>
    </row>
    <row r="282" spans="1:28" x14ac:dyDescent="0.3">
      <c r="A282">
        <v>78045</v>
      </c>
      <c r="B282" s="1" t="s">
        <v>1414</v>
      </c>
      <c r="C282">
        <v>0</v>
      </c>
      <c r="D282">
        <v>1610612752</v>
      </c>
      <c r="E282" s="1" t="s">
        <v>1248</v>
      </c>
      <c r="F282">
        <v>240</v>
      </c>
      <c r="G282">
        <v>82</v>
      </c>
      <c r="I282">
        <v>22960</v>
      </c>
      <c r="J282">
        <v>551</v>
      </c>
      <c r="K282">
        <v>1192</v>
      </c>
      <c r="L282">
        <v>462</v>
      </c>
      <c r="P282">
        <v>282</v>
      </c>
      <c r="Q282">
        <v>349</v>
      </c>
      <c r="R282">
        <v>808</v>
      </c>
      <c r="U282">
        <v>3740</v>
      </c>
      <c r="V282">
        <v>195</v>
      </c>
      <c r="Z282">
        <v>223</v>
      </c>
      <c r="AA282">
        <v>1384</v>
      </c>
      <c r="AB282" s="1" t="s">
        <v>1452</v>
      </c>
    </row>
    <row r="283" spans="1:28" x14ac:dyDescent="0.3">
      <c r="A283">
        <v>78045</v>
      </c>
      <c r="B283" s="1" t="s">
        <v>1415</v>
      </c>
      <c r="C283">
        <v>0</v>
      </c>
      <c r="D283">
        <v>1610612752</v>
      </c>
      <c r="E283" s="1" t="s">
        <v>1248</v>
      </c>
      <c r="F283">
        <v>250</v>
      </c>
      <c r="G283">
        <v>50</v>
      </c>
      <c r="I283">
        <v>16450</v>
      </c>
      <c r="J283">
        <v>362</v>
      </c>
      <c r="K283">
        <v>804</v>
      </c>
      <c r="L283">
        <v>45</v>
      </c>
      <c r="P283">
        <v>191</v>
      </c>
      <c r="Q283">
        <v>240</v>
      </c>
      <c r="R283">
        <v>796</v>
      </c>
      <c r="U283">
        <v>2090</v>
      </c>
      <c r="V283">
        <v>115</v>
      </c>
      <c r="Z283">
        <v>140</v>
      </c>
      <c r="AA283">
        <v>915</v>
      </c>
      <c r="AB283" s="1" t="s">
        <v>1452</v>
      </c>
    </row>
    <row r="284" spans="1:28" x14ac:dyDescent="0.3">
      <c r="A284">
        <v>78045</v>
      </c>
      <c r="B284" s="1" t="s">
        <v>1416</v>
      </c>
      <c r="C284">
        <v>0</v>
      </c>
      <c r="D284">
        <v>1610612752</v>
      </c>
      <c r="E284" s="1" t="s">
        <v>1248</v>
      </c>
      <c r="F284">
        <v>260</v>
      </c>
      <c r="G284">
        <v>78</v>
      </c>
      <c r="I284">
        <v>15630</v>
      </c>
      <c r="J284">
        <v>385</v>
      </c>
      <c r="K284">
        <v>773</v>
      </c>
      <c r="L284">
        <v>498</v>
      </c>
      <c r="P284">
        <v>124</v>
      </c>
      <c r="Q284">
        <v>160</v>
      </c>
      <c r="R284">
        <v>775</v>
      </c>
      <c r="U284">
        <v>2360</v>
      </c>
      <c r="V284">
        <v>135</v>
      </c>
      <c r="Z284">
        <v>137</v>
      </c>
      <c r="AA284">
        <v>894</v>
      </c>
      <c r="AB284" s="1" t="s">
        <v>1452</v>
      </c>
    </row>
    <row r="285" spans="1:28" x14ac:dyDescent="0.3">
      <c r="A285">
        <v>78045</v>
      </c>
      <c r="B285" s="1" t="s">
        <v>1417</v>
      </c>
      <c r="C285">
        <v>0</v>
      </c>
      <c r="D285">
        <v>1610612752</v>
      </c>
      <c r="E285" s="1" t="s">
        <v>1248</v>
      </c>
      <c r="F285">
        <v>270</v>
      </c>
      <c r="G285">
        <v>57</v>
      </c>
      <c r="I285">
        <v>10560</v>
      </c>
      <c r="J285">
        <v>216</v>
      </c>
      <c r="K285">
        <v>504</v>
      </c>
      <c r="L285">
        <v>429</v>
      </c>
      <c r="P285">
        <v>92</v>
      </c>
      <c r="Q285">
        <v>119</v>
      </c>
      <c r="R285">
        <v>773</v>
      </c>
      <c r="U285">
        <v>1920</v>
      </c>
      <c r="V285">
        <v>77</v>
      </c>
      <c r="Z285">
        <v>74</v>
      </c>
      <c r="AA285">
        <v>524</v>
      </c>
      <c r="AB285" s="1" t="s">
        <v>1452</v>
      </c>
    </row>
    <row r="286" spans="1:28" x14ac:dyDescent="0.3">
      <c r="A286">
        <v>77489</v>
      </c>
      <c r="B286" s="1" t="s">
        <v>1415</v>
      </c>
      <c r="C286">
        <v>0</v>
      </c>
      <c r="D286">
        <v>1610612752</v>
      </c>
      <c r="E286" s="1" t="s">
        <v>1248</v>
      </c>
      <c r="F286">
        <v>230</v>
      </c>
      <c r="G286">
        <v>48</v>
      </c>
      <c r="I286">
        <v>5600</v>
      </c>
      <c r="J286">
        <v>81</v>
      </c>
      <c r="K286">
        <v>223</v>
      </c>
      <c r="L286">
        <v>363</v>
      </c>
      <c r="P286">
        <v>42</v>
      </c>
      <c r="Q286">
        <v>58</v>
      </c>
      <c r="R286">
        <v>724</v>
      </c>
      <c r="U286">
        <v>1140</v>
      </c>
      <c r="V286">
        <v>35</v>
      </c>
      <c r="Z286">
        <v>64</v>
      </c>
      <c r="AA286">
        <v>204</v>
      </c>
      <c r="AB286" s="1" t="s">
        <v>1453</v>
      </c>
    </row>
    <row r="287" spans="1:28" x14ac:dyDescent="0.3">
      <c r="A287">
        <v>77489</v>
      </c>
      <c r="B287" s="1" t="s">
        <v>1416</v>
      </c>
      <c r="C287">
        <v>0</v>
      </c>
      <c r="D287">
        <v>1610612752</v>
      </c>
      <c r="E287" s="1" t="s">
        <v>1248</v>
      </c>
      <c r="F287">
        <v>240</v>
      </c>
      <c r="G287">
        <v>37</v>
      </c>
      <c r="I287">
        <v>2380</v>
      </c>
      <c r="J287">
        <v>39</v>
      </c>
      <c r="K287">
        <v>101</v>
      </c>
      <c r="L287">
        <v>386</v>
      </c>
      <c r="P287">
        <v>18</v>
      </c>
      <c r="Q287">
        <v>19</v>
      </c>
      <c r="R287">
        <v>947</v>
      </c>
      <c r="U287">
        <v>520</v>
      </c>
      <c r="V287">
        <v>17</v>
      </c>
      <c r="Z287">
        <v>42</v>
      </c>
      <c r="AA287">
        <v>96</v>
      </c>
      <c r="AB287" s="1" t="s">
        <v>1453</v>
      </c>
    </row>
    <row r="288" spans="1:28" x14ac:dyDescent="0.3">
      <c r="A288">
        <v>1630624</v>
      </c>
      <c r="B288" s="1" t="s">
        <v>1308</v>
      </c>
      <c r="C288">
        <v>0</v>
      </c>
      <c r="D288">
        <v>1610612752</v>
      </c>
      <c r="E288" s="1" t="s">
        <v>1248</v>
      </c>
      <c r="F288">
        <v>220</v>
      </c>
      <c r="G288">
        <v>2</v>
      </c>
      <c r="H288">
        <v>0</v>
      </c>
      <c r="I288">
        <v>80</v>
      </c>
      <c r="J288">
        <v>0</v>
      </c>
      <c r="K288">
        <v>2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10</v>
      </c>
      <c r="T288">
        <v>0</v>
      </c>
      <c r="U288">
        <v>10</v>
      </c>
      <c r="V288">
        <v>1</v>
      </c>
      <c r="W288">
        <v>10</v>
      </c>
      <c r="X288">
        <v>0</v>
      </c>
      <c r="Y288">
        <v>10</v>
      </c>
      <c r="Z288">
        <v>1</v>
      </c>
      <c r="AA288">
        <v>0</v>
      </c>
      <c r="AB288" s="1" t="s">
        <v>1454</v>
      </c>
    </row>
    <row r="289" spans="1:28" x14ac:dyDescent="0.3">
      <c r="A289">
        <v>203095</v>
      </c>
      <c r="B289" s="1" t="s">
        <v>1308</v>
      </c>
      <c r="C289">
        <v>0</v>
      </c>
      <c r="D289">
        <v>1610612752</v>
      </c>
      <c r="E289" s="1" t="s">
        <v>1248</v>
      </c>
      <c r="F289">
        <v>290</v>
      </c>
      <c r="G289">
        <v>80</v>
      </c>
      <c r="H289">
        <v>800</v>
      </c>
      <c r="I289">
        <v>23580</v>
      </c>
      <c r="J289">
        <v>402</v>
      </c>
      <c r="K289">
        <v>965</v>
      </c>
      <c r="L289">
        <v>417</v>
      </c>
      <c r="M289">
        <v>2410</v>
      </c>
      <c r="N289">
        <v>6190</v>
      </c>
      <c r="O289">
        <v>389</v>
      </c>
      <c r="P289">
        <v>80</v>
      </c>
      <c r="Q289">
        <v>113</v>
      </c>
      <c r="R289">
        <v>708</v>
      </c>
      <c r="S289">
        <v>340</v>
      </c>
      <c r="T289">
        <v>1760</v>
      </c>
      <c r="U289">
        <v>2100</v>
      </c>
      <c r="V289">
        <v>171</v>
      </c>
      <c r="W289">
        <v>790</v>
      </c>
      <c r="X289">
        <v>200</v>
      </c>
      <c r="Y289">
        <v>1050</v>
      </c>
      <c r="Z289">
        <v>180</v>
      </c>
      <c r="AA289">
        <v>1125</v>
      </c>
      <c r="AB289" s="1" t="s">
        <v>1455</v>
      </c>
    </row>
    <row r="290" spans="1:28" x14ac:dyDescent="0.3">
      <c r="A290">
        <v>203095</v>
      </c>
      <c r="B290" s="1" t="s">
        <v>1327</v>
      </c>
      <c r="C290">
        <v>0</v>
      </c>
      <c r="D290">
        <v>1610612752</v>
      </c>
      <c r="E290" s="1" t="s">
        <v>1248</v>
      </c>
      <c r="F290">
        <v>300</v>
      </c>
      <c r="G290">
        <v>27</v>
      </c>
      <c r="H290">
        <v>70</v>
      </c>
      <c r="I290">
        <v>4590</v>
      </c>
      <c r="J290">
        <v>56</v>
      </c>
      <c r="K290">
        <v>166</v>
      </c>
      <c r="L290">
        <v>337</v>
      </c>
      <c r="M290">
        <v>350</v>
      </c>
      <c r="N290">
        <v>1140</v>
      </c>
      <c r="O290">
        <v>307</v>
      </c>
      <c r="P290">
        <v>18</v>
      </c>
      <c r="Q290">
        <v>21</v>
      </c>
      <c r="R290">
        <v>857</v>
      </c>
      <c r="S290">
        <v>40</v>
      </c>
      <c r="T290">
        <v>450</v>
      </c>
      <c r="U290">
        <v>490</v>
      </c>
      <c r="V290">
        <v>36</v>
      </c>
      <c r="W290">
        <v>160</v>
      </c>
      <c r="X290">
        <v>30</v>
      </c>
      <c r="Y290">
        <v>220</v>
      </c>
      <c r="Z290">
        <v>46</v>
      </c>
      <c r="AA290">
        <v>165</v>
      </c>
      <c r="AB290" s="1" t="s">
        <v>1455</v>
      </c>
    </row>
    <row r="291" spans="1:28" x14ac:dyDescent="0.3">
      <c r="A291">
        <v>203095</v>
      </c>
      <c r="B291" s="1" t="s">
        <v>1369</v>
      </c>
      <c r="C291">
        <v>0</v>
      </c>
      <c r="D291">
        <v>1610612752</v>
      </c>
      <c r="E291" s="1" t="s">
        <v>1248</v>
      </c>
      <c r="F291">
        <v>310</v>
      </c>
      <c r="G291">
        <v>3</v>
      </c>
      <c r="H291">
        <v>0</v>
      </c>
      <c r="I291">
        <v>390</v>
      </c>
      <c r="J291">
        <v>4</v>
      </c>
      <c r="K291">
        <v>20</v>
      </c>
      <c r="L291">
        <v>2</v>
      </c>
      <c r="M291">
        <v>20</v>
      </c>
      <c r="N291">
        <v>150</v>
      </c>
      <c r="O291">
        <v>133</v>
      </c>
      <c r="P291">
        <v>2</v>
      </c>
      <c r="Q291">
        <v>2</v>
      </c>
      <c r="R291">
        <v>10</v>
      </c>
      <c r="S291">
        <v>0</v>
      </c>
      <c r="T291">
        <v>40</v>
      </c>
      <c r="U291">
        <v>40</v>
      </c>
      <c r="V291">
        <v>3</v>
      </c>
      <c r="W291">
        <v>40</v>
      </c>
      <c r="X291">
        <v>0</v>
      </c>
      <c r="Y291">
        <v>10</v>
      </c>
      <c r="Z291">
        <v>4</v>
      </c>
      <c r="AA291">
        <v>12</v>
      </c>
      <c r="AB291" s="1" t="s">
        <v>1455</v>
      </c>
    </row>
    <row r="292" spans="1:28" x14ac:dyDescent="0.3">
      <c r="A292">
        <v>76370</v>
      </c>
      <c r="B292" s="1" t="s">
        <v>1406</v>
      </c>
      <c r="C292">
        <v>0</v>
      </c>
      <c r="D292">
        <v>1610612752</v>
      </c>
      <c r="E292" s="1" t="s">
        <v>1248</v>
      </c>
      <c r="F292">
        <v>260</v>
      </c>
      <c r="G292">
        <v>53</v>
      </c>
      <c r="H292">
        <v>20</v>
      </c>
      <c r="I292">
        <v>6530</v>
      </c>
      <c r="J292">
        <v>28</v>
      </c>
      <c r="K292">
        <v>86</v>
      </c>
      <c r="L292">
        <v>326</v>
      </c>
      <c r="M292">
        <v>0</v>
      </c>
      <c r="N292">
        <v>0</v>
      </c>
      <c r="O292">
        <v>0</v>
      </c>
      <c r="P292">
        <v>22</v>
      </c>
      <c r="Q292">
        <v>39</v>
      </c>
      <c r="R292">
        <v>564</v>
      </c>
      <c r="S292">
        <v>530</v>
      </c>
      <c r="T292">
        <v>1130</v>
      </c>
      <c r="U292">
        <v>1660</v>
      </c>
      <c r="V292">
        <v>19</v>
      </c>
      <c r="W292">
        <v>120</v>
      </c>
      <c r="X292">
        <v>420</v>
      </c>
      <c r="Y292">
        <v>450</v>
      </c>
      <c r="Z292">
        <v>123</v>
      </c>
      <c r="AA292">
        <v>78</v>
      </c>
      <c r="AB292" s="1" t="s">
        <v>1456</v>
      </c>
    </row>
    <row r="293" spans="1:28" x14ac:dyDescent="0.3">
      <c r="A293">
        <v>1627758</v>
      </c>
      <c r="B293" s="1" t="s">
        <v>1281</v>
      </c>
      <c r="C293">
        <v>0</v>
      </c>
      <c r="D293">
        <v>1610612752</v>
      </c>
      <c r="E293" s="1" t="s">
        <v>1248</v>
      </c>
      <c r="F293">
        <v>240</v>
      </c>
      <c r="G293">
        <v>52</v>
      </c>
      <c r="H293">
        <v>130</v>
      </c>
      <c r="I293">
        <v>8570</v>
      </c>
      <c r="J293">
        <v>82</v>
      </c>
      <c r="K293">
        <v>217</v>
      </c>
      <c r="L293">
        <v>378</v>
      </c>
      <c r="M293">
        <v>230</v>
      </c>
      <c r="N293">
        <v>860</v>
      </c>
      <c r="O293">
        <v>267</v>
      </c>
      <c r="P293">
        <v>28</v>
      </c>
      <c r="Q293">
        <v>43</v>
      </c>
      <c r="R293">
        <v>651</v>
      </c>
      <c r="S293">
        <v>120</v>
      </c>
      <c r="T293">
        <v>860</v>
      </c>
      <c r="U293">
        <v>980</v>
      </c>
      <c r="V293">
        <v>107</v>
      </c>
      <c r="W293">
        <v>340</v>
      </c>
      <c r="X293">
        <v>80</v>
      </c>
      <c r="Y293">
        <v>560</v>
      </c>
      <c r="Z293">
        <v>74</v>
      </c>
      <c r="AA293">
        <v>215</v>
      </c>
      <c r="AB293" s="1" t="s">
        <v>1457</v>
      </c>
    </row>
    <row r="294" spans="1:28" x14ac:dyDescent="0.3">
      <c r="A294">
        <v>1627758</v>
      </c>
      <c r="B294" s="1" t="s">
        <v>1259</v>
      </c>
      <c r="C294">
        <v>0</v>
      </c>
      <c r="D294">
        <v>1610612752</v>
      </c>
      <c r="E294" s="1" t="s">
        <v>1248</v>
      </c>
      <c r="F294">
        <v>250</v>
      </c>
      <c r="G294">
        <v>29</v>
      </c>
      <c r="H294">
        <v>10</v>
      </c>
      <c r="I294">
        <v>3850</v>
      </c>
      <c r="J294">
        <v>20</v>
      </c>
      <c r="K294">
        <v>59</v>
      </c>
      <c r="L294">
        <v>339</v>
      </c>
      <c r="M294">
        <v>110</v>
      </c>
      <c r="N294">
        <v>330</v>
      </c>
      <c r="O294">
        <v>333</v>
      </c>
      <c r="P294">
        <v>20</v>
      </c>
      <c r="Q294">
        <v>26</v>
      </c>
      <c r="R294">
        <v>769</v>
      </c>
      <c r="S294">
        <v>50</v>
      </c>
      <c r="T294">
        <v>250</v>
      </c>
      <c r="U294">
        <v>300</v>
      </c>
      <c r="V294">
        <v>47</v>
      </c>
      <c r="W294">
        <v>260</v>
      </c>
      <c r="X294">
        <v>60</v>
      </c>
      <c r="Y294">
        <v>180</v>
      </c>
      <c r="Z294">
        <v>33</v>
      </c>
      <c r="AA294">
        <v>71</v>
      </c>
      <c r="AB294" s="1" t="s">
        <v>1457</v>
      </c>
    </row>
    <row r="295" spans="1:28" x14ac:dyDescent="0.3">
      <c r="A295">
        <v>1627758</v>
      </c>
      <c r="B295" s="1" t="s">
        <v>1287</v>
      </c>
      <c r="C295">
        <v>0</v>
      </c>
      <c r="D295">
        <v>1610612752</v>
      </c>
      <c r="E295" s="1" t="s">
        <v>1248</v>
      </c>
      <c r="F295">
        <v>260</v>
      </c>
      <c r="G295">
        <v>11</v>
      </c>
      <c r="H295">
        <v>0</v>
      </c>
      <c r="I295">
        <v>1070</v>
      </c>
      <c r="J295">
        <v>4</v>
      </c>
      <c r="K295">
        <v>16</v>
      </c>
      <c r="L295">
        <v>25</v>
      </c>
      <c r="M295">
        <v>10</v>
      </c>
      <c r="N295">
        <v>90</v>
      </c>
      <c r="O295">
        <v>111</v>
      </c>
      <c r="P295">
        <v>5</v>
      </c>
      <c r="Q295">
        <v>6</v>
      </c>
      <c r="R295">
        <v>833</v>
      </c>
      <c r="S295">
        <v>10</v>
      </c>
      <c r="T295">
        <v>60</v>
      </c>
      <c r="U295">
        <v>70</v>
      </c>
      <c r="V295">
        <v>13</v>
      </c>
      <c r="W295">
        <v>50</v>
      </c>
      <c r="X295">
        <v>0</v>
      </c>
      <c r="Y295">
        <v>30</v>
      </c>
      <c r="Z295">
        <v>16</v>
      </c>
      <c r="AA295">
        <v>14</v>
      </c>
      <c r="AB295" s="1" t="s">
        <v>1457</v>
      </c>
    </row>
    <row r="296" spans="1:28" x14ac:dyDescent="0.3">
      <c r="A296">
        <v>202083</v>
      </c>
      <c r="B296" s="1" t="s">
        <v>1287</v>
      </c>
      <c r="C296">
        <v>0</v>
      </c>
      <c r="D296">
        <v>1610612752</v>
      </c>
      <c r="E296" s="1" t="s">
        <v>1248</v>
      </c>
      <c r="F296">
        <v>320</v>
      </c>
      <c r="G296">
        <v>2</v>
      </c>
      <c r="H296">
        <v>10</v>
      </c>
      <c r="I296">
        <v>540</v>
      </c>
      <c r="J296">
        <v>4</v>
      </c>
      <c r="K296">
        <v>19</v>
      </c>
      <c r="L296">
        <v>211</v>
      </c>
      <c r="M296">
        <v>20</v>
      </c>
      <c r="N296">
        <v>100</v>
      </c>
      <c r="O296">
        <v>2</v>
      </c>
      <c r="P296">
        <v>4</v>
      </c>
      <c r="Q296">
        <v>5</v>
      </c>
      <c r="R296">
        <v>8</v>
      </c>
      <c r="S296">
        <v>10</v>
      </c>
      <c r="T296">
        <v>20</v>
      </c>
      <c r="U296">
        <v>30</v>
      </c>
      <c r="V296">
        <v>5</v>
      </c>
      <c r="W296">
        <v>10</v>
      </c>
      <c r="X296">
        <v>10</v>
      </c>
      <c r="Y296">
        <v>20</v>
      </c>
      <c r="Z296">
        <v>2</v>
      </c>
      <c r="AA296">
        <v>14</v>
      </c>
      <c r="AB296" s="1" t="s">
        <v>1458</v>
      </c>
    </row>
    <row r="297" spans="1:28" x14ac:dyDescent="0.3">
      <c r="A297">
        <v>1716</v>
      </c>
      <c r="B297" s="1" t="s">
        <v>1304</v>
      </c>
      <c r="C297">
        <v>0</v>
      </c>
      <c r="D297">
        <v>1610612752</v>
      </c>
      <c r="E297" s="1" t="s">
        <v>1248</v>
      </c>
      <c r="F297">
        <v>300</v>
      </c>
      <c r="G297">
        <v>25</v>
      </c>
      <c r="H297">
        <v>140</v>
      </c>
      <c r="I297">
        <v>6870</v>
      </c>
      <c r="J297">
        <v>97</v>
      </c>
      <c r="K297">
        <v>249</v>
      </c>
      <c r="L297">
        <v>39</v>
      </c>
      <c r="M297">
        <v>350</v>
      </c>
      <c r="N297">
        <v>910</v>
      </c>
      <c r="O297">
        <v>385</v>
      </c>
      <c r="P297">
        <v>50</v>
      </c>
      <c r="Q297">
        <v>63</v>
      </c>
      <c r="R297">
        <v>794</v>
      </c>
      <c r="S297">
        <v>100</v>
      </c>
      <c r="T297">
        <v>550</v>
      </c>
      <c r="U297">
        <v>650</v>
      </c>
      <c r="V297">
        <v>60</v>
      </c>
      <c r="W297">
        <v>360</v>
      </c>
      <c r="X297">
        <v>50</v>
      </c>
      <c r="Y297">
        <v>350</v>
      </c>
      <c r="Z297">
        <v>45</v>
      </c>
      <c r="AA297">
        <v>279</v>
      </c>
      <c r="AB297" s="1" t="s">
        <v>1459</v>
      </c>
    </row>
    <row r="298" spans="1:28" x14ac:dyDescent="0.3">
      <c r="A298">
        <v>1716</v>
      </c>
      <c r="B298" s="1" t="s">
        <v>1305</v>
      </c>
      <c r="C298">
        <v>0</v>
      </c>
      <c r="D298">
        <v>1610612752</v>
      </c>
      <c r="E298" s="1" t="s">
        <v>1248</v>
      </c>
      <c r="F298">
        <v>310</v>
      </c>
      <c r="G298">
        <v>31</v>
      </c>
      <c r="H298">
        <v>140</v>
      </c>
      <c r="I298">
        <v>8200</v>
      </c>
      <c r="J298">
        <v>102</v>
      </c>
      <c r="K298">
        <v>279</v>
      </c>
      <c r="L298">
        <v>366</v>
      </c>
      <c r="M298">
        <v>280</v>
      </c>
      <c r="N298">
        <v>970</v>
      </c>
      <c r="O298">
        <v>289</v>
      </c>
      <c r="P298">
        <v>65</v>
      </c>
      <c r="Q298">
        <v>79</v>
      </c>
      <c r="R298">
        <v>823</v>
      </c>
      <c r="S298">
        <v>160</v>
      </c>
      <c r="T298">
        <v>940</v>
      </c>
      <c r="U298">
        <v>1100</v>
      </c>
      <c r="V298">
        <v>109</v>
      </c>
      <c r="W298">
        <v>400</v>
      </c>
      <c r="X298">
        <v>110</v>
      </c>
      <c r="Y298">
        <v>560</v>
      </c>
      <c r="Z298">
        <v>53</v>
      </c>
      <c r="AA298">
        <v>297</v>
      </c>
      <c r="AB298" s="1" t="s">
        <v>1459</v>
      </c>
    </row>
    <row r="299" spans="1:28" x14ac:dyDescent="0.3">
      <c r="A299">
        <v>76729</v>
      </c>
      <c r="B299" s="1" t="s">
        <v>1255</v>
      </c>
      <c r="C299">
        <v>0</v>
      </c>
      <c r="D299">
        <v>1610612752</v>
      </c>
      <c r="E299" s="1" t="s">
        <v>1248</v>
      </c>
      <c r="F299">
        <v>240</v>
      </c>
      <c r="G299">
        <v>11</v>
      </c>
      <c r="I299">
        <v>830</v>
      </c>
      <c r="J299">
        <v>20</v>
      </c>
      <c r="K299">
        <v>51</v>
      </c>
      <c r="L299">
        <v>392</v>
      </c>
      <c r="P299">
        <v>13</v>
      </c>
      <c r="Q299">
        <v>15</v>
      </c>
      <c r="R299">
        <v>867</v>
      </c>
      <c r="U299">
        <v>160</v>
      </c>
      <c r="V299">
        <v>5</v>
      </c>
      <c r="Z299">
        <v>8</v>
      </c>
      <c r="AA299">
        <v>53</v>
      </c>
      <c r="AB299" s="1" t="s">
        <v>1460</v>
      </c>
    </row>
    <row r="300" spans="1:28" x14ac:dyDescent="0.3">
      <c r="A300">
        <v>1509</v>
      </c>
      <c r="B300" s="1" t="s">
        <v>1302</v>
      </c>
      <c r="C300">
        <v>0</v>
      </c>
      <c r="D300">
        <v>1610612752</v>
      </c>
      <c r="E300" s="1" t="s">
        <v>1248</v>
      </c>
      <c r="F300">
        <v>320</v>
      </c>
      <c r="G300">
        <v>18</v>
      </c>
      <c r="H300">
        <v>0</v>
      </c>
      <c r="I300">
        <v>950</v>
      </c>
      <c r="J300">
        <v>7</v>
      </c>
      <c r="K300">
        <v>22</v>
      </c>
      <c r="L300">
        <v>318</v>
      </c>
      <c r="M300">
        <v>0</v>
      </c>
      <c r="N300">
        <v>0</v>
      </c>
      <c r="O300">
        <v>0</v>
      </c>
      <c r="P300">
        <v>8</v>
      </c>
      <c r="Q300">
        <v>12</v>
      </c>
      <c r="R300">
        <v>667</v>
      </c>
      <c r="S300">
        <v>120</v>
      </c>
      <c r="T300">
        <v>190</v>
      </c>
      <c r="U300">
        <v>310</v>
      </c>
      <c r="V300">
        <v>0</v>
      </c>
      <c r="W300">
        <v>30</v>
      </c>
      <c r="X300">
        <v>100</v>
      </c>
      <c r="Y300">
        <v>60</v>
      </c>
      <c r="Z300">
        <v>10</v>
      </c>
      <c r="AA300">
        <v>22</v>
      </c>
      <c r="AB300" s="1" t="s">
        <v>1461</v>
      </c>
    </row>
    <row r="301" spans="1:28" x14ac:dyDescent="0.3">
      <c r="A301">
        <v>77483</v>
      </c>
      <c r="B301" s="1" t="s">
        <v>1417</v>
      </c>
      <c r="C301">
        <v>0</v>
      </c>
      <c r="D301">
        <v>1610612752</v>
      </c>
      <c r="E301" s="1" t="s">
        <v>1248</v>
      </c>
      <c r="F301">
        <v>220</v>
      </c>
      <c r="G301">
        <v>30</v>
      </c>
      <c r="I301">
        <v>1640</v>
      </c>
      <c r="J301">
        <v>25</v>
      </c>
      <c r="K301">
        <v>66</v>
      </c>
      <c r="L301">
        <v>379</v>
      </c>
      <c r="P301">
        <v>11</v>
      </c>
      <c r="Q301">
        <v>20</v>
      </c>
      <c r="R301">
        <v>55</v>
      </c>
      <c r="U301">
        <v>560</v>
      </c>
      <c r="V301">
        <v>4</v>
      </c>
      <c r="Z301">
        <v>25</v>
      </c>
      <c r="AA301">
        <v>61</v>
      </c>
      <c r="AB301" s="1" t="s">
        <v>1462</v>
      </c>
    </row>
    <row r="302" spans="1:28" x14ac:dyDescent="0.3">
      <c r="A302">
        <v>77483</v>
      </c>
      <c r="B302" s="1" t="s">
        <v>1354</v>
      </c>
      <c r="C302">
        <v>0</v>
      </c>
      <c r="D302">
        <v>1610612752</v>
      </c>
      <c r="E302" s="1" t="s">
        <v>1248</v>
      </c>
      <c r="F302">
        <v>230</v>
      </c>
      <c r="G302">
        <v>40</v>
      </c>
      <c r="I302">
        <v>2700</v>
      </c>
      <c r="J302">
        <v>39</v>
      </c>
      <c r="K302">
        <v>112</v>
      </c>
      <c r="L302">
        <v>348</v>
      </c>
      <c r="P302">
        <v>25</v>
      </c>
      <c r="Q302">
        <v>41</v>
      </c>
      <c r="R302">
        <v>61</v>
      </c>
      <c r="U302">
        <v>730</v>
      </c>
      <c r="V302">
        <v>10</v>
      </c>
      <c r="Z302">
        <v>39</v>
      </c>
      <c r="AA302">
        <v>103</v>
      </c>
      <c r="AB302" s="1" t="s">
        <v>1462</v>
      </c>
    </row>
    <row r="303" spans="1:28" x14ac:dyDescent="0.3">
      <c r="A303">
        <v>275</v>
      </c>
      <c r="B303" s="1" t="s">
        <v>1277</v>
      </c>
      <c r="C303">
        <v>0</v>
      </c>
      <c r="D303">
        <v>1610612752</v>
      </c>
      <c r="E303" s="1" t="s">
        <v>1248</v>
      </c>
      <c r="F303">
        <v>260</v>
      </c>
      <c r="G303">
        <v>81</v>
      </c>
      <c r="H303">
        <v>810</v>
      </c>
      <c r="I303">
        <v>26810</v>
      </c>
      <c r="J303">
        <v>437</v>
      </c>
      <c r="K303">
        <v>1032</v>
      </c>
      <c r="L303">
        <v>423</v>
      </c>
      <c r="M303">
        <v>1480</v>
      </c>
      <c r="N303">
        <v>3840</v>
      </c>
      <c r="O303">
        <v>385</v>
      </c>
      <c r="P303">
        <v>175</v>
      </c>
      <c r="Q303">
        <v>218</v>
      </c>
      <c r="R303">
        <v>803</v>
      </c>
      <c r="S303">
        <v>430</v>
      </c>
      <c r="T303">
        <v>1970</v>
      </c>
      <c r="U303">
        <v>2400</v>
      </c>
      <c r="V303">
        <v>179</v>
      </c>
      <c r="W303">
        <v>410</v>
      </c>
      <c r="X303">
        <v>180</v>
      </c>
      <c r="Y303">
        <v>1670</v>
      </c>
      <c r="Z303">
        <v>233</v>
      </c>
      <c r="AA303">
        <v>1197</v>
      </c>
      <c r="AB303" s="1" t="s">
        <v>1463</v>
      </c>
    </row>
    <row r="304" spans="1:28" x14ac:dyDescent="0.3">
      <c r="A304">
        <v>275</v>
      </c>
      <c r="B304" s="1" t="s">
        <v>1278</v>
      </c>
      <c r="C304">
        <v>0</v>
      </c>
      <c r="D304">
        <v>1610612752</v>
      </c>
      <c r="E304" s="1" t="s">
        <v>1248</v>
      </c>
      <c r="F304">
        <v>270</v>
      </c>
      <c r="G304">
        <v>82</v>
      </c>
      <c r="H304">
        <v>820</v>
      </c>
      <c r="I304">
        <v>28480</v>
      </c>
      <c r="J304">
        <v>571</v>
      </c>
      <c r="K304">
        <v>1277</v>
      </c>
      <c r="L304">
        <v>447</v>
      </c>
      <c r="M304">
        <v>820</v>
      </c>
      <c r="N304">
        <v>2130</v>
      </c>
      <c r="O304">
        <v>385</v>
      </c>
      <c r="P304">
        <v>285</v>
      </c>
      <c r="Q304">
        <v>335</v>
      </c>
      <c r="R304">
        <v>851</v>
      </c>
      <c r="S304">
        <v>430</v>
      </c>
      <c r="T304">
        <v>2310</v>
      </c>
      <c r="U304">
        <v>2740</v>
      </c>
      <c r="V304">
        <v>212</v>
      </c>
      <c r="W304">
        <v>630</v>
      </c>
      <c r="X304">
        <v>240</v>
      </c>
      <c r="Y304">
        <v>2000</v>
      </c>
      <c r="Z304">
        <v>207</v>
      </c>
      <c r="AA304">
        <v>1509</v>
      </c>
      <c r="AB304" s="1" t="s">
        <v>1463</v>
      </c>
    </row>
    <row r="305" spans="1:28" x14ac:dyDescent="0.3">
      <c r="A305">
        <v>275</v>
      </c>
      <c r="B305" s="1" t="s">
        <v>1429</v>
      </c>
      <c r="C305">
        <v>0</v>
      </c>
      <c r="D305">
        <v>1610612752</v>
      </c>
      <c r="E305" s="1" t="s">
        <v>1248</v>
      </c>
      <c r="F305">
        <v>280</v>
      </c>
      <c r="G305">
        <v>50</v>
      </c>
      <c r="H305">
        <v>500</v>
      </c>
      <c r="I305">
        <v>18150</v>
      </c>
      <c r="J305">
        <v>294</v>
      </c>
      <c r="K305">
        <v>703</v>
      </c>
      <c r="L305">
        <v>418</v>
      </c>
      <c r="M305">
        <v>570</v>
      </c>
      <c r="N305">
        <v>1400</v>
      </c>
      <c r="O305">
        <v>407</v>
      </c>
      <c r="P305">
        <v>168</v>
      </c>
      <c r="Q305">
        <v>195</v>
      </c>
      <c r="R305">
        <v>862</v>
      </c>
      <c r="S305">
        <v>200</v>
      </c>
      <c r="T305">
        <v>1320</v>
      </c>
      <c r="U305">
        <v>1520</v>
      </c>
      <c r="V305">
        <v>137</v>
      </c>
      <c r="W305">
        <v>350</v>
      </c>
      <c r="X305">
        <v>90</v>
      </c>
      <c r="Y305">
        <v>1300</v>
      </c>
      <c r="Z305">
        <v>115</v>
      </c>
      <c r="AA305">
        <v>813</v>
      </c>
      <c r="AB305" s="1" t="s">
        <v>1463</v>
      </c>
    </row>
    <row r="306" spans="1:28" x14ac:dyDescent="0.3">
      <c r="A306">
        <v>275</v>
      </c>
      <c r="B306" s="1" t="s">
        <v>1464</v>
      </c>
      <c r="C306">
        <v>0</v>
      </c>
      <c r="D306">
        <v>1610612752</v>
      </c>
      <c r="E306" s="1" t="s">
        <v>1248</v>
      </c>
      <c r="F306">
        <v>290</v>
      </c>
      <c r="G306">
        <v>82</v>
      </c>
      <c r="H306">
        <v>820</v>
      </c>
      <c r="I306">
        <v>31690</v>
      </c>
      <c r="J306">
        <v>614</v>
      </c>
      <c r="K306">
        <v>1271</v>
      </c>
      <c r="L306">
        <v>483</v>
      </c>
      <c r="M306">
        <v>1060</v>
      </c>
      <c r="N306">
        <v>2430</v>
      </c>
      <c r="O306">
        <v>436</v>
      </c>
      <c r="P306">
        <v>280</v>
      </c>
      <c r="Q306">
        <v>334</v>
      </c>
      <c r="R306">
        <v>838</v>
      </c>
      <c r="S306">
        <v>380</v>
      </c>
      <c r="T306">
        <v>2330</v>
      </c>
      <c r="U306">
        <v>2710</v>
      </c>
      <c r="V306">
        <v>224</v>
      </c>
      <c r="W306">
        <v>650</v>
      </c>
      <c r="X306">
        <v>140</v>
      </c>
      <c r="Y306">
        <v>1860</v>
      </c>
      <c r="Z306">
        <v>219</v>
      </c>
      <c r="AA306">
        <v>1614</v>
      </c>
      <c r="AB306" s="1" t="s">
        <v>1463</v>
      </c>
    </row>
    <row r="307" spans="1:28" x14ac:dyDescent="0.3">
      <c r="A307">
        <v>275</v>
      </c>
      <c r="B307" s="1" t="s">
        <v>1465</v>
      </c>
      <c r="C307">
        <v>0</v>
      </c>
      <c r="D307">
        <v>1610612752</v>
      </c>
      <c r="E307" s="1" t="s">
        <v>1248</v>
      </c>
      <c r="F307">
        <v>300</v>
      </c>
      <c r="G307">
        <v>78</v>
      </c>
      <c r="H307">
        <v>780</v>
      </c>
      <c r="I307">
        <v>28580</v>
      </c>
      <c r="J307">
        <v>542</v>
      </c>
      <c r="K307">
        <v>1208</v>
      </c>
      <c r="L307">
        <v>449</v>
      </c>
      <c r="M307">
        <v>960</v>
      </c>
      <c r="N307">
        <v>2520</v>
      </c>
      <c r="O307">
        <v>381</v>
      </c>
      <c r="P307">
        <v>279</v>
      </c>
      <c r="Q307">
        <v>307</v>
      </c>
      <c r="R307">
        <v>909</v>
      </c>
      <c r="S307">
        <v>200</v>
      </c>
      <c r="T307">
        <v>2630</v>
      </c>
      <c r="U307">
        <v>2830</v>
      </c>
      <c r="V307">
        <v>173</v>
      </c>
      <c r="W307">
        <v>520</v>
      </c>
      <c r="X307">
        <v>100</v>
      </c>
      <c r="Y307">
        <v>1610</v>
      </c>
      <c r="Z307">
        <v>190</v>
      </c>
      <c r="AA307">
        <v>1459</v>
      </c>
      <c r="AB307" s="1" t="s">
        <v>1463</v>
      </c>
    </row>
    <row r="308" spans="1:28" x14ac:dyDescent="0.3">
      <c r="A308">
        <v>275</v>
      </c>
      <c r="B308" s="1" t="s">
        <v>1330</v>
      </c>
      <c r="C308">
        <v>0</v>
      </c>
      <c r="D308">
        <v>1610612752</v>
      </c>
      <c r="E308" s="1" t="s">
        <v>1248</v>
      </c>
      <c r="F308">
        <v>310</v>
      </c>
      <c r="G308">
        <v>77</v>
      </c>
      <c r="H308">
        <v>770</v>
      </c>
      <c r="I308">
        <v>29150</v>
      </c>
      <c r="J308">
        <v>568</v>
      </c>
      <c r="K308">
        <v>1301</v>
      </c>
      <c r="L308">
        <v>437</v>
      </c>
      <c r="M308">
        <v>1360</v>
      </c>
      <c r="N308">
        <v>3460</v>
      </c>
      <c r="O308">
        <v>393</v>
      </c>
      <c r="P308">
        <v>295</v>
      </c>
      <c r="Q308">
        <v>339</v>
      </c>
      <c r="R308">
        <v>87</v>
      </c>
      <c r="S308">
        <v>370</v>
      </c>
      <c r="T308">
        <v>2150</v>
      </c>
      <c r="U308">
        <v>2520</v>
      </c>
      <c r="V308">
        <v>190</v>
      </c>
      <c r="W308">
        <v>540</v>
      </c>
      <c r="X308">
        <v>100</v>
      </c>
      <c r="Y308">
        <v>1700</v>
      </c>
      <c r="Z308">
        <v>182</v>
      </c>
      <c r="AA308">
        <v>1567</v>
      </c>
      <c r="AB308" s="1" t="s">
        <v>1463</v>
      </c>
    </row>
    <row r="309" spans="1:28" x14ac:dyDescent="0.3">
      <c r="A309">
        <v>275</v>
      </c>
      <c r="B309" s="1" t="s">
        <v>1325</v>
      </c>
      <c r="C309">
        <v>0</v>
      </c>
      <c r="D309">
        <v>1610612752</v>
      </c>
      <c r="E309" s="1" t="s">
        <v>1248</v>
      </c>
      <c r="F309">
        <v>320</v>
      </c>
      <c r="G309">
        <v>82</v>
      </c>
      <c r="H309">
        <v>820</v>
      </c>
      <c r="I309">
        <v>31100</v>
      </c>
      <c r="J309">
        <v>652</v>
      </c>
      <c r="K309">
        <v>1465</v>
      </c>
      <c r="L309">
        <v>445</v>
      </c>
      <c r="M309">
        <v>1780</v>
      </c>
      <c r="N309">
        <v>4500</v>
      </c>
      <c r="O309">
        <v>396</v>
      </c>
      <c r="P309">
        <v>363</v>
      </c>
      <c r="Q309">
        <v>395</v>
      </c>
      <c r="R309">
        <v>919</v>
      </c>
      <c r="S309">
        <v>260</v>
      </c>
      <c r="T309">
        <v>2050</v>
      </c>
      <c r="U309">
        <v>2310</v>
      </c>
      <c r="V309">
        <v>220</v>
      </c>
      <c r="W309">
        <v>540</v>
      </c>
      <c r="X309">
        <v>70</v>
      </c>
      <c r="Y309">
        <v>1780</v>
      </c>
      <c r="Z309">
        <v>191</v>
      </c>
      <c r="AA309">
        <v>1845</v>
      </c>
      <c r="AB309" s="1" t="s">
        <v>1463</v>
      </c>
    </row>
    <row r="310" spans="1:28" x14ac:dyDescent="0.3">
      <c r="A310">
        <v>275</v>
      </c>
      <c r="B310" s="1" t="s">
        <v>1293</v>
      </c>
      <c r="C310">
        <v>0</v>
      </c>
      <c r="D310">
        <v>1610612752</v>
      </c>
      <c r="E310" s="1" t="s">
        <v>1248</v>
      </c>
      <c r="F310">
        <v>330</v>
      </c>
      <c r="G310">
        <v>50</v>
      </c>
      <c r="H310">
        <v>500</v>
      </c>
      <c r="I310">
        <v>17970</v>
      </c>
      <c r="J310">
        <v>340</v>
      </c>
      <c r="K310">
        <v>781</v>
      </c>
      <c r="L310">
        <v>435</v>
      </c>
      <c r="M310">
        <v>870</v>
      </c>
      <c r="N310">
        <v>2020</v>
      </c>
      <c r="O310">
        <v>431</v>
      </c>
      <c r="P310">
        <v>157</v>
      </c>
      <c r="Q310">
        <v>172</v>
      </c>
      <c r="R310">
        <v>913</v>
      </c>
      <c r="S310">
        <v>200</v>
      </c>
      <c r="T310">
        <v>1010</v>
      </c>
      <c r="U310">
        <v>1210</v>
      </c>
      <c r="V310">
        <v>99</v>
      </c>
      <c r="W310">
        <v>380</v>
      </c>
      <c r="X310">
        <v>20</v>
      </c>
      <c r="Y310">
        <v>1020</v>
      </c>
      <c r="Z310">
        <v>105</v>
      </c>
      <c r="AA310">
        <v>924</v>
      </c>
      <c r="AB310" s="1" t="s">
        <v>1463</v>
      </c>
    </row>
    <row r="311" spans="1:28" x14ac:dyDescent="0.3">
      <c r="A311">
        <v>275</v>
      </c>
      <c r="B311" s="1" t="s">
        <v>1295</v>
      </c>
      <c r="C311">
        <v>0</v>
      </c>
      <c r="D311">
        <v>1610612752</v>
      </c>
      <c r="E311" s="1" t="s">
        <v>1248</v>
      </c>
      <c r="F311">
        <v>340</v>
      </c>
      <c r="G311">
        <v>20</v>
      </c>
      <c r="H311">
        <v>110</v>
      </c>
      <c r="I311">
        <v>5320</v>
      </c>
      <c r="J311">
        <v>85</v>
      </c>
      <c r="K311">
        <v>205</v>
      </c>
      <c r="L311">
        <v>415</v>
      </c>
      <c r="M311">
        <v>310</v>
      </c>
      <c r="N311">
        <v>800</v>
      </c>
      <c r="O311">
        <v>388</v>
      </c>
      <c r="P311">
        <v>36</v>
      </c>
      <c r="Q311">
        <v>43</v>
      </c>
      <c r="R311">
        <v>837</v>
      </c>
      <c r="S311">
        <v>40</v>
      </c>
      <c r="T311">
        <v>190</v>
      </c>
      <c r="U311">
        <v>230</v>
      </c>
      <c r="V311">
        <v>42</v>
      </c>
      <c r="W311">
        <v>80</v>
      </c>
      <c r="X311">
        <v>20</v>
      </c>
      <c r="Y311">
        <v>210</v>
      </c>
      <c r="Z311">
        <v>40</v>
      </c>
      <c r="AA311">
        <v>237</v>
      </c>
      <c r="AB311" s="1" t="s">
        <v>1463</v>
      </c>
    </row>
    <row r="312" spans="1:28" x14ac:dyDescent="0.3">
      <c r="A312">
        <v>76728</v>
      </c>
      <c r="B312" s="1" t="s">
        <v>1261</v>
      </c>
      <c r="C312">
        <v>0</v>
      </c>
      <c r="D312">
        <v>1610612752</v>
      </c>
      <c r="E312" s="1" t="s">
        <v>1248</v>
      </c>
      <c r="F312">
        <v>230</v>
      </c>
      <c r="G312">
        <v>2</v>
      </c>
      <c r="I312">
        <v>140</v>
      </c>
      <c r="J312">
        <v>1</v>
      </c>
      <c r="K312">
        <v>5</v>
      </c>
      <c r="L312">
        <v>2</v>
      </c>
      <c r="P312">
        <v>0</v>
      </c>
      <c r="Q312">
        <v>0</v>
      </c>
      <c r="S312">
        <v>10</v>
      </c>
      <c r="T312">
        <v>20</v>
      </c>
      <c r="U312">
        <v>30</v>
      </c>
      <c r="V312">
        <v>0</v>
      </c>
      <c r="W312">
        <v>10</v>
      </c>
      <c r="X312">
        <v>0</v>
      </c>
      <c r="Z312">
        <v>4</v>
      </c>
      <c r="AA312">
        <v>2</v>
      </c>
      <c r="AB312" s="1" t="s">
        <v>1466</v>
      </c>
    </row>
    <row r="313" spans="1:28" x14ac:dyDescent="0.3">
      <c r="A313">
        <v>76362</v>
      </c>
      <c r="B313" s="1" t="s">
        <v>1359</v>
      </c>
      <c r="C313">
        <v>0</v>
      </c>
      <c r="D313">
        <v>1610612752</v>
      </c>
      <c r="E313" s="1" t="s">
        <v>1248</v>
      </c>
      <c r="F313">
        <v>220</v>
      </c>
      <c r="G313">
        <v>82</v>
      </c>
      <c r="H313">
        <v>820</v>
      </c>
      <c r="I313">
        <v>31500</v>
      </c>
      <c r="J313">
        <v>665</v>
      </c>
      <c r="K313">
        <v>1215</v>
      </c>
      <c r="L313">
        <v>547</v>
      </c>
      <c r="M313">
        <v>0</v>
      </c>
      <c r="N313">
        <v>0</v>
      </c>
      <c r="O313">
        <v>0</v>
      </c>
      <c r="P313">
        <v>451</v>
      </c>
      <c r="Q313">
        <v>566</v>
      </c>
      <c r="R313">
        <v>797</v>
      </c>
      <c r="S313">
        <v>1940</v>
      </c>
      <c r="T313">
        <v>5320</v>
      </c>
      <c r="U313">
        <v>7260</v>
      </c>
      <c r="V313">
        <v>165</v>
      </c>
      <c r="W313">
        <v>480</v>
      </c>
      <c r="X313">
        <v>1010</v>
      </c>
      <c r="Y313">
        <v>2220</v>
      </c>
      <c r="Z313">
        <v>279</v>
      </c>
      <c r="AA313">
        <v>1781</v>
      </c>
      <c r="AB313" s="1" t="s">
        <v>1467</v>
      </c>
    </row>
    <row r="314" spans="1:28" x14ac:dyDescent="0.3">
      <c r="A314">
        <v>76362</v>
      </c>
      <c r="B314" s="1" t="s">
        <v>1282</v>
      </c>
      <c r="C314">
        <v>0</v>
      </c>
      <c r="D314">
        <v>1610612752</v>
      </c>
      <c r="E314" s="1" t="s">
        <v>1248</v>
      </c>
      <c r="F314">
        <v>230</v>
      </c>
      <c r="G314">
        <v>82</v>
      </c>
      <c r="H314">
        <v>810</v>
      </c>
      <c r="I314">
        <v>29250</v>
      </c>
      <c r="J314">
        <v>619</v>
      </c>
      <c r="K314">
        <v>1118</v>
      </c>
      <c r="L314">
        <v>554</v>
      </c>
      <c r="M314">
        <v>0</v>
      </c>
      <c r="N314">
        <v>10</v>
      </c>
      <c r="O314">
        <v>0</v>
      </c>
      <c r="P314">
        <v>408</v>
      </c>
      <c r="Q314">
        <v>518</v>
      </c>
      <c r="R314">
        <v>788</v>
      </c>
      <c r="S314">
        <v>1610</v>
      </c>
      <c r="T314">
        <v>4520</v>
      </c>
      <c r="U314">
        <v>6130</v>
      </c>
      <c r="V314">
        <v>111</v>
      </c>
      <c r="W314">
        <v>480</v>
      </c>
      <c r="X314">
        <v>830</v>
      </c>
      <c r="Y314">
        <v>2000</v>
      </c>
      <c r="Z314">
        <v>259</v>
      </c>
      <c r="AA314">
        <v>1646</v>
      </c>
      <c r="AB314" s="1" t="s">
        <v>1467</v>
      </c>
    </row>
    <row r="315" spans="1:28" x14ac:dyDescent="0.3">
      <c r="A315">
        <v>76362</v>
      </c>
      <c r="B315" s="1" t="s">
        <v>1284</v>
      </c>
      <c r="C315">
        <v>0</v>
      </c>
      <c r="D315">
        <v>1610612752</v>
      </c>
      <c r="E315" s="1" t="s">
        <v>1248</v>
      </c>
      <c r="F315">
        <v>240</v>
      </c>
      <c r="G315">
        <v>72</v>
      </c>
      <c r="H315">
        <v>500</v>
      </c>
      <c r="I315">
        <v>20600</v>
      </c>
      <c r="J315">
        <v>390</v>
      </c>
      <c r="K315">
        <v>694</v>
      </c>
      <c r="L315">
        <v>562</v>
      </c>
      <c r="M315">
        <v>0</v>
      </c>
      <c r="N315">
        <v>0</v>
      </c>
      <c r="O315">
        <v>0</v>
      </c>
      <c r="P315">
        <v>257</v>
      </c>
      <c r="Q315">
        <v>337</v>
      </c>
      <c r="R315">
        <v>763</v>
      </c>
      <c r="S315">
        <v>1160</v>
      </c>
      <c r="T315">
        <v>3050</v>
      </c>
      <c r="U315">
        <v>4210</v>
      </c>
      <c r="V315">
        <v>87</v>
      </c>
      <c r="W315">
        <v>480</v>
      </c>
      <c r="X315">
        <v>650</v>
      </c>
      <c r="Y315">
        <v>1660</v>
      </c>
      <c r="Z315">
        <v>208</v>
      </c>
      <c r="AA315">
        <v>1037</v>
      </c>
      <c r="AB315" s="1" t="s">
        <v>1467</v>
      </c>
    </row>
    <row r="316" spans="1:28" x14ac:dyDescent="0.3">
      <c r="A316">
        <v>76362</v>
      </c>
      <c r="B316" s="1" t="s">
        <v>1468</v>
      </c>
      <c r="C316">
        <v>0</v>
      </c>
      <c r="D316">
        <v>1610612752</v>
      </c>
      <c r="E316" s="1" t="s">
        <v>1248</v>
      </c>
      <c r="F316">
        <v>250</v>
      </c>
      <c r="G316">
        <v>82</v>
      </c>
      <c r="H316">
        <v>820</v>
      </c>
      <c r="I316">
        <v>24680</v>
      </c>
      <c r="J316">
        <v>455</v>
      </c>
      <c r="K316">
        <v>804</v>
      </c>
      <c r="L316">
        <v>566</v>
      </c>
      <c r="M316">
        <v>0</v>
      </c>
      <c r="N316">
        <v>0</v>
      </c>
      <c r="O316">
        <v>0</v>
      </c>
      <c r="P316">
        <v>380</v>
      </c>
      <c r="Q316">
        <v>511</v>
      </c>
      <c r="R316">
        <v>744</v>
      </c>
      <c r="S316">
        <v>1850</v>
      </c>
      <c r="T316">
        <v>4050</v>
      </c>
      <c r="U316">
        <v>5900</v>
      </c>
      <c r="V316">
        <v>136</v>
      </c>
      <c r="W316">
        <v>410</v>
      </c>
      <c r="X316">
        <v>1270</v>
      </c>
      <c r="Y316">
        <v>2040</v>
      </c>
      <c r="Z316">
        <v>315</v>
      </c>
      <c r="AA316">
        <v>1290</v>
      </c>
      <c r="AB316" s="1" t="s">
        <v>1467</v>
      </c>
    </row>
    <row r="317" spans="1:28" x14ac:dyDescent="0.3">
      <c r="A317">
        <v>76362</v>
      </c>
      <c r="B317" s="1" t="s">
        <v>1469</v>
      </c>
      <c r="C317">
        <v>0</v>
      </c>
      <c r="D317">
        <v>1610612752</v>
      </c>
      <c r="E317" s="1" t="s">
        <v>1248</v>
      </c>
      <c r="F317">
        <v>260</v>
      </c>
      <c r="G317">
        <v>77</v>
      </c>
      <c r="H317">
        <v>770</v>
      </c>
      <c r="I317">
        <v>24870</v>
      </c>
      <c r="J317">
        <v>453</v>
      </c>
      <c r="K317">
        <v>808</v>
      </c>
      <c r="L317">
        <v>561</v>
      </c>
      <c r="M317">
        <v>0</v>
      </c>
      <c r="N317">
        <v>10</v>
      </c>
      <c r="O317">
        <v>0</v>
      </c>
      <c r="P317">
        <v>404</v>
      </c>
      <c r="Q317">
        <v>502</v>
      </c>
      <c r="R317">
        <v>805</v>
      </c>
      <c r="S317">
        <v>1950</v>
      </c>
      <c r="T317">
        <v>4540</v>
      </c>
      <c r="U317">
        <v>6490</v>
      </c>
      <c r="V317">
        <v>107</v>
      </c>
      <c r="W317">
        <v>440</v>
      </c>
      <c r="X317">
        <v>970</v>
      </c>
      <c r="Y317">
        <v>2000</v>
      </c>
      <c r="Z317">
        <v>262</v>
      </c>
      <c r="AA317">
        <v>1310</v>
      </c>
      <c r="AB317" s="1" t="s">
        <v>1467</v>
      </c>
    </row>
    <row r="318" spans="1:28" x14ac:dyDescent="0.3">
      <c r="A318">
        <v>76362</v>
      </c>
      <c r="B318" s="1" t="s">
        <v>1392</v>
      </c>
      <c r="C318">
        <v>0</v>
      </c>
      <c r="D318">
        <v>1610612752</v>
      </c>
      <c r="E318" s="1" t="s">
        <v>1248</v>
      </c>
      <c r="F318">
        <v>280</v>
      </c>
      <c r="G318">
        <v>2</v>
      </c>
      <c r="H318">
        <v>0</v>
      </c>
      <c r="I318">
        <v>360</v>
      </c>
      <c r="J318">
        <v>3</v>
      </c>
      <c r="K318">
        <v>7</v>
      </c>
      <c r="L318">
        <v>429</v>
      </c>
      <c r="M318">
        <v>0</v>
      </c>
      <c r="N318">
        <v>0</v>
      </c>
      <c r="O318">
        <v>0</v>
      </c>
      <c r="P318">
        <v>6</v>
      </c>
      <c r="Q318">
        <v>10</v>
      </c>
      <c r="R318">
        <v>6</v>
      </c>
      <c r="S318">
        <v>20</v>
      </c>
      <c r="T318">
        <v>80</v>
      </c>
      <c r="U318">
        <v>100</v>
      </c>
      <c r="V318">
        <v>5</v>
      </c>
      <c r="W318">
        <v>10</v>
      </c>
      <c r="X318">
        <v>10</v>
      </c>
      <c r="Y318">
        <v>60</v>
      </c>
      <c r="Z318">
        <v>6</v>
      </c>
      <c r="AA318">
        <v>12</v>
      </c>
      <c r="AB318" s="1" t="s">
        <v>1467</v>
      </c>
    </row>
    <row r="319" spans="1:28" x14ac:dyDescent="0.3">
      <c r="A319">
        <v>76362</v>
      </c>
      <c r="B319" s="1" t="s">
        <v>1394</v>
      </c>
      <c r="C319">
        <v>0</v>
      </c>
      <c r="D319">
        <v>1610612752</v>
      </c>
      <c r="E319" s="1" t="s">
        <v>1248</v>
      </c>
      <c r="F319">
        <v>290</v>
      </c>
      <c r="G319">
        <v>58</v>
      </c>
      <c r="H319">
        <v>500</v>
      </c>
      <c r="I319">
        <v>19890</v>
      </c>
      <c r="J319">
        <v>335</v>
      </c>
      <c r="K319">
        <v>631</v>
      </c>
      <c r="L319">
        <v>531</v>
      </c>
      <c r="M319">
        <v>0</v>
      </c>
      <c r="N319">
        <v>0</v>
      </c>
      <c r="O319">
        <v>0</v>
      </c>
      <c r="P319">
        <v>346</v>
      </c>
      <c r="Q319">
        <v>438</v>
      </c>
      <c r="R319">
        <v>79</v>
      </c>
      <c r="S319">
        <v>1320</v>
      </c>
      <c r="T319">
        <v>3130</v>
      </c>
      <c r="U319">
        <v>4450</v>
      </c>
      <c r="V319">
        <v>96</v>
      </c>
      <c r="W319">
        <v>400</v>
      </c>
      <c r="X319">
        <v>260</v>
      </c>
      <c r="Y319">
        <v>1280</v>
      </c>
      <c r="Z319">
        <v>188</v>
      </c>
      <c r="AA319">
        <v>1016</v>
      </c>
      <c r="AB319" s="1" t="s">
        <v>1467</v>
      </c>
    </row>
    <row r="320" spans="1:28" x14ac:dyDescent="0.3">
      <c r="A320">
        <v>76362</v>
      </c>
      <c r="B320" s="1" t="s">
        <v>1253</v>
      </c>
      <c r="C320">
        <v>0</v>
      </c>
      <c r="D320">
        <v>1610612752</v>
      </c>
      <c r="E320" s="1" t="s">
        <v>1248</v>
      </c>
      <c r="F320">
        <v>300</v>
      </c>
      <c r="G320">
        <v>82</v>
      </c>
      <c r="H320">
        <v>40</v>
      </c>
      <c r="I320">
        <v>16760</v>
      </c>
      <c r="J320">
        <v>287</v>
      </c>
      <c r="K320">
        <v>528</v>
      </c>
      <c r="L320">
        <v>544</v>
      </c>
      <c r="M320">
        <v>0</v>
      </c>
      <c r="N320">
        <v>0</v>
      </c>
      <c r="O320">
        <v>0</v>
      </c>
      <c r="P320">
        <v>340</v>
      </c>
      <c r="Q320">
        <v>426</v>
      </c>
      <c r="R320">
        <v>798</v>
      </c>
      <c r="S320">
        <v>1270</v>
      </c>
      <c r="T320">
        <v>2570</v>
      </c>
      <c r="U320">
        <v>3840</v>
      </c>
      <c r="V320">
        <v>85</v>
      </c>
      <c r="W320">
        <v>430</v>
      </c>
      <c r="X320">
        <v>430</v>
      </c>
      <c r="Y320">
        <v>1350</v>
      </c>
      <c r="Z320">
        <v>234</v>
      </c>
      <c r="AA320">
        <v>914</v>
      </c>
      <c r="AB320" s="1" t="s">
        <v>1467</v>
      </c>
    </row>
    <row r="321" spans="1:28" x14ac:dyDescent="0.3">
      <c r="A321">
        <v>200798</v>
      </c>
      <c r="B321" s="1" t="s">
        <v>1304</v>
      </c>
      <c r="C321">
        <v>0</v>
      </c>
      <c r="D321">
        <v>1610612752</v>
      </c>
      <c r="E321" s="1" t="s">
        <v>1248</v>
      </c>
      <c r="F321">
        <v>240</v>
      </c>
      <c r="G321">
        <v>2</v>
      </c>
      <c r="H321">
        <v>0</v>
      </c>
      <c r="I321">
        <v>80</v>
      </c>
      <c r="J321">
        <v>0</v>
      </c>
      <c r="K321">
        <v>3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</v>
      </c>
      <c r="R321">
        <v>0</v>
      </c>
      <c r="S321">
        <v>10</v>
      </c>
      <c r="T321">
        <v>10</v>
      </c>
      <c r="U321">
        <v>20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 s="1" t="s">
        <v>1470</v>
      </c>
    </row>
    <row r="322" spans="1:28" x14ac:dyDescent="0.3">
      <c r="A322">
        <v>2427</v>
      </c>
      <c r="B322" s="1" t="s">
        <v>1312</v>
      </c>
      <c r="C322">
        <v>0</v>
      </c>
      <c r="D322">
        <v>1610612752</v>
      </c>
      <c r="E322" s="1" t="s">
        <v>1248</v>
      </c>
      <c r="F322">
        <v>300</v>
      </c>
      <c r="G322">
        <v>26</v>
      </c>
      <c r="H322">
        <v>0</v>
      </c>
      <c r="I322">
        <v>3190</v>
      </c>
      <c r="J322">
        <v>26</v>
      </c>
      <c r="K322">
        <v>77</v>
      </c>
      <c r="L322">
        <v>338</v>
      </c>
      <c r="M322">
        <v>160</v>
      </c>
      <c r="N322">
        <v>440</v>
      </c>
      <c r="O322">
        <v>364</v>
      </c>
      <c r="P322">
        <v>7</v>
      </c>
      <c r="Q322">
        <v>10</v>
      </c>
      <c r="R322">
        <v>7</v>
      </c>
      <c r="S322">
        <v>50</v>
      </c>
      <c r="T322">
        <v>380</v>
      </c>
      <c r="U322">
        <v>430</v>
      </c>
      <c r="V322">
        <v>20</v>
      </c>
      <c r="W322">
        <v>60</v>
      </c>
      <c r="X322">
        <v>20</v>
      </c>
      <c r="Y322">
        <v>60</v>
      </c>
      <c r="Z322">
        <v>25</v>
      </c>
      <c r="AA322">
        <v>75</v>
      </c>
      <c r="AB322" s="1" t="s">
        <v>1471</v>
      </c>
    </row>
    <row r="323" spans="1:28" x14ac:dyDescent="0.3">
      <c r="A323">
        <v>1627863</v>
      </c>
      <c r="B323" s="1" t="s">
        <v>1308</v>
      </c>
      <c r="C323">
        <v>0</v>
      </c>
      <c r="D323">
        <v>1610612752</v>
      </c>
      <c r="E323" s="1" t="s">
        <v>1248</v>
      </c>
      <c r="F323">
        <v>290</v>
      </c>
      <c r="G323">
        <v>1</v>
      </c>
      <c r="H323">
        <v>0</v>
      </c>
      <c r="I323">
        <v>30</v>
      </c>
      <c r="J323">
        <v>0</v>
      </c>
      <c r="K323">
        <v>1</v>
      </c>
      <c r="L323">
        <v>0</v>
      </c>
      <c r="M323">
        <v>0</v>
      </c>
      <c r="N323">
        <v>10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 s="1" t="s">
        <v>1472</v>
      </c>
    </row>
    <row r="324" spans="1:28" x14ac:dyDescent="0.3">
      <c r="A324">
        <v>1630201</v>
      </c>
      <c r="B324" s="1" t="s">
        <v>1369</v>
      </c>
      <c r="C324">
        <v>0</v>
      </c>
      <c r="D324">
        <v>1610612752</v>
      </c>
      <c r="E324" s="1" t="s">
        <v>1248</v>
      </c>
      <c r="F324">
        <v>260</v>
      </c>
      <c r="G324">
        <v>14</v>
      </c>
      <c r="H324">
        <v>0</v>
      </c>
      <c r="I324">
        <v>610</v>
      </c>
      <c r="J324">
        <v>9</v>
      </c>
      <c r="K324">
        <v>23</v>
      </c>
      <c r="L324">
        <v>391</v>
      </c>
      <c r="M324">
        <v>40</v>
      </c>
      <c r="N324">
        <v>130</v>
      </c>
      <c r="O324">
        <v>308</v>
      </c>
      <c r="P324">
        <v>9</v>
      </c>
      <c r="Q324">
        <v>11</v>
      </c>
      <c r="R324">
        <v>818</v>
      </c>
      <c r="S324">
        <v>0</v>
      </c>
      <c r="T324">
        <v>60</v>
      </c>
      <c r="U324">
        <v>60</v>
      </c>
      <c r="V324">
        <v>6</v>
      </c>
      <c r="W324">
        <v>10</v>
      </c>
      <c r="X324">
        <v>0</v>
      </c>
      <c r="Y324">
        <v>30</v>
      </c>
      <c r="Z324">
        <v>3</v>
      </c>
      <c r="AA324">
        <v>31</v>
      </c>
      <c r="AB324" s="1" t="s">
        <v>1473</v>
      </c>
    </row>
    <row r="325" spans="1:28" x14ac:dyDescent="0.3">
      <c r="A325">
        <v>76360</v>
      </c>
      <c r="B325" s="1" t="s">
        <v>1282</v>
      </c>
      <c r="C325">
        <v>0</v>
      </c>
      <c r="D325">
        <v>1610612752</v>
      </c>
      <c r="E325" s="1" t="s">
        <v>1248</v>
      </c>
      <c r="F325">
        <v>230</v>
      </c>
      <c r="G325">
        <v>60</v>
      </c>
      <c r="I325">
        <v>5360</v>
      </c>
      <c r="J325">
        <v>59</v>
      </c>
      <c r="K325">
        <v>179</v>
      </c>
      <c r="L325">
        <v>33</v>
      </c>
      <c r="M325">
        <v>0</v>
      </c>
      <c r="N325">
        <v>30</v>
      </c>
      <c r="O325">
        <v>0</v>
      </c>
      <c r="P325">
        <v>51</v>
      </c>
      <c r="Q325">
        <v>69</v>
      </c>
      <c r="R325">
        <v>739</v>
      </c>
      <c r="S325">
        <v>300</v>
      </c>
      <c r="T325">
        <v>390</v>
      </c>
      <c r="U325">
        <v>690</v>
      </c>
      <c r="V325">
        <v>76</v>
      </c>
      <c r="W325">
        <v>220</v>
      </c>
      <c r="X325">
        <v>20</v>
      </c>
      <c r="Y325">
        <v>380</v>
      </c>
      <c r="Z325">
        <v>68</v>
      </c>
      <c r="AA325">
        <v>169</v>
      </c>
      <c r="AB325" s="1" t="s">
        <v>1474</v>
      </c>
    </row>
    <row r="326" spans="1:28" x14ac:dyDescent="0.3">
      <c r="A326">
        <v>76360</v>
      </c>
      <c r="B326" s="1" t="s">
        <v>1284</v>
      </c>
      <c r="C326">
        <v>0</v>
      </c>
      <c r="D326">
        <v>1610612752</v>
      </c>
      <c r="E326" s="1" t="s">
        <v>1248</v>
      </c>
      <c r="F326">
        <v>240</v>
      </c>
      <c r="G326">
        <v>75</v>
      </c>
      <c r="H326">
        <v>10</v>
      </c>
      <c r="I326">
        <v>9230</v>
      </c>
      <c r="J326">
        <v>119</v>
      </c>
      <c r="K326">
        <v>280</v>
      </c>
      <c r="L326">
        <v>425</v>
      </c>
      <c r="M326">
        <v>0</v>
      </c>
      <c r="N326">
        <v>0</v>
      </c>
      <c r="P326">
        <v>64</v>
      </c>
      <c r="Q326">
        <v>80</v>
      </c>
      <c r="R326">
        <v>8</v>
      </c>
      <c r="S326">
        <v>350</v>
      </c>
      <c r="T326">
        <v>600</v>
      </c>
      <c r="U326">
        <v>950</v>
      </c>
      <c r="V326">
        <v>130</v>
      </c>
      <c r="W326">
        <v>360</v>
      </c>
      <c r="X326">
        <v>60</v>
      </c>
      <c r="Y326">
        <v>780</v>
      </c>
      <c r="Z326">
        <v>124</v>
      </c>
      <c r="AA326">
        <v>302</v>
      </c>
      <c r="AB326" s="1" t="s">
        <v>1474</v>
      </c>
    </row>
    <row r="327" spans="1:28" x14ac:dyDescent="0.3">
      <c r="A327">
        <v>77952</v>
      </c>
      <c r="B327" s="1" t="s">
        <v>1265</v>
      </c>
      <c r="C327">
        <v>0</v>
      </c>
      <c r="D327">
        <v>1610612752</v>
      </c>
      <c r="E327" s="1" t="s">
        <v>1248</v>
      </c>
      <c r="F327">
        <v>240</v>
      </c>
      <c r="G327">
        <v>72</v>
      </c>
      <c r="I327">
        <v>12180</v>
      </c>
      <c r="J327">
        <v>200</v>
      </c>
      <c r="K327">
        <v>483</v>
      </c>
      <c r="L327">
        <v>414</v>
      </c>
      <c r="P327">
        <v>69</v>
      </c>
      <c r="Q327">
        <v>128</v>
      </c>
      <c r="R327">
        <v>539</v>
      </c>
      <c r="S327">
        <v>780</v>
      </c>
      <c r="T327">
        <v>1550</v>
      </c>
      <c r="U327">
        <v>2330</v>
      </c>
      <c r="V327">
        <v>213</v>
      </c>
      <c r="W327">
        <v>1000</v>
      </c>
      <c r="X327">
        <v>180</v>
      </c>
      <c r="Y327">
        <v>1410</v>
      </c>
      <c r="Z327">
        <v>188</v>
      </c>
      <c r="AA327">
        <v>469</v>
      </c>
      <c r="AB327" s="1" t="s">
        <v>1475</v>
      </c>
    </row>
    <row r="328" spans="1:28" x14ac:dyDescent="0.3">
      <c r="A328">
        <v>77952</v>
      </c>
      <c r="B328" s="1" t="s">
        <v>1359</v>
      </c>
      <c r="C328">
        <v>0</v>
      </c>
      <c r="D328">
        <v>1610612752</v>
      </c>
      <c r="E328" s="1" t="s">
        <v>1248</v>
      </c>
      <c r="F328">
        <v>250</v>
      </c>
      <c r="G328">
        <v>82</v>
      </c>
      <c r="I328">
        <v>30600</v>
      </c>
      <c r="J328">
        <v>502</v>
      </c>
      <c r="K328">
        <v>1063</v>
      </c>
      <c r="L328">
        <v>472</v>
      </c>
      <c r="M328">
        <v>270</v>
      </c>
      <c r="N328">
        <v>1100</v>
      </c>
      <c r="O328">
        <v>245</v>
      </c>
      <c r="P328">
        <v>223</v>
      </c>
      <c r="Q328">
        <v>338</v>
      </c>
      <c r="R328">
        <v>66</v>
      </c>
      <c r="S328">
        <v>1510</v>
      </c>
      <c r="T328">
        <v>3880</v>
      </c>
      <c r="U328">
        <v>5390</v>
      </c>
      <c r="V328">
        <v>832</v>
      </c>
      <c r="W328">
        <v>2650</v>
      </c>
      <c r="X328">
        <v>350</v>
      </c>
      <c r="Y328">
        <v>3590</v>
      </c>
      <c r="Z328">
        <v>260</v>
      </c>
      <c r="AA328">
        <v>1254</v>
      </c>
      <c r="AB328" s="1" t="s">
        <v>1475</v>
      </c>
    </row>
    <row r="329" spans="1:28" x14ac:dyDescent="0.3">
      <c r="A329">
        <v>77952</v>
      </c>
      <c r="B329" s="1" t="s">
        <v>1282</v>
      </c>
      <c r="C329">
        <v>0</v>
      </c>
      <c r="D329">
        <v>1610612752</v>
      </c>
      <c r="E329" s="1" t="s">
        <v>1248</v>
      </c>
      <c r="F329">
        <v>260</v>
      </c>
      <c r="G329">
        <v>79</v>
      </c>
      <c r="I329">
        <v>31750</v>
      </c>
      <c r="J329">
        <v>523</v>
      </c>
      <c r="K329">
        <v>1116</v>
      </c>
      <c r="L329">
        <v>469</v>
      </c>
      <c r="M329">
        <v>230</v>
      </c>
      <c r="N329">
        <v>1020</v>
      </c>
      <c r="O329">
        <v>225</v>
      </c>
      <c r="P329">
        <v>224</v>
      </c>
      <c r="Q329">
        <v>338</v>
      </c>
      <c r="R329">
        <v>663</v>
      </c>
      <c r="S329">
        <v>1730</v>
      </c>
      <c r="T329">
        <v>3720</v>
      </c>
      <c r="U329">
        <v>5450</v>
      </c>
      <c r="V329">
        <v>627</v>
      </c>
      <c r="W329">
        <v>2320</v>
      </c>
      <c r="X329">
        <v>350</v>
      </c>
      <c r="Y329">
        <v>3020</v>
      </c>
      <c r="Z329">
        <v>258</v>
      </c>
      <c r="AA329">
        <v>1293</v>
      </c>
      <c r="AB329" s="1" t="s">
        <v>1475</v>
      </c>
    </row>
    <row r="330" spans="1:28" x14ac:dyDescent="0.3">
      <c r="A330">
        <v>77952</v>
      </c>
      <c r="B330" s="1" t="s">
        <v>1284</v>
      </c>
      <c r="C330">
        <v>0</v>
      </c>
      <c r="D330">
        <v>1610612752</v>
      </c>
      <c r="E330" s="1" t="s">
        <v>1248</v>
      </c>
      <c r="F330">
        <v>270</v>
      </c>
      <c r="G330">
        <v>82</v>
      </c>
      <c r="H330">
        <v>790</v>
      </c>
      <c r="I330">
        <v>30440</v>
      </c>
      <c r="J330">
        <v>619</v>
      </c>
      <c r="K330">
        <v>1343</v>
      </c>
      <c r="L330">
        <v>461</v>
      </c>
      <c r="M330">
        <v>190</v>
      </c>
      <c r="N330">
        <v>1010</v>
      </c>
      <c r="O330">
        <v>188</v>
      </c>
      <c r="P330">
        <v>212</v>
      </c>
      <c r="Q330">
        <v>303</v>
      </c>
      <c r="R330">
        <v>7</v>
      </c>
      <c r="S330">
        <v>1770</v>
      </c>
      <c r="T330">
        <v>3880</v>
      </c>
      <c r="U330">
        <v>5650</v>
      </c>
      <c r="V330">
        <v>572</v>
      </c>
      <c r="W330">
        <v>2130</v>
      </c>
      <c r="X330">
        <v>410</v>
      </c>
      <c r="Y330">
        <v>2910</v>
      </c>
      <c r="Z330">
        <v>317</v>
      </c>
      <c r="AA330">
        <v>1469</v>
      </c>
      <c r="AB330" s="1" t="s">
        <v>1475</v>
      </c>
    </row>
    <row r="331" spans="1:28" x14ac:dyDescent="0.3">
      <c r="A331">
        <v>193</v>
      </c>
      <c r="B331" s="1" t="s">
        <v>1272</v>
      </c>
      <c r="C331">
        <v>0</v>
      </c>
      <c r="D331">
        <v>1610612752</v>
      </c>
      <c r="E331" s="1" t="s">
        <v>1248</v>
      </c>
      <c r="F331">
        <v>250</v>
      </c>
      <c r="G331">
        <v>82</v>
      </c>
      <c r="H331">
        <v>0</v>
      </c>
      <c r="I331">
        <v>21980</v>
      </c>
      <c r="J331">
        <v>203</v>
      </c>
      <c r="K331">
        <v>399</v>
      </c>
      <c r="L331">
        <v>509</v>
      </c>
      <c r="M331">
        <v>0</v>
      </c>
      <c r="N331">
        <v>0</v>
      </c>
      <c r="O331">
        <v>0</v>
      </c>
      <c r="P331">
        <v>167</v>
      </c>
      <c r="Q331">
        <v>260</v>
      </c>
      <c r="R331">
        <v>642</v>
      </c>
      <c r="S331">
        <v>2160</v>
      </c>
      <c r="T331">
        <v>3570</v>
      </c>
      <c r="U331">
        <v>5730</v>
      </c>
      <c r="V331">
        <v>106</v>
      </c>
      <c r="W331">
        <v>460</v>
      </c>
      <c r="X331">
        <v>200</v>
      </c>
      <c r="Y331">
        <v>1010</v>
      </c>
      <c r="Z331">
        <v>229</v>
      </c>
      <c r="AA331">
        <v>573</v>
      </c>
      <c r="AB331" s="1" t="s">
        <v>1476</v>
      </c>
    </row>
    <row r="332" spans="1:28" x14ac:dyDescent="0.3">
      <c r="A332">
        <v>193</v>
      </c>
      <c r="B332" s="1" t="s">
        <v>1273</v>
      </c>
      <c r="C332">
        <v>0</v>
      </c>
      <c r="D332">
        <v>1610612752</v>
      </c>
      <c r="E332" s="1" t="s">
        <v>1248</v>
      </c>
      <c r="F332">
        <v>260</v>
      </c>
      <c r="G332">
        <v>81</v>
      </c>
      <c r="H332">
        <v>0</v>
      </c>
      <c r="I332">
        <v>24820</v>
      </c>
      <c r="J332">
        <v>316</v>
      </c>
      <c r="K332">
        <v>629</v>
      </c>
      <c r="L332">
        <v>502</v>
      </c>
      <c r="M332">
        <v>0</v>
      </c>
      <c r="N332">
        <v>0</v>
      </c>
      <c r="O332">
        <v>0</v>
      </c>
      <c r="P332">
        <v>199</v>
      </c>
      <c r="Q332">
        <v>292</v>
      </c>
      <c r="R332">
        <v>682</v>
      </c>
      <c r="S332">
        <v>2310</v>
      </c>
      <c r="T332">
        <v>4090</v>
      </c>
      <c r="U332">
        <v>6400</v>
      </c>
      <c r="V332">
        <v>170</v>
      </c>
      <c r="W332">
        <v>430</v>
      </c>
      <c r="X332">
        <v>190</v>
      </c>
      <c r="Y332">
        <v>1370</v>
      </c>
      <c r="Z332">
        <v>240</v>
      </c>
      <c r="AA332">
        <v>831</v>
      </c>
      <c r="AB332" s="1" t="s">
        <v>1476</v>
      </c>
    </row>
    <row r="333" spans="1:28" x14ac:dyDescent="0.3">
      <c r="A333">
        <v>193</v>
      </c>
      <c r="B333" s="1" t="s">
        <v>1274</v>
      </c>
      <c r="C333">
        <v>0</v>
      </c>
      <c r="D333">
        <v>1610612752</v>
      </c>
      <c r="E333" s="1" t="s">
        <v>1248</v>
      </c>
      <c r="F333">
        <v>270</v>
      </c>
      <c r="G333">
        <v>73</v>
      </c>
      <c r="H333">
        <v>120</v>
      </c>
      <c r="I333">
        <v>19030</v>
      </c>
      <c r="J333">
        <v>206</v>
      </c>
      <c r="K333">
        <v>433</v>
      </c>
      <c r="L333">
        <v>476</v>
      </c>
      <c r="M333">
        <v>0</v>
      </c>
      <c r="N333">
        <v>10</v>
      </c>
      <c r="O333">
        <v>0</v>
      </c>
      <c r="P333">
        <v>116</v>
      </c>
      <c r="Q333">
        <v>161</v>
      </c>
      <c r="R333">
        <v>72</v>
      </c>
      <c r="S333">
        <v>1580</v>
      </c>
      <c r="T333">
        <v>2690</v>
      </c>
      <c r="U333">
        <v>4270</v>
      </c>
      <c r="V333">
        <v>151</v>
      </c>
      <c r="W333">
        <v>310</v>
      </c>
      <c r="X333">
        <v>90</v>
      </c>
      <c r="Y333">
        <v>1070</v>
      </c>
      <c r="Z333">
        <v>190</v>
      </c>
      <c r="AA333">
        <v>528</v>
      </c>
      <c r="AB333" s="1" t="s">
        <v>1476</v>
      </c>
    </row>
    <row r="334" spans="1:28" x14ac:dyDescent="0.3">
      <c r="A334">
        <v>193</v>
      </c>
      <c r="B334" s="1" t="s">
        <v>1275</v>
      </c>
      <c r="C334">
        <v>0</v>
      </c>
      <c r="D334">
        <v>1610612752</v>
      </c>
      <c r="E334" s="1" t="s">
        <v>1248</v>
      </c>
      <c r="F334">
        <v>280</v>
      </c>
      <c r="G334">
        <v>77</v>
      </c>
      <c r="H334">
        <v>110</v>
      </c>
      <c r="I334">
        <v>24960</v>
      </c>
      <c r="J334">
        <v>287</v>
      </c>
      <c r="K334">
        <v>507</v>
      </c>
      <c r="L334">
        <v>566</v>
      </c>
      <c r="M334">
        <v>0</v>
      </c>
      <c r="N334">
        <v>10</v>
      </c>
      <c r="O334">
        <v>0</v>
      </c>
      <c r="P334">
        <v>191</v>
      </c>
      <c r="Q334">
        <v>298</v>
      </c>
      <c r="R334">
        <v>641</v>
      </c>
      <c r="S334">
        <v>1820</v>
      </c>
      <c r="T334">
        <v>4680</v>
      </c>
      <c r="U334">
        <v>6500</v>
      </c>
      <c r="V334">
        <v>240</v>
      </c>
      <c r="W334">
        <v>690</v>
      </c>
      <c r="X334">
        <v>210</v>
      </c>
      <c r="Y334">
        <v>1230</v>
      </c>
      <c r="Z334">
        <v>253</v>
      </c>
      <c r="AA334">
        <v>765</v>
      </c>
      <c r="AB334" s="1" t="s">
        <v>1476</v>
      </c>
    </row>
    <row r="335" spans="1:28" x14ac:dyDescent="0.3">
      <c r="A335">
        <v>193</v>
      </c>
      <c r="B335" s="1" t="s">
        <v>1276</v>
      </c>
      <c r="C335">
        <v>0</v>
      </c>
      <c r="D335">
        <v>1610612752</v>
      </c>
      <c r="E335" s="1" t="s">
        <v>1248</v>
      </c>
      <c r="F335">
        <v>290</v>
      </c>
      <c r="G335">
        <v>82</v>
      </c>
      <c r="H335">
        <v>820</v>
      </c>
      <c r="I335">
        <v>34570</v>
      </c>
      <c r="J335">
        <v>449</v>
      </c>
      <c r="K335">
        <v>798</v>
      </c>
      <c r="L335">
        <v>563</v>
      </c>
      <c r="M335">
        <v>0</v>
      </c>
      <c r="N335">
        <v>0</v>
      </c>
      <c r="O335">
        <v>0</v>
      </c>
      <c r="P335">
        <v>298</v>
      </c>
      <c r="Q335">
        <v>414</v>
      </c>
      <c r="R335">
        <v>72</v>
      </c>
      <c r="S335">
        <v>2200</v>
      </c>
      <c r="T335">
        <v>5440</v>
      </c>
      <c r="U335">
        <v>7640</v>
      </c>
      <c r="V335">
        <v>363</v>
      </c>
      <c r="W335">
        <v>690</v>
      </c>
      <c r="X335">
        <v>340</v>
      </c>
      <c r="Y335">
        <v>2110</v>
      </c>
      <c r="Z335">
        <v>246</v>
      </c>
      <c r="AA335">
        <v>1196</v>
      </c>
      <c r="AB335" s="1" t="s">
        <v>1476</v>
      </c>
    </row>
    <row r="336" spans="1:28" x14ac:dyDescent="0.3">
      <c r="A336">
        <v>2067</v>
      </c>
      <c r="B336" s="1" t="s">
        <v>1305</v>
      </c>
      <c r="C336">
        <v>0</v>
      </c>
      <c r="D336">
        <v>1610612752</v>
      </c>
      <c r="E336" s="1" t="s">
        <v>1248</v>
      </c>
      <c r="F336">
        <v>320</v>
      </c>
      <c r="G336">
        <v>18</v>
      </c>
      <c r="H336">
        <v>0</v>
      </c>
      <c r="I336">
        <v>3710</v>
      </c>
      <c r="J336">
        <v>44</v>
      </c>
      <c r="K336">
        <v>133</v>
      </c>
      <c r="L336">
        <v>331</v>
      </c>
      <c r="M336">
        <v>150</v>
      </c>
      <c r="N336">
        <v>600</v>
      </c>
      <c r="O336">
        <v>25</v>
      </c>
      <c r="P336">
        <v>12</v>
      </c>
      <c r="Q336">
        <v>12</v>
      </c>
      <c r="R336">
        <v>10</v>
      </c>
      <c r="S336">
        <v>60</v>
      </c>
      <c r="T336">
        <v>340</v>
      </c>
      <c r="U336">
        <v>400</v>
      </c>
      <c r="V336">
        <v>37</v>
      </c>
      <c r="W336">
        <v>120</v>
      </c>
      <c r="X336">
        <v>0</v>
      </c>
      <c r="Y336">
        <v>200</v>
      </c>
      <c r="Z336">
        <v>20</v>
      </c>
      <c r="AA336">
        <v>115</v>
      </c>
      <c r="AB336" s="1" t="s">
        <v>1477</v>
      </c>
    </row>
    <row r="337" spans="1:28" x14ac:dyDescent="0.3">
      <c r="A337">
        <v>76720</v>
      </c>
      <c r="B337" s="1" t="s">
        <v>1339</v>
      </c>
      <c r="C337">
        <v>0</v>
      </c>
      <c r="D337">
        <v>1610612752</v>
      </c>
      <c r="E337" s="1" t="s">
        <v>1248</v>
      </c>
      <c r="F337">
        <v>240</v>
      </c>
      <c r="G337">
        <v>29</v>
      </c>
      <c r="I337">
        <v>0</v>
      </c>
      <c r="J337">
        <v>23</v>
      </c>
      <c r="K337">
        <v>121</v>
      </c>
      <c r="L337">
        <v>19</v>
      </c>
      <c r="P337">
        <v>36</v>
      </c>
      <c r="Q337">
        <v>60</v>
      </c>
      <c r="R337">
        <v>6</v>
      </c>
      <c r="U337">
        <v>0</v>
      </c>
      <c r="V337">
        <v>9</v>
      </c>
      <c r="Z337">
        <v>67</v>
      </c>
      <c r="AA337">
        <v>82</v>
      </c>
      <c r="AB337" s="1" t="s">
        <v>1478</v>
      </c>
    </row>
    <row r="338" spans="1:28" x14ac:dyDescent="0.3">
      <c r="A338">
        <v>76355</v>
      </c>
      <c r="B338" s="1" t="s">
        <v>1406</v>
      </c>
      <c r="C338">
        <v>0</v>
      </c>
      <c r="D338">
        <v>1610612752</v>
      </c>
      <c r="E338" s="1" t="s">
        <v>1248</v>
      </c>
      <c r="F338">
        <v>270</v>
      </c>
      <c r="G338">
        <v>69</v>
      </c>
      <c r="H338">
        <v>110</v>
      </c>
      <c r="I338">
        <v>12790</v>
      </c>
      <c r="J338">
        <v>214</v>
      </c>
      <c r="K338">
        <v>476</v>
      </c>
      <c r="L338">
        <v>45</v>
      </c>
      <c r="M338">
        <v>110</v>
      </c>
      <c r="N338">
        <v>430</v>
      </c>
      <c r="O338">
        <v>256</v>
      </c>
      <c r="P338">
        <v>109</v>
      </c>
      <c r="Q338">
        <v>134</v>
      </c>
      <c r="R338">
        <v>813</v>
      </c>
      <c r="S338">
        <v>360</v>
      </c>
      <c r="T338">
        <v>590</v>
      </c>
      <c r="U338">
        <v>950</v>
      </c>
      <c r="V338">
        <v>167</v>
      </c>
      <c r="W338">
        <v>570</v>
      </c>
      <c r="X338">
        <v>50</v>
      </c>
      <c r="Y338">
        <v>1090</v>
      </c>
      <c r="Z338">
        <v>151</v>
      </c>
      <c r="AA338">
        <v>548</v>
      </c>
      <c r="AB338" s="1" t="s">
        <v>1479</v>
      </c>
    </row>
    <row r="339" spans="1:28" x14ac:dyDescent="0.3">
      <c r="A339">
        <v>76355</v>
      </c>
      <c r="B339" s="1" t="s">
        <v>1392</v>
      </c>
      <c r="C339">
        <v>0</v>
      </c>
      <c r="D339">
        <v>1610612752</v>
      </c>
      <c r="E339" s="1" t="s">
        <v>1248</v>
      </c>
      <c r="F339">
        <v>280</v>
      </c>
      <c r="G339">
        <v>5</v>
      </c>
      <c r="H339">
        <v>0</v>
      </c>
      <c r="I339">
        <v>310</v>
      </c>
      <c r="J339">
        <v>2</v>
      </c>
      <c r="K339">
        <v>8</v>
      </c>
      <c r="L339">
        <v>25</v>
      </c>
      <c r="M339">
        <v>0</v>
      </c>
      <c r="N339">
        <v>10</v>
      </c>
      <c r="O339">
        <v>0</v>
      </c>
      <c r="P339">
        <v>1</v>
      </c>
      <c r="Q339">
        <v>1</v>
      </c>
      <c r="R339">
        <v>10</v>
      </c>
      <c r="S339">
        <v>20</v>
      </c>
      <c r="T339">
        <v>10</v>
      </c>
      <c r="U339">
        <v>30</v>
      </c>
      <c r="V339">
        <v>3</v>
      </c>
      <c r="W339">
        <v>10</v>
      </c>
      <c r="X339">
        <v>0</v>
      </c>
      <c r="Y339">
        <v>60</v>
      </c>
      <c r="Z339">
        <v>6</v>
      </c>
      <c r="AA339">
        <v>5</v>
      </c>
      <c r="AB339" s="1" t="s">
        <v>1479</v>
      </c>
    </row>
    <row r="340" spans="1:28" x14ac:dyDescent="0.3">
      <c r="A340">
        <v>77479</v>
      </c>
      <c r="B340" s="1" t="s">
        <v>1323</v>
      </c>
      <c r="C340">
        <v>0</v>
      </c>
      <c r="D340">
        <v>1610612752</v>
      </c>
      <c r="E340" s="1" t="s">
        <v>1248</v>
      </c>
      <c r="F340">
        <v>230</v>
      </c>
      <c r="G340">
        <v>66</v>
      </c>
      <c r="I340">
        <v>10180</v>
      </c>
      <c r="J340">
        <v>95</v>
      </c>
      <c r="K340">
        <v>292</v>
      </c>
      <c r="L340">
        <v>325</v>
      </c>
      <c r="P340">
        <v>37</v>
      </c>
      <c r="Q340">
        <v>55</v>
      </c>
      <c r="R340">
        <v>673</v>
      </c>
      <c r="U340">
        <v>1580</v>
      </c>
      <c r="V340">
        <v>115</v>
      </c>
      <c r="Z340">
        <v>158</v>
      </c>
      <c r="AA340">
        <v>227</v>
      </c>
      <c r="AB340" s="1" t="s">
        <v>1480</v>
      </c>
    </row>
    <row r="341" spans="1:28" x14ac:dyDescent="0.3">
      <c r="A341">
        <v>77061</v>
      </c>
      <c r="B341" s="1" t="s">
        <v>1415</v>
      </c>
      <c r="C341">
        <v>0</v>
      </c>
      <c r="D341">
        <v>1610612752</v>
      </c>
      <c r="E341" s="1" t="s">
        <v>1248</v>
      </c>
      <c r="F341">
        <v>220</v>
      </c>
      <c r="G341">
        <v>50</v>
      </c>
      <c r="I341">
        <v>3510</v>
      </c>
      <c r="J341">
        <v>53</v>
      </c>
      <c r="K341">
        <v>123</v>
      </c>
      <c r="L341">
        <v>431</v>
      </c>
      <c r="P341">
        <v>24</v>
      </c>
      <c r="Q341">
        <v>42</v>
      </c>
      <c r="R341">
        <v>571</v>
      </c>
      <c r="U341">
        <v>940</v>
      </c>
      <c r="V341">
        <v>19</v>
      </c>
      <c r="Z341">
        <v>77</v>
      </c>
      <c r="AA341">
        <v>130</v>
      </c>
      <c r="AB341" s="1" t="s">
        <v>1481</v>
      </c>
    </row>
    <row r="342" spans="1:28" x14ac:dyDescent="0.3">
      <c r="A342">
        <v>77061</v>
      </c>
      <c r="B342" s="1" t="s">
        <v>1416</v>
      </c>
      <c r="C342">
        <v>0</v>
      </c>
      <c r="D342">
        <v>1610612752</v>
      </c>
      <c r="E342" s="1" t="s">
        <v>1248</v>
      </c>
      <c r="F342">
        <v>230</v>
      </c>
      <c r="G342">
        <v>36</v>
      </c>
      <c r="I342">
        <v>2350</v>
      </c>
      <c r="J342">
        <v>46</v>
      </c>
      <c r="K342">
        <v>91</v>
      </c>
      <c r="L342">
        <v>505</v>
      </c>
      <c r="P342">
        <v>26</v>
      </c>
      <c r="Q342">
        <v>33</v>
      </c>
      <c r="R342">
        <v>788</v>
      </c>
      <c r="U342">
        <v>630</v>
      </c>
      <c r="V342">
        <v>17</v>
      </c>
      <c r="Z342">
        <v>36</v>
      </c>
      <c r="AA342">
        <v>118</v>
      </c>
      <c r="AB342" s="1" t="s">
        <v>1481</v>
      </c>
    </row>
    <row r="343" spans="1:28" x14ac:dyDescent="0.3">
      <c r="A343">
        <v>900</v>
      </c>
      <c r="B343" s="1" t="s">
        <v>1276</v>
      </c>
      <c r="C343">
        <v>0</v>
      </c>
      <c r="D343">
        <v>1610612752</v>
      </c>
      <c r="E343" s="1" t="s">
        <v>1248</v>
      </c>
      <c r="F343">
        <v>260</v>
      </c>
      <c r="G343">
        <v>2</v>
      </c>
      <c r="H343">
        <v>10</v>
      </c>
      <c r="I343">
        <v>170</v>
      </c>
      <c r="J343">
        <v>6</v>
      </c>
      <c r="K343">
        <v>10</v>
      </c>
      <c r="L343">
        <v>6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30</v>
      </c>
      <c r="T343">
        <v>0</v>
      </c>
      <c r="U343">
        <v>30</v>
      </c>
      <c r="V343">
        <v>1</v>
      </c>
      <c r="W343">
        <v>0</v>
      </c>
      <c r="X343">
        <v>10</v>
      </c>
      <c r="Y343">
        <v>0</v>
      </c>
      <c r="Z343">
        <v>3</v>
      </c>
      <c r="AA343">
        <v>12</v>
      </c>
      <c r="AB343" s="1" t="s">
        <v>1482</v>
      </c>
    </row>
    <row r="344" spans="1:28" x14ac:dyDescent="0.3">
      <c r="A344">
        <v>1853</v>
      </c>
      <c r="B344" s="1" t="s">
        <v>1312</v>
      </c>
      <c r="C344">
        <v>0</v>
      </c>
      <c r="D344">
        <v>1610612752</v>
      </c>
      <c r="E344" s="1" t="s">
        <v>1248</v>
      </c>
      <c r="F344">
        <v>360</v>
      </c>
      <c r="G344">
        <v>19</v>
      </c>
      <c r="H344">
        <v>0</v>
      </c>
      <c r="I344">
        <v>3100</v>
      </c>
      <c r="J344">
        <v>35</v>
      </c>
      <c r="K344">
        <v>76</v>
      </c>
      <c r="L344">
        <v>461</v>
      </c>
      <c r="M344">
        <v>80</v>
      </c>
      <c r="N344">
        <v>280</v>
      </c>
      <c r="O344">
        <v>286</v>
      </c>
      <c r="P344">
        <v>6</v>
      </c>
      <c r="Q344">
        <v>6</v>
      </c>
      <c r="R344">
        <v>10</v>
      </c>
      <c r="S344">
        <v>70</v>
      </c>
      <c r="T344">
        <v>320</v>
      </c>
      <c r="U344">
        <v>390</v>
      </c>
      <c r="V344">
        <v>43</v>
      </c>
      <c r="W344">
        <v>180</v>
      </c>
      <c r="X344">
        <v>50</v>
      </c>
      <c r="Y344">
        <v>250</v>
      </c>
      <c r="Z344">
        <v>30</v>
      </c>
      <c r="AA344">
        <v>84</v>
      </c>
      <c r="AB344" s="1" t="s">
        <v>1483</v>
      </c>
    </row>
    <row r="345" spans="1:28" x14ac:dyDescent="0.3">
      <c r="A345">
        <v>201576</v>
      </c>
      <c r="B345" s="1" t="s">
        <v>1312</v>
      </c>
      <c r="C345">
        <v>0</v>
      </c>
      <c r="D345">
        <v>1610612752</v>
      </c>
      <c r="E345" s="1" t="s">
        <v>1248</v>
      </c>
      <c r="F345">
        <v>210</v>
      </c>
      <c r="G345">
        <v>17</v>
      </c>
      <c r="H345">
        <v>0</v>
      </c>
      <c r="I345">
        <v>1270</v>
      </c>
      <c r="J345">
        <v>14</v>
      </c>
      <c r="K345">
        <v>45</v>
      </c>
      <c r="L345">
        <v>311</v>
      </c>
      <c r="M345">
        <v>10</v>
      </c>
      <c r="N345">
        <v>40</v>
      </c>
      <c r="O345">
        <v>25</v>
      </c>
      <c r="P345">
        <v>6</v>
      </c>
      <c r="Q345">
        <v>12</v>
      </c>
      <c r="R345">
        <v>5</v>
      </c>
      <c r="S345">
        <v>110</v>
      </c>
      <c r="T345">
        <v>290</v>
      </c>
      <c r="U345">
        <v>400</v>
      </c>
      <c r="V345">
        <v>7</v>
      </c>
      <c r="W345">
        <v>40</v>
      </c>
      <c r="X345">
        <v>80</v>
      </c>
      <c r="Y345">
        <v>100</v>
      </c>
      <c r="Z345">
        <v>15</v>
      </c>
      <c r="AA345">
        <v>35</v>
      </c>
      <c r="AB345" s="1" t="s">
        <v>1484</v>
      </c>
    </row>
    <row r="346" spans="1:28" x14ac:dyDescent="0.3">
      <c r="A346">
        <v>1629033</v>
      </c>
      <c r="B346" s="1" t="s">
        <v>1289</v>
      </c>
      <c r="C346">
        <v>0</v>
      </c>
      <c r="D346">
        <v>1610612752</v>
      </c>
      <c r="E346" s="1" t="s">
        <v>1248</v>
      </c>
      <c r="F346">
        <v>250</v>
      </c>
      <c r="G346">
        <v>17</v>
      </c>
      <c r="H346">
        <v>0</v>
      </c>
      <c r="I346">
        <v>340</v>
      </c>
      <c r="J346">
        <v>1</v>
      </c>
      <c r="K346">
        <v>9</v>
      </c>
      <c r="L346">
        <v>111</v>
      </c>
      <c r="M346">
        <v>0</v>
      </c>
      <c r="N346">
        <v>80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50</v>
      </c>
      <c r="U346">
        <v>50</v>
      </c>
      <c r="V346">
        <v>1</v>
      </c>
      <c r="W346">
        <v>0</v>
      </c>
      <c r="X346">
        <v>0</v>
      </c>
      <c r="Y346">
        <v>10</v>
      </c>
      <c r="Z346">
        <v>4</v>
      </c>
      <c r="AA346">
        <v>2</v>
      </c>
      <c r="AB346" s="1" t="s">
        <v>1485</v>
      </c>
    </row>
    <row r="347" spans="1:28" x14ac:dyDescent="0.3">
      <c r="A347">
        <v>2030</v>
      </c>
      <c r="B347" s="1" t="s">
        <v>1292</v>
      </c>
      <c r="C347">
        <v>0</v>
      </c>
      <c r="D347">
        <v>1610612752</v>
      </c>
      <c r="E347" s="1" t="s">
        <v>1248</v>
      </c>
      <c r="F347">
        <v>350</v>
      </c>
      <c r="G347">
        <v>18</v>
      </c>
      <c r="H347">
        <v>110</v>
      </c>
      <c r="I347">
        <v>4310</v>
      </c>
      <c r="J347">
        <v>56</v>
      </c>
      <c r="K347">
        <v>93</v>
      </c>
      <c r="L347">
        <v>602</v>
      </c>
      <c r="M347">
        <v>0</v>
      </c>
      <c r="N347">
        <v>0</v>
      </c>
      <c r="O347">
        <v>0</v>
      </c>
      <c r="P347">
        <v>17</v>
      </c>
      <c r="Q347">
        <v>40</v>
      </c>
      <c r="R347">
        <v>425</v>
      </c>
      <c r="S347">
        <v>340</v>
      </c>
      <c r="T347">
        <v>610</v>
      </c>
      <c r="U347">
        <v>950</v>
      </c>
      <c r="V347">
        <v>8</v>
      </c>
      <c r="W347">
        <v>160</v>
      </c>
      <c r="X347">
        <v>170</v>
      </c>
      <c r="Y347">
        <v>160</v>
      </c>
      <c r="Z347">
        <v>64</v>
      </c>
      <c r="AA347">
        <v>129</v>
      </c>
      <c r="AB347" s="1" t="s">
        <v>1486</v>
      </c>
    </row>
    <row r="348" spans="1:28" x14ac:dyDescent="0.3">
      <c r="A348">
        <v>2030</v>
      </c>
      <c r="B348" s="1" t="s">
        <v>1337</v>
      </c>
      <c r="C348">
        <v>0</v>
      </c>
      <c r="D348">
        <v>1610612752</v>
      </c>
      <c r="E348" s="1" t="s">
        <v>1248</v>
      </c>
      <c r="F348">
        <v>360</v>
      </c>
      <c r="G348">
        <v>32</v>
      </c>
      <c r="H348">
        <v>150</v>
      </c>
      <c r="I348">
        <v>6330</v>
      </c>
      <c r="J348">
        <v>63</v>
      </c>
      <c r="K348">
        <v>123</v>
      </c>
      <c r="L348">
        <v>512</v>
      </c>
      <c r="M348">
        <v>0</v>
      </c>
      <c r="N348">
        <v>10</v>
      </c>
      <c r="O348">
        <v>0</v>
      </c>
      <c r="P348">
        <v>11</v>
      </c>
      <c r="Q348">
        <v>19</v>
      </c>
      <c r="R348">
        <v>579</v>
      </c>
      <c r="S348">
        <v>360</v>
      </c>
      <c r="T348">
        <v>980</v>
      </c>
      <c r="U348">
        <v>1340</v>
      </c>
      <c r="V348">
        <v>50</v>
      </c>
      <c r="W348">
        <v>250</v>
      </c>
      <c r="X348">
        <v>270</v>
      </c>
      <c r="Y348">
        <v>260</v>
      </c>
      <c r="Z348">
        <v>85</v>
      </c>
      <c r="AA348">
        <v>137</v>
      </c>
      <c r="AB348" s="1" t="s">
        <v>1486</v>
      </c>
    </row>
    <row r="349" spans="1:28" x14ac:dyDescent="0.3">
      <c r="A349">
        <v>77051</v>
      </c>
      <c r="B349" s="1" t="s">
        <v>1257</v>
      </c>
      <c r="C349">
        <v>0</v>
      </c>
      <c r="D349">
        <v>1610612752</v>
      </c>
      <c r="E349" s="1" t="s">
        <v>1248</v>
      </c>
      <c r="F349">
        <v>230</v>
      </c>
      <c r="G349">
        <v>59</v>
      </c>
      <c r="I349">
        <v>9880</v>
      </c>
      <c r="J349">
        <v>102</v>
      </c>
      <c r="K349">
        <v>247</v>
      </c>
      <c r="L349">
        <v>413</v>
      </c>
      <c r="P349">
        <v>81</v>
      </c>
      <c r="Q349">
        <v>132</v>
      </c>
      <c r="R349">
        <v>614</v>
      </c>
      <c r="U349">
        <v>3310</v>
      </c>
      <c r="V349">
        <v>36</v>
      </c>
      <c r="Z349">
        <v>185</v>
      </c>
      <c r="AA349">
        <v>285</v>
      </c>
      <c r="AB349" s="1" t="s">
        <v>1487</v>
      </c>
    </row>
    <row r="350" spans="1:28" x14ac:dyDescent="0.3">
      <c r="A350">
        <v>77051</v>
      </c>
      <c r="B350" s="1" t="s">
        <v>1258</v>
      </c>
      <c r="C350">
        <v>0</v>
      </c>
      <c r="D350">
        <v>1610612752</v>
      </c>
      <c r="E350" s="1" t="s">
        <v>1248</v>
      </c>
      <c r="F350">
        <v>240</v>
      </c>
      <c r="G350">
        <v>24</v>
      </c>
      <c r="I350">
        <v>1530</v>
      </c>
      <c r="J350">
        <v>13</v>
      </c>
      <c r="K350">
        <v>32</v>
      </c>
      <c r="L350">
        <v>406</v>
      </c>
      <c r="P350">
        <v>8</v>
      </c>
      <c r="Q350">
        <v>14</v>
      </c>
      <c r="R350">
        <v>571</v>
      </c>
      <c r="U350">
        <v>580</v>
      </c>
      <c r="V350">
        <v>12</v>
      </c>
      <c r="Z350">
        <v>37</v>
      </c>
      <c r="AA350">
        <v>34</v>
      </c>
      <c r="AB350" s="1" t="s">
        <v>1487</v>
      </c>
    </row>
    <row r="351" spans="1:28" x14ac:dyDescent="0.3">
      <c r="A351">
        <v>76715</v>
      </c>
      <c r="B351" s="1" t="s">
        <v>1417</v>
      </c>
      <c r="C351">
        <v>0</v>
      </c>
      <c r="D351">
        <v>1610612752</v>
      </c>
      <c r="E351" s="1" t="s">
        <v>1248</v>
      </c>
      <c r="F351">
        <v>240</v>
      </c>
      <c r="G351">
        <v>39</v>
      </c>
      <c r="I351">
        <v>2710</v>
      </c>
      <c r="J351">
        <v>45</v>
      </c>
      <c r="K351">
        <v>102</v>
      </c>
      <c r="L351">
        <v>441</v>
      </c>
      <c r="P351">
        <v>13</v>
      </c>
      <c r="Q351">
        <v>27</v>
      </c>
      <c r="R351">
        <v>481</v>
      </c>
      <c r="U351">
        <v>930</v>
      </c>
      <c r="V351">
        <v>17</v>
      </c>
      <c r="Z351">
        <v>80</v>
      </c>
      <c r="AA351">
        <v>103</v>
      </c>
      <c r="AB351" s="1" t="s">
        <v>1488</v>
      </c>
    </row>
    <row r="352" spans="1:28" x14ac:dyDescent="0.3">
      <c r="A352">
        <v>76715</v>
      </c>
      <c r="B352" s="1" t="s">
        <v>1354</v>
      </c>
      <c r="C352">
        <v>0</v>
      </c>
      <c r="D352">
        <v>1610612752</v>
      </c>
      <c r="E352" s="1" t="s">
        <v>1248</v>
      </c>
      <c r="F352">
        <v>250</v>
      </c>
      <c r="G352">
        <v>10</v>
      </c>
      <c r="I352">
        <v>670</v>
      </c>
      <c r="J352">
        <v>7</v>
      </c>
      <c r="K352">
        <v>27</v>
      </c>
      <c r="L352">
        <v>259</v>
      </c>
      <c r="P352">
        <v>1</v>
      </c>
      <c r="Q352">
        <v>3</v>
      </c>
      <c r="R352">
        <v>333</v>
      </c>
      <c r="U352">
        <v>150</v>
      </c>
      <c r="V352">
        <v>3</v>
      </c>
      <c r="Z352">
        <v>17</v>
      </c>
      <c r="AA352">
        <v>15</v>
      </c>
      <c r="AB352" s="1" t="s">
        <v>1488</v>
      </c>
    </row>
    <row r="353" spans="1:28" x14ac:dyDescent="0.3">
      <c r="A353">
        <v>76342</v>
      </c>
      <c r="B353" s="1" t="s">
        <v>1253</v>
      </c>
      <c r="C353">
        <v>0</v>
      </c>
      <c r="D353">
        <v>1610612752</v>
      </c>
      <c r="E353" s="1" t="s">
        <v>1248</v>
      </c>
      <c r="F353">
        <v>280</v>
      </c>
      <c r="G353">
        <v>26</v>
      </c>
      <c r="H353">
        <v>0</v>
      </c>
      <c r="I353">
        <v>2040</v>
      </c>
      <c r="J353">
        <v>29</v>
      </c>
      <c r="K353">
        <v>67</v>
      </c>
      <c r="L353">
        <v>433</v>
      </c>
      <c r="M353">
        <v>60</v>
      </c>
      <c r="N353">
        <v>170</v>
      </c>
      <c r="O353">
        <v>353</v>
      </c>
      <c r="P353">
        <v>10</v>
      </c>
      <c r="Q353">
        <v>11</v>
      </c>
      <c r="R353">
        <v>909</v>
      </c>
      <c r="S353">
        <v>60</v>
      </c>
      <c r="T353">
        <v>70</v>
      </c>
      <c r="U353">
        <v>130</v>
      </c>
      <c r="V353">
        <v>32</v>
      </c>
      <c r="W353">
        <v>110</v>
      </c>
      <c r="X353">
        <v>40</v>
      </c>
      <c r="Y353">
        <v>220</v>
      </c>
      <c r="Z353">
        <v>39</v>
      </c>
      <c r="AA353">
        <v>74</v>
      </c>
      <c r="AB353" s="1" t="s">
        <v>1489</v>
      </c>
    </row>
    <row r="354" spans="1:28" x14ac:dyDescent="0.3">
      <c r="A354">
        <v>1628384</v>
      </c>
      <c r="B354" s="1" t="s">
        <v>1369</v>
      </c>
      <c r="C354">
        <v>0</v>
      </c>
      <c r="D354">
        <v>1610612752</v>
      </c>
      <c r="E354" s="1" t="s">
        <v>1248</v>
      </c>
      <c r="F354">
        <v>260</v>
      </c>
      <c r="G354">
        <v>23</v>
      </c>
      <c r="H354">
        <v>230</v>
      </c>
      <c r="I354">
        <v>8020</v>
      </c>
      <c r="J354">
        <v>125</v>
      </c>
      <c r="K354">
        <v>256</v>
      </c>
      <c r="L354">
        <v>488</v>
      </c>
      <c r="M354">
        <v>410</v>
      </c>
      <c r="N354">
        <v>1040</v>
      </c>
      <c r="O354">
        <v>394</v>
      </c>
      <c r="P354">
        <v>34</v>
      </c>
      <c r="Q354">
        <v>43</v>
      </c>
      <c r="R354">
        <v>791</v>
      </c>
      <c r="S354">
        <v>230</v>
      </c>
      <c r="T354">
        <v>790</v>
      </c>
      <c r="U354">
        <v>1020</v>
      </c>
      <c r="V354">
        <v>35</v>
      </c>
      <c r="W354">
        <v>400</v>
      </c>
      <c r="X354">
        <v>230</v>
      </c>
      <c r="Y354">
        <v>380</v>
      </c>
      <c r="Z354">
        <v>57</v>
      </c>
      <c r="AA354">
        <v>325</v>
      </c>
      <c r="AB354" s="1" t="s">
        <v>1490</v>
      </c>
    </row>
    <row r="355" spans="1:28" x14ac:dyDescent="0.3">
      <c r="A355">
        <v>1628372</v>
      </c>
      <c r="B355" s="1" t="s">
        <v>1287</v>
      </c>
      <c r="C355">
        <v>0</v>
      </c>
      <c r="D355">
        <v>1610612752</v>
      </c>
      <c r="E355" s="1" t="s">
        <v>1248</v>
      </c>
      <c r="F355">
        <v>210</v>
      </c>
      <c r="G355">
        <v>21</v>
      </c>
      <c r="H355">
        <v>180</v>
      </c>
      <c r="I355">
        <v>6000</v>
      </c>
      <c r="J355">
        <v>121</v>
      </c>
      <c r="K355">
        <v>293</v>
      </c>
      <c r="L355">
        <v>413</v>
      </c>
      <c r="M355">
        <v>240</v>
      </c>
      <c r="N355">
        <v>830</v>
      </c>
      <c r="O355">
        <v>289</v>
      </c>
      <c r="P355">
        <v>42</v>
      </c>
      <c r="Q355">
        <v>74</v>
      </c>
      <c r="R355">
        <v>568</v>
      </c>
      <c r="S355">
        <v>140</v>
      </c>
      <c r="T355">
        <v>440</v>
      </c>
      <c r="U355">
        <v>580</v>
      </c>
      <c r="V355">
        <v>114</v>
      </c>
      <c r="W355">
        <v>270</v>
      </c>
      <c r="X355">
        <v>90</v>
      </c>
      <c r="Y355">
        <v>540</v>
      </c>
      <c r="Z355">
        <v>47</v>
      </c>
      <c r="AA355">
        <v>308</v>
      </c>
      <c r="AB355" s="1" t="s">
        <v>1491</v>
      </c>
    </row>
    <row r="356" spans="1:28" x14ac:dyDescent="0.3">
      <c r="A356">
        <v>1628372</v>
      </c>
      <c r="B356" s="1" t="s">
        <v>1288</v>
      </c>
      <c r="C356">
        <v>0</v>
      </c>
      <c r="D356">
        <v>1610612752</v>
      </c>
      <c r="E356" s="1" t="s">
        <v>1248</v>
      </c>
      <c r="F356">
        <v>220</v>
      </c>
      <c r="G356">
        <v>34</v>
      </c>
      <c r="H356">
        <v>30</v>
      </c>
      <c r="I356">
        <v>5370</v>
      </c>
      <c r="J356">
        <v>72</v>
      </c>
      <c r="K356">
        <v>211</v>
      </c>
      <c r="L356">
        <v>341</v>
      </c>
      <c r="M356">
        <v>160</v>
      </c>
      <c r="N356">
        <v>540</v>
      </c>
      <c r="O356">
        <v>296</v>
      </c>
      <c r="P356">
        <v>27</v>
      </c>
      <c r="Q356">
        <v>53</v>
      </c>
      <c r="R356">
        <v>509</v>
      </c>
      <c r="S356">
        <v>210</v>
      </c>
      <c r="T356">
        <v>570</v>
      </c>
      <c r="U356">
        <v>780</v>
      </c>
      <c r="V356">
        <v>98</v>
      </c>
      <c r="W356">
        <v>280</v>
      </c>
      <c r="X356">
        <v>80</v>
      </c>
      <c r="Y356">
        <v>580</v>
      </c>
      <c r="Z356">
        <v>65</v>
      </c>
      <c r="AA356">
        <v>187</v>
      </c>
      <c r="AB356" s="1" t="s">
        <v>1491</v>
      </c>
    </row>
    <row r="357" spans="1:28" x14ac:dyDescent="0.3">
      <c r="A357">
        <v>1628372</v>
      </c>
      <c r="B357" s="1" t="s">
        <v>1289</v>
      </c>
      <c r="C357">
        <v>0</v>
      </c>
      <c r="D357">
        <v>1610612752</v>
      </c>
      <c r="E357" s="1" t="s">
        <v>1248</v>
      </c>
      <c r="F357">
        <v>230</v>
      </c>
      <c r="G357">
        <v>3</v>
      </c>
      <c r="H357">
        <v>0</v>
      </c>
      <c r="I357">
        <v>280</v>
      </c>
      <c r="J357">
        <v>2</v>
      </c>
      <c r="K357">
        <v>10</v>
      </c>
      <c r="L357">
        <v>2</v>
      </c>
      <c r="M357">
        <v>0</v>
      </c>
      <c r="N357">
        <v>40</v>
      </c>
      <c r="O357">
        <v>0</v>
      </c>
      <c r="P357">
        <v>5</v>
      </c>
      <c r="Q357">
        <v>6</v>
      </c>
      <c r="R357">
        <v>833</v>
      </c>
      <c r="S357">
        <v>0</v>
      </c>
      <c r="T357">
        <v>20</v>
      </c>
      <c r="U357">
        <v>20</v>
      </c>
      <c r="V357">
        <v>3</v>
      </c>
      <c r="W357">
        <v>30</v>
      </c>
      <c r="X357">
        <v>0</v>
      </c>
      <c r="Y357">
        <v>10</v>
      </c>
      <c r="Z357">
        <v>4</v>
      </c>
      <c r="AA357">
        <v>9</v>
      </c>
      <c r="AB357" s="1" t="s">
        <v>1491</v>
      </c>
    </row>
    <row r="358" spans="1:28" x14ac:dyDescent="0.3">
      <c r="A358">
        <v>77481</v>
      </c>
      <c r="B358" s="1" t="s">
        <v>1394</v>
      </c>
      <c r="C358">
        <v>0</v>
      </c>
      <c r="D358">
        <v>1610612752</v>
      </c>
      <c r="E358" s="1" t="s">
        <v>1248</v>
      </c>
      <c r="F358">
        <v>240</v>
      </c>
      <c r="G358">
        <v>8</v>
      </c>
      <c r="H358">
        <v>0</v>
      </c>
      <c r="I358">
        <v>680</v>
      </c>
      <c r="J358">
        <v>9</v>
      </c>
      <c r="K358">
        <v>25</v>
      </c>
      <c r="L358">
        <v>36</v>
      </c>
      <c r="M358">
        <v>0</v>
      </c>
      <c r="N358">
        <v>0</v>
      </c>
      <c r="O358">
        <v>0</v>
      </c>
      <c r="P358">
        <v>7</v>
      </c>
      <c r="Q358">
        <v>8</v>
      </c>
      <c r="R358">
        <v>875</v>
      </c>
      <c r="S358">
        <v>20</v>
      </c>
      <c r="T358">
        <v>50</v>
      </c>
      <c r="U358">
        <v>70</v>
      </c>
      <c r="V358">
        <v>0</v>
      </c>
      <c r="W358">
        <v>40</v>
      </c>
      <c r="X358">
        <v>20</v>
      </c>
      <c r="Y358">
        <v>70</v>
      </c>
      <c r="Z358">
        <v>5</v>
      </c>
      <c r="AA358">
        <v>25</v>
      </c>
      <c r="AB358" s="1" t="s">
        <v>1492</v>
      </c>
    </row>
    <row r="359" spans="1:28" x14ac:dyDescent="0.3">
      <c r="A359">
        <v>77048</v>
      </c>
      <c r="B359" s="1" t="s">
        <v>1297</v>
      </c>
      <c r="C359">
        <v>0</v>
      </c>
      <c r="D359">
        <v>1610612752</v>
      </c>
      <c r="E359" s="1" t="s">
        <v>1248</v>
      </c>
      <c r="F359">
        <v>260</v>
      </c>
      <c r="G359">
        <v>48</v>
      </c>
      <c r="J359">
        <v>195</v>
      </c>
      <c r="K359">
        <v>662</v>
      </c>
      <c r="L359">
        <v>295</v>
      </c>
      <c r="P359">
        <v>114</v>
      </c>
      <c r="Q359">
        <v>180</v>
      </c>
      <c r="R359">
        <v>633</v>
      </c>
      <c r="V359">
        <v>37</v>
      </c>
      <c r="Z359">
        <v>159</v>
      </c>
      <c r="AA359">
        <v>504</v>
      </c>
      <c r="AB359" s="1" t="s">
        <v>1493</v>
      </c>
    </row>
    <row r="360" spans="1:28" x14ac:dyDescent="0.3">
      <c r="A360">
        <v>202361</v>
      </c>
      <c r="B360" s="1" t="s">
        <v>1312</v>
      </c>
      <c r="C360">
        <v>0</v>
      </c>
      <c r="D360">
        <v>1610612752</v>
      </c>
      <c r="E360" s="1" t="s">
        <v>1248</v>
      </c>
      <c r="F360">
        <v>230</v>
      </c>
      <c r="G360">
        <v>82</v>
      </c>
      <c r="H360">
        <v>810</v>
      </c>
      <c r="I360">
        <v>25410</v>
      </c>
      <c r="J360">
        <v>299</v>
      </c>
      <c r="K360">
        <v>602</v>
      </c>
      <c r="L360">
        <v>497</v>
      </c>
      <c r="M360">
        <v>860</v>
      </c>
      <c r="N360">
        <v>2190</v>
      </c>
      <c r="O360">
        <v>393</v>
      </c>
      <c r="P360">
        <v>113</v>
      </c>
      <c r="Q360">
        <v>147</v>
      </c>
      <c r="R360">
        <v>769</v>
      </c>
      <c r="S360">
        <v>1050</v>
      </c>
      <c r="T360">
        <v>4160</v>
      </c>
      <c r="U360">
        <v>5210</v>
      </c>
      <c r="V360">
        <v>155</v>
      </c>
      <c r="W360">
        <v>800</v>
      </c>
      <c r="X360">
        <v>170</v>
      </c>
      <c r="Y360">
        <v>1070</v>
      </c>
      <c r="Z360">
        <v>114</v>
      </c>
      <c r="AA360">
        <v>797</v>
      </c>
      <c r="AB360" s="1" t="s">
        <v>1494</v>
      </c>
    </row>
    <row r="361" spans="1:28" x14ac:dyDescent="0.3">
      <c r="A361">
        <v>202361</v>
      </c>
      <c r="B361" s="1" t="s">
        <v>1290</v>
      </c>
      <c r="C361">
        <v>0</v>
      </c>
      <c r="D361">
        <v>1610612752</v>
      </c>
      <c r="E361" s="1" t="s">
        <v>1248</v>
      </c>
      <c r="F361">
        <v>240</v>
      </c>
      <c r="G361">
        <v>66</v>
      </c>
      <c r="H361">
        <v>620</v>
      </c>
      <c r="I361">
        <v>18940</v>
      </c>
      <c r="J361">
        <v>236</v>
      </c>
      <c r="K361">
        <v>513</v>
      </c>
      <c r="L361">
        <v>46</v>
      </c>
      <c r="M361">
        <v>310</v>
      </c>
      <c r="N361">
        <v>1210</v>
      </c>
      <c r="O361">
        <v>256</v>
      </c>
      <c r="P361">
        <v>77</v>
      </c>
      <c r="Q361">
        <v>137</v>
      </c>
      <c r="R361">
        <v>562</v>
      </c>
      <c r="S361">
        <v>590</v>
      </c>
      <c r="T361">
        <v>2190</v>
      </c>
      <c r="U361">
        <v>2780</v>
      </c>
      <c r="V361">
        <v>169</v>
      </c>
      <c r="W361">
        <v>790</v>
      </c>
      <c r="X361">
        <v>170</v>
      </c>
      <c r="Y361">
        <v>1020</v>
      </c>
      <c r="Z361">
        <v>99</v>
      </c>
      <c r="AA361">
        <v>580</v>
      </c>
      <c r="AB361" s="1" t="s">
        <v>1494</v>
      </c>
    </row>
    <row r="362" spans="1:28" x14ac:dyDescent="0.3">
      <c r="A362">
        <v>76338</v>
      </c>
      <c r="B362" s="1" t="s">
        <v>1273</v>
      </c>
      <c r="C362">
        <v>0</v>
      </c>
      <c r="D362">
        <v>1610612752</v>
      </c>
      <c r="E362" s="1" t="s">
        <v>1248</v>
      </c>
      <c r="F362">
        <v>310</v>
      </c>
      <c r="G362">
        <v>58</v>
      </c>
      <c r="H362">
        <v>130</v>
      </c>
      <c r="I362">
        <v>10620</v>
      </c>
      <c r="J362">
        <v>194</v>
      </c>
      <c r="K362">
        <v>396</v>
      </c>
      <c r="L362">
        <v>49</v>
      </c>
      <c r="M362">
        <v>20</v>
      </c>
      <c r="N362">
        <v>50</v>
      </c>
      <c r="O362">
        <v>4</v>
      </c>
      <c r="P362">
        <v>59</v>
      </c>
      <c r="Q362">
        <v>87</v>
      </c>
      <c r="R362">
        <v>678</v>
      </c>
      <c r="S362">
        <v>590</v>
      </c>
      <c r="T362">
        <v>960</v>
      </c>
      <c r="U362">
        <v>1550</v>
      </c>
      <c r="V362">
        <v>62</v>
      </c>
      <c r="W362">
        <v>340</v>
      </c>
      <c r="X362">
        <v>50</v>
      </c>
      <c r="Y362">
        <v>510</v>
      </c>
      <c r="Z362">
        <v>150</v>
      </c>
      <c r="AA362">
        <v>449</v>
      </c>
      <c r="AB362" s="1" t="s">
        <v>1495</v>
      </c>
    </row>
    <row r="363" spans="1:28" x14ac:dyDescent="0.3">
      <c r="A363">
        <v>76338</v>
      </c>
      <c r="B363" s="1" t="s">
        <v>1274</v>
      </c>
      <c r="C363">
        <v>0</v>
      </c>
      <c r="D363">
        <v>1610612752</v>
      </c>
      <c r="E363" s="1" t="s">
        <v>1248</v>
      </c>
      <c r="F363">
        <v>320</v>
      </c>
      <c r="G363">
        <v>22</v>
      </c>
      <c r="H363">
        <v>110</v>
      </c>
      <c r="I363">
        <v>3790</v>
      </c>
      <c r="J363">
        <v>63</v>
      </c>
      <c r="K363">
        <v>128</v>
      </c>
      <c r="L363">
        <v>492</v>
      </c>
      <c r="M363">
        <v>10</v>
      </c>
      <c r="N363">
        <v>30</v>
      </c>
      <c r="O363">
        <v>333</v>
      </c>
      <c r="P363">
        <v>30</v>
      </c>
      <c r="Q363">
        <v>37</v>
      </c>
      <c r="R363">
        <v>811</v>
      </c>
      <c r="S363">
        <v>280</v>
      </c>
      <c r="T363">
        <v>320</v>
      </c>
      <c r="U363">
        <v>600</v>
      </c>
      <c r="V363">
        <v>31</v>
      </c>
      <c r="W363">
        <v>200</v>
      </c>
      <c r="X363">
        <v>10</v>
      </c>
      <c r="Y363">
        <v>290</v>
      </c>
      <c r="Z363">
        <v>59</v>
      </c>
      <c r="AA363">
        <v>157</v>
      </c>
      <c r="AB363" s="1" t="s">
        <v>1495</v>
      </c>
    </row>
    <row r="364" spans="1:28" x14ac:dyDescent="0.3">
      <c r="A364">
        <v>1630193</v>
      </c>
      <c r="B364" s="1" t="s">
        <v>1289</v>
      </c>
      <c r="C364">
        <v>0</v>
      </c>
      <c r="D364">
        <v>1610612752</v>
      </c>
      <c r="E364" s="1" t="s">
        <v>1248</v>
      </c>
      <c r="F364">
        <v>220</v>
      </c>
      <c r="G364">
        <v>64</v>
      </c>
      <c r="H364">
        <v>30</v>
      </c>
      <c r="I364">
        <v>12440</v>
      </c>
      <c r="J364">
        <v>229</v>
      </c>
      <c r="K364">
        <v>580</v>
      </c>
      <c r="L364">
        <v>395</v>
      </c>
      <c r="M364">
        <v>1180</v>
      </c>
      <c r="N364">
        <v>3030</v>
      </c>
      <c r="O364">
        <v>389</v>
      </c>
      <c r="P364">
        <v>155</v>
      </c>
      <c r="Q364">
        <v>174</v>
      </c>
      <c r="R364">
        <v>891</v>
      </c>
      <c r="S364">
        <v>250</v>
      </c>
      <c r="T364">
        <v>1120</v>
      </c>
      <c r="U364">
        <v>1370</v>
      </c>
      <c r="V364">
        <v>127</v>
      </c>
      <c r="W364">
        <v>300</v>
      </c>
      <c r="X364">
        <v>120</v>
      </c>
      <c r="Y364">
        <v>580</v>
      </c>
      <c r="Z364">
        <v>114</v>
      </c>
      <c r="AA364">
        <v>731</v>
      </c>
      <c r="AB364" s="1" t="s">
        <v>1496</v>
      </c>
    </row>
    <row r="365" spans="1:28" x14ac:dyDescent="0.3">
      <c r="A365">
        <v>1630193</v>
      </c>
      <c r="B365" s="1" t="s">
        <v>1308</v>
      </c>
      <c r="C365">
        <v>0</v>
      </c>
      <c r="D365">
        <v>1610612752</v>
      </c>
      <c r="E365" s="1" t="s">
        <v>1248</v>
      </c>
      <c r="F365">
        <v>230</v>
      </c>
      <c r="G365">
        <v>78</v>
      </c>
      <c r="H365">
        <v>30</v>
      </c>
      <c r="I365">
        <v>18020</v>
      </c>
      <c r="J365">
        <v>284</v>
      </c>
      <c r="K365">
        <v>724</v>
      </c>
      <c r="L365">
        <v>392</v>
      </c>
      <c r="M365">
        <v>1370</v>
      </c>
      <c r="N365">
        <v>3960</v>
      </c>
      <c r="O365">
        <v>346</v>
      </c>
      <c r="P365">
        <v>177</v>
      </c>
      <c r="Q365">
        <v>201</v>
      </c>
      <c r="R365">
        <v>881</v>
      </c>
      <c r="S365">
        <v>310</v>
      </c>
      <c r="T365">
        <v>2160</v>
      </c>
      <c r="U365">
        <v>2470</v>
      </c>
      <c r="V365">
        <v>275</v>
      </c>
      <c r="W365">
        <v>540</v>
      </c>
      <c r="X365">
        <v>30</v>
      </c>
      <c r="Y365">
        <v>990</v>
      </c>
      <c r="Z365">
        <v>167</v>
      </c>
      <c r="AA365">
        <v>882</v>
      </c>
      <c r="AB365" s="1" t="s">
        <v>1496</v>
      </c>
    </row>
    <row r="366" spans="1:28" x14ac:dyDescent="0.3">
      <c r="A366">
        <v>1630193</v>
      </c>
      <c r="B366" s="1" t="s">
        <v>1327</v>
      </c>
      <c r="C366">
        <v>0</v>
      </c>
      <c r="D366">
        <v>1610612752</v>
      </c>
      <c r="E366" s="1" t="s">
        <v>1248</v>
      </c>
      <c r="F366">
        <v>240</v>
      </c>
      <c r="G366">
        <v>81</v>
      </c>
      <c r="H366">
        <v>210</v>
      </c>
      <c r="I366">
        <v>23440</v>
      </c>
      <c r="J366">
        <v>419</v>
      </c>
      <c r="K366">
        <v>936</v>
      </c>
      <c r="L366">
        <v>448</v>
      </c>
      <c r="M366">
        <v>1680</v>
      </c>
      <c r="N366">
        <v>4540</v>
      </c>
      <c r="O366">
        <v>37</v>
      </c>
      <c r="P366">
        <v>203</v>
      </c>
      <c r="Q366">
        <v>248</v>
      </c>
      <c r="R366">
        <v>819</v>
      </c>
      <c r="S366">
        <v>580</v>
      </c>
      <c r="T366">
        <v>2790</v>
      </c>
      <c r="U366">
        <v>3370</v>
      </c>
      <c r="V366">
        <v>279</v>
      </c>
      <c r="W366">
        <v>800</v>
      </c>
      <c r="X366">
        <v>140</v>
      </c>
      <c r="Y366">
        <v>1000</v>
      </c>
      <c r="Z366">
        <v>166</v>
      </c>
      <c r="AA366">
        <v>1209</v>
      </c>
      <c r="AB366" s="1" t="s">
        <v>1496</v>
      </c>
    </row>
    <row r="367" spans="1:28" x14ac:dyDescent="0.3">
      <c r="A367">
        <v>1630193</v>
      </c>
      <c r="B367" s="1" t="s">
        <v>1369</v>
      </c>
      <c r="C367">
        <v>0</v>
      </c>
      <c r="D367">
        <v>1610612752</v>
      </c>
      <c r="E367" s="1" t="s">
        <v>1248</v>
      </c>
      <c r="F367">
        <v>250</v>
      </c>
      <c r="G367">
        <v>30</v>
      </c>
      <c r="H367">
        <v>0</v>
      </c>
      <c r="I367">
        <v>7200</v>
      </c>
      <c r="J367">
        <v>152</v>
      </c>
      <c r="K367">
        <v>335</v>
      </c>
      <c r="L367">
        <v>454</v>
      </c>
      <c r="M367">
        <v>640</v>
      </c>
      <c r="N367">
        <v>1620</v>
      </c>
      <c r="O367">
        <v>395</v>
      </c>
      <c r="P367">
        <v>82</v>
      </c>
      <c r="Q367">
        <v>94</v>
      </c>
      <c r="R367">
        <v>872</v>
      </c>
      <c r="S367">
        <v>50</v>
      </c>
      <c r="T367">
        <v>720</v>
      </c>
      <c r="U367">
        <v>770</v>
      </c>
      <c r="V367">
        <v>74</v>
      </c>
      <c r="W367">
        <v>160</v>
      </c>
      <c r="X367">
        <v>30</v>
      </c>
      <c r="Y367">
        <v>310</v>
      </c>
      <c r="Z367">
        <v>44</v>
      </c>
      <c r="AA367">
        <v>450</v>
      </c>
      <c r="AB367" s="1" t="s">
        <v>1496</v>
      </c>
    </row>
    <row r="368" spans="1:28" x14ac:dyDescent="0.3">
      <c r="A368">
        <v>77815</v>
      </c>
      <c r="B368" s="1" t="s">
        <v>1354</v>
      </c>
      <c r="C368">
        <v>0</v>
      </c>
      <c r="D368">
        <v>1610612752</v>
      </c>
      <c r="E368" s="1" t="s">
        <v>1248</v>
      </c>
      <c r="F368">
        <v>260</v>
      </c>
      <c r="G368">
        <v>28</v>
      </c>
      <c r="I368">
        <v>1510</v>
      </c>
      <c r="J368">
        <v>16</v>
      </c>
      <c r="K368">
        <v>60</v>
      </c>
      <c r="L368">
        <v>267</v>
      </c>
      <c r="P368">
        <v>8</v>
      </c>
      <c r="Q368">
        <v>12</v>
      </c>
      <c r="R368">
        <v>667</v>
      </c>
      <c r="U368">
        <v>490</v>
      </c>
      <c r="V368">
        <v>7</v>
      </c>
      <c r="Z368">
        <v>24</v>
      </c>
      <c r="AA368">
        <v>40</v>
      </c>
      <c r="AB368" s="1" t="s">
        <v>1497</v>
      </c>
    </row>
    <row r="369" spans="1:28" x14ac:dyDescent="0.3">
      <c r="A369">
        <v>950</v>
      </c>
      <c r="B369" s="1" t="s">
        <v>1293</v>
      </c>
      <c r="C369">
        <v>0</v>
      </c>
      <c r="D369">
        <v>1610612752</v>
      </c>
      <c r="E369" s="1" t="s">
        <v>1248</v>
      </c>
      <c r="F369">
        <v>270</v>
      </c>
      <c r="G369">
        <v>47</v>
      </c>
      <c r="H369">
        <v>470</v>
      </c>
      <c r="I369">
        <v>18390</v>
      </c>
      <c r="J369">
        <v>336</v>
      </c>
      <c r="K369">
        <v>780</v>
      </c>
      <c r="L369">
        <v>431</v>
      </c>
      <c r="M369">
        <v>500</v>
      </c>
      <c r="N369">
        <v>1560</v>
      </c>
      <c r="O369">
        <v>321</v>
      </c>
      <c r="P369">
        <v>209</v>
      </c>
      <c r="Q369">
        <v>251</v>
      </c>
      <c r="R369">
        <v>833</v>
      </c>
      <c r="S369">
        <v>390</v>
      </c>
      <c r="T369">
        <v>1070</v>
      </c>
      <c r="U369">
        <v>1460</v>
      </c>
      <c r="V369">
        <v>438</v>
      </c>
      <c r="W369">
        <v>650</v>
      </c>
      <c r="X369">
        <v>40</v>
      </c>
      <c r="Y369">
        <v>1520</v>
      </c>
      <c r="Z369">
        <v>98</v>
      </c>
      <c r="AA369">
        <v>931</v>
      </c>
      <c r="AB369" s="1" t="s">
        <v>1498</v>
      </c>
    </row>
    <row r="370" spans="1:28" x14ac:dyDescent="0.3">
      <c r="A370">
        <v>950</v>
      </c>
      <c r="B370" s="1" t="s">
        <v>1295</v>
      </c>
      <c r="C370">
        <v>0</v>
      </c>
      <c r="D370">
        <v>1610612752</v>
      </c>
      <c r="E370" s="1" t="s">
        <v>1248</v>
      </c>
      <c r="F370">
        <v>280</v>
      </c>
      <c r="G370">
        <v>82</v>
      </c>
      <c r="H370">
        <v>820</v>
      </c>
      <c r="I370">
        <v>32810</v>
      </c>
      <c r="J370">
        <v>604</v>
      </c>
      <c r="K370">
        <v>1308</v>
      </c>
      <c r="L370">
        <v>462</v>
      </c>
      <c r="M370">
        <v>1150</v>
      </c>
      <c r="N370">
        <v>3250</v>
      </c>
      <c r="O370">
        <v>354</v>
      </c>
      <c r="P370">
        <v>458</v>
      </c>
      <c r="Q370">
        <v>549</v>
      </c>
      <c r="R370">
        <v>834</v>
      </c>
      <c r="S370">
        <v>500</v>
      </c>
      <c r="T370">
        <v>1980</v>
      </c>
      <c r="U370">
        <v>2480</v>
      </c>
      <c r="V370">
        <v>668</v>
      </c>
      <c r="W370">
        <v>1220</v>
      </c>
      <c r="X370">
        <v>60</v>
      </c>
      <c r="Y370">
        <v>2330</v>
      </c>
      <c r="Z370">
        <v>186</v>
      </c>
      <c r="AA370">
        <v>1781</v>
      </c>
      <c r="AB370" s="1" t="s">
        <v>1498</v>
      </c>
    </row>
    <row r="371" spans="1:28" x14ac:dyDescent="0.3">
      <c r="A371">
        <v>950</v>
      </c>
      <c r="B371" s="1" t="s">
        <v>1300</v>
      </c>
      <c r="C371">
        <v>0</v>
      </c>
      <c r="D371">
        <v>1610612752</v>
      </c>
      <c r="E371" s="1" t="s">
        <v>1248</v>
      </c>
      <c r="F371">
        <v>290</v>
      </c>
      <c r="G371">
        <v>60</v>
      </c>
      <c r="H371">
        <v>600</v>
      </c>
      <c r="I371">
        <v>21930</v>
      </c>
      <c r="J371">
        <v>349</v>
      </c>
      <c r="K371">
        <v>774</v>
      </c>
      <c r="L371">
        <v>451</v>
      </c>
      <c r="M371">
        <v>330</v>
      </c>
      <c r="N371">
        <v>1040</v>
      </c>
      <c r="O371">
        <v>317</v>
      </c>
      <c r="P371">
        <v>246</v>
      </c>
      <c r="Q371">
        <v>326</v>
      </c>
      <c r="R371">
        <v>755</v>
      </c>
      <c r="S371">
        <v>250</v>
      </c>
      <c r="T371">
        <v>1500</v>
      </c>
      <c r="U371">
        <v>1750</v>
      </c>
      <c r="V371">
        <v>382</v>
      </c>
      <c r="W371">
        <v>630</v>
      </c>
      <c r="X371">
        <v>40</v>
      </c>
      <c r="Y371">
        <v>1570</v>
      </c>
      <c r="Z371">
        <v>143</v>
      </c>
      <c r="AA371">
        <v>977</v>
      </c>
      <c r="AB371" s="1" t="s">
        <v>1498</v>
      </c>
    </row>
    <row r="372" spans="1:28" x14ac:dyDescent="0.3">
      <c r="A372">
        <v>950</v>
      </c>
      <c r="B372" s="1" t="s">
        <v>1302</v>
      </c>
      <c r="C372">
        <v>0</v>
      </c>
      <c r="D372">
        <v>1610612752</v>
      </c>
      <c r="E372" s="1" t="s">
        <v>1248</v>
      </c>
      <c r="F372">
        <v>300</v>
      </c>
      <c r="G372">
        <v>74</v>
      </c>
      <c r="H372">
        <v>740</v>
      </c>
      <c r="I372">
        <v>27480</v>
      </c>
      <c r="J372">
        <v>395</v>
      </c>
      <c r="K372">
        <v>952</v>
      </c>
      <c r="L372">
        <v>415</v>
      </c>
      <c r="M372">
        <v>1230</v>
      </c>
      <c r="N372">
        <v>3450</v>
      </c>
      <c r="O372">
        <v>357</v>
      </c>
      <c r="P372">
        <v>297</v>
      </c>
      <c r="Q372">
        <v>386</v>
      </c>
      <c r="R372">
        <v>769</v>
      </c>
      <c r="S372">
        <v>360</v>
      </c>
      <c r="T372">
        <v>1770</v>
      </c>
      <c r="U372">
        <v>2130</v>
      </c>
      <c r="V372">
        <v>403</v>
      </c>
      <c r="W372">
        <v>710</v>
      </c>
      <c r="X372">
        <v>100</v>
      </c>
      <c r="Y372">
        <v>1790</v>
      </c>
      <c r="Z372">
        <v>185</v>
      </c>
      <c r="AA372">
        <v>1210</v>
      </c>
      <c r="AB372" s="1" t="s">
        <v>1498</v>
      </c>
    </row>
    <row r="373" spans="1:28" x14ac:dyDescent="0.3">
      <c r="A373">
        <v>950</v>
      </c>
      <c r="B373" s="1" t="s">
        <v>1303</v>
      </c>
      <c r="C373">
        <v>0</v>
      </c>
      <c r="D373">
        <v>1610612752</v>
      </c>
      <c r="E373" s="1" t="s">
        <v>1248</v>
      </c>
      <c r="F373">
        <v>310</v>
      </c>
      <c r="G373">
        <v>24</v>
      </c>
      <c r="H373">
        <v>190</v>
      </c>
      <c r="I373">
        <v>8050</v>
      </c>
      <c r="J373">
        <v>111</v>
      </c>
      <c r="K373">
        <v>265</v>
      </c>
      <c r="L373">
        <v>419</v>
      </c>
      <c r="M373">
        <v>280</v>
      </c>
      <c r="N373">
        <v>740</v>
      </c>
      <c r="O373">
        <v>378</v>
      </c>
      <c r="P373">
        <v>83</v>
      </c>
      <c r="Q373">
        <v>116</v>
      </c>
      <c r="R373">
        <v>716</v>
      </c>
      <c r="S373">
        <v>170</v>
      </c>
      <c r="T373">
        <v>420</v>
      </c>
      <c r="U373">
        <v>590</v>
      </c>
      <c r="V373">
        <v>113</v>
      </c>
      <c r="W373">
        <v>210</v>
      </c>
      <c r="X373">
        <v>20</v>
      </c>
      <c r="Y373">
        <v>480</v>
      </c>
      <c r="Z373">
        <v>57</v>
      </c>
      <c r="AA373">
        <v>333</v>
      </c>
      <c r="AB373" s="1" t="s">
        <v>1498</v>
      </c>
    </row>
    <row r="374" spans="1:28" x14ac:dyDescent="0.3">
      <c r="A374">
        <v>203200</v>
      </c>
      <c r="B374" s="1" t="s">
        <v>1281</v>
      </c>
      <c r="C374">
        <v>0</v>
      </c>
      <c r="D374">
        <v>1610612752</v>
      </c>
      <c r="E374" s="1" t="s">
        <v>1248</v>
      </c>
      <c r="F374">
        <v>280</v>
      </c>
      <c r="G374">
        <v>82</v>
      </c>
      <c r="H374">
        <v>40</v>
      </c>
      <c r="I374">
        <v>16390</v>
      </c>
      <c r="J374">
        <v>233</v>
      </c>
      <c r="K374">
        <v>538</v>
      </c>
      <c r="L374">
        <v>433</v>
      </c>
      <c r="M374">
        <v>970</v>
      </c>
      <c r="N374">
        <v>2730</v>
      </c>
      <c r="O374">
        <v>355</v>
      </c>
      <c r="P374">
        <v>66</v>
      </c>
      <c r="Q374">
        <v>80</v>
      </c>
      <c r="R374">
        <v>825</v>
      </c>
      <c r="S374">
        <v>270</v>
      </c>
      <c r="T374">
        <v>1980</v>
      </c>
      <c r="U374">
        <v>2250</v>
      </c>
      <c r="V374">
        <v>102</v>
      </c>
      <c r="W374">
        <v>650</v>
      </c>
      <c r="X374">
        <v>310</v>
      </c>
      <c r="Y374">
        <v>660</v>
      </c>
      <c r="Z374">
        <v>109</v>
      </c>
      <c r="AA374">
        <v>629</v>
      </c>
      <c r="AB374" s="1" t="s">
        <v>1499</v>
      </c>
    </row>
    <row r="375" spans="1:28" x14ac:dyDescent="0.3">
      <c r="A375">
        <v>76707</v>
      </c>
      <c r="B375" s="1" t="s">
        <v>1469</v>
      </c>
      <c r="C375">
        <v>0</v>
      </c>
      <c r="D375">
        <v>1610612752</v>
      </c>
      <c r="E375" s="1" t="s">
        <v>1248</v>
      </c>
      <c r="F375">
        <v>300</v>
      </c>
      <c r="G375">
        <v>32</v>
      </c>
      <c r="H375">
        <v>0</v>
      </c>
      <c r="I375">
        <v>4020</v>
      </c>
      <c r="J375">
        <v>29</v>
      </c>
      <c r="K375">
        <v>52</v>
      </c>
      <c r="L375">
        <v>558</v>
      </c>
      <c r="M375">
        <v>0</v>
      </c>
      <c r="N375">
        <v>0</v>
      </c>
      <c r="O375">
        <v>0</v>
      </c>
      <c r="P375">
        <v>25</v>
      </c>
      <c r="Q375">
        <v>34</v>
      </c>
      <c r="R375">
        <v>735</v>
      </c>
      <c r="S375">
        <v>290</v>
      </c>
      <c r="T375">
        <v>570</v>
      </c>
      <c r="U375">
        <v>860</v>
      </c>
      <c r="V375">
        <v>11</v>
      </c>
      <c r="W375">
        <v>160</v>
      </c>
      <c r="X375">
        <v>80</v>
      </c>
      <c r="Y375">
        <v>190</v>
      </c>
      <c r="Z375">
        <v>49</v>
      </c>
      <c r="AA375">
        <v>83</v>
      </c>
      <c r="AB375" s="1" t="s">
        <v>1500</v>
      </c>
    </row>
    <row r="376" spans="1:28" x14ac:dyDescent="0.3">
      <c r="A376">
        <v>948</v>
      </c>
      <c r="B376" s="1" t="s">
        <v>1429</v>
      </c>
      <c r="C376">
        <v>0</v>
      </c>
      <c r="D376">
        <v>1610612752</v>
      </c>
      <c r="E376" s="1" t="s">
        <v>1248</v>
      </c>
      <c r="F376">
        <v>250</v>
      </c>
      <c r="G376">
        <v>46</v>
      </c>
      <c r="H376">
        <v>0</v>
      </c>
      <c r="I376">
        <v>9450</v>
      </c>
      <c r="J376">
        <v>136</v>
      </c>
      <c r="K376">
        <v>261</v>
      </c>
      <c r="L376">
        <v>521</v>
      </c>
      <c r="M376">
        <v>0</v>
      </c>
      <c r="N376">
        <v>0</v>
      </c>
      <c r="O376">
        <v>0</v>
      </c>
      <c r="P376">
        <v>57</v>
      </c>
      <c r="Q376">
        <v>103</v>
      </c>
      <c r="R376">
        <v>553</v>
      </c>
      <c r="S376">
        <v>1020</v>
      </c>
      <c r="T376">
        <v>1510</v>
      </c>
      <c r="U376">
        <v>2530</v>
      </c>
      <c r="V376">
        <v>12</v>
      </c>
      <c r="W376">
        <v>290</v>
      </c>
      <c r="X376">
        <v>740</v>
      </c>
      <c r="Y376">
        <v>390</v>
      </c>
      <c r="Z376">
        <v>131</v>
      </c>
      <c r="AA376">
        <v>329</v>
      </c>
      <c r="AB376" s="1" t="s">
        <v>1501</v>
      </c>
    </row>
    <row r="377" spans="1:28" x14ac:dyDescent="0.3">
      <c r="A377">
        <v>948</v>
      </c>
      <c r="B377" s="1" t="s">
        <v>1464</v>
      </c>
      <c r="C377">
        <v>0</v>
      </c>
      <c r="D377">
        <v>1610612752</v>
      </c>
      <c r="E377" s="1" t="s">
        <v>1248</v>
      </c>
      <c r="F377">
        <v>260</v>
      </c>
      <c r="G377">
        <v>59</v>
      </c>
      <c r="H377">
        <v>110</v>
      </c>
      <c r="I377">
        <v>15480</v>
      </c>
      <c r="J377">
        <v>226</v>
      </c>
      <c r="K377">
        <v>471</v>
      </c>
      <c r="L377">
        <v>48</v>
      </c>
      <c r="M377">
        <v>10</v>
      </c>
      <c r="N377">
        <v>20</v>
      </c>
      <c r="O377">
        <v>5</v>
      </c>
      <c r="P377">
        <v>148</v>
      </c>
      <c r="Q377">
        <v>221</v>
      </c>
      <c r="R377">
        <v>67</v>
      </c>
      <c r="S377">
        <v>1740</v>
      </c>
      <c r="T377">
        <v>2870</v>
      </c>
      <c r="U377">
        <v>4610</v>
      </c>
      <c r="V377">
        <v>49</v>
      </c>
      <c r="W377">
        <v>430</v>
      </c>
      <c r="X377">
        <v>1160</v>
      </c>
      <c r="Y377">
        <v>720</v>
      </c>
      <c r="Z377">
        <v>204</v>
      </c>
      <c r="AA377">
        <v>601</v>
      </c>
      <c r="AB377" s="1" t="s">
        <v>1501</v>
      </c>
    </row>
    <row r="378" spans="1:28" x14ac:dyDescent="0.3">
      <c r="A378">
        <v>948</v>
      </c>
      <c r="B378" s="1" t="s">
        <v>1465</v>
      </c>
      <c r="C378">
        <v>0</v>
      </c>
      <c r="D378">
        <v>1610612752</v>
      </c>
      <c r="E378" s="1" t="s">
        <v>1248</v>
      </c>
      <c r="F378">
        <v>270</v>
      </c>
      <c r="G378">
        <v>63</v>
      </c>
      <c r="H378">
        <v>630</v>
      </c>
      <c r="I378">
        <v>21270</v>
      </c>
      <c r="J378">
        <v>304</v>
      </c>
      <c r="K378">
        <v>580</v>
      </c>
      <c r="L378">
        <v>524</v>
      </c>
      <c r="M378">
        <v>10</v>
      </c>
      <c r="N378">
        <v>80</v>
      </c>
      <c r="O378">
        <v>125</v>
      </c>
      <c r="P378">
        <v>150</v>
      </c>
      <c r="Q378">
        <v>225</v>
      </c>
      <c r="R378">
        <v>667</v>
      </c>
      <c r="S378">
        <v>1960</v>
      </c>
      <c r="T378">
        <v>5270</v>
      </c>
      <c r="U378">
        <v>7230</v>
      </c>
      <c r="V378">
        <v>52</v>
      </c>
      <c r="W378">
        <v>660</v>
      </c>
      <c r="X378">
        <v>1360</v>
      </c>
      <c r="Y378">
        <v>630</v>
      </c>
      <c r="Z378">
        <v>205</v>
      </c>
      <c r="AA378">
        <v>759</v>
      </c>
      <c r="AB378" s="1" t="s">
        <v>1501</v>
      </c>
    </row>
    <row r="379" spans="1:28" x14ac:dyDescent="0.3">
      <c r="A379">
        <v>948</v>
      </c>
      <c r="B379" s="1" t="s">
        <v>1330</v>
      </c>
      <c r="C379">
        <v>0</v>
      </c>
      <c r="D379">
        <v>1610612752</v>
      </c>
      <c r="E379" s="1" t="s">
        <v>1248</v>
      </c>
      <c r="F379">
        <v>280</v>
      </c>
      <c r="G379">
        <v>29</v>
      </c>
      <c r="H379">
        <v>290</v>
      </c>
      <c r="I379">
        <v>10070</v>
      </c>
      <c r="J379">
        <v>130</v>
      </c>
      <c r="K379">
        <v>290</v>
      </c>
      <c r="L379">
        <v>448</v>
      </c>
      <c r="M379">
        <v>0</v>
      </c>
      <c r="N379">
        <v>10</v>
      </c>
      <c r="O379">
        <v>0</v>
      </c>
      <c r="P379">
        <v>62</v>
      </c>
      <c r="Q379">
        <v>99</v>
      </c>
      <c r="R379">
        <v>626</v>
      </c>
      <c r="S379">
        <v>890</v>
      </c>
      <c r="T379">
        <v>2330</v>
      </c>
      <c r="U379">
        <v>3220</v>
      </c>
      <c r="V379">
        <v>33</v>
      </c>
      <c r="W379">
        <v>340</v>
      </c>
      <c r="X379">
        <v>500</v>
      </c>
      <c r="Y379">
        <v>420</v>
      </c>
      <c r="Z379">
        <v>107</v>
      </c>
      <c r="AA379">
        <v>322</v>
      </c>
      <c r="AB379" s="1" t="s">
        <v>1501</v>
      </c>
    </row>
    <row r="380" spans="1:28" x14ac:dyDescent="0.3">
      <c r="A380">
        <v>948</v>
      </c>
      <c r="B380" s="1" t="s">
        <v>1292</v>
      </c>
      <c r="C380">
        <v>0</v>
      </c>
      <c r="D380">
        <v>1610612752</v>
      </c>
      <c r="E380" s="1" t="s">
        <v>1248</v>
      </c>
      <c r="F380">
        <v>390</v>
      </c>
      <c r="G380">
        <v>24</v>
      </c>
      <c r="H380">
        <v>40</v>
      </c>
      <c r="I380">
        <v>2500</v>
      </c>
      <c r="J380">
        <v>17</v>
      </c>
      <c r="K380">
        <v>53</v>
      </c>
      <c r="L380">
        <v>321</v>
      </c>
      <c r="M380">
        <v>0</v>
      </c>
      <c r="N380">
        <v>0</v>
      </c>
      <c r="O380">
        <v>0</v>
      </c>
      <c r="P380">
        <v>8</v>
      </c>
      <c r="Q380">
        <v>19</v>
      </c>
      <c r="R380">
        <v>421</v>
      </c>
      <c r="S380">
        <v>240</v>
      </c>
      <c r="T380">
        <v>560</v>
      </c>
      <c r="U380">
        <v>800</v>
      </c>
      <c r="V380">
        <v>14</v>
      </c>
      <c r="W380">
        <v>70</v>
      </c>
      <c r="X380">
        <v>140</v>
      </c>
      <c r="Y380">
        <v>150</v>
      </c>
      <c r="Z380">
        <v>28</v>
      </c>
      <c r="AA380">
        <v>42</v>
      </c>
      <c r="AB380" s="1" t="s">
        <v>1501</v>
      </c>
    </row>
    <row r="381" spans="1:28" x14ac:dyDescent="0.3">
      <c r="A381">
        <v>76105</v>
      </c>
      <c r="B381" s="1" t="s">
        <v>1258</v>
      </c>
      <c r="C381">
        <v>0</v>
      </c>
      <c r="D381">
        <v>1610612752</v>
      </c>
      <c r="E381" s="1" t="s">
        <v>1248</v>
      </c>
      <c r="F381">
        <v>240</v>
      </c>
      <c r="G381">
        <v>75</v>
      </c>
      <c r="I381">
        <v>25860</v>
      </c>
      <c r="J381">
        <v>454</v>
      </c>
      <c r="K381">
        <v>1070</v>
      </c>
      <c r="L381">
        <v>424</v>
      </c>
      <c r="P381">
        <v>251</v>
      </c>
      <c r="Q381">
        <v>379</v>
      </c>
      <c r="R381">
        <v>662</v>
      </c>
      <c r="U381">
        <v>7290</v>
      </c>
      <c r="V381">
        <v>93</v>
      </c>
      <c r="Z381">
        <v>312</v>
      </c>
      <c r="AA381">
        <v>1159</v>
      </c>
      <c r="AB381" s="1" t="s">
        <v>1502</v>
      </c>
    </row>
    <row r="382" spans="1:28" x14ac:dyDescent="0.3">
      <c r="A382">
        <v>76105</v>
      </c>
      <c r="B382" s="1" t="s">
        <v>1412</v>
      </c>
      <c r="C382">
        <v>0</v>
      </c>
      <c r="D382">
        <v>1610612752</v>
      </c>
      <c r="E382" s="1" t="s">
        <v>1248</v>
      </c>
      <c r="F382">
        <v>250</v>
      </c>
      <c r="G382">
        <v>7</v>
      </c>
      <c r="I382">
        <v>2630</v>
      </c>
      <c r="J382">
        <v>40</v>
      </c>
      <c r="K382">
        <v>90</v>
      </c>
      <c r="L382">
        <v>444</v>
      </c>
      <c r="P382">
        <v>30</v>
      </c>
      <c r="Q382">
        <v>42</v>
      </c>
      <c r="R382">
        <v>714</v>
      </c>
      <c r="U382">
        <v>720</v>
      </c>
      <c r="V382">
        <v>9</v>
      </c>
      <c r="Z382">
        <v>33</v>
      </c>
      <c r="AA382">
        <v>110</v>
      </c>
      <c r="AB382" s="1" t="s">
        <v>1502</v>
      </c>
    </row>
    <row r="383" spans="1:28" x14ac:dyDescent="0.3">
      <c r="A383">
        <v>77453</v>
      </c>
      <c r="B383" s="1" t="s">
        <v>1339</v>
      </c>
      <c r="C383">
        <v>0</v>
      </c>
      <c r="D383">
        <v>1610612752</v>
      </c>
      <c r="E383" s="1" t="s">
        <v>1248</v>
      </c>
      <c r="F383">
        <v>210</v>
      </c>
      <c r="G383">
        <v>6</v>
      </c>
      <c r="J383">
        <v>2</v>
      </c>
      <c r="K383">
        <v>13</v>
      </c>
      <c r="L383">
        <v>154</v>
      </c>
      <c r="P383">
        <v>1</v>
      </c>
      <c r="Q383">
        <v>3</v>
      </c>
      <c r="R383">
        <v>333</v>
      </c>
      <c r="V383">
        <v>0</v>
      </c>
      <c r="Z383">
        <v>6</v>
      </c>
      <c r="AA383">
        <v>5</v>
      </c>
      <c r="AB383" s="1" t="s">
        <v>1503</v>
      </c>
    </row>
    <row r="384" spans="1:28" x14ac:dyDescent="0.3">
      <c r="A384">
        <v>77038</v>
      </c>
      <c r="B384" s="1" t="s">
        <v>1255</v>
      </c>
      <c r="C384">
        <v>0</v>
      </c>
      <c r="D384">
        <v>1610612752</v>
      </c>
      <c r="E384" s="1" t="s">
        <v>1248</v>
      </c>
      <c r="F384">
        <v>230</v>
      </c>
      <c r="G384">
        <v>50</v>
      </c>
      <c r="I384">
        <v>13400</v>
      </c>
      <c r="J384">
        <v>152</v>
      </c>
      <c r="K384">
        <v>419</v>
      </c>
      <c r="L384">
        <v>363</v>
      </c>
      <c r="P384">
        <v>79</v>
      </c>
      <c r="Q384">
        <v>174</v>
      </c>
      <c r="R384">
        <v>454</v>
      </c>
      <c r="U384">
        <v>4300</v>
      </c>
      <c r="V384">
        <v>42</v>
      </c>
      <c r="Z384">
        <v>220</v>
      </c>
      <c r="AA384">
        <v>383</v>
      </c>
      <c r="AB384" s="1" t="s">
        <v>1504</v>
      </c>
    </row>
    <row r="385" spans="1:28" x14ac:dyDescent="0.3">
      <c r="A385">
        <v>77038</v>
      </c>
      <c r="B385" s="1" t="s">
        <v>1257</v>
      </c>
      <c r="C385">
        <v>0</v>
      </c>
      <c r="D385">
        <v>1610612752</v>
      </c>
      <c r="E385" s="1" t="s">
        <v>1248</v>
      </c>
      <c r="F385">
        <v>240</v>
      </c>
      <c r="G385">
        <v>6</v>
      </c>
      <c r="I385">
        <v>890</v>
      </c>
      <c r="J385">
        <v>9</v>
      </c>
      <c r="K385">
        <v>16</v>
      </c>
      <c r="L385">
        <v>563</v>
      </c>
      <c r="P385">
        <v>1</v>
      </c>
      <c r="Q385">
        <v>5</v>
      </c>
      <c r="R385">
        <v>2</v>
      </c>
      <c r="U385">
        <v>150</v>
      </c>
      <c r="V385">
        <v>5</v>
      </c>
      <c r="Z385">
        <v>15</v>
      </c>
      <c r="AA385">
        <v>19</v>
      </c>
      <c r="AB385" s="1" t="s">
        <v>1504</v>
      </c>
    </row>
    <row r="386" spans="1:28" x14ac:dyDescent="0.3">
      <c r="A386">
        <v>101109</v>
      </c>
      <c r="B386" s="1" t="s">
        <v>1312</v>
      </c>
      <c r="C386">
        <v>0</v>
      </c>
      <c r="D386">
        <v>1610612752</v>
      </c>
      <c r="E386" s="1" t="s">
        <v>1248</v>
      </c>
      <c r="F386">
        <v>270</v>
      </c>
      <c r="G386">
        <v>54</v>
      </c>
      <c r="H386">
        <v>540</v>
      </c>
      <c r="I386">
        <v>20740</v>
      </c>
      <c r="J386">
        <v>339</v>
      </c>
      <c r="K386">
        <v>801</v>
      </c>
      <c r="L386">
        <v>423</v>
      </c>
      <c r="M386">
        <v>880</v>
      </c>
      <c r="N386">
        <v>2680</v>
      </c>
      <c r="O386">
        <v>328</v>
      </c>
      <c r="P386">
        <v>157</v>
      </c>
      <c r="Q386">
        <v>181</v>
      </c>
      <c r="R386">
        <v>867</v>
      </c>
      <c r="S386">
        <v>400</v>
      </c>
      <c r="T386">
        <v>1540</v>
      </c>
      <c r="U386">
        <v>1940</v>
      </c>
      <c r="V386">
        <v>488</v>
      </c>
      <c r="W386">
        <v>970</v>
      </c>
      <c r="X386">
        <v>110</v>
      </c>
      <c r="Y386">
        <v>1760</v>
      </c>
      <c r="Z386">
        <v>113</v>
      </c>
      <c r="AA386">
        <v>923</v>
      </c>
      <c r="AB386" s="1" t="s">
        <v>1505</v>
      </c>
    </row>
    <row r="387" spans="1:28" x14ac:dyDescent="0.3">
      <c r="A387">
        <v>101109</v>
      </c>
      <c r="B387" s="1" t="s">
        <v>1292</v>
      </c>
      <c r="C387">
        <v>0</v>
      </c>
      <c r="D387">
        <v>1610612752</v>
      </c>
      <c r="E387" s="1" t="s">
        <v>1248</v>
      </c>
      <c r="F387">
        <v>290</v>
      </c>
      <c r="G387">
        <v>68</v>
      </c>
      <c r="H387">
        <v>680</v>
      </c>
      <c r="I387">
        <v>23130</v>
      </c>
      <c r="J387">
        <v>377</v>
      </c>
      <c r="K387">
        <v>882</v>
      </c>
      <c r="L387">
        <v>427</v>
      </c>
      <c r="M387">
        <v>930</v>
      </c>
      <c r="N387">
        <v>2580</v>
      </c>
      <c r="O387">
        <v>36</v>
      </c>
      <c r="P387">
        <v>101</v>
      </c>
      <c r="Q387">
        <v>128</v>
      </c>
      <c r="R387">
        <v>789</v>
      </c>
      <c r="S387">
        <v>510</v>
      </c>
      <c r="T387">
        <v>1430</v>
      </c>
      <c r="U387">
        <v>1940</v>
      </c>
      <c r="V387">
        <v>372</v>
      </c>
      <c r="W387">
        <v>940</v>
      </c>
      <c r="X387">
        <v>140</v>
      </c>
      <c r="Y387">
        <v>1550</v>
      </c>
      <c r="Z387">
        <v>130</v>
      </c>
      <c r="AA387">
        <v>948</v>
      </c>
      <c r="AB387" s="1" t="s">
        <v>1505</v>
      </c>
    </row>
    <row r="388" spans="1:28" x14ac:dyDescent="0.3">
      <c r="A388">
        <v>101109</v>
      </c>
      <c r="B388" s="1" t="s">
        <v>1337</v>
      </c>
      <c r="C388">
        <v>0</v>
      </c>
      <c r="D388">
        <v>1610612752</v>
      </c>
      <c r="E388" s="1" t="s">
        <v>1248</v>
      </c>
      <c r="F388">
        <v>300</v>
      </c>
      <c r="G388">
        <v>65</v>
      </c>
      <c r="H388">
        <v>650</v>
      </c>
      <c r="I388">
        <v>20170</v>
      </c>
      <c r="J388">
        <v>240</v>
      </c>
      <c r="K388">
        <v>608</v>
      </c>
      <c r="L388">
        <v>395</v>
      </c>
      <c r="M388">
        <v>620</v>
      </c>
      <c r="N388">
        <v>1950</v>
      </c>
      <c r="O388">
        <v>318</v>
      </c>
      <c r="P388">
        <v>88</v>
      </c>
      <c r="Q388">
        <v>122</v>
      </c>
      <c r="R388">
        <v>721</v>
      </c>
      <c r="S388">
        <v>540</v>
      </c>
      <c r="T388">
        <v>1430</v>
      </c>
      <c r="U388">
        <v>1970</v>
      </c>
      <c r="V388">
        <v>365</v>
      </c>
      <c r="W388">
        <v>780</v>
      </c>
      <c r="X388">
        <v>270</v>
      </c>
      <c r="Y388">
        <v>1290</v>
      </c>
      <c r="Z388">
        <v>157</v>
      </c>
      <c r="AA388">
        <v>630</v>
      </c>
      <c r="AB388" s="1" t="s">
        <v>1505</v>
      </c>
    </row>
    <row r="389" spans="1:28" x14ac:dyDescent="0.3">
      <c r="A389">
        <v>76328</v>
      </c>
      <c r="B389" s="1" t="s">
        <v>1414</v>
      </c>
      <c r="C389">
        <v>0</v>
      </c>
      <c r="D389">
        <v>1610612752</v>
      </c>
      <c r="E389" s="1" t="s">
        <v>1248</v>
      </c>
      <c r="F389">
        <v>250</v>
      </c>
      <c r="G389">
        <v>2</v>
      </c>
      <c r="I389">
        <v>70</v>
      </c>
      <c r="J389">
        <v>0</v>
      </c>
      <c r="K389">
        <v>1</v>
      </c>
      <c r="L389">
        <v>0</v>
      </c>
      <c r="P389">
        <v>0</v>
      </c>
      <c r="Q389">
        <v>0</v>
      </c>
      <c r="U389">
        <v>10</v>
      </c>
      <c r="V389">
        <v>1</v>
      </c>
      <c r="Z389">
        <v>1</v>
      </c>
      <c r="AA389">
        <v>0</v>
      </c>
      <c r="AB389" s="1" t="s">
        <v>1506</v>
      </c>
    </row>
    <row r="390" spans="1:28" x14ac:dyDescent="0.3">
      <c r="A390">
        <v>77435</v>
      </c>
      <c r="B390" s="1" t="s">
        <v>1469</v>
      </c>
      <c r="C390">
        <v>0</v>
      </c>
      <c r="D390">
        <v>1610612752</v>
      </c>
      <c r="E390" s="1" t="s">
        <v>1248</v>
      </c>
      <c r="F390">
        <v>260</v>
      </c>
      <c r="G390">
        <v>8</v>
      </c>
      <c r="H390">
        <v>0</v>
      </c>
      <c r="I390">
        <v>650</v>
      </c>
      <c r="J390">
        <v>12</v>
      </c>
      <c r="K390">
        <v>30</v>
      </c>
      <c r="L390">
        <v>4</v>
      </c>
      <c r="M390">
        <v>0</v>
      </c>
      <c r="N390">
        <v>0</v>
      </c>
      <c r="O390">
        <v>0</v>
      </c>
      <c r="P390">
        <v>11</v>
      </c>
      <c r="Q390">
        <v>13</v>
      </c>
      <c r="R390">
        <v>846</v>
      </c>
      <c r="S390">
        <v>50</v>
      </c>
      <c r="T390">
        <v>60</v>
      </c>
      <c r="U390">
        <v>110</v>
      </c>
      <c r="V390">
        <v>3</v>
      </c>
      <c r="W390">
        <v>10</v>
      </c>
      <c r="X390">
        <v>0</v>
      </c>
      <c r="Y390">
        <v>60</v>
      </c>
      <c r="Z390">
        <v>17</v>
      </c>
      <c r="AA390">
        <v>35</v>
      </c>
      <c r="AB390" s="1" t="s">
        <v>1507</v>
      </c>
    </row>
    <row r="391" spans="1:28" x14ac:dyDescent="0.3">
      <c r="A391">
        <v>201941</v>
      </c>
      <c r="B391" s="1" t="s">
        <v>1305</v>
      </c>
      <c r="C391">
        <v>0</v>
      </c>
      <c r="D391">
        <v>1610612752</v>
      </c>
      <c r="E391" s="1" t="s">
        <v>1248</v>
      </c>
      <c r="F391">
        <v>220</v>
      </c>
      <c r="G391">
        <v>24</v>
      </c>
      <c r="H391">
        <v>0</v>
      </c>
      <c r="I391">
        <v>2520</v>
      </c>
      <c r="J391">
        <v>41</v>
      </c>
      <c r="K391">
        <v>92</v>
      </c>
      <c r="L391">
        <v>446</v>
      </c>
      <c r="M391">
        <v>0</v>
      </c>
      <c r="N391">
        <v>20</v>
      </c>
      <c r="O391">
        <v>0</v>
      </c>
      <c r="P391">
        <v>15</v>
      </c>
      <c r="Q391">
        <v>21</v>
      </c>
      <c r="R391">
        <v>714</v>
      </c>
      <c r="S391">
        <v>320</v>
      </c>
      <c r="T391">
        <v>290</v>
      </c>
      <c r="U391">
        <v>610</v>
      </c>
      <c r="V391">
        <v>7</v>
      </c>
      <c r="W391">
        <v>100</v>
      </c>
      <c r="X391">
        <v>90</v>
      </c>
      <c r="Y391">
        <v>120</v>
      </c>
      <c r="Z391">
        <v>37</v>
      </c>
      <c r="AA391">
        <v>97</v>
      </c>
      <c r="AB391" s="1" t="s">
        <v>1508</v>
      </c>
    </row>
    <row r="392" spans="1:28" x14ac:dyDescent="0.3">
      <c r="A392">
        <v>76704</v>
      </c>
      <c r="B392" s="1" t="s">
        <v>1362</v>
      </c>
      <c r="C392">
        <v>0</v>
      </c>
      <c r="D392">
        <v>1610612752</v>
      </c>
      <c r="E392" s="1" t="s">
        <v>1248</v>
      </c>
      <c r="F392">
        <v>240</v>
      </c>
      <c r="G392">
        <v>72</v>
      </c>
      <c r="I392">
        <v>20240</v>
      </c>
      <c r="J392">
        <v>364</v>
      </c>
      <c r="K392">
        <v>832</v>
      </c>
      <c r="L392">
        <v>438</v>
      </c>
      <c r="P392">
        <v>310</v>
      </c>
      <c r="Q392">
        <v>498</v>
      </c>
      <c r="R392">
        <v>622</v>
      </c>
      <c r="U392">
        <v>8180</v>
      </c>
      <c r="V392">
        <v>67</v>
      </c>
      <c r="Z392">
        <v>286</v>
      </c>
      <c r="AA392">
        <v>1038</v>
      </c>
      <c r="AB392" s="1" t="s">
        <v>1509</v>
      </c>
    </row>
    <row r="393" spans="1:28" x14ac:dyDescent="0.3">
      <c r="A393">
        <v>76704</v>
      </c>
      <c r="B393" s="1" t="s">
        <v>1315</v>
      </c>
      <c r="C393">
        <v>0</v>
      </c>
      <c r="D393">
        <v>1610612752</v>
      </c>
      <c r="E393" s="1" t="s">
        <v>1248</v>
      </c>
      <c r="F393">
        <v>250</v>
      </c>
      <c r="G393">
        <v>72</v>
      </c>
      <c r="I393">
        <v>17020</v>
      </c>
      <c r="J393">
        <v>277</v>
      </c>
      <c r="K393">
        <v>668</v>
      </c>
      <c r="L393">
        <v>415</v>
      </c>
      <c r="P393">
        <v>331</v>
      </c>
      <c r="Q393">
        <v>469</v>
      </c>
      <c r="R393">
        <v>706</v>
      </c>
      <c r="U393">
        <v>6230</v>
      </c>
      <c r="V393">
        <v>47</v>
      </c>
      <c r="Z393">
        <v>293</v>
      </c>
      <c r="AA393">
        <v>885</v>
      </c>
      <c r="AB393" s="1" t="s">
        <v>1509</v>
      </c>
    </row>
    <row r="394" spans="1:28" x14ac:dyDescent="0.3">
      <c r="A394">
        <v>76704</v>
      </c>
      <c r="B394" s="1" t="s">
        <v>1318</v>
      </c>
      <c r="C394">
        <v>0</v>
      </c>
      <c r="D394">
        <v>1610612752</v>
      </c>
      <c r="E394" s="1" t="s">
        <v>1248</v>
      </c>
      <c r="F394">
        <v>260</v>
      </c>
      <c r="G394">
        <v>72</v>
      </c>
      <c r="I394">
        <v>16220</v>
      </c>
      <c r="J394">
        <v>295</v>
      </c>
      <c r="K394">
        <v>709</v>
      </c>
      <c r="L394">
        <v>416</v>
      </c>
      <c r="P394">
        <v>277</v>
      </c>
      <c r="Q394">
        <v>371</v>
      </c>
      <c r="R394">
        <v>747</v>
      </c>
      <c r="U394">
        <v>5870</v>
      </c>
      <c r="V394">
        <v>36</v>
      </c>
      <c r="Z394">
        <v>284</v>
      </c>
      <c r="AA394">
        <v>867</v>
      </c>
      <c r="AB394" s="1" t="s">
        <v>1509</v>
      </c>
    </row>
    <row r="395" spans="1:28" x14ac:dyDescent="0.3">
      <c r="A395">
        <v>76704</v>
      </c>
      <c r="B395" s="1" t="s">
        <v>1320</v>
      </c>
      <c r="C395">
        <v>0</v>
      </c>
      <c r="D395">
        <v>1610612752</v>
      </c>
      <c r="E395" s="1" t="s">
        <v>1248</v>
      </c>
      <c r="F395">
        <v>270</v>
      </c>
      <c r="G395">
        <v>72</v>
      </c>
      <c r="I395">
        <v>17090</v>
      </c>
      <c r="J395">
        <v>304</v>
      </c>
      <c r="K395">
        <v>688</v>
      </c>
      <c r="L395">
        <v>442</v>
      </c>
      <c r="P395">
        <v>271</v>
      </c>
      <c r="Q395">
        <v>389</v>
      </c>
      <c r="R395">
        <v>697</v>
      </c>
      <c r="U395">
        <v>7470</v>
      </c>
      <c r="V395">
        <v>52</v>
      </c>
      <c r="Z395">
        <v>283</v>
      </c>
      <c r="AA395">
        <v>879</v>
      </c>
      <c r="AB395" s="1" t="s">
        <v>1509</v>
      </c>
    </row>
    <row r="396" spans="1:28" x14ac:dyDescent="0.3">
      <c r="A396">
        <v>76704</v>
      </c>
      <c r="B396" s="1" t="s">
        <v>1250</v>
      </c>
      <c r="C396">
        <v>0</v>
      </c>
      <c r="D396">
        <v>1610612752</v>
      </c>
      <c r="E396" s="1" t="s">
        <v>1248</v>
      </c>
      <c r="F396">
        <v>280</v>
      </c>
      <c r="G396">
        <v>72</v>
      </c>
      <c r="I396">
        <v>15880</v>
      </c>
      <c r="J396">
        <v>260</v>
      </c>
      <c r="K396">
        <v>700</v>
      </c>
      <c r="L396">
        <v>371</v>
      </c>
      <c r="P396">
        <v>229</v>
      </c>
      <c r="Q396">
        <v>321</v>
      </c>
      <c r="R396">
        <v>713</v>
      </c>
      <c r="U396">
        <v>5690</v>
      </c>
      <c r="V396">
        <v>49</v>
      </c>
      <c r="Z396">
        <v>275</v>
      </c>
      <c r="AA396">
        <v>749</v>
      </c>
      <c r="AB396" s="1" t="s">
        <v>1509</v>
      </c>
    </row>
    <row r="397" spans="1:28" x14ac:dyDescent="0.3">
      <c r="A397">
        <v>101181</v>
      </c>
      <c r="B397" s="1" t="s">
        <v>1343</v>
      </c>
      <c r="C397">
        <v>0</v>
      </c>
      <c r="D397">
        <v>1610612752</v>
      </c>
      <c r="E397" s="1" t="s">
        <v>1248</v>
      </c>
      <c r="F397">
        <v>330</v>
      </c>
      <c r="G397">
        <v>42</v>
      </c>
      <c r="H397">
        <v>420</v>
      </c>
      <c r="I397">
        <v>12700</v>
      </c>
      <c r="J397">
        <v>147</v>
      </c>
      <c r="K397">
        <v>354</v>
      </c>
      <c r="L397">
        <v>415</v>
      </c>
      <c r="M397">
        <v>590</v>
      </c>
      <c r="N397">
        <v>1420</v>
      </c>
      <c r="O397">
        <v>415</v>
      </c>
      <c r="P397">
        <v>29</v>
      </c>
      <c r="Q397">
        <v>32</v>
      </c>
      <c r="R397">
        <v>906</v>
      </c>
      <c r="S397">
        <v>190</v>
      </c>
      <c r="T397">
        <v>1050</v>
      </c>
      <c r="U397">
        <v>1240</v>
      </c>
      <c r="V397">
        <v>198</v>
      </c>
      <c r="W397">
        <v>310</v>
      </c>
      <c r="X397">
        <v>0</v>
      </c>
      <c r="Y397">
        <v>750</v>
      </c>
      <c r="Z397">
        <v>76</v>
      </c>
      <c r="AA397">
        <v>382</v>
      </c>
      <c r="AB397" s="1" t="s">
        <v>1510</v>
      </c>
    </row>
    <row r="398" spans="1:28" x14ac:dyDescent="0.3">
      <c r="A398">
        <v>101181</v>
      </c>
      <c r="B398" s="1" t="s">
        <v>1279</v>
      </c>
      <c r="C398">
        <v>0</v>
      </c>
      <c r="D398">
        <v>1610612752</v>
      </c>
      <c r="E398" s="1" t="s">
        <v>1248</v>
      </c>
      <c r="F398">
        <v>340</v>
      </c>
      <c r="G398">
        <v>72</v>
      </c>
      <c r="H398">
        <v>720</v>
      </c>
      <c r="I398">
        <v>20240</v>
      </c>
      <c r="J398">
        <v>209</v>
      </c>
      <c r="K398">
        <v>455</v>
      </c>
      <c r="L398">
        <v>459</v>
      </c>
      <c r="M398">
        <v>840</v>
      </c>
      <c r="N398">
        <v>2030</v>
      </c>
      <c r="O398">
        <v>414</v>
      </c>
      <c r="P398">
        <v>42</v>
      </c>
      <c r="Q398">
        <v>48</v>
      </c>
      <c r="R398">
        <v>875</v>
      </c>
      <c r="S398">
        <v>220</v>
      </c>
      <c r="T398">
        <v>2070</v>
      </c>
      <c r="U398">
        <v>2290</v>
      </c>
      <c r="V398">
        <v>298</v>
      </c>
      <c r="W398">
        <v>630</v>
      </c>
      <c r="X398">
        <v>70</v>
      </c>
      <c r="Y398">
        <v>870</v>
      </c>
      <c r="Z398">
        <v>135</v>
      </c>
      <c r="AA398">
        <v>544</v>
      </c>
      <c r="AB398" s="1" t="s">
        <v>1510</v>
      </c>
    </row>
    <row r="399" spans="1:28" x14ac:dyDescent="0.3">
      <c r="A399">
        <v>77425</v>
      </c>
      <c r="B399" s="1" t="s">
        <v>1299</v>
      </c>
      <c r="C399">
        <v>0</v>
      </c>
      <c r="D399">
        <v>1610612752</v>
      </c>
      <c r="E399" s="1" t="s">
        <v>1248</v>
      </c>
      <c r="F399">
        <v>250</v>
      </c>
      <c r="G399">
        <v>24</v>
      </c>
      <c r="I399">
        <v>0</v>
      </c>
      <c r="J399">
        <v>117</v>
      </c>
      <c r="K399">
        <v>311</v>
      </c>
      <c r="L399">
        <v>376</v>
      </c>
      <c r="P399">
        <v>90</v>
      </c>
      <c r="Q399">
        <v>112</v>
      </c>
      <c r="R399">
        <v>804</v>
      </c>
      <c r="U399">
        <v>0</v>
      </c>
      <c r="V399">
        <v>34</v>
      </c>
      <c r="Z399">
        <v>74</v>
      </c>
      <c r="AA399">
        <v>324</v>
      </c>
      <c r="AB399" s="1" t="s">
        <v>1511</v>
      </c>
    </row>
    <row r="400" spans="1:28" x14ac:dyDescent="0.3">
      <c r="A400">
        <v>77425</v>
      </c>
      <c r="B400" s="1" t="s">
        <v>1266</v>
      </c>
      <c r="C400">
        <v>0</v>
      </c>
      <c r="D400">
        <v>1610612752</v>
      </c>
      <c r="E400" s="1" t="s">
        <v>1248</v>
      </c>
      <c r="F400">
        <v>260</v>
      </c>
      <c r="G400">
        <v>58</v>
      </c>
      <c r="J400">
        <v>91</v>
      </c>
      <c r="K400">
        <v>283</v>
      </c>
      <c r="L400">
        <v>322</v>
      </c>
      <c r="P400">
        <v>86</v>
      </c>
      <c r="Q400">
        <v>108</v>
      </c>
      <c r="R400">
        <v>796</v>
      </c>
      <c r="V400">
        <v>90</v>
      </c>
      <c r="Z400">
        <v>117</v>
      </c>
      <c r="AA400">
        <v>268</v>
      </c>
      <c r="AB400" s="1" t="s">
        <v>1511</v>
      </c>
    </row>
    <row r="401" spans="1:28" x14ac:dyDescent="0.3">
      <c r="A401">
        <v>77425</v>
      </c>
      <c r="B401" s="1" t="s">
        <v>1378</v>
      </c>
      <c r="C401">
        <v>0</v>
      </c>
      <c r="D401">
        <v>1610612752</v>
      </c>
      <c r="E401" s="1" t="s">
        <v>1248</v>
      </c>
      <c r="F401">
        <v>270</v>
      </c>
      <c r="G401">
        <v>64</v>
      </c>
      <c r="J401">
        <v>153</v>
      </c>
      <c r="K401">
        <v>379</v>
      </c>
      <c r="L401">
        <v>404</v>
      </c>
      <c r="P401">
        <v>124</v>
      </c>
      <c r="Q401">
        <v>160</v>
      </c>
      <c r="R401">
        <v>775</v>
      </c>
      <c r="U401">
        <v>1250</v>
      </c>
      <c r="V401">
        <v>115</v>
      </c>
      <c r="Z401">
        <v>160</v>
      </c>
      <c r="AA401">
        <v>430</v>
      </c>
      <c r="AB401" s="1" t="s">
        <v>1511</v>
      </c>
    </row>
    <row r="402" spans="1:28" x14ac:dyDescent="0.3">
      <c r="A402">
        <v>77425</v>
      </c>
      <c r="B402" s="1" t="s">
        <v>1247</v>
      </c>
      <c r="C402">
        <v>0</v>
      </c>
      <c r="D402">
        <v>1610612752</v>
      </c>
      <c r="E402" s="1" t="s">
        <v>1248</v>
      </c>
      <c r="F402">
        <v>280</v>
      </c>
      <c r="G402">
        <v>62</v>
      </c>
      <c r="I402">
        <v>13170</v>
      </c>
      <c r="J402">
        <v>184</v>
      </c>
      <c r="K402">
        <v>476</v>
      </c>
      <c r="L402">
        <v>387</v>
      </c>
      <c r="P402">
        <v>90</v>
      </c>
      <c r="Q402">
        <v>119</v>
      </c>
      <c r="R402">
        <v>756</v>
      </c>
      <c r="U402">
        <v>1250</v>
      </c>
      <c r="V402">
        <v>123</v>
      </c>
      <c r="Z402">
        <v>165</v>
      </c>
      <c r="AA402">
        <v>458</v>
      </c>
      <c r="AB402" s="1" t="s">
        <v>1511</v>
      </c>
    </row>
    <row r="403" spans="1:28" x14ac:dyDescent="0.3">
      <c r="A403">
        <v>1628439</v>
      </c>
      <c r="B403" s="1" t="s">
        <v>1259</v>
      </c>
      <c r="C403">
        <v>0</v>
      </c>
      <c r="D403">
        <v>1610612752</v>
      </c>
      <c r="E403" s="1" t="s">
        <v>1248</v>
      </c>
      <c r="F403">
        <v>230</v>
      </c>
      <c r="G403">
        <v>18</v>
      </c>
      <c r="H403">
        <v>0</v>
      </c>
      <c r="I403">
        <v>2390</v>
      </c>
      <c r="J403">
        <v>33</v>
      </c>
      <c r="K403">
        <v>72</v>
      </c>
      <c r="L403">
        <v>458</v>
      </c>
      <c r="M403">
        <v>20</v>
      </c>
      <c r="N403">
        <v>90</v>
      </c>
      <c r="O403">
        <v>222</v>
      </c>
      <c r="P403">
        <v>12</v>
      </c>
      <c r="Q403">
        <v>18</v>
      </c>
      <c r="R403">
        <v>667</v>
      </c>
      <c r="S403">
        <v>100</v>
      </c>
      <c r="T403">
        <v>310</v>
      </c>
      <c r="U403">
        <v>410</v>
      </c>
      <c r="V403">
        <v>16</v>
      </c>
      <c r="W403">
        <v>20</v>
      </c>
      <c r="X403">
        <v>40</v>
      </c>
      <c r="Y403">
        <v>160</v>
      </c>
      <c r="Z403">
        <v>45</v>
      </c>
      <c r="AA403">
        <v>80</v>
      </c>
      <c r="AB403" s="1" t="s">
        <v>1512</v>
      </c>
    </row>
    <row r="404" spans="1:28" x14ac:dyDescent="0.3">
      <c r="A404">
        <v>1628439</v>
      </c>
      <c r="B404" s="1" t="s">
        <v>1287</v>
      </c>
      <c r="C404">
        <v>0</v>
      </c>
      <c r="D404">
        <v>1610612752</v>
      </c>
      <c r="E404" s="1" t="s">
        <v>1248</v>
      </c>
      <c r="F404">
        <v>240</v>
      </c>
      <c r="G404">
        <v>3</v>
      </c>
      <c r="H404">
        <v>0</v>
      </c>
      <c r="I404">
        <v>320</v>
      </c>
      <c r="J404">
        <v>4</v>
      </c>
      <c r="K404">
        <v>8</v>
      </c>
      <c r="L404">
        <v>5</v>
      </c>
      <c r="M404">
        <v>0</v>
      </c>
      <c r="N404">
        <v>0</v>
      </c>
      <c r="O404">
        <v>0</v>
      </c>
      <c r="P404">
        <v>4</v>
      </c>
      <c r="Q404">
        <v>5</v>
      </c>
      <c r="R404">
        <v>8</v>
      </c>
      <c r="S404">
        <v>20</v>
      </c>
      <c r="T404">
        <v>50</v>
      </c>
      <c r="U404">
        <v>70</v>
      </c>
      <c r="V404">
        <v>2</v>
      </c>
      <c r="W404">
        <v>10</v>
      </c>
      <c r="X404">
        <v>30</v>
      </c>
      <c r="Y404">
        <v>10</v>
      </c>
      <c r="Z404">
        <v>5</v>
      </c>
      <c r="AA404">
        <v>12</v>
      </c>
      <c r="AB404" s="1" t="s">
        <v>1512</v>
      </c>
    </row>
    <row r="405" spans="1:28" x14ac:dyDescent="0.3">
      <c r="A405">
        <v>76694</v>
      </c>
      <c r="B405" s="1" t="s">
        <v>1250</v>
      </c>
      <c r="C405">
        <v>0</v>
      </c>
      <c r="D405">
        <v>1610612752</v>
      </c>
      <c r="E405" s="1" t="s">
        <v>1248</v>
      </c>
      <c r="F405">
        <v>220</v>
      </c>
      <c r="G405">
        <v>72</v>
      </c>
      <c r="I405">
        <v>15450</v>
      </c>
      <c r="J405">
        <v>176</v>
      </c>
      <c r="K405">
        <v>498</v>
      </c>
      <c r="L405">
        <v>353</v>
      </c>
      <c r="P405">
        <v>83</v>
      </c>
      <c r="Q405">
        <v>99</v>
      </c>
      <c r="R405">
        <v>838</v>
      </c>
      <c r="U405">
        <v>3150</v>
      </c>
      <c r="V405">
        <v>66</v>
      </c>
      <c r="Z405">
        <v>152</v>
      </c>
      <c r="AA405">
        <v>435</v>
      </c>
      <c r="AB405" s="1" t="s">
        <v>1513</v>
      </c>
    </row>
    <row r="406" spans="1:28" x14ac:dyDescent="0.3">
      <c r="A406">
        <v>76694</v>
      </c>
      <c r="B406" s="1" t="s">
        <v>1321</v>
      </c>
      <c r="C406">
        <v>0</v>
      </c>
      <c r="D406">
        <v>1610612752</v>
      </c>
      <c r="E406" s="1" t="s">
        <v>1248</v>
      </c>
      <c r="F406">
        <v>230</v>
      </c>
      <c r="G406">
        <v>67</v>
      </c>
      <c r="I406">
        <v>15360</v>
      </c>
      <c r="J406">
        <v>212</v>
      </c>
      <c r="K406">
        <v>568</v>
      </c>
      <c r="L406">
        <v>373</v>
      </c>
      <c r="P406">
        <v>70</v>
      </c>
      <c r="Q406">
        <v>83</v>
      </c>
      <c r="R406">
        <v>843</v>
      </c>
      <c r="U406">
        <v>3850</v>
      </c>
      <c r="V406">
        <v>57</v>
      </c>
      <c r="Z406">
        <v>130</v>
      </c>
      <c r="AA406">
        <v>494</v>
      </c>
      <c r="AB406" s="1" t="s">
        <v>1513</v>
      </c>
    </row>
    <row r="407" spans="1:28" x14ac:dyDescent="0.3">
      <c r="A407">
        <v>76322</v>
      </c>
      <c r="B407" s="1" t="s">
        <v>1339</v>
      </c>
      <c r="C407">
        <v>0</v>
      </c>
      <c r="D407">
        <v>1610612752</v>
      </c>
      <c r="E407" s="1" t="s">
        <v>1248</v>
      </c>
      <c r="F407">
        <v>240</v>
      </c>
      <c r="G407">
        <v>60</v>
      </c>
      <c r="J407">
        <v>175</v>
      </c>
      <c r="K407">
        <v>583</v>
      </c>
      <c r="L407">
        <v>3</v>
      </c>
      <c r="P407">
        <v>103</v>
      </c>
      <c r="Q407">
        <v>160</v>
      </c>
      <c r="R407">
        <v>644</v>
      </c>
      <c r="V407">
        <v>35</v>
      </c>
      <c r="Z407">
        <v>90</v>
      </c>
      <c r="AA407">
        <v>453</v>
      </c>
      <c r="AB407" s="1" t="s">
        <v>1514</v>
      </c>
    </row>
    <row r="408" spans="1:28" x14ac:dyDescent="0.3">
      <c r="A408">
        <v>76322</v>
      </c>
      <c r="B408" s="1" t="s">
        <v>1297</v>
      </c>
      <c r="C408">
        <v>0</v>
      </c>
      <c r="D408">
        <v>1610612752</v>
      </c>
      <c r="E408" s="1" t="s">
        <v>1248</v>
      </c>
      <c r="F408">
        <v>250</v>
      </c>
      <c r="G408">
        <v>47</v>
      </c>
      <c r="J408">
        <v>117</v>
      </c>
      <c r="K408">
        <v>410</v>
      </c>
      <c r="L408">
        <v>285</v>
      </c>
      <c r="P408">
        <v>65</v>
      </c>
      <c r="Q408">
        <v>103</v>
      </c>
      <c r="R408">
        <v>631</v>
      </c>
      <c r="V408">
        <v>17</v>
      </c>
      <c r="Z408">
        <v>56</v>
      </c>
      <c r="AA408">
        <v>299</v>
      </c>
      <c r="AB408" s="1" t="s">
        <v>1514</v>
      </c>
    </row>
    <row r="409" spans="1:28" x14ac:dyDescent="0.3">
      <c r="A409">
        <v>76322</v>
      </c>
      <c r="B409" s="1" t="s">
        <v>1299</v>
      </c>
      <c r="C409">
        <v>0</v>
      </c>
      <c r="D409">
        <v>1610612752</v>
      </c>
      <c r="E409" s="1" t="s">
        <v>1248</v>
      </c>
      <c r="F409">
        <v>260</v>
      </c>
      <c r="G409">
        <v>35</v>
      </c>
      <c r="I409">
        <v>0</v>
      </c>
      <c r="J409">
        <v>77</v>
      </c>
      <c r="K409">
        <v>270</v>
      </c>
      <c r="L409">
        <v>285</v>
      </c>
      <c r="P409">
        <v>46</v>
      </c>
      <c r="Q409">
        <v>81</v>
      </c>
      <c r="R409">
        <v>568</v>
      </c>
      <c r="U409">
        <v>0</v>
      </c>
      <c r="V409">
        <v>54</v>
      </c>
      <c r="Z409">
        <v>53</v>
      </c>
      <c r="AA409">
        <v>200</v>
      </c>
      <c r="AB409" s="1" t="s">
        <v>1514</v>
      </c>
    </row>
    <row r="410" spans="1:28" x14ac:dyDescent="0.3">
      <c r="A410">
        <v>335</v>
      </c>
      <c r="B410" s="1" t="s">
        <v>1276</v>
      </c>
      <c r="C410">
        <v>0</v>
      </c>
      <c r="D410">
        <v>1610612752</v>
      </c>
      <c r="E410" s="1" t="s">
        <v>1248</v>
      </c>
      <c r="F410">
        <v>290</v>
      </c>
      <c r="G410">
        <v>27</v>
      </c>
      <c r="H410">
        <v>20</v>
      </c>
      <c r="I410">
        <v>4960</v>
      </c>
      <c r="J410">
        <v>56</v>
      </c>
      <c r="K410">
        <v>133</v>
      </c>
      <c r="L410">
        <v>421</v>
      </c>
      <c r="M410">
        <v>50</v>
      </c>
      <c r="N410">
        <v>250</v>
      </c>
      <c r="O410">
        <v>2</v>
      </c>
      <c r="P410">
        <v>19</v>
      </c>
      <c r="Q410">
        <v>31</v>
      </c>
      <c r="R410">
        <v>613</v>
      </c>
      <c r="S410">
        <v>130</v>
      </c>
      <c r="T410">
        <v>470</v>
      </c>
      <c r="U410">
        <v>600</v>
      </c>
      <c r="V410">
        <v>48</v>
      </c>
      <c r="W410">
        <v>170</v>
      </c>
      <c r="X410">
        <v>80</v>
      </c>
      <c r="Y410">
        <v>240</v>
      </c>
      <c r="Z410">
        <v>59</v>
      </c>
      <c r="AA410">
        <v>136</v>
      </c>
      <c r="AB410" s="1" t="s">
        <v>1515</v>
      </c>
    </row>
    <row r="411" spans="1:28" x14ac:dyDescent="0.3">
      <c r="A411">
        <v>77420</v>
      </c>
      <c r="B411" s="1" t="s">
        <v>1284</v>
      </c>
      <c r="C411">
        <v>0</v>
      </c>
      <c r="D411">
        <v>1610612752</v>
      </c>
      <c r="E411" s="1" t="s">
        <v>1248</v>
      </c>
      <c r="F411">
        <v>300</v>
      </c>
      <c r="G411">
        <v>80</v>
      </c>
      <c r="H411">
        <v>740</v>
      </c>
      <c r="I411">
        <v>26710</v>
      </c>
      <c r="J411">
        <v>505</v>
      </c>
      <c r="K411">
        <v>1001</v>
      </c>
      <c r="L411">
        <v>504</v>
      </c>
      <c r="M411">
        <v>0</v>
      </c>
      <c r="N411">
        <v>30</v>
      </c>
      <c r="O411">
        <v>0</v>
      </c>
      <c r="P411">
        <v>253</v>
      </c>
      <c r="Q411">
        <v>349</v>
      </c>
      <c r="R411">
        <v>725</v>
      </c>
      <c r="S411">
        <v>2740</v>
      </c>
      <c r="T411">
        <v>6290</v>
      </c>
      <c r="U411">
        <v>9030</v>
      </c>
      <c r="V411">
        <v>179</v>
      </c>
      <c r="W411">
        <v>680</v>
      </c>
      <c r="X411">
        <v>700</v>
      </c>
      <c r="Y411">
        <v>1730</v>
      </c>
      <c r="Z411">
        <v>309</v>
      </c>
      <c r="AA411">
        <v>1263</v>
      </c>
      <c r="AB411" s="1" t="s">
        <v>1516</v>
      </c>
    </row>
    <row r="412" spans="1:28" x14ac:dyDescent="0.3">
      <c r="A412">
        <v>1626209</v>
      </c>
      <c r="B412" s="1" t="s">
        <v>1287</v>
      </c>
      <c r="C412">
        <v>0</v>
      </c>
      <c r="D412">
        <v>1610612752</v>
      </c>
      <c r="E412" s="1" t="s">
        <v>1248</v>
      </c>
      <c r="F412">
        <v>240</v>
      </c>
      <c r="G412">
        <v>58</v>
      </c>
      <c r="H412">
        <v>240</v>
      </c>
      <c r="I412">
        <v>12060</v>
      </c>
      <c r="J412">
        <v>191</v>
      </c>
      <c r="K412">
        <v>464</v>
      </c>
      <c r="L412">
        <v>412</v>
      </c>
      <c r="M412">
        <v>420</v>
      </c>
      <c r="N412">
        <v>1520</v>
      </c>
      <c r="O412">
        <v>276</v>
      </c>
      <c r="P412">
        <v>87</v>
      </c>
      <c r="Q412">
        <v>114</v>
      </c>
      <c r="R412">
        <v>763</v>
      </c>
      <c r="S412">
        <v>280</v>
      </c>
      <c r="T412">
        <v>2110</v>
      </c>
      <c r="U412">
        <v>2390</v>
      </c>
      <c r="V412">
        <v>88</v>
      </c>
      <c r="W412">
        <v>570</v>
      </c>
      <c r="X412">
        <v>80</v>
      </c>
      <c r="Y412">
        <v>880</v>
      </c>
      <c r="Z412">
        <v>110</v>
      </c>
      <c r="AA412">
        <v>511</v>
      </c>
      <c r="AB412" s="1" t="s">
        <v>1517</v>
      </c>
    </row>
    <row r="413" spans="1:28" x14ac:dyDescent="0.3">
      <c r="A413">
        <v>121</v>
      </c>
      <c r="B413" s="1" t="s">
        <v>1392</v>
      </c>
      <c r="C413">
        <v>0</v>
      </c>
      <c r="D413">
        <v>1610612752</v>
      </c>
      <c r="E413" s="1" t="s">
        <v>1248</v>
      </c>
      <c r="F413">
        <v>230</v>
      </c>
      <c r="G413">
        <v>50</v>
      </c>
      <c r="H413">
        <v>500</v>
      </c>
      <c r="I413">
        <v>17710</v>
      </c>
      <c r="J413">
        <v>386</v>
      </c>
      <c r="K413">
        <v>814</v>
      </c>
      <c r="L413">
        <v>474</v>
      </c>
      <c r="M413">
        <v>0</v>
      </c>
      <c r="N413">
        <v>50</v>
      </c>
      <c r="O413">
        <v>0</v>
      </c>
      <c r="P413">
        <v>226</v>
      </c>
      <c r="Q413">
        <v>306</v>
      </c>
      <c r="R413">
        <v>739</v>
      </c>
      <c r="S413">
        <v>1240</v>
      </c>
      <c r="T413">
        <v>3270</v>
      </c>
      <c r="U413">
        <v>4510</v>
      </c>
      <c r="V413">
        <v>102</v>
      </c>
      <c r="W413">
        <v>540</v>
      </c>
      <c r="X413">
        <v>1030</v>
      </c>
      <c r="Y413">
        <v>1720</v>
      </c>
      <c r="Z413">
        <v>191</v>
      </c>
      <c r="AA413">
        <v>998</v>
      </c>
      <c r="AB413" s="1" t="s">
        <v>1518</v>
      </c>
    </row>
    <row r="414" spans="1:28" x14ac:dyDescent="0.3">
      <c r="A414">
        <v>121</v>
      </c>
      <c r="B414" s="1" t="s">
        <v>1394</v>
      </c>
      <c r="C414">
        <v>0</v>
      </c>
      <c r="D414">
        <v>1610612752</v>
      </c>
      <c r="E414" s="1" t="s">
        <v>1248</v>
      </c>
      <c r="F414">
        <v>240</v>
      </c>
      <c r="G414">
        <v>63</v>
      </c>
      <c r="H414">
        <v>630</v>
      </c>
      <c r="I414">
        <v>22060</v>
      </c>
      <c r="J414">
        <v>530</v>
      </c>
      <c r="K414">
        <v>1053</v>
      </c>
      <c r="L414">
        <v>503</v>
      </c>
      <c r="M414">
        <v>0</v>
      </c>
      <c r="N414">
        <v>70</v>
      </c>
      <c r="O414">
        <v>0</v>
      </c>
      <c r="P414">
        <v>296</v>
      </c>
      <c r="Q414">
        <v>415</v>
      </c>
      <c r="R414">
        <v>713</v>
      </c>
      <c r="S414">
        <v>1570</v>
      </c>
      <c r="T414">
        <v>3980</v>
      </c>
      <c r="U414">
        <v>5550</v>
      </c>
      <c r="V414">
        <v>104</v>
      </c>
      <c r="W414">
        <v>890</v>
      </c>
      <c r="X414">
        <v>1470</v>
      </c>
      <c r="Y414">
        <v>2290</v>
      </c>
      <c r="Z414">
        <v>248</v>
      </c>
      <c r="AA414">
        <v>1356</v>
      </c>
      <c r="AB414" s="1" t="s">
        <v>1518</v>
      </c>
    </row>
    <row r="415" spans="1:28" x14ac:dyDescent="0.3">
      <c r="A415">
        <v>121</v>
      </c>
      <c r="B415" s="1" t="s">
        <v>1253</v>
      </c>
      <c r="C415">
        <v>0</v>
      </c>
      <c r="D415">
        <v>1610612752</v>
      </c>
      <c r="E415" s="1" t="s">
        <v>1248</v>
      </c>
      <c r="F415">
        <v>250</v>
      </c>
      <c r="G415">
        <v>82</v>
      </c>
      <c r="H415">
        <v>820</v>
      </c>
      <c r="I415">
        <v>25460</v>
      </c>
      <c r="J415">
        <v>656</v>
      </c>
      <c r="K415">
        <v>1183</v>
      </c>
      <c r="L415">
        <v>555</v>
      </c>
      <c r="M415">
        <v>0</v>
      </c>
      <c r="N415">
        <v>30</v>
      </c>
      <c r="O415">
        <v>0</v>
      </c>
      <c r="P415">
        <v>341</v>
      </c>
      <c r="Q415">
        <v>476</v>
      </c>
      <c r="R415">
        <v>716</v>
      </c>
      <c r="S415">
        <v>2450</v>
      </c>
      <c r="T415">
        <v>4310</v>
      </c>
      <c r="U415">
        <v>6760</v>
      </c>
      <c r="V415">
        <v>125</v>
      </c>
      <c r="W415">
        <v>1040</v>
      </c>
      <c r="X415">
        <v>2450</v>
      </c>
      <c r="Y415">
        <v>2870</v>
      </c>
      <c r="Z415">
        <v>332</v>
      </c>
      <c r="AA415">
        <v>1653</v>
      </c>
      <c r="AB415" s="1" t="s">
        <v>1518</v>
      </c>
    </row>
    <row r="416" spans="1:28" x14ac:dyDescent="0.3">
      <c r="A416">
        <v>121</v>
      </c>
      <c r="B416" s="1" t="s">
        <v>1268</v>
      </c>
      <c r="C416">
        <v>0</v>
      </c>
      <c r="D416">
        <v>1610612752</v>
      </c>
      <c r="E416" s="1" t="s">
        <v>1248</v>
      </c>
      <c r="F416">
        <v>260</v>
      </c>
      <c r="G416">
        <v>80</v>
      </c>
      <c r="H416">
        <v>800</v>
      </c>
      <c r="I416">
        <v>28960</v>
      </c>
      <c r="J416">
        <v>727</v>
      </c>
      <c r="K416">
        <v>1282</v>
      </c>
      <c r="L416">
        <v>567</v>
      </c>
      <c r="M416">
        <v>0</v>
      </c>
      <c r="N416">
        <v>60</v>
      </c>
      <c r="O416">
        <v>0</v>
      </c>
      <c r="P416">
        <v>361</v>
      </c>
      <c r="Q416">
        <v>484</v>
      </c>
      <c r="R416">
        <v>746</v>
      </c>
      <c r="S416">
        <v>2130</v>
      </c>
      <c r="T416">
        <v>5270</v>
      </c>
      <c r="U416">
        <v>7400</v>
      </c>
      <c r="V416">
        <v>188</v>
      </c>
      <c r="W416">
        <v>1170</v>
      </c>
      <c r="X416">
        <v>2810</v>
      </c>
      <c r="Y416">
        <v>2660</v>
      </c>
      <c r="Z416">
        <v>311</v>
      </c>
      <c r="AA416">
        <v>1815</v>
      </c>
      <c r="AB416" s="1" t="s">
        <v>1518</v>
      </c>
    </row>
    <row r="417" spans="1:28" x14ac:dyDescent="0.3">
      <c r="A417">
        <v>121</v>
      </c>
      <c r="B417" s="1" t="s">
        <v>1270</v>
      </c>
      <c r="C417">
        <v>0</v>
      </c>
      <c r="D417">
        <v>1610612752</v>
      </c>
      <c r="E417" s="1" t="s">
        <v>1248</v>
      </c>
      <c r="F417">
        <v>270</v>
      </c>
      <c r="G417">
        <v>82</v>
      </c>
      <c r="H417">
        <v>820</v>
      </c>
      <c r="I417">
        <v>31650</v>
      </c>
      <c r="J417">
        <v>922</v>
      </c>
      <c r="K417">
        <v>1673</v>
      </c>
      <c r="L417">
        <v>551</v>
      </c>
      <c r="M417">
        <v>10</v>
      </c>
      <c r="N417">
        <v>40</v>
      </c>
      <c r="O417">
        <v>25</v>
      </c>
      <c r="P417">
        <v>502</v>
      </c>
      <c r="Q417">
        <v>648</v>
      </c>
      <c r="R417">
        <v>775</v>
      </c>
      <c r="S417">
        <v>2350</v>
      </c>
      <c r="T417">
        <v>6580</v>
      </c>
      <c r="U417">
        <v>8930</v>
      </c>
      <c r="V417">
        <v>182</v>
      </c>
      <c r="W417">
        <v>780</v>
      </c>
      <c r="X417">
        <v>3270</v>
      </c>
      <c r="Y417">
        <v>2780</v>
      </c>
      <c r="Z417">
        <v>325</v>
      </c>
      <c r="AA417">
        <v>2347</v>
      </c>
      <c r="AB417" s="1" t="s">
        <v>1518</v>
      </c>
    </row>
    <row r="418" spans="1:28" x14ac:dyDescent="0.3">
      <c r="A418">
        <v>121</v>
      </c>
      <c r="B418" s="1" t="s">
        <v>1271</v>
      </c>
      <c r="C418">
        <v>0</v>
      </c>
      <c r="D418">
        <v>1610612752</v>
      </c>
      <c r="E418" s="1" t="s">
        <v>1248</v>
      </c>
      <c r="F418">
        <v>280</v>
      </c>
      <c r="G418">
        <v>81</v>
      </c>
      <c r="H418">
        <v>810</v>
      </c>
      <c r="I418">
        <v>31040</v>
      </c>
      <c r="J418">
        <v>845</v>
      </c>
      <c r="K418">
        <v>1645</v>
      </c>
      <c r="L418">
        <v>514</v>
      </c>
      <c r="M418">
        <v>0</v>
      </c>
      <c r="N418">
        <v>60</v>
      </c>
      <c r="O418">
        <v>0</v>
      </c>
      <c r="P418">
        <v>464</v>
      </c>
      <c r="Q418">
        <v>623</v>
      </c>
      <c r="R418">
        <v>745</v>
      </c>
      <c r="S418">
        <v>1940</v>
      </c>
      <c r="T418">
        <v>7110</v>
      </c>
      <c r="U418">
        <v>9050</v>
      </c>
      <c r="V418">
        <v>244</v>
      </c>
      <c r="W418">
        <v>800</v>
      </c>
      <c r="X418">
        <v>2580</v>
      </c>
      <c r="Y418">
        <v>2910</v>
      </c>
      <c r="Z418">
        <v>287</v>
      </c>
      <c r="AA418">
        <v>2154</v>
      </c>
      <c r="AB418" s="1" t="s">
        <v>1518</v>
      </c>
    </row>
    <row r="419" spans="1:28" x14ac:dyDescent="0.3">
      <c r="A419">
        <v>121</v>
      </c>
      <c r="B419" s="1" t="s">
        <v>1272</v>
      </c>
      <c r="C419">
        <v>0</v>
      </c>
      <c r="D419">
        <v>1610612752</v>
      </c>
      <c r="E419" s="1" t="s">
        <v>1248</v>
      </c>
      <c r="F419">
        <v>290</v>
      </c>
      <c r="G419">
        <v>82</v>
      </c>
      <c r="H419">
        <v>820</v>
      </c>
      <c r="I419">
        <v>31500</v>
      </c>
      <c r="J419">
        <v>796</v>
      </c>
      <c r="K419">
        <v>1525</v>
      </c>
      <c r="L419">
        <v>522</v>
      </c>
      <c r="M419">
        <v>10</v>
      </c>
      <c r="N419">
        <v>60</v>
      </c>
      <c r="O419">
        <v>167</v>
      </c>
      <c r="P419">
        <v>377</v>
      </c>
      <c r="Q419">
        <v>511</v>
      </c>
      <c r="R419">
        <v>738</v>
      </c>
      <c r="S419">
        <v>2280</v>
      </c>
      <c r="T419">
        <v>6930</v>
      </c>
      <c r="U419">
        <v>9210</v>
      </c>
      <c r="V419">
        <v>156</v>
      </c>
      <c r="W419">
        <v>880</v>
      </c>
      <c r="X419">
        <v>2450</v>
      </c>
      <c r="Y419">
        <v>2090</v>
      </c>
      <c r="Z419">
        <v>277</v>
      </c>
      <c r="AA419">
        <v>1970</v>
      </c>
      <c r="AB419" s="1" t="s">
        <v>1518</v>
      </c>
    </row>
    <row r="420" spans="1:28" x14ac:dyDescent="0.3">
      <c r="A420">
        <v>121</v>
      </c>
      <c r="B420" s="1" t="s">
        <v>1273</v>
      </c>
      <c r="C420">
        <v>0</v>
      </c>
      <c r="D420">
        <v>1610612752</v>
      </c>
      <c r="E420" s="1" t="s">
        <v>1248</v>
      </c>
      <c r="F420">
        <v>300</v>
      </c>
      <c r="G420">
        <v>81</v>
      </c>
      <c r="H420">
        <v>810</v>
      </c>
      <c r="I420">
        <v>30030</v>
      </c>
      <c r="J420">
        <v>779</v>
      </c>
      <c r="K420">
        <v>1550</v>
      </c>
      <c r="L420">
        <v>503</v>
      </c>
      <c r="M420">
        <v>10</v>
      </c>
      <c r="N420">
        <v>70</v>
      </c>
      <c r="O420">
        <v>143</v>
      </c>
      <c r="P420">
        <v>400</v>
      </c>
      <c r="Q420">
        <v>556</v>
      </c>
      <c r="R420">
        <v>719</v>
      </c>
      <c r="S420">
        <v>1910</v>
      </c>
      <c r="T420">
        <v>7890</v>
      </c>
      <c r="U420">
        <v>9800</v>
      </c>
      <c r="V420">
        <v>151</v>
      </c>
      <c r="W420">
        <v>740</v>
      </c>
      <c r="X420">
        <v>1610</v>
      </c>
      <c r="Y420">
        <v>2650</v>
      </c>
      <c r="Z420">
        <v>286</v>
      </c>
      <c r="AA420">
        <v>1959</v>
      </c>
      <c r="AB420" s="1" t="s">
        <v>1518</v>
      </c>
    </row>
    <row r="421" spans="1:28" x14ac:dyDescent="0.3">
      <c r="A421">
        <v>121</v>
      </c>
      <c r="B421" s="1" t="s">
        <v>1274</v>
      </c>
      <c r="C421">
        <v>0</v>
      </c>
      <c r="D421">
        <v>1610612752</v>
      </c>
      <c r="E421" s="1" t="s">
        <v>1248</v>
      </c>
      <c r="F421">
        <v>310</v>
      </c>
      <c r="G421">
        <v>79</v>
      </c>
      <c r="H421">
        <v>790</v>
      </c>
      <c r="I421">
        <v>29720</v>
      </c>
      <c r="J421">
        <v>745</v>
      </c>
      <c r="K421">
        <v>1503</v>
      </c>
      <c r="L421">
        <v>496</v>
      </c>
      <c r="M421">
        <v>40</v>
      </c>
      <c r="N421">
        <v>140</v>
      </c>
      <c r="O421">
        <v>286</v>
      </c>
      <c r="P421">
        <v>445</v>
      </c>
      <c r="Q421">
        <v>582</v>
      </c>
      <c r="R421">
        <v>765</v>
      </c>
      <c r="S421">
        <v>2190</v>
      </c>
      <c r="T421">
        <v>6660</v>
      </c>
      <c r="U421">
        <v>8850</v>
      </c>
      <c r="V421">
        <v>179</v>
      </c>
      <c r="W421">
        <v>900</v>
      </c>
      <c r="X421">
        <v>2170</v>
      </c>
      <c r="Y421">
        <v>2600</v>
      </c>
      <c r="Z421">
        <v>275</v>
      </c>
      <c r="AA421">
        <v>1939</v>
      </c>
      <c r="AB421" s="1" t="s">
        <v>1518</v>
      </c>
    </row>
    <row r="422" spans="1:28" x14ac:dyDescent="0.3">
      <c r="A422">
        <v>121</v>
      </c>
      <c r="B422" s="1" t="s">
        <v>1275</v>
      </c>
      <c r="C422">
        <v>0</v>
      </c>
      <c r="D422">
        <v>1610612752</v>
      </c>
      <c r="E422" s="1" t="s">
        <v>1248</v>
      </c>
      <c r="F422">
        <v>320</v>
      </c>
      <c r="G422">
        <v>79</v>
      </c>
      <c r="H422">
        <v>790</v>
      </c>
      <c r="I422">
        <v>29200</v>
      </c>
      <c r="J422">
        <v>730</v>
      </c>
      <c r="K422">
        <v>1452</v>
      </c>
      <c r="L422">
        <v>503</v>
      </c>
      <c r="M422">
        <v>60</v>
      </c>
      <c r="N422">
        <v>210</v>
      </c>
      <c r="O422">
        <v>286</v>
      </c>
      <c r="P422">
        <v>420</v>
      </c>
      <c r="Q422">
        <v>560</v>
      </c>
      <c r="R422">
        <v>75</v>
      </c>
      <c r="S422">
        <v>1570</v>
      </c>
      <c r="T422">
        <v>7100</v>
      </c>
      <c r="U422">
        <v>8670</v>
      </c>
      <c r="V422">
        <v>212</v>
      </c>
      <c r="W422">
        <v>680</v>
      </c>
      <c r="X422">
        <v>1590</v>
      </c>
      <c r="Y422">
        <v>2560</v>
      </c>
      <c r="Z422">
        <v>272</v>
      </c>
      <c r="AA422">
        <v>1886</v>
      </c>
      <c r="AB422" s="1" t="s">
        <v>1518</v>
      </c>
    </row>
    <row r="423" spans="1:28" x14ac:dyDescent="0.3">
      <c r="A423">
        <v>121</v>
      </c>
      <c r="B423" s="1" t="s">
        <v>1276</v>
      </c>
      <c r="C423">
        <v>0</v>
      </c>
      <c r="D423">
        <v>1610612752</v>
      </c>
      <c r="E423" s="1" t="s">
        <v>1248</v>
      </c>
      <c r="F423">
        <v>330</v>
      </c>
      <c r="G423">
        <v>76</v>
      </c>
      <c r="H423">
        <v>760</v>
      </c>
      <c r="I423">
        <v>27830</v>
      </c>
      <c r="J423">
        <v>678</v>
      </c>
      <c r="K423">
        <v>1456</v>
      </c>
      <c r="L423">
        <v>466</v>
      </c>
      <c r="M423">
        <v>40</v>
      </c>
      <c r="N423">
        <v>280</v>
      </c>
      <c r="O423">
        <v>143</v>
      </c>
      <c r="P423">
        <v>351</v>
      </c>
      <c r="Q423">
        <v>461</v>
      </c>
      <c r="R423">
        <v>761</v>
      </c>
      <c r="S423">
        <v>1570</v>
      </c>
      <c r="T423">
        <v>6490</v>
      </c>
      <c r="U423">
        <v>8060</v>
      </c>
      <c r="V423">
        <v>160</v>
      </c>
      <c r="W423">
        <v>680</v>
      </c>
      <c r="X423">
        <v>1840</v>
      </c>
      <c r="Y423">
        <v>2210</v>
      </c>
      <c r="Z423">
        <v>247</v>
      </c>
      <c r="AA423">
        <v>1711</v>
      </c>
      <c r="AB423" s="1" t="s">
        <v>1518</v>
      </c>
    </row>
    <row r="424" spans="1:28" x14ac:dyDescent="0.3">
      <c r="A424">
        <v>121</v>
      </c>
      <c r="B424" s="1" t="s">
        <v>1277</v>
      </c>
      <c r="C424">
        <v>0</v>
      </c>
      <c r="D424">
        <v>1610612752</v>
      </c>
      <c r="E424" s="1" t="s">
        <v>1248</v>
      </c>
      <c r="F424">
        <v>340</v>
      </c>
      <c r="G424">
        <v>78</v>
      </c>
      <c r="H424">
        <v>780</v>
      </c>
      <c r="I424">
        <v>28870</v>
      </c>
      <c r="J424">
        <v>655</v>
      </c>
      <c r="K424">
        <v>1342</v>
      </c>
      <c r="L424">
        <v>488</v>
      </c>
      <c r="M424">
        <v>20</v>
      </c>
      <c r="N424">
        <v>90</v>
      </c>
      <c r="O424">
        <v>222</v>
      </c>
      <c r="P424">
        <v>439</v>
      </c>
      <c r="Q424">
        <v>582</v>
      </c>
      <c r="R424">
        <v>754</v>
      </c>
      <c r="S424">
        <v>1750</v>
      </c>
      <c r="T424">
        <v>6590</v>
      </c>
      <c r="U424">
        <v>8340</v>
      </c>
      <c r="V424">
        <v>156</v>
      </c>
      <c r="W424">
        <v>690</v>
      </c>
      <c r="X424">
        <v>1890</v>
      </c>
      <c r="Y424">
        <v>2690</v>
      </c>
      <c r="Z424">
        <v>250</v>
      </c>
      <c r="AA424">
        <v>1751</v>
      </c>
      <c r="AB424" s="1" t="s">
        <v>1518</v>
      </c>
    </row>
    <row r="425" spans="1:28" x14ac:dyDescent="0.3">
      <c r="A425">
        <v>121</v>
      </c>
      <c r="B425" s="1" t="s">
        <v>1278</v>
      </c>
      <c r="C425">
        <v>0</v>
      </c>
      <c r="D425">
        <v>1610612752</v>
      </c>
      <c r="E425" s="1" t="s">
        <v>1248</v>
      </c>
      <c r="F425">
        <v>350</v>
      </c>
      <c r="G425">
        <v>26</v>
      </c>
      <c r="H425">
        <v>260</v>
      </c>
      <c r="I425">
        <v>8480</v>
      </c>
      <c r="J425">
        <v>203</v>
      </c>
      <c r="K425">
        <v>403</v>
      </c>
      <c r="L425">
        <v>504</v>
      </c>
      <c r="M425">
        <v>0</v>
      </c>
      <c r="N425">
        <v>20</v>
      </c>
      <c r="O425">
        <v>0</v>
      </c>
      <c r="P425">
        <v>134</v>
      </c>
      <c r="Q425">
        <v>186</v>
      </c>
      <c r="R425">
        <v>72</v>
      </c>
      <c r="S425">
        <v>590</v>
      </c>
      <c r="T425">
        <v>2060</v>
      </c>
      <c r="U425">
        <v>2650</v>
      </c>
      <c r="V425">
        <v>28</v>
      </c>
      <c r="W425">
        <v>160</v>
      </c>
      <c r="X425">
        <v>580</v>
      </c>
      <c r="Y425">
        <v>770</v>
      </c>
      <c r="Z425">
        <v>74</v>
      </c>
      <c r="AA425">
        <v>540</v>
      </c>
      <c r="AB425" s="1" t="s">
        <v>1518</v>
      </c>
    </row>
    <row r="426" spans="1:28" x14ac:dyDescent="0.3">
      <c r="A426">
        <v>121</v>
      </c>
      <c r="B426" s="1" t="s">
        <v>1429</v>
      </c>
      <c r="C426">
        <v>0</v>
      </c>
      <c r="D426">
        <v>1610612752</v>
      </c>
      <c r="E426" s="1" t="s">
        <v>1248</v>
      </c>
      <c r="F426">
        <v>360</v>
      </c>
      <c r="G426">
        <v>38</v>
      </c>
      <c r="H426">
        <v>380</v>
      </c>
      <c r="I426">
        <v>13000</v>
      </c>
      <c r="J426">
        <v>247</v>
      </c>
      <c r="K426">
        <v>568</v>
      </c>
      <c r="L426">
        <v>435</v>
      </c>
      <c r="M426">
        <v>0</v>
      </c>
      <c r="N426">
        <v>20</v>
      </c>
      <c r="O426">
        <v>0</v>
      </c>
      <c r="P426">
        <v>163</v>
      </c>
      <c r="Q426">
        <v>231</v>
      </c>
      <c r="R426">
        <v>706</v>
      </c>
      <c r="S426">
        <v>740</v>
      </c>
      <c r="T426">
        <v>3030</v>
      </c>
      <c r="U426">
        <v>3770</v>
      </c>
      <c r="V426">
        <v>43</v>
      </c>
      <c r="W426">
        <v>300</v>
      </c>
      <c r="X426">
        <v>1000</v>
      </c>
      <c r="Y426">
        <v>990</v>
      </c>
      <c r="Z426">
        <v>105</v>
      </c>
      <c r="AA426">
        <v>657</v>
      </c>
      <c r="AB426" s="1" t="s">
        <v>1518</v>
      </c>
    </row>
    <row r="427" spans="1:28" x14ac:dyDescent="0.3">
      <c r="A427">
        <v>121</v>
      </c>
      <c r="B427" s="1" t="s">
        <v>1464</v>
      </c>
      <c r="C427">
        <v>0</v>
      </c>
      <c r="D427">
        <v>1610612752</v>
      </c>
      <c r="E427" s="1" t="s">
        <v>1248</v>
      </c>
      <c r="F427">
        <v>370</v>
      </c>
      <c r="G427">
        <v>62</v>
      </c>
      <c r="H427">
        <v>620</v>
      </c>
      <c r="I427">
        <v>20350</v>
      </c>
      <c r="J427">
        <v>361</v>
      </c>
      <c r="K427">
        <v>775</v>
      </c>
      <c r="L427">
        <v>466</v>
      </c>
      <c r="M427">
        <v>0</v>
      </c>
      <c r="N427">
        <v>20</v>
      </c>
      <c r="O427">
        <v>0</v>
      </c>
      <c r="P427">
        <v>207</v>
      </c>
      <c r="Q427">
        <v>283</v>
      </c>
      <c r="R427">
        <v>731</v>
      </c>
      <c r="S427">
        <v>1400</v>
      </c>
      <c r="T427">
        <v>4640</v>
      </c>
      <c r="U427">
        <v>6040</v>
      </c>
      <c r="V427">
        <v>58</v>
      </c>
      <c r="W427">
        <v>360</v>
      </c>
      <c r="X427">
        <v>840</v>
      </c>
      <c r="Y427">
        <v>1420</v>
      </c>
      <c r="Z427">
        <v>196</v>
      </c>
      <c r="AA427">
        <v>929</v>
      </c>
      <c r="AB427" s="1" t="s">
        <v>1518</v>
      </c>
    </row>
    <row r="428" spans="1:28" x14ac:dyDescent="0.3">
      <c r="A428">
        <v>2866</v>
      </c>
      <c r="B428" s="1" t="s">
        <v>1295</v>
      </c>
      <c r="C428">
        <v>0</v>
      </c>
      <c r="D428">
        <v>1610612752</v>
      </c>
      <c r="E428" s="1" t="s">
        <v>1248</v>
      </c>
      <c r="F428">
        <v>200</v>
      </c>
      <c r="G428">
        <v>3</v>
      </c>
      <c r="H428">
        <v>0</v>
      </c>
      <c r="I428">
        <v>50</v>
      </c>
      <c r="J428">
        <v>4</v>
      </c>
      <c r="K428">
        <v>4</v>
      </c>
      <c r="L428">
        <v>10</v>
      </c>
      <c r="M428">
        <v>0</v>
      </c>
      <c r="N428">
        <v>0</v>
      </c>
      <c r="O428">
        <v>0</v>
      </c>
      <c r="P428">
        <v>2</v>
      </c>
      <c r="Q428">
        <v>2</v>
      </c>
      <c r="R428">
        <v>10</v>
      </c>
      <c r="S428">
        <v>0</v>
      </c>
      <c r="T428">
        <v>0</v>
      </c>
      <c r="U428">
        <v>0</v>
      </c>
      <c r="V428">
        <v>0</v>
      </c>
      <c r="W428">
        <v>10</v>
      </c>
      <c r="X428">
        <v>0</v>
      </c>
      <c r="Y428">
        <v>10</v>
      </c>
      <c r="Z428">
        <v>0</v>
      </c>
      <c r="AA428">
        <v>10</v>
      </c>
      <c r="AB428" s="1" t="s">
        <v>1519</v>
      </c>
    </row>
    <row r="429" spans="1:28" x14ac:dyDescent="0.3">
      <c r="A429">
        <v>2866</v>
      </c>
      <c r="B429" s="1" t="s">
        <v>1300</v>
      </c>
      <c r="C429">
        <v>0</v>
      </c>
      <c r="D429">
        <v>1610612752</v>
      </c>
      <c r="E429" s="1" t="s">
        <v>1248</v>
      </c>
      <c r="F429">
        <v>210</v>
      </c>
      <c r="G429">
        <v>55</v>
      </c>
      <c r="H429">
        <v>0</v>
      </c>
      <c r="I429">
        <v>7400</v>
      </c>
      <c r="J429">
        <v>117</v>
      </c>
      <c r="K429">
        <v>215</v>
      </c>
      <c r="L429">
        <v>544</v>
      </c>
      <c r="M429">
        <v>0</v>
      </c>
      <c r="N429">
        <v>0</v>
      </c>
      <c r="O429">
        <v>0</v>
      </c>
      <c r="P429">
        <v>58</v>
      </c>
      <c r="Q429">
        <v>77</v>
      </c>
      <c r="R429">
        <v>753</v>
      </c>
      <c r="S429">
        <v>670</v>
      </c>
      <c r="T429">
        <v>1160</v>
      </c>
      <c r="U429">
        <v>1830</v>
      </c>
      <c r="V429">
        <v>25</v>
      </c>
      <c r="W429">
        <v>170</v>
      </c>
      <c r="X429">
        <v>310</v>
      </c>
      <c r="Y429">
        <v>620</v>
      </c>
      <c r="Z429">
        <v>127</v>
      </c>
      <c r="AA429">
        <v>292</v>
      </c>
      <c r="AB429" s="1" t="s">
        <v>1519</v>
      </c>
    </row>
    <row r="430" spans="1:28" x14ac:dyDescent="0.3">
      <c r="A430">
        <v>77418</v>
      </c>
      <c r="B430" s="1" t="s">
        <v>1354</v>
      </c>
      <c r="C430">
        <v>0</v>
      </c>
      <c r="D430">
        <v>1610612752</v>
      </c>
      <c r="E430" s="1" t="s">
        <v>1248</v>
      </c>
      <c r="F430">
        <v>320</v>
      </c>
      <c r="G430">
        <v>77</v>
      </c>
      <c r="I430">
        <v>29260</v>
      </c>
      <c r="J430">
        <v>543</v>
      </c>
      <c r="K430">
        <v>1060</v>
      </c>
      <c r="L430">
        <v>512</v>
      </c>
      <c r="P430">
        <v>197</v>
      </c>
      <c r="Q430">
        <v>249</v>
      </c>
      <c r="R430">
        <v>791</v>
      </c>
      <c r="U430">
        <v>10110</v>
      </c>
      <c r="V430">
        <v>318</v>
      </c>
      <c r="Z430">
        <v>218</v>
      </c>
      <c r="AA430">
        <v>1283</v>
      </c>
      <c r="AB430" s="1" t="s">
        <v>1520</v>
      </c>
    </row>
    <row r="431" spans="1:28" x14ac:dyDescent="0.3">
      <c r="A431">
        <v>77418</v>
      </c>
      <c r="B431" s="1" t="s">
        <v>1356</v>
      </c>
      <c r="C431">
        <v>0</v>
      </c>
      <c r="D431">
        <v>1610612752</v>
      </c>
      <c r="E431" s="1" t="s">
        <v>1248</v>
      </c>
      <c r="F431">
        <v>330</v>
      </c>
      <c r="G431">
        <v>71</v>
      </c>
      <c r="I431">
        <v>20010</v>
      </c>
      <c r="J431">
        <v>312</v>
      </c>
      <c r="K431">
        <v>608</v>
      </c>
      <c r="L431">
        <v>513</v>
      </c>
      <c r="P431">
        <v>80</v>
      </c>
      <c r="Q431">
        <v>100</v>
      </c>
      <c r="R431">
        <v>8</v>
      </c>
      <c r="U431">
        <v>5100</v>
      </c>
      <c r="V431">
        <v>317</v>
      </c>
      <c r="Z431">
        <v>157</v>
      </c>
      <c r="AA431">
        <v>704</v>
      </c>
      <c r="AB431" s="1" t="s">
        <v>1520</v>
      </c>
    </row>
    <row r="432" spans="1:28" x14ac:dyDescent="0.3">
      <c r="A432">
        <v>77418</v>
      </c>
      <c r="B432" s="1" t="s">
        <v>1357</v>
      </c>
      <c r="C432">
        <v>0</v>
      </c>
      <c r="D432">
        <v>1610612752</v>
      </c>
      <c r="E432" s="1" t="s">
        <v>1248</v>
      </c>
      <c r="F432">
        <v>340</v>
      </c>
      <c r="G432">
        <v>73</v>
      </c>
      <c r="I432">
        <v>16270</v>
      </c>
      <c r="J432">
        <v>194</v>
      </c>
      <c r="K432">
        <v>420</v>
      </c>
      <c r="L432">
        <v>462</v>
      </c>
      <c r="P432">
        <v>67</v>
      </c>
      <c r="Q432">
        <v>96</v>
      </c>
      <c r="R432">
        <v>698</v>
      </c>
      <c r="S432">
        <v>620</v>
      </c>
      <c r="T432">
        <v>3120</v>
      </c>
      <c r="U432">
        <v>3740</v>
      </c>
      <c r="V432">
        <v>230</v>
      </c>
      <c r="W432">
        <v>280</v>
      </c>
      <c r="X432">
        <v>240</v>
      </c>
      <c r="Z432">
        <v>134</v>
      </c>
      <c r="AA432">
        <v>455</v>
      </c>
      <c r="AB432" s="1" t="s">
        <v>1520</v>
      </c>
    </row>
    <row r="433" spans="1:28" x14ac:dyDescent="0.3">
      <c r="A433">
        <v>77015</v>
      </c>
      <c r="B433" s="1" t="s">
        <v>1257</v>
      </c>
      <c r="C433">
        <v>0</v>
      </c>
      <c r="D433">
        <v>1610612752</v>
      </c>
      <c r="E433" s="1" t="s">
        <v>1248</v>
      </c>
      <c r="F433">
        <v>230</v>
      </c>
      <c r="G433">
        <v>75</v>
      </c>
      <c r="I433">
        <v>22360</v>
      </c>
      <c r="J433">
        <v>432</v>
      </c>
      <c r="K433">
        <v>1003</v>
      </c>
      <c r="L433">
        <v>431</v>
      </c>
      <c r="P433">
        <v>289</v>
      </c>
      <c r="Q433">
        <v>422</v>
      </c>
      <c r="R433">
        <v>685</v>
      </c>
      <c r="U433">
        <v>2980</v>
      </c>
      <c r="V433">
        <v>256</v>
      </c>
      <c r="Z433">
        <v>229</v>
      </c>
      <c r="AA433">
        <v>1153</v>
      </c>
      <c r="AB433" s="1" t="s">
        <v>1521</v>
      </c>
    </row>
    <row r="434" spans="1:28" x14ac:dyDescent="0.3">
      <c r="A434">
        <v>77015</v>
      </c>
      <c r="B434" s="1" t="s">
        <v>1258</v>
      </c>
      <c r="C434">
        <v>0</v>
      </c>
      <c r="D434">
        <v>1610612752</v>
      </c>
      <c r="E434" s="1" t="s">
        <v>1248</v>
      </c>
      <c r="F434">
        <v>240</v>
      </c>
      <c r="G434">
        <v>55</v>
      </c>
      <c r="I434">
        <v>6630</v>
      </c>
      <c r="J434">
        <v>114</v>
      </c>
      <c r="K434">
        <v>267</v>
      </c>
      <c r="L434">
        <v>427</v>
      </c>
      <c r="P434">
        <v>88</v>
      </c>
      <c r="Q434">
        <v>132</v>
      </c>
      <c r="R434">
        <v>667</v>
      </c>
      <c r="U434">
        <v>990</v>
      </c>
      <c r="V434">
        <v>79</v>
      </c>
      <c r="Z434">
        <v>96</v>
      </c>
      <c r="AA434">
        <v>316</v>
      </c>
      <c r="AB434" s="1" t="s">
        <v>1521</v>
      </c>
    </row>
    <row r="435" spans="1:28" x14ac:dyDescent="0.3">
      <c r="A435">
        <v>600010</v>
      </c>
      <c r="B435" s="1" t="s">
        <v>1469</v>
      </c>
      <c r="C435">
        <v>0</v>
      </c>
      <c r="D435">
        <v>1610612752</v>
      </c>
      <c r="E435" s="1" t="s">
        <v>1248</v>
      </c>
      <c r="F435">
        <v>320</v>
      </c>
      <c r="G435">
        <v>65</v>
      </c>
      <c r="H435">
        <v>50</v>
      </c>
      <c r="I435">
        <v>8320</v>
      </c>
      <c r="J435">
        <v>64</v>
      </c>
      <c r="K435">
        <v>157</v>
      </c>
      <c r="L435">
        <v>408</v>
      </c>
      <c r="M435">
        <v>0</v>
      </c>
      <c r="N435">
        <v>0</v>
      </c>
      <c r="O435">
        <v>0</v>
      </c>
      <c r="P435">
        <v>27</v>
      </c>
      <c r="Q435">
        <v>38</v>
      </c>
      <c r="R435">
        <v>711</v>
      </c>
      <c r="S435">
        <v>620</v>
      </c>
      <c r="T435">
        <v>1030</v>
      </c>
      <c r="U435">
        <v>1650</v>
      </c>
      <c r="V435">
        <v>30</v>
      </c>
      <c r="W435">
        <v>290</v>
      </c>
      <c r="X435">
        <v>300</v>
      </c>
      <c r="Y435">
        <v>460</v>
      </c>
      <c r="Z435">
        <v>153</v>
      </c>
      <c r="AA435">
        <v>155</v>
      </c>
      <c r="AB435" s="1" t="s">
        <v>1522</v>
      </c>
    </row>
    <row r="436" spans="1:28" x14ac:dyDescent="0.3">
      <c r="A436">
        <v>76320</v>
      </c>
      <c r="B436" s="1" t="s">
        <v>1268</v>
      </c>
      <c r="C436">
        <v>0</v>
      </c>
      <c r="D436">
        <v>1610612752</v>
      </c>
      <c r="E436" s="1" t="s">
        <v>1248</v>
      </c>
      <c r="F436">
        <v>230</v>
      </c>
      <c r="G436">
        <v>33</v>
      </c>
      <c r="H436">
        <v>0</v>
      </c>
      <c r="I436">
        <v>1400</v>
      </c>
      <c r="J436">
        <v>20</v>
      </c>
      <c r="K436">
        <v>48</v>
      </c>
      <c r="L436">
        <v>417</v>
      </c>
      <c r="M436">
        <v>0</v>
      </c>
      <c r="N436">
        <v>30</v>
      </c>
      <c r="O436">
        <v>0</v>
      </c>
      <c r="P436">
        <v>16</v>
      </c>
      <c r="Q436">
        <v>20</v>
      </c>
      <c r="R436">
        <v>8</v>
      </c>
      <c r="S436">
        <v>90</v>
      </c>
      <c r="T436">
        <v>190</v>
      </c>
      <c r="U436">
        <v>280</v>
      </c>
      <c r="V436">
        <v>2</v>
      </c>
      <c r="W436">
        <v>10</v>
      </c>
      <c r="X436">
        <v>20</v>
      </c>
      <c r="Y436">
        <v>170</v>
      </c>
      <c r="Z436">
        <v>28</v>
      </c>
      <c r="AA436">
        <v>56</v>
      </c>
      <c r="AB436" s="1" t="s">
        <v>1523</v>
      </c>
    </row>
    <row r="437" spans="1:28" x14ac:dyDescent="0.3">
      <c r="A437">
        <v>76320</v>
      </c>
      <c r="B437" s="1" t="s">
        <v>1270</v>
      </c>
      <c r="C437">
        <v>0</v>
      </c>
      <c r="D437">
        <v>1610612752</v>
      </c>
      <c r="E437" s="1" t="s">
        <v>1248</v>
      </c>
      <c r="F437">
        <v>240</v>
      </c>
      <c r="G437">
        <v>13</v>
      </c>
      <c r="H437">
        <v>0</v>
      </c>
      <c r="I437">
        <v>330</v>
      </c>
      <c r="J437">
        <v>3</v>
      </c>
      <c r="K437">
        <v>12</v>
      </c>
      <c r="L437">
        <v>25</v>
      </c>
      <c r="M437">
        <v>0</v>
      </c>
      <c r="N437">
        <v>0</v>
      </c>
      <c r="O437">
        <v>0</v>
      </c>
      <c r="P437">
        <v>0</v>
      </c>
      <c r="Q437">
        <v>2</v>
      </c>
      <c r="R437">
        <v>0</v>
      </c>
      <c r="S437">
        <v>30</v>
      </c>
      <c r="T437">
        <v>60</v>
      </c>
      <c r="U437">
        <v>90</v>
      </c>
      <c r="V437">
        <v>1</v>
      </c>
      <c r="W437">
        <v>0</v>
      </c>
      <c r="X437">
        <v>0</v>
      </c>
      <c r="Y437">
        <v>30</v>
      </c>
      <c r="Z437">
        <v>8</v>
      </c>
      <c r="AA437">
        <v>6</v>
      </c>
      <c r="AB437" s="1" t="s">
        <v>1523</v>
      </c>
    </row>
    <row r="438" spans="1:28" x14ac:dyDescent="0.3">
      <c r="A438">
        <v>779</v>
      </c>
      <c r="B438" s="1" t="s">
        <v>1465</v>
      </c>
      <c r="C438">
        <v>0</v>
      </c>
      <c r="D438">
        <v>1610612752</v>
      </c>
      <c r="E438" s="1" t="s">
        <v>1248</v>
      </c>
      <c r="F438">
        <v>340</v>
      </c>
      <c r="G438">
        <v>75</v>
      </c>
      <c r="H438">
        <v>250</v>
      </c>
      <c r="I438">
        <v>22120</v>
      </c>
      <c r="J438">
        <v>331</v>
      </c>
      <c r="K438">
        <v>752</v>
      </c>
      <c r="L438">
        <v>44</v>
      </c>
      <c r="M438">
        <v>820</v>
      </c>
      <c r="N438">
        <v>2110</v>
      </c>
      <c r="O438">
        <v>389</v>
      </c>
      <c r="P438">
        <v>155</v>
      </c>
      <c r="Q438">
        <v>182</v>
      </c>
      <c r="R438">
        <v>852</v>
      </c>
      <c r="S438">
        <v>610</v>
      </c>
      <c r="T438">
        <v>2460</v>
      </c>
      <c r="U438">
        <v>3070</v>
      </c>
      <c r="V438">
        <v>89</v>
      </c>
      <c r="W438">
        <v>410</v>
      </c>
      <c r="X438">
        <v>130</v>
      </c>
      <c r="Y438">
        <v>960</v>
      </c>
      <c r="Z438">
        <v>179</v>
      </c>
      <c r="AA438">
        <v>899</v>
      </c>
      <c r="AB438" s="1" t="s">
        <v>1524</v>
      </c>
    </row>
    <row r="439" spans="1:28" x14ac:dyDescent="0.3">
      <c r="A439">
        <v>201577</v>
      </c>
      <c r="B439" s="1" t="s">
        <v>1279</v>
      </c>
      <c r="C439">
        <v>0</v>
      </c>
      <c r="D439">
        <v>1610612752</v>
      </c>
      <c r="E439" s="1" t="s">
        <v>1248</v>
      </c>
      <c r="F439">
        <v>280</v>
      </c>
      <c r="G439">
        <v>82</v>
      </c>
      <c r="H439">
        <v>820</v>
      </c>
      <c r="I439">
        <v>22190</v>
      </c>
      <c r="J439">
        <v>357</v>
      </c>
      <c r="K439">
        <v>662</v>
      </c>
      <c r="L439">
        <v>539</v>
      </c>
      <c r="M439">
        <v>0</v>
      </c>
      <c r="N439">
        <v>10</v>
      </c>
      <c r="O439">
        <v>0</v>
      </c>
      <c r="P439">
        <v>128</v>
      </c>
      <c r="Q439">
        <v>161</v>
      </c>
      <c r="R439">
        <v>795</v>
      </c>
      <c r="S439">
        <v>2680</v>
      </c>
      <c r="T439">
        <v>3340</v>
      </c>
      <c r="U439">
        <v>6020</v>
      </c>
      <c r="V439">
        <v>114</v>
      </c>
      <c r="W439">
        <v>160</v>
      </c>
      <c r="X439">
        <v>1290</v>
      </c>
      <c r="Y439">
        <v>1330</v>
      </c>
      <c r="Z439">
        <v>182</v>
      </c>
      <c r="AA439">
        <v>842</v>
      </c>
      <c r="AB439" s="1" t="s">
        <v>1525</v>
      </c>
    </row>
    <row r="440" spans="1:28" x14ac:dyDescent="0.3">
      <c r="A440">
        <v>77011</v>
      </c>
      <c r="B440" s="1" t="s">
        <v>1339</v>
      </c>
      <c r="C440">
        <v>0</v>
      </c>
      <c r="D440">
        <v>1610612752</v>
      </c>
      <c r="E440" s="1" t="s">
        <v>1248</v>
      </c>
      <c r="F440">
        <v>240</v>
      </c>
      <c r="G440">
        <v>59</v>
      </c>
      <c r="J440">
        <v>201</v>
      </c>
      <c r="K440">
        <v>695</v>
      </c>
      <c r="L440">
        <v>289</v>
      </c>
      <c r="P440">
        <v>113</v>
      </c>
      <c r="Q440">
        <v>149</v>
      </c>
      <c r="R440">
        <v>758</v>
      </c>
      <c r="V440">
        <v>37</v>
      </c>
      <c r="Z440">
        <v>109</v>
      </c>
      <c r="AA440">
        <v>515</v>
      </c>
      <c r="AB440" s="1" t="s">
        <v>1526</v>
      </c>
    </row>
    <row r="441" spans="1:28" x14ac:dyDescent="0.3">
      <c r="A441">
        <v>77011</v>
      </c>
      <c r="B441" s="1" t="s">
        <v>1297</v>
      </c>
      <c r="C441">
        <v>0</v>
      </c>
      <c r="D441">
        <v>1610612752</v>
      </c>
      <c r="E441" s="1" t="s">
        <v>1248</v>
      </c>
      <c r="F441">
        <v>250</v>
      </c>
      <c r="G441">
        <v>4</v>
      </c>
      <c r="I441">
        <v>0</v>
      </c>
      <c r="J441">
        <v>1</v>
      </c>
      <c r="K441">
        <v>14</v>
      </c>
      <c r="L441">
        <v>71</v>
      </c>
      <c r="P441">
        <v>3</v>
      </c>
      <c r="Q441">
        <v>4</v>
      </c>
      <c r="R441">
        <v>75</v>
      </c>
      <c r="U441">
        <v>0</v>
      </c>
      <c r="V441">
        <v>1</v>
      </c>
      <c r="Z441">
        <v>3</v>
      </c>
      <c r="AA441">
        <v>5</v>
      </c>
      <c r="AB441" s="1" t="s">
        <v>1526</v>
      </c>
    </row>
    <row r="442" spans="1:28" x14ac:dyDescent="0.3">
      <c r="A442">
        <v>201961</v>
      </c>
      <c r="B442" s="1" t="s">
        <v>1288</v>
      </c>
      <c r="C442">
        <v>0</v>
      </c>
      <c r="D442">
        <v>1610612752</v>
      </c>
      <c r="E442" s="1" t="s">
        <v>1248</v>
      </c>
      <c r="F442">
        <v>320</v>
      </c>
      <c r="G442">
        <v>36</v>
      </c>
      <c r="H442">
        <v>10</v>
      </c>
      <c r="I442">
        <v>5580</v>
      </c>
      <c r="J442">
        <v>61</v>
      </c>
      <c r="K442">
        <v>174</v>
      </c>
      <c r="L442">
        <v>351</v>
      </c>
      <c r="M442">
        <v>500</v>
      </c>
      <c r="N442">
        <v>1430</v>
      </c>
      <c r="O442">
        <v>35</v>
      </c>
      <c r="P442">
        <v>11</v>
      </c>
      <c r="Q442">
        <v>13</v>
      </c>
      <c r="R442">
        <v>846</v>
      </c>
      <c r="S442">
        <v>40</v>
      </c>
      <c r="T442">
        <v>610</v>
      </c>
      <c r="U442">
        <v>650</v>
      </c>
      <c r="V442">
        <v>44</v>
      </c>
      <c r="W442">
        <v>130</v>
      </c>
      <c r="X442">
        <v>40</v>
      </c>
      <c r="Y442">
        <v>180</v>
      </c>
      <c r="Z442">
        <v>41</v>
      </c>
      <c r="AA442">
        <v>183</v>
      </c>
      <c r="AB442" s="1" t="s">
        <v>1527</v>
      </c>
    </row>
    <row r="443" spans="1:28" x14ac:dyDescent="0.3">
      <c r="A443">
        <v>76319</v>
      </c>
      <c r="B443" s="1" t="s">
        <v>1323</v>
      </c>
      <c r="C443">
        <v>0</v>
      </c>
      <c r="D443">
        <v>1610612752</v>
      </c>
      <c r="E443" s="1" t="s">
        <v>1248</v>
      </c>
      <c r="F443">
        <v>230</v>
      </c>
      <c r="G443">
        <v>59</v>
      </c>
      <c r="I443">
        <v>20160</v>
      </c>
      <c r="J443">
        <v>349</v>
      </c>
      <c r="K443">
        <v>754</v>
      </c>
      <c r="L443">
        <v>463</v>
      </c>
      <c r="P443">
        <v>129</v>
      </c>
      <c r="Q443">
        <v>182</v>
      </c>
      <c r="R443">
        <v>709</v>
      </c>
      <c r="U443">
        <v>3370</v>
      </c>
      <c r="V443">
        <v>205</v>
      </c>
      <c r="Z443">
        <v>156</v>
      </c>
      <c r="AA443">
        <v>827</v>
      </c>
      <c r="AB443" s="1" t="s">
        <v>1528</v>
      </c>
    </row>
    <row r="444" spans="1:28" x14ac:dyDescent="0.3">
      <c r="A444">
        <v>76319</v>
      </c>
      <c r="B444" s="1" t="s">
        <v>1255</v>
      </c>
      <c r="C444">
        <v>0</v>
      </c>
      <c r="D444">
        <v>1610612752</v>
      </c>
      <c r="E444" s="1" t="s">
        <v>1248</v>
      </c>
      <c r="F444">
        <v>240</v>
      </c>
      <c r="G444">
        <v>74</v>
      </c>
      <c r="I444">
        <v>14880</v>
      </c>
      <c r="J444">
        <v>297</v>
      </c>
      <c r="K444">
        <v>676</v>
      </c>
      <c r="L444">
        <v>439</v>
      </c>
      <c r="P444">
        <v>144</v>
      </c>
      <c r="Q444">
        <v>187</v>
      </c>
      <c r="R444">
        <v>77</v>
      </c>
      <c r="U444">
        <v>1700</v>
      </c>
      <c r="V444">
        <v>156</v>
      </c>
      <c r="Z444">
        <v>145</v>
      </c>
      <c r="AA444">
        <v>738</v>
      </c>
      <c r="AB444" s="1" t="s">
        <v>1528</v>
      </c>
    </row>
    <row r="445" spans="1:28" x14ac:dyDescent="0.3">
      <c r="A445">
        <v>76319</v>
      </c>
      <c r="B445" s="1" t="s">
        <v>1257</v>
      </c>
      <c r="C445">
        <v>0</v>
      </c>
      <c r="D445">
        <v>1610612752</v>
      </c>
      <c r="E445" s="1" t="s">
        <v>1248</v>
      </c>
      <c r="F445">
        <v>250</v>
      </c>
      <c r="G445">
        <v>76</v>
      </c>
      <c r="I445">
        <v>13790</v>
      </c>
      <c r="J445">
        <v>260</v>
      </c>
      <c r="K445">
        <v>616</v>
      </c>
      <c r="L445">
        <v>422</v>
      </c>
      <c r="P445">
        <v>138</v>
      </c>
      <c r="Q445">
        <v>187</v>
      </c>
      <c r="R445">
        <v>738</v>
      </c>
      <c r="U445">
        <v>1680</v>
      </c>
      <c r="V445">
        <v>157</v>
      </c>
      <c r="Z445">
        <v>167</v>
      </c>
      <c r="AA445">
        <v>658</v>
      </c>
      <c r="AB445" s="1" t="s">
        <v>1528</v>
      </c>
    </row>
    <row r="446" spans="1:28" x14ac:dyDescent="0.3">
      <c r="A446">
        <v>26</v>
      </c>
      <c r="B446" s="1" t="s">
        <v>1465</v>
      </c>
      <c r="C446">
        <v>0</v>
      </c>
      <c r="D446">
        <v>1610612752</v>
      </c>
      <c r="E446" s="1" t="s">
        <v>1248</v>
      </c>
      <c r="F446">
        <v>320</v>
      </c>
      <c r="G446">
        <v>25</v>
      </c>
      <c r="H446">
        <v>20</v>
      </c>
      <c r="I446">
        <v>2990</v>
      </c>
      <c r="J446">
        <v>18</v>
      </c>
      <c r="K446">
        <v>54</v>
      </c>
      <c r="L446">
        <v>333</v>
      </c>
      <c r="M446">
        <v>0</v>
      </c>
      <c r="N446">
        <v>0</v>
      </c>
      <c r="O446">
        <v>0</v>
      </c>
      <c r="P446">
        <v>13</v>
      </c>
      <c r="Q446">
        <v>17</v>
      </c>
      <c r="R446">
        <v>765</v>
      </c>
      <c r="S446">
        <v>260</v>
      </c>
      <c r="T446">
        <v>400</v>
      </c>
      <c r="U446">
        <v>660</v>
      </c>
      <c r="V446">
        <v>7</v>
      </c>
      <c r="W446">
        <v>30</v>
      </c>
      <c r="X446">
        <v>90</v>
      </c>
      <c r="Y446">
        <v>220</v>
      </c>
      <c r="Z446">
        <v>51</v>
      </c>
      <c r="AA446">
        <v>49</v>
      </c>
      <c r="AB446" s="1" t="s">
        <v>1529</v>
      </c>
    </row>
    <row r="447" spans="1:28" x14ac:dyDescent="0.3">
      <c r="A447">
        <v>1626195</v>
      </c>
      <c r="B447" s="1" t="s">
        <v>1281</v>
      </c>
      <c r="C447">
        <v>0</v>
      </c>
      <c r="D447">
        <v>1610612752</v>
      </c>
      <c r="E447" s="1" t="s">
        <v>1248</v>
      </c>
      <c r="F447">
        <v>230</v>
      </c>
      <c r="G447">
        <v>72</v>
      </c>
      <c r="H447">
        <v>220</v>
      </c>
      <c r="I447">
        <v>13240</v>
      </c>
      <c r="J447">
        <v>246</v>
      </c>
      <c r="K447">
        <v>465</v>
      </c>
      <c r="L447">
        <v>529</v>
      </c>
      <c r="M447">
        <v>40</v>
      </c>
      <c r="N447">
        <v>150</v>
      </c>
      <c r="O447">
        <v>267</v>
      </c>
      <c r="P447">
        <v>91</v>
      </c>
      <c r="Q447">
        <v>125</v>
      </c>
      <c r="R447">
        <v>728</v>
      </c>
      <c r="S447">
        <v>1700</v>
      </c>
      <c r="T447">
        <v>3320</v>
      </c>
      <c r="U447">
        <v>5020</v>
      </c>
      <c r="V447">
        <v>96</v>
      </c>
      <c r="W447">
        <v>410</v>
      </c>
      <c r="X447">
        <v>360</v>
      </c>
      <c r="Y447">
        <v>1000</v>
      </c>
      <c r="Z447">
        <v>150</v>
      </c>
      <c r="AA447">
        <v>587</v>
      </c>
      <c r="AB447" s="1" t="s">
        <v>1530</v>
      </c>
    </row>
    <row r="448" spans="1:28" x14ac:dyDescent="0.3">
      <c r="A448">
        <v>1626195</v>
      </c>
      <c r="B448" s="1" t="s">
        <v>1259</v>
      </c>
      <c r="C448">
        <v>0</v>
      </c>
      <c r="D448">
        <v>1610612752</v>
      </c>
      <c r="E448" s="1" t="s">
        <v>1248</v>
      </c>
      <c r="F448">
        <v>240</v>
      </c>
      <c r="G448">
        <v>26</v>
      </c>
      <c r="H448">
        <v>0</v>
      </c>
      <c r="I448">
        <v>2330</v>
      </c>
      <c r="J448">
        <v>49</v>
      </c>
      <c r="K448">
        <v>81</v>
      </c>
      <c r="L448">
        <v>605</v>
      </c>
      <c r="M448">
        <v>10</v>
      </c>
      <c r="N448">
        <v>50</v>
      </c>
      <c r="O448">
        <v>2</v>
      </c>
      <c r="P448">
        <v>12</v>
      </c>
      <c r="Q448">
        <v>28</v>
      </c>
      <c r="R448">
        <v>429</v>
      </c>
      <c r="S448">
        <v>220</v>
      </c>
      <c r="T448">
        <v>450</v>
      </c>
      <c r="U448">
        <v>670</v>
      </c>
      <c r="V448">
        <v>21</v>
      </c>
      <c r="W448">
        <v>80</v>
      </c>
      <c r="X448">
        <v>70</v>
      </c>
      <c r="Y448">
        <v>260</v>
      </c>
      <c r="Z448">
        <v>32</v>
      </c>
      <c r="AA448">
        <v>111</v>
      </c>
      <c r="AB448" s="1" t="s">
        <v>1530</v>
      </c>
    </row>
    <row r="449" spans="1:28" x14ac:dyDescent="0.3">
      <c r="A449">
        <v>1627740</v>
      </c>
      <c r="B449" s="1" t="s">
        <v>1287</v>
      </c>
      <c r="C449">
        <v>0</v>
      </c>
      <c r="D449">
        <v>1610612752</v>
      </c>
      <c r="E449" s="1" t="s">
        <v>1248</v>
      </c>
      <c r="F449">
        <v>220</v>
      </c>
      <c r="G449">
        <v>17</v>
      </c>
      <c r="H449">
        <v>0</v>
      </c>
      <c r="I449">
        <v>2340</v>
      </c>
      <c r="J449">
        <v>35</v>
      </c>
      <c r="K449">
        <v>85</v>
      </c>
      <c r="L449">
        <v>412</v>
      </c>
      <c r="M449">
        <v>150</v>
      </c>
      <c r="N449">
        <v>340</v>
      </c>
      <c r="O449">
        <v>441</v>
      </c>
      <c r="P449">
        <v>17</v>
      </c>
      <c r="Q449">
        <v>23</v>
      </c>
      <c r="R449">
        <v>739</v>
      </c>
      <c r="S449">
        <v>50</v>
      </c>
      <c r="T449">
        <v>520</v>
      </c>
      <c r="U449">
        <v>570</v>
      </c>
      <c r="V449">
        <v>15</v>
      </c>
      <c r="W449">
        <v>70</v>
      </c>
      <c r="X449">
        <v>20</v>
      </c>
      <c r="Y449">
        <v>90</v>
      </c>
      <c r="Z449">
        <v>25</v>
      </c>
      <c r="AA449">
        <v>102</v>
      </c>
      <c r="AB449" s="1" t="s">
        <v>1531</v>
      </c>
    </row>
    <row r="450" spans="1:28" x14ac:dyDescent="0.3">
      <c r="A450">
        <v>76318</v>
      </c>
      <c r="B450" s="1" t="s">
        <v>1323</v>
      </c>
      <c r="C450">
        <v>0</v>
      </c>
      <c r="D450">
        <v>1610612752</v>
      </c>
      <c r="E450" s="1" t="s">
        <v>1248</v>
      </c>
      <c r="F450">
        <v>260</v>
      </c>
      <c r="G450">
        <v>47</v>
      </c>
      <c r="I450">
        <v>4790</v>
      </c>
      <c r="J450">
        <v>48</v>
      </c>
      <c r="K450">
        <v>155</v>
      </c>
      <c r="L450">
        <v>31</v>
      </c>
      <c r="P450">
        <v>42</v>
      </c>
      <c r="Q450">
        <v>69</v>
      </c>
      <c r="R450">
        <v>609</v>
      </c>
      <c r="U450">
        <v>790</v>
      </c>
      <c r="V450">
        <v>51</v>
      </c>
      <c r="Z450">
        <v>63</v>
      </c>
      <c r="AA450">
        <v>138</v>
      </c>
      <c r="AB450" s="1" t="s">
        <v>1532</v>
      </c>
    </row>
    <row r="451" spans="1:28" x14ac:dyDescent="0.3">
      <c r="A451">
        <v>76318</v>
      </c>
      <c r="B451" s="1" t="s">
        <v>1255</v>
      </c>
      <c r="C451">
        <v>0</v>
      </c>
      <c r="D451">
        <v>1610612752</v>
      </c>
      <c r="E451" s="1" t="s">
        <v>1248</v>
      </c>
      <c r="F451">
        <v>270</v>
      </c>
      <c r="G451">
        <v>68</v>
      </c>
      <c r="I451">
        <v>11930</v>
      </c>
      <c r="J451">
        <v>172</v>
      </c>
      <c r="K451">
        <v>424</v>
      </c>
      <c r="L451">
        <v>406</v>
      </c>
      <c r="P451">
        <v>131</v>
      </c>
      <c r="Q451">
        <v>194</v>
      </c>
      <c r="R451">
        <v>675</v>
      </c>
      <c r="U451">
        <v>1800</v>
      </c>
      <c r="V451">
        <v>138</v>
      </c>
      <c r="Z451">
        <v>164</v>
      </c>
      <c r="AA451">
        <v>475</v>
      </c>
      <c r="AB451" s="1" t="s">
        <v>1532</v>
      </c>
    </row>
    <row r="452" spans="1:28" x14ac:dyDescent="0.3">
      <c r="A452">
        <v>201160</v>
      </c>
      <c r="B452" s="1" t="s">
        <v>1343</v>
      </c>
      <c r="C452">
        <v>0</v>
      </c>
      <c r="D452">
        <v>1610612752</v>
      </c>
      <c r="E452" s="1" t="s">
        <v>1248</v>
      </c>
      <c r="F452">
        <v>290</v>
      </c>
      <c r="G452">
        <v>82</v>
      </c>
      <c r="H452">
        <v>310</v>
      </c>
      <c r="I452">
        <v>17850</v>
      </c>
      <c r="J452">
        <v>257</v>
      </c>
      <c r="K452">
        <v>592</v>
      </c>
      <c r="L452">
        <v>434</v>
      </c>
      <c r="M452">
        <v>150</v>
      </c>
      <c r="N452">
        <v>420</v>
      </c>
      <c r="O452">
        <v>357</v>
      </c>
      <c r="P452">
        <v>127</v>
      </c>
      <c r="Q452">
        <v>153</v>
      </c>
      <c r="R452">
        <v>83</v>
      </c>
      <c r="S452">
        <v>980</v>
      </c>
      <c r="T452">
        <v>2260</v>
      </c>
      <c r="U452">
        <v>3240</v>
      </c>
      <c r="V452">
        <v>140</v>
      </c>
      <c r="W452">
        <v>320</v>
      </c>
      <c r="X452">
        <v>440</v>
      </c>
      <c r="Y452">
        <v>1040</v>
      </c>
      <c r="Z452">
        <v>205</v>
      </c>
      <c r="AA452">
        <v>656</v>
      </c>
      <c r="AB452" s="1" t="s">
        <v>1533</v>
      </c>
    </row>
    <row r="453" spans="1:28" x14ac:dyDescent="0.3">
      <c r="A453">
        <v>1629011</v>
      </c>
      <c r="B453" s="1" t="s">
        <v>1287</v>
      </c>
      <c r="C453">
        <v>0</v>
      </c>
      <c r="D453">
        <v>1610612752</v>
      </c>
      <c r="E453" s="1" t="s">
        <v>1248</v>
      </c>
      <c r="F453">
        <v>210</v>
      </c>
      <c r="G453">
        <v>66</v>
      </c>
      <c r="H453">
        <v>190</v>
      </c>
      <c r="I453">
        <v>13600</v>
      </c>
      <c r="J453">
        <v>202</v>
      </c>
      <c r="K453">
        <v>291</v>
      </c>
      <c r="L453">
        <v>694</v>
      </c>
      <c r="M453">
        <v>0</v>
      </c>
      <c r="N453">
        <v>0</v>
      </c>
      <c r="O453">
        <v>0</v>
      </c>
      <c r="P453">
        <v>81</v>
      </c>
      <c r="Q453">
        <v>135</v>
      </c>
      <c r="R453">
        <v>6</v>
      </c>
      <c r="S453">
        <v>1770</v>
      </c>
      <c r="T453">
        <v>2460</v>
      </c>
      <c r="U453">
        <v>4230</v>
      </c>
      <c r="V453">
        <v>37</v>
      </c>
      <c r="W453">
        <v>520</v>
      </c>
      <c r="X453">
        <v>1610</v>
      </c>
      <c r="Y453">
        <v>350</v>
      </c>
      <c r="Z453">
        <v>217</v>
      </c>
      <c r="AA453">
        <v>485</v>
      </c>
      <c r="AB453" s="1" t="s">
        <v>1534</v>
      </c>
    </row>
    <row r="454" spans="1:28" x14ac:dyDescent="0.3">
      <c r="A454">
        <v>1629011</v>
      </c>
      <c r="B454" s="1" t="s">
        <v>1288</v>
      </c>
      <c r="C454">
        <v>0</v>
      </c>
      <c r="D454">
        <v>1610612752</v>
      </c>
      <c r="E454" s="1" t="s">
        <v>1248</v>
      </c>
      <c r="F454">
        <v>220</v>
      </c>
      <c r="G454">
        <v>61</v>
      </c>
      <c r="H454">
        <v>70</v>
      </c>
      <c r="I454">
        <v>14120</v>
      </c>
      <c r="J454">
        <v>253</v>
      </c>
      <c r="K454">
        <v>341</v>
      </c>
      <c r="L454">
        <v>742</v>
      </c>
      <c r="M454">
        <v>0</v>
      </c>
      <c r="N454">
        <v>0</v>
      </c>
      <c r="O454">
        <v>0</v>
      </c>
      <c r="P454">
        <v>84</v>
      </c>
      <c r="Q454">
        <v>148</v>
      </c>
      <c r="R454">
        <v>568</v>
      </c>
      <c r="S454">
        <v>1860</v>
      </c>
      <c r="T454">
        <v>2420</v>
      </c>
      <c r="U454">
        <v>4280</v>
      </c>
      <c r="V454">
        <v>36</v>
      </c>
      <c r="W454">
        <v>520</v>
      </c>
      <c r="X454">
        <v>1190</v>
      </c>
      <c r="Y454">
        <v>370</v>
      </c>
      <c r="Z454">
        <v>194</v>
      </c>
      <c r="AA454">
        <v>590</v>
      </c>
      <c r="AB454" s="1" t="s">
        <v>1534</v>
      </c>
    </row>
    <row r="455" spans="1:28" x14ac:dyDescent="0.3">
      <c r="A455">
        <v>1629011</v>
      </c>
      <c r="B455" s="1" t="s">
        <v>1289</v>
      </c>
      <c r="C455">
        <v>0</v>
      </c>
      <c r="D455">
        <v>1610612752</v>
      </c>
      <c r="E455" s="1" t="s">
        <v>1248</v>
      </c>
      <c r="F455">
        <v>230</v>
      </c>
      <c r="G455">
        <v>31</v>
      </c>
      <c r="H455">
        <v>290</v>
      </c>
      <c r="I455">
        <v>8530</v>
      </c>
      <c r="J455">
        <v>115</v>
      </c>
      <c r="K455">
        <v>176</v>
      </c>
      <c r="L455">
        <v>653</v>
      </c>
      <c r="M455">
        <v>0</v>
      </c>
      <c r="N455">
        <v>0</v>
      </c>
      <c r="O455">
        <v>0</v>
      </c>
      <c r="P455">
        <v>26</v>
      </c>
      <c r="Q455">
        <v>53</v>
      </c>
      <c r="R455">
        <v>491</v>
      </c>
      <c r="S455">
        <v>1130</v>
      </c>
      <c r="T455">
        <v>1390</v>
      </c>
      <c r="U455">
        <v>2520</v>
      </c>
      <c r="V455">
        <v>17</v>
      </c>
      <c r="W455">
        <v>350</v>
      </c>
      <c r="X455">
        <v>450</v>
      </c>
      <c r="Y455">
        <v>260</v>
      </c>
      <c r="Z455">
        <v>86</v>
      </c>
      <c r="AA455">
        <v>256</v>
      </c>
      <c r="AB455" s="1" t="s">
        <v>1534</v>
      </c>
    </row>
    <row r="456" spans="1:28" x14ac:dyDescent="0.3">
      <c r="A456">
        <v>1629011</v>
      </c>
      <c r="B456" s="1" t="s">
        <v>1308</v>
      </c>
      <c r="C456">
        <v>0</v>
      </c>
      <c r="D456">
        <v>1610612752</v>
      </c>
      <c r="E456" s="1" t="s">
        <v>1248</v>
      </c>
      <c r="F456">
        <v>240</v>
      </c>
      <c r="G456">
        <v>72</v>
      </c>
      <c r="H456">
        <v>620</v>
      </c>
      <c r="I456">
        <v>18480</v>
      </c>
      <c r="J456">
        <v>261</v>
      </c>
      <c r="K456">
        <v>343</v>
      </c>
      <c r="L456">
        <v>761</v>
      </c>
      <c r="M456">
        <v>0</v>
      </c>
      <c r="N456">
        <v>0</v>
      </c>
      <c r="O456">
        <v>0</v>
      </c>
      <c r="P456">
        <v>88</v>
      </c>
      <c r="Q456">
        <v>181</v>
      </c>
      <c r="R456">
        <v>486</v>
      </c>
      <c r="S456">
        <v>2950</v>
      </c>
      <c r="T456">
        <v>3220</v>
      </c>
      <c r="U456">
        <v>6170</v>
      </c>
      <c r="V456">
        <v>38</v>
      </c>
      <c r="W456">
        <v>580</v>
      </c>
      <c r="X456">
        <v>1330</v>
      </c>
      <c r="Y456">
        <v>600</v>
      </c>
      <c r="Z456">
        <v>195</v>
      </c>
      <c r="AA456">
        <v>610</v>
      </c>
      <c r="AB456" s="1" t="s">
        <v>1534</v>
      </c>
    </row>
    <row r="457" spans="1:28" x14ac:dyDescent="0.3">
      <c r="A457">
        <v>1629011</v>
      </c>
      <c r="B457" s="1" t="s">
        <v>1327</v>
      </c>
      <c r="C457">
        <v>0</v>
      </c>
      <c r="D457">
        <v>1610612752</v>
      </c>
      <c r="E457" s="1" t="s">
        <v>1248</v>
      </c>
      <c r="F457">
        <v>250</v>
      </c>
      <c r="G457">
        <v>59</v>
      </c>
      <c r="H457">
        <v>580</v>
      </c>
      <c r="I457">
        <v>15890</v>
      </c>
      <c r="J457">
        <v>188</v>
      </c>
      <c r="K457">
        <v>280</v>
      </c>
      <c r="L457">
        <v>671</v>
      </c>
      <c r="M457">
        <v>0</v>
      </c>
      <c r="N457">
        <v>0</v>
      </c>
      <c r="O457">
        <v>0</v>
      </c>
      <c r="P457">
        <v>59</v>
      </c>
      <c r="Q457">
        <v>122</v>
      </c>
      <c r="R457">
        <v>484</v>
      </c>
      <c r="S457">
        <v>2670</v>
      </c>
      <c r="T457">
        <v>2880</v>
      </c>
      <c r="U457">
        <v>5550</v>
      </c>
      <c r="V457">
        <v>53</v>
      </c>
      <c r="W457">
        <v>560</v>
      </c>
      <c r="X457">
        <v>1090</v>
      </c>
      <c r="Y457">
        <v>410</v>
      </c>
      <c r="Z457">
        <v>160</v>
      </c>
      <c r="AA457">
        <v>435</v>
      </c>
      <c r="AB457" s="1" t="s">
        <v>1534</v>
      </c>
    </row>
    <row r="458" spans="1:28" x14ac:dyDescent="0.3">
      <c r="A458">
        <v>1629011</v>
      </c>
      <c r="B458" s="1" t="s">
        <v>1369</v>
      </c>
      <c r="C458">
        <v>0</v>
      </c>
      <c r="D458">
        <v>1610612752</v>
      </c>
      <c r="E458" s="1" t="s">
        <v>1248</v>
      </c>
      <c r="F458">
        <v>260</v>
      </c>
      <c r="G458">
        <v>31</v>
      </c>
      <c r="H458">
        <v>210</v>
      </c>
      <c r="I458">
        <v>7680</v>
      </c>
      <c r="J458">
        <v>73</v>
      </c>
      <c r="K458">
        <v>127</v>
      </c>
      <c r="L458">
        <v>575</v>
      </c>
      <c r="M458">
        <v>0</v>
      </c>
      <c r="N458">
        <v>0</v>
      </c>
      <c r="O458">
        <v>0</v>
      </c>
      <c r="P458">
        <v>27</v>
      </c>
      <c r="Q458">
        <v>66</v>
      </c>
      <c r="R458">
        <v>409</v>
      </c>
      <c r="S458">
        <v>1420</v>
      </c>
      <c r="T458">
        <v>1210</v>
      </c>
      <c r="U458">
        <v>2630</v>
      </c>
      <c r="V458">
        <v>18</v>
      </c>
      <c r="W458">
        <v>370</v>
      </c>
      <c r="X458">
        <v>350</v>
      </c>
      <c r="Y458">
        <v>250</v>
      </c>
      <c r="Z458">
        <v>55</v>
      </c>
      <c r="AA458">
        <v>173</v>
      </c>
      <c r="AB458" s="1" t="s">
        <v>1534</v>
      </c>
    </row>
    <row r="459" spans="1:28" x14ac:dyDescent="0.3">
      <c r="A459">
        <v>203944</v>
      </c>
      <c r="B459" s="1" t="s">
        <v>1288</v>
      </c>
      <c r="C459">
        <v>0</v>
      </c>
      <c r="D459">
        <v>1610612752</v>
      </c>
      <c r="E459" s="1" t="s">
        <v>1248</v>
      </c>
      <c r="F459">
        <v>250</v>
      </c>
      <c r="G459">
        <v>64</v>
      </c>
      <c r="H459">
        <v>640</v>
      </c>
      <c r="I459">
        <v>20800</v>
      </c>
      <c r="J459">
        <v>463</v>
      </c>
      <c r="K459">
        <v>1006</v>
      </c>
      <c r="L459">
        <v>46</v>
      </c>
      <c r="M459">
        <v>640</v>
      </c>
      <c r="N459">
        <v>2310</v>
      </c>
      <c r="O459">
        <v>277</v>
      </c>
      <c r="P459">
        <v>258</v>
      </c>
      <c r="Q459">
        <v>352</v>
      </c>
      <c r="R459">
        <v>733</v>
      </c>
      <c r="S459">
        <v>1510</v>
      </c>
      <c r="T459">
        <v>4710</v>
      </c>
      <c r="U459">
        <v>6220</v>
      </c>
      <c r="V459">
        <v>198</v>
      </c>
      <c r="W459">
        <v>510</v>
      </c>
      <c r="X459">
        <v>220</v>
      </c>
      <c r="Y459">
        <v>1930</v>
      </c>
      <c r="Z459">
        <v>178</v>
      </c>
      <c r="AA459">
        <v>1248</v>
      </c>
      <c r="AB459" s="1" t="s">
        <v>1535</v>
      </c>
    </row>
    <row r="460" spans="1:28" x14ac:dyDescent="0.3">
      <c r="A460">
        <v>203944</v>
      </c>
      <c r="B460" s="1" t="s">
        <v>1289</v>
      </c>
      <c r="C460">
        <v>0</v>
      </c>
      <c r="D460">
        <v>1610612752</v>
      </c>
      <c r="E460" s="1" t="s">
        <v>1248</v>
      </c>
      <c r="F460">
        <v>260</v>
      </c>
      <c r="G460">
        <v>71</v>
      </c>
      <c r="H460">
        <v>710</v>
      </c>
      <c r="I460">
        <v>26670</v>
      </c>
      <c r="J460">
        <v>602</v>
      </c>
      <c r="K460">
        <v>1321</v>
      </c>
      <c r="L460">
        <v>456</v>
      </c>
      <c r="M460">
        <v>1600</v>
      </c>
      <c r="N460">
        <v>3890</v>
      </c>
      <c r="O460">
        <v>411</v>
      </c>
      <c r="P460">
        <v>348</v>
      </c>
      <c r="Q460">
        <v>429</v>
      </c>
      <c r="R460">
        <v>811</v>
      </c>
      <c r="S460">
        <v>840</v>
      </c>
      <c r="T460">
        <v>6400</v>
      </c>
      <c r="U460">
        <v>7240</v>
      </c>
      <c r="V460">
        <v>427</v>
      </c>
      <c r="W460">
        <v>640</v>
      </c>
      <c r="X460">
        <v>180</v>
      </c>
      <c r="Y460">
        <v>2410</v>
      </c>
      <c r="Z460">
        <v>225</v>
      </c>
      <c r="AA460">
        <v>1712</v>
      </c>
      <c r="AB460" s="1" t="s">
        <v>1535</v>
      </c>
    </row>
    <row r="461" spans="1:28" x14ac:dyDescent="0.3">
      <c r="A461">
        <v>203944</v>
      </c>
      <c r="B461" s="1" t="s">
        <v>1308</v>
      </c>
      <c r="C461">
        <v>0</v>
      </c>
      <c r="D461">
        <v>1610612752</v>
      </c>
      <c r="E461" s="1" t="s">
        <v>1248</v>
      </c>
      <c r="F461">
        <v>270</v>
      </c>
      <c r="G461">
        <v>72</v>
      </c>
      <c r="H461">
        <v>720</v>
      </c>
      <c r="I461">
        <v>25440</v>
      </c>
      <c r="J461">
        <v>512</v>
      </c>
      <c r="K461">
        <v>1246</v>
      </c>
      <c r="L461">
        <v>411</v>
      </c>
      <c r="M461">
        <v>1200</v>
      </c>
      <c r="N461">
        <v>3900</v>
      </c>
      <c r="O461">
        <v>308</v>
      </c>
      <c r="P461">
        <v>303</v>
      </c>
      <c r="Q461">
        <v>401</v>
      </c>
      <c r="R461">
        <v>756</v>
      </c>
      <c r="S461">
        <v>1250</v>
      </c>
      <c r="T461">
        <v>5910</v>
      </c>
      <c r="U461">
        <v>7160</v>
      </c>
      <c r="V461">
        <v>370</v>
      </c>
      <c r="W461">
        <v>530</v>
      </c>
      <c r="X461">
        <v>390</v>
      </c>
      <c r="Y461">
        <v>2450</v>
      </c>
      <c r="Z461">
        <v>205</v>
      </c>
      <c r="AA461">
        <v>1447</v>
      </c>
      <c r="AB461" s="1" t="s">
        <v>1535</v>
      </c>
    </row>
    <row r="462" spans="1:28" x14ac:dyDescent="0.3">
      <c r="A462">
        <v>203944</v>
      </c>
      <c r="B462" s="1" t="s">
        <v>1327</v>
      </c>
      <c r="C462">
        <v>0</v>
      </c>
      <c r="D462">
        <v>1610612752</v>
      </c>
      <c r="E462" s="1" t="s">
        <v>1248</v>
      </c>
      <c r="F462">
        <v>280</v>
      </c>
      <c r="G462">
        <v>77</v>
      </c>
      <c r="H462">
        <v>770</v>
      </c>
      <c r="I462">
        <v>27370</v>
      </c>
      <c r="J462">
        <v>658</v>
      </c>
      <c r="K462">
        <v>1432</v>
      </c>
      <c r="L462">
        <v>459</v>
      </c>
      <c r="M462">
        <v>2180</v>
      </c>
      <c r="N462">
        <v>6360</v>
      </c>
      <c r="O462">
        <v>343</v>
      </c>
      <c r="P462">
        <v>402</v>
      </c>
      <c r="Q462">
        <v>531</v>
      </c>
      <c r="R462">
        <v>757</v>
      </c>
      <c r="S462">
        <v>1410</v>
      </c>
      <c r="T462">
        <v>6260</v>
      </c>
      <c r="U462">
        <v>7670</v>
      </c>
      <c r="V462">
        <v>316</v>
      </c>
      <c r="W462">
        <v>490</v>
      </c>
      <c r="X462">
        <v>210</v>
      </c>
      <c r="Y462">
        <v>2160</v>
      </c>
      <c r="Z462">
        <v>233</v>
      </c>
      <c r="AA462">
        <v>1936</v>
      </c>
      <c r="AB462" s="1" t="s">
        <v>1535</v>
      </c>
    </row>
    <row r="463" spans="1:28" x14ac:dyDescent="0.3">
      <c r="A463">
        <v>203944</v>
      </c>
      <c r="B463" s="1" t="s">
        <v>1369</v>
      </c>
      <c r="C463">
        <v>0</v>
      </c>
      <c r="D463">
        <v>1610612752</v>
      </c>
      <c r="E463" s="1" t="s">
        <v>1248</v>
      </c>
      <c r="F463">
        <v>290</v>
      </c>
      <c r="G463">
        <v>46</v>
      </c>
      <c r="H463">
        <v>460</v>
      </c>
      <c r="I463">
        <v>16300</v>
      </c>
      <c r="J463">
        <v>395</v>
      </c>
      <c r="K463">
        <v>836</v>
      </c>
      <c r="L463">
        <v>472</v>
      </c>
      <c r="M463">
        <v>760</v>
      </c>
      <c r="N463">
        <v>2440</v>
      </c>
      <c r="O463">
        <v>311</v>
      </c>
      <c r="P463">
        <v>236</v>
      </c>
      <c r="Q463">
        <v>302</v>
      </c>
      <c r="R463">
        <v>781</v>
      </c>
      <c r="S463">
        <v>990</v>
      </c>
      <c r="T463">
        <v>3240</v>
      </c>
      <c r="U463">
        <v>4230</v>
      </c>
      <c r="V463">
        <v>229</v>
      </c>
      <c r="W463">
        <v>250</v>
      </c>
      <c r="X463">
        <v>120</v>
      </c>
      <c r="Y463">
        <v>1590</v>
      </c>
      <c r="Z463">
        <v>125</v>
      </c>
      <c r="AA463">
        <v>1102</v>
      </c>
      <c r="AB463" s="1" t="s">
        <v>1535</v>
      </c>
    </row>
    <row r="464" spans="1:28" x14ac:dyDescent="0.3">
      <c r="A464">
        <v>38</v>
      </c>
      <c r="B464" s="1" t="s">
        <v>1276</v>
      </c>
      <c r="C464">
        <v>0</v>
      </c>
      <c r="D464">
        <v>1610612752</v>
      </c>
      <c r="E464" s="1" t="s">
        <v>1248</v>
      </c>
      <c r="F464">
        <v>310</v>
      </c>
      <c r="G464">
        <v>23</v>
      </c>
      <c r="H464">
        <v>70</v>
      </c>
      <c r="I464">
        <v>3250</v>
      </c>
      <c r="J464">
        <v>32</v>
      </c>
      <c r="K464">
        <v>79</v>
      </c>
      <c r="L464">
        <v>405</v>
      </c>
      <c r="M464">
        <v>240</v>
      </c>
      <c r="N464">
        <v>570</v>
      </c>
      <c r="O464">
        <v>421</v>
      </c>
      <c r="P464">
        <v>2</v>
      </c>
      <c r="Q464">
        <v>2</v>
      </c>
      <c r="R464">
        <v>10</v>
      </c>
      <c r="S464">
        <v>20</v>
      </c>
      <c r="T464">
        <v>290</v>
      </c>
      <c r="U464">
        <v>310</v>
      </c>
      <c r="V464">
        <v>27</v>
      </c>
      <c r="W464">
        <v>80</v>
      </c>
      <c r="X464">
        <v>100</v>
      </c>
      <c r="Y464">
        <v>110</v>
      </c>
      <c r="Z464">
        <v>36</v>
      </c>
      <c r="AA464">
        <v>90</v>
      </c>
      <c r="AB464" s="1" t="s">
        <v>1536</v>
      </c>
    </row>
    <row r="465" spans="1:28" x14ac:dyDescent="0.3">
      <c r="A465">
        <v>76993</v>
      </c>
      <c r="B465" s="1" t="s">
        <v>1394</v>
      </c>
      <c r="C465">
        <v>0</v>
      </c>
      <c r="D465">
        <v>1610612752</v>
      </c>
      <c r="E465" s="1" t="s">
        <v>1248</v>
      </c>
      <c r="F465">
        <v>310</v>
      </c>
      <c r="G465">
        <v>68</v>
      </c>
      <c r="H465">
        <v>530</v>
      </c>
      <c r="I465">
        <v>18900</v>
      </c>
      <c r="J465">
        <v>273</v>
      </c>
      <c r="K465">
        <v>624</v>
      </c>
      <c r="L465">
        <v>438</v>
      </c>
      <c r="M465">
        <v>190</v>
      </c>
      <c r="N465">
        <v>740</v>
      </c>
      <c r="O465">
        <v>257</v>
      </c>
      <c r="P465">
        <v>173</v>
      </c>
      <c r="Q465">
        <v>212</v>
      </c>
      <c r="R465">
        <v>816</v>
      </c>
      <c r="S465">
        <v>440</v>
      </c>
      <c r="T465">
        <v>1220</v>
      </c>
      <c r="U465">
        <v>1660</v>
      </c>
      <c r="V465">
        <v>439</v>
      </c>
      <c r="W465">
        <v>950</v>
      </c>
      <c r="X465">
        <v>110</v>
      </c>
      <c r="Y465">
        <v>1570</v>
      </c>
      <c r="Z465">
        <v>191</v>
      </c>
      <c r="AA465">
        <v>738</v>
      </c>
      <c r="AB465" s="1" t="s">
        <v>1537</v>
      </c>
    </row>
    <row r="466" spans="1:28" x14ac:dyDescent="0.3">
      <c r="A466">
        <v>76993</v>
      </c>
      <c r="B466" s="1" t="s">
        <v>1253</v>
      </c>
      <c r="C466">
        <v>0</v>
      </c>
      <c r="D466">
        <v>1610612752</v>
      </c>
      <c r="E466" s="1" t="s">
        <v>1248</v>
      </c>
      <c r="F466">
        <v>320</v>
      </c>
      <c r="G466">
        <v>6</v>
      </c>
      <c r="H466">
        <v>20</v>
      </c>
      <c r="I466">
        <v>690</v>
      </c>
      <c r="J466">
        <v>5</v>
      </c>
      <c r="K466">
        <v>14</v>
      </c>
      <c r="L466">
        <v>357</v>
      </c>
      <c r="M466">
        <v>20</v>
      </c>
      <c r="N466">
        <v>40</v>
      </c>
      <c r="O466">
        <v>5</v>
      </c>
      <c r="P466">
        <v>2</v>
      </c>
      <c r="Q466">
        <v>2</v>
      </c>
      <c r="R466">
        <v>10</v>
      </c>
      <c r="S466">
        <v>10</v>
      </c>
      <c r="T466">
        <v>90</v>
      </c>
      <c r="U466">
        <v>100</v>
      </c>
      <c r="V466">
        <v>13</v>
      </c>
      <c r="W466">
        <v>20</v>
      </c>
      <c r="X466">
        <v>0</v>
      </c>
      <c r="Y466">
        <v>80</v>
      </c>
      <c r="Z466">
        <v>14</v>
      </c>
      <c r="AA466">
        <v>14</v>
      </c>
      <c r="AB466" s="1" t="s">
        <v>1537</v>
      </c>
    </row>
    <row r="467" spans="1:28" x14ac:dyDescent="0.3">
      <c r="A467">
        <v>76655</v>
      </c>
      <c r="B467" s="1" t="s">
        <v>1378</v>
      </c>
      <c r="C467">
        <v>0</v>
      </c>
      <c r="D467">
        <v>1610612752</v>
      </c>
      <c r="E467" s="1" t="s">
        <v>1248</v>
      </c>
      <c r="F467">
        <v>280</v>
      </c>
      <c r="G467">
        <v>3</v>
      </c>
      <c r="J467">
        <v>0</v>
      </c>
      <c r="K467">
        <v>4</v>
      </c>
      <c r="L467">
        <v>0</v>
      </c>
      <c r="P467">
        <v>4</v>
      </c>
      <c r="Q467">
        <v>4</v>
      </c>
      <c r="R467">
        <v>10</v>
      </c>
      <c r="U467">
        <v>80</v>
      </c>
      <c r="V467">
        <v>0</v>
      </c>
      <c r="Z467">
        <v>6</v>
      </c>
      <c r="AA467">
        <v>4</v>
      </c>
      <c r="AB467" s="1" t="s">
        <v>1538</v>
      </c>
    </row>
    <row r="468" spans="1:28" x14ac:dyDescent="0.3">
      <c r="A468">
        <v>76314</v>
      </c>
      <c r="B468" s="1" t="s">
        <v>1323</v>
      </c>
      <c r="C468">
        <v>0</v>
      </c>
      <c r="D468">
        <v>1610612752</v>
      </c>
      <c r="E468" s="1" t="s">
        <v>1248</v>
      </c>
      <c r="F468">
        <v>220</v>
      </c>
      <c r="G468">
        <v>8</v>
      </c>
      <c r="I468">
        <v>280</v>
      </c>
      <c r="J468">
        <v>7</v>
      </c>
      <c r="K468">
        <v>14</v>
      </c>
      <c r="L468">
        <v>5</v>
      </c>
      <c r="P468">
        <v>1</v>
      </c>
      <c r="Q468">
        <v>4</v>
      </c>
      <c r="R468">
        <v>25</v>
      </c>
      <c r="U468">
        <v>50</v>
      </c>
      <c r="V468">
        <v>1</v>
      </c>
      <c r="Z468">
        <v>3</v>
      </c>
      <c r="AA468">
        <v>15</v>
      </c>
      <c r="AB468" s="1" t="s">
        <v>1539</v>
      </c>
    </row>
    <row r="469" spans="1:28" x14ac:dyDescent="0.3">
      <c r="A469">
        <v>77884</v>
      </c>
      <c r="B469" s="1" t="s">
        <v>1417</v>
      </c>
      <c r="C469">
        <v>0</v>
      </c>
      <c r="D469">
        <v>1610612752</v>
      </c>
      <c r="E469" s="1" t="s">
        <v>1248</v>
      </c>
      <c r="F469">
        <v>220</v>
      </c>
      <c r="G469">
        <v>56</v>
      </c>
      <c r="I469">
        <v>2510</v>
      </c>
      <c r="J469">
        <v>30</v>
      </c>
      <c r="K469">
        <v>81</v>
      </c>
      <c r="L469">
        <v>37</v>
      </c>
      <c r="P469">
        <v>24</v>
      </c>
      <c r="Q469">
        <v>34</v>
      </c>
      <c r="R469">
        <v>706</v>
      </c>
      <c r="U469">
        <v>290</v>
      </c>
      <c r="V469">
        <v>12</v>
      </c>
      <c r="Z469">
        <v>57</v>
      </c>
      <c r="AA469">
        <v>84</v>
      </c>
      <c r="AB469" s="1" t="s">
        <v>1540</v>
      </c>
    </row>
    <row r="470" spans="1:28" x14ac:dyDescent="0.3">
      <c r="A470">
        <v>77884</v>
      </c>
      <c r="B470" s="1" t="s">
        <v>1354</v>
      </c>
      <c r="C470">
        <v>0</v>
      </c>
      <c r="D470">
        <v>1610612752</v>
      </c>
      <c r="E470" s="1" t="s">
        <v>1248</v>
      </c>
      <c r="F470">
        <v>230</v>
      </c>
      <c r="G470">
        <v>6</v>
      </c>
      <c r="I470">
        <v>400</v>
      </c>
      <c r="J470">
        <v>5</v>
      </c>
      <c r="K470">
        <v>14</v>
      </c>
      <c r="L470">
        <v>357</v>
      </c>
      <c r="P470">
        <v>9</v>
      </c>
      <c r="Q470">
        <v>11</v>
      </c>
      <c r="R470">
        <v>818</v>
      </c>
      <c r="U470">
        <v>60</v>
      </c>
      <c r="V470">
        <v>6</v>
      </c>
      <c r="Z470">
        <v>10</v>
      </c>
      <c r="AA470">
        <v>19</v>
      </c>
      <c r="AB470" s="1" t="s">
        <v>1540</v>
      </c>
    </row>
    <row r="471" spans="1:28" x14ac:dyDescent="0.3">
      <c r="A471">
        <v>202391</v>
      </c>
      <c r="B471" s="1" t="s">
        <v>1290</v>
      </c>
      <c r="C471">
        <v>0</v>
      </c>
      <c r="D471">
        <v>1610612752</v>
      </c>
      <c r="E471" s="1" t="s">
        <v>1248</v>
      </c>
      <c r="F471">
        <v>230</v>
      </c>
      <c r="G471">
        <v>35</v>
      </c>
      <c r="H471">
        <v>250</v>
      </c>
      <c r="I471">
        <v>9400</v>
      </c>
      <c r="J471">
        <v>171</v>
      </c>
      <c r="K471">
        <v>383</v>
      </c>
      <c r="L471">
        <v>446</v>
      </c>
      <c r="M471">
        <v>240</v>
      </c>
      <c r="N471">
        <v>750</v>
      </c>
      <c r="O471">
        <v>32</v>
      </c>
      <c r="P471">
        <v>146</v>
      </c>
      <c r="Q471">
        <v>183</v>
      </c>
      <c r="R471">
        <v>798</v>
      </c>
      <c r="S471">
        <v>180</v>
      </c>
      <c r="T471">
        <v>890</v>
      </c>
      <c r="U471">
        <v>1070</v>
      </c>
      <c r="V471">
        <v>216</v>
      </c>
      <c r="W471">
        <v>550</v>
      </c>
      <c r="X471">
        <v>90</v>
      </c>
      <c r="Y471">
        <v>1260</v>
      </c>
      <c r="Z471">
        <v>78</v>
      </c>
      <c r="AA471">
        <v>512</v>
      </c>
      <c r="AB471" s="1" t="s">
        <v>1541</v>
      </c>
    </row>
    <row r="472" spans="1:28" x14ac:dyDescent="0.3">
      <c r="A472">
        <v>21</v>
      </c>
      <c r="B472" s="1" t="s">
        <v>1272</v>
      </c>
      <c r="C472">
        <v>0</v>
      </c>
      <c r="D472">
        <v>1610612752</v>
      </c>
      <c r="E472" s="1" t="s">
        <v>1248</v>
      </c>
      <c r="F472">
        <v>240</v>
      </c>
      <c r="G472">
        <v>82</v>
      </c>
      <c r="H472">
        <v>10</v>
      </c>
      <c r="I472">
        <v>15100</v>
      </c>
      <c r="J472">
        <v>161</v>
      </c>
      <c r="K472">
        <v>435</v>
      </c>
      <c r="L472">
        <v>37</v>
      </c>
      <c r="M472">
        <v>80</v>
      </c>
      <c r="N472">
        <v>550</v>
      </c>
      <c r="O472">
        <v>145</v>
      </c>
      <c r="P472">
        <v>117</v>
      </c>
      <c r="Q472">
        <v>158</v>
      </c>
      <c r="R472">
        <v>741</v>
      </c>
      <c r="S472">
        <v>330</v>
      </c>
      <c r="T472">
        <v>1030</v>
      </c>
      <c r="U472">
        <v>1360</v>
      </c>
      <c r="V472">
        <v>314</v>
      </c>
      <c r="W472">
        <v>590</v>
      </c>
      <c r="X472">
        <v>90</v>
      </c>
      <c r="Y472">
        <v>980</v>
      </c>
      <c r="Z472">
        <v>170</v>
      </c>
      <c r="AA472">
        <v>447</v>
      </c>
      <c r="AB472" s="1" t="s">
        <v>1542</v>
      </c>
    </row>
    <row r="473" spans="1:28" x14ac:dyDescent="0.3">
      <c r="A473">
        <v>21</v>
      </c>
      <c r="B473" s="1" t="s">
        <v>1273</v>
      </c>
      <c r="C473">
        <v>0</v>
      </c>
      <c r="D473">
        <v>1610612752</v>
      </c>
      <c r="E473" s="1" t="s">
        <v>1248</v>
      </c>
      <c r="F473">
        <v>250</v>
      </c>
      <c r="G473">
        <v>70</v>
      </c>
      <c r="H473">
        <v>350</v>
      </c>
      <c r="I473">
        <v>16990</v>
      </c>
      <c r="J473">
        <v>174</v>
      </c>
      <c r="K473">
        <v>419</v>
      </c>
      <c r="L473">
        <v>415</v>
      </c>
      <c r="M473">
        <v>40</v>
      </c>
      <c r="N473">
        <v>300</v>
      </c>
      <c r="O473">
        <v>133</v>
      </c>
      <c r="P473">
        <v>107</v>
      </c>
      <c r="Q473">
        <v>159</v>
      </c>
      <c r="R473">
        <v>673</v>
      </c>
      <c r="S473">
        <v>420</v>
      </c>
      <c r="T473">
        <v>1280</v>
      </c>
      <c r="U473">
        <v>1700</v>
      </c>
      <c r="V473">
        <v>398</v>
      </c>
      <c r="W473">
        <v>1130</v>
      </c>
      <c r="X473">
        <v>120</v>
      </c>
      <c r="Y473">
        <v>1040</v>
      </c>
      <c r="Z473">
        <v>141</v>
      </c>
      <c r="AA473">
        <v>459</v>
      </c>
      <c r="AB473" s="1" t="s">
        <v>1542</v>
      </c>
    </row>
    <row r="474" spans="1:28" x14ac:dyDescent="0.3">
      <c r="A474">
        <v>21</v>
      </c>
      <c r="B474" s="1" t="s">
        <v>1274</v>
      </c>
      <c r="C474">
        <v>0</v>
      </c>
      <c r="D474">
        <v>1610612752</v>
      </c>
      <c r="E474" s="1" t="s">
        <v>1248</v>
      </c>
      <c r="F474">
        <v>260</v>
      </c>
      <c r="G474">
        <v>80</v>
      </c>
      <c r="H474">
        <v>360</v>
      </c>
      <c r="I474">
        <v>19940</v>
      </c>
      <c r="J474">
        <v>225</v>
      </c>
      <c r="K474">
        <v>571</v>
      </c>
      <c r="L474">
        <v>394</v>
      </c>
      <c r="M474">
        <v>480</v>
      </c>
      <c r="N474">
        <v>1600</v>
      </c>
      <c r="O474">
        <v>3</v>
      </c>
      <c r="P474">
        <v>130</v>
      </c>
      <c r="Q474">
        <v>168</v>
      </c>
      <c r="R474">
        <v>774</v>
      </c>
      <c r="S474">
        <v>430</v>
      </c>
      <c r="T474">
        <v>1460</v>
      </c>
      <c r="U474">
        <v>1890</v>
      </c>
      <c r="V474">
        <v>365</v>
      </c>
      <c r="W474">
        <v>1140</v>
      </c>
      <c r="X474">
        <v>130</v>
      </c>
      <c r="Y474">
        <v>1270</v>
      </c>
      <c r="Z474">
        <v>163</v>
      </c>
      <c r="AA474">
        <v>628</v>
      </c>
      <c r="AB474" s="1" t="s">
        <v>1542</v>
      </c>
    </row>
    <row r="475" spans="1:28" x14ac:dyDescent="0.3">
      <c r="A475">
        <v>21</v>
      </c>
      <c r="B475" s="1" t="s">
        <v>1275</v>
      </c>
      <c r="C475">
        <v>0</v>
      </c>
      <c r="D475">
        <v>1610612752</v>
      </c>
      <c r="E475" s="1" t="s">
        <v>1248</v>
      </c>
      <c r="F475">
        <v>270</v>
      </c>
      <c r="G475">
        <v>61</v>
      </c>
      <c r="H475">
        <v>20</v>
      </c>
      <c r="I475">
        <v>9430</v>
      </c>
      <c r="J475">
        <v>128</v>
      </c>
      <c r="K475">
        <v>293</v>
      </c>
      <c r="L475">
        <v>437</v>
      </c>
      <c r="M475">
        <v>560</v>
      </c>
      <c r="N475">
        <v>1550</v>
      </c>
      <c r="O475">
        <v>361</v>
      </c>
      <c r="P475">
        <v>60</v>
      </c>
      <c r="Q475">
        <v>76</v>
      </c>
      <c r="R475">
        <v>789</v>
      </c>
      <c r="S475">
        <v>70</v>
      </c>
      <c r="T475">
        <v>570</v>
      </c>
      <c r="U475">
        <v>640</v>
      </c>
      <c r="V475">
        <v>160</v>
      </c>
      <c r="W475">
        <v>500</v>
      </c>
      <c r="X475">
        <v>70</v>
      </c>
      <c r="Y475">
        <v>570</v>
      </c>
      <c r="Z475">
        <v>99</v>
      </c>
      <c r="AA475">
        <v>372</v>
      </c>
      <c r="AB475" s="1" t="s">
        <v>1542</v>
      </c>
    </row>
    <row r="476" spans="1:28" x14ac:dyDescent="0.3">
      <c r="A476">
        <v>76986</v>
      </c>
      <c r="B476" s="1" t="s">
        <v>1362</v>
      </c>
      <c r="C476">
        <v>0</v>
      </c>
      <c r="D476">
        <v>1610612752</v>
      </c>
      <c r="E476" s="1" t="s">
        <v>1248</v>
      </c>
      <c r="F476">
        <v>250</v>
      </c>
      <c r="G476">
        <v>5</v>
      </c>
      <c r="I476">
        <v>230</v>
      </c>
      <c r="J476">
        <v>2</v>
      </c>
      <c r="K476">
        <v>9</v>
      </c>
      <c r="L476">
        <v>222</v>
      </c>
      <c r="P476">
        <v>0</v>
      </c>
      <c r="Q476">
        <v>1</v>
      </c>
      <c r="R476">
        <v>0</v>
      </c>
      <c r="U476">
        <v>40</v>
      </c>
      <c r="V476">
        <v>2</v>
      </c>
      <c r="Z476">
        <v>3</v>
      </c>
      <c r="AA476">
        <v>4</v>
      </c>
      <c r="AB476" s="1" t="s">
        <v>1543</v>
      </c>
    </row>
    <row r="477" spans="1:28" x14ac:dyDescent="0.3">
      <c r="A477">
        <v>458</v>
      </c>
      <c r="B477" s="1" t="s">
        <v>1330</v>
      </c>
      <c r="C477">
        <v>0</v>
      </c>
      <c r="D477">
        <v>1610612752</v>
      </c>
      <c r="E477" s="1" t="s">
        <v>1248</v>
      </c>
      <c r="F477">
        <v>290</v>
      </c>
      <c r="G477">
        <v>39</v>
      </c>
      <c r="H477">
        <v>0</v>
      </c>
      <c r="I477">
        <v>6100</v>
      </c>
      <c r="J477">
        <v>59</v>
      </c>
      <c r="K477">
        <v>175</v>
      </c>
      <c r="L477">
        <v>337</v>
      </c>
      <c r="M477">
        <v>140</v>
      </c>
      <c r="N477">
        <v>580</v>
      </c>
      <c r="O477">
        <v>241</v>
      </c>
      <c r="P477">
        <v>39</v>
      </c>
      <c r="Q477">
        <v>49</v>
      </c>
      <c r="R477">
        <v>796</v>
      </c>
      <c r="S477">
        <v>90</v>
      </c>
      <c r="T477">
        <v>400</v>
      </c>
      <c r="U477">
        <v>490</v>
      </c>
      <c r="V477">
        <v>100</v>
      </c>
      <c r="W477">
        <v>240</v>
      </c>
      <c r="X477">
        <v>30</v>
      </c>
      <c r="Y477">
        <v>530</v>
      </c>
      <c r="Z477">
        <v>55</v>
      </c>
      <c r="AA477">
        <v>171</v>
      </c>
      <c r="AB477" s="1" t="s">
        <v>1544</v>
      </c>
    </row>
    <row r="478" spans="1:28" x14ac:dyDescent="0.3">
      <c r="A478">
        <v>458</v>
      </c>
      <c r="B478" s="1" t="s">
        <v>1325</v>
      </c>
      <c r="C478">
        <v>0</v>
      </c>
      <c r="D478">
        <v>1610612752</v>
      </c>
      <c r="E478" s="1" t="s">
        <v>1248</v>
      </c>
      <c r="F478">
        <v>300</v>
      </c>
      <c r="G478">
        <v>82</v>
      </c>
      <c r="H478">
        <v>760</v>
      </c>
      <c r="I478">
        <v>22430</v>
      </c>
      <c r="J478">
        <v>262</v>
      </c>
      <c r="K478">
        <v>628</v>
      </c>
      <c r="L478">
        <v>417</v>
      </c>
      <c r="M478">
        <v>1310</v>
      </c>
      <c r="N478">
        <v>3370</v>
      </c>
      <c r="O478">
        <v>389</v>
      </c>
      <c r="P478">
        <v>89</v>
      </c>
      <c r="Q478">
        <v>105</v>
      </c>
      <c r="R478">
        <v>848</v>
      </c>
      <c r="S478">
        <v>240</v>
      </c>
      <c r="T478">
        <v>1620</v>
      </c>
      <c r="U478">
        <v>1860</v>
      </c>
      <c r="V478">
        <v>444</v>
      </c>
      <c r="W478">
        <v>710</v>
      </c>
      <c r="X478">
        <v>90</v>
      </c>
      <c r="Y478">
        <v>1490</v>
      </c>
      <c r="Z478">
        <v>222</v>
      </c>
      <c r="AA478">
        <v>744</v>
      </c>
      <c r="AB478" s="1" t="s">
        <v>1544</v>
      </c>
    </row>
    <row r="479" spans="1:28" x14ac:dyDescent="0.3">
      <c r="A479">
        <v>458</v>
      </c>
      <c r="B479" s="1" t="s">
        <v>1293</v>
      </c>
      <c r="C479">
        <v>0</v>
      </c>
      <c r="D479">
        <v>1610612752</v>
      </c>
      <c r="E479" s="1" t="s">
        <v>1248</v>
      </c>
      <c r="F479">
        <v>310</v>
      </c>
      <c r="G479">
        <v>33</v>
      </c>
      <c r="H479">
        <v>230</v>
      </c>
      <c r="I479">
        <v>7300</v>
      </c>
      <c r="J479">
        <v>80</v>
      </c>
      <c r="K479">
        <v>202</v>
      </c>
      <c r="L479">
        <v>396</v>
      </c>
      <c r="M479">
        <v>280</v>
      </c>
      <c r="N479">
        <v>850</v>
      </c>
      <c r="O479">
        <v>329</v>
      </c>
      <c r="P479">
        <v>32</v>
      </c>
      <c r="Q479">
        <v>36</v>
      </c>
      <c r="R479">
        <v>889</v>
      </c>
      <c r="S479">
        <v>70</v>
      </c>
      <c r="T479">
        <v>590</v>
      </c>
      <c r="U479">
        <v>660</v>
      </c>
      <c r="V479">
        <v>156</v>
      </c>
      <c r="W479">
        <v>300</v>
      </c>
      <c r="X479">
        <v>30</v>
      </c>
      <c r="Y479">
        <v>500</v>
      </c>
      <c r="Z479">
        <v>85</v>
      </c>
      <c r="AA479">
        <v>220</v>
      </c>
      <c r="AB479" s="1" t="s">
        <v>1544</v>
      </c>
    </row>
    <row r="480" spans="1:28" x14ac:dyDescent="0.3">
      <c r="A480">
        <v>202692</v>
      </c>
      <c r="B480" s="1" t="s">
        <v>1289</v>
      </c>
      <c r="C480">
        <v>0</v>
      </c>
      <c r="D480">
        <v>1610612752</v>
      </c>
      <c r="E480" s="1" t="s">
        <v>1248</v>
      </c>
      <c r="F480">
        <v>290</v>
      </c>
      <c r="G480">
        <v>49</v>
      </c>
      <c r="H480">
        <v>50</v>
      </c>
      <c r="I480">
        <v>12550</v>
      </c>
      <c r="J480">
        <v>210</v>
      </c>
      <c r="K480">
        <v>500</v>
      </c>
      <c r="L480">
        <v>42</v>
      </c>
      <c r="M480">
        <v>1020</v>
      </c>
      <c r="N480">
        <v>2460</v>
      </c>
      <c r="O480">
        <v>415</v>
      </c>
      <c r="P480">
        <v>101</v>
      </c>
      <c r="Q480">
        <v>118</v>
      </c>
      <c r="R480">
        <v>856</v>
      </c>
      <c r="S480">
        <v>210</v>
      </c>
      <c r="T480">
        <v>2060</v>
      </c>
      <c r="U480">
        <v>2270</v>
      </c>
      <c r="V480">
        <v>107</v>
      </c>
      <c r="W480">
        <v>310</v>
      </c>
      <c r="X480">
        <v>140</v>
      </c>
      <c r="Y480">
        <v>490</v>
      </c>
      <c r="Z480">
        <v>102</v>
      </c>
      <c r="AA480">
        <v>623</v>
      </c>
      <c r="AB480" s="1" t="s">
        <v>1545</v>
      </c>
    </row>
    <row r="481" spans="1:28" x14ac:dyDescent="0.3">
      <c r="A481">
        <v>202692</v>
      </c>
      <c r="B481" s="1" t="s">
        <v>1308</v>
      </c>
      <c r="C481">
        <v>0</v>
      </c>
      <c r="D481">
        <v>1610612752</v>
      </c>
      <c r="E481" s="1" t="s">
        <v>1248</v>
      </c>
      <c r="F481">
        <v>300</v>
      </c>
      <c r="G481">
        <v>81</v>
      </c>
      <c r="H481">
        <v>440</v>
      </c>
      <c r="I481">
        <v>23180</v>
      </c>
      <c r="J481">
        <v>285</v>
      </c>
      <c r="K481">
        <v>728</v>
      </c>
      <c r="L481">
        <v>391</v>
      </c>
      <c r="M481">
        <v>1570</v>
      </c>
      <c r="N481">
        <v>3890</v>
      </c>
      <c r="O481">
        <v>404</v>
      </c>
      <c r="P481">
        <v>217</v>
      </c>
      <c r="Q481">
        <v>264</v>
      </c>
      <c r="R481">
        <v>822</v>
      </c>
      <c r="S481">
        <v>470</v>
      </c>
      <c r="T481">
        <v>3500</v>
      </c>
      <c r="U481">
        <v>3970</v>
      </c>
      <c r="V481">
        <v>239</v>
      </c>
      <c r="W481">
        <v>850</v>
      </c>
      <c r="X481">
        <v>260</v>
      </c>
      <c r="Y481">
        <v>910</v>
      </c>
      <c r="Z481">
        <v>215</v>
      </c>
      <c r="AA481">
        <v>944</v>
      </c>
      <c r="AB481" s="1" t="s">
        <v>1545</v>
      </c>
    </row>
    <row r="482" spans="1:28" x14ac:dyDescent="0.3">
      <c r="A482">
        <v>202692</v>
      </c>
      <c r="B482" s="1" t="s">
        <v>1369</v>
      </c>
      <c r="C482">
        <v>0</v>
      </c>
      <c r="D482">
        <v>1610612752</v>
      </c>
      <c r="E482" s="1" t="s">
        <v>1248</v>
      </c>
      <c r="F482">
        <v>320</v>
      </c>
      <c r="G482">
        <v>23</v>
      </c>
      <c r="H482">
        <v>10</v>
      </c>
      <c r="I482">
        <v>3110</v>
      </c>
      <c r="J482">
        <v>50</v>
      </c>
      <c r="K482">
        <v>163</v>
      </c>
      <c r="L482">
        <v>307</v>
      </c>
      <c r="M482">
        <v>250</v>
      </c>
      <c r="N482">
        <v>830</v>
      </c>
      <c r="O482">
        <v>301</v>
      </c>
      <c r="P482">
        <v>24</v>
      </c>
      <c r="Q482">
        <v>33</v>
      </c>
      <c r="R482">
        <v>727</v>
      </c>
      <c r="S482">
        <v>80</v>
      </c>
      <c r="T482">
        <v>320</v>
      </c>
      <c r="U482">
        <v>400</v>
      </c>
      <c r="V482">
        <v>20</v>
      </c>
      <c r="W482">
        <v>70</v>
      </c>
      <c r="X482">
        <v>10</v>
      </c>
      <c r="Y482">
        <v>160</v>
      </c>
      <c r="Z482">
        <v>11</v>
      </c>
      <c r="AA482">
        <v>149</v>
      </c>
      <c r="AB482" s="1" t="s">
        <v>1545</v>
      </c>
    </row>
    <row r="483" spans="1:28" x14ac:dyDescent="0.3">
      <c r="A483">
        <v>77793</v>
      </c>
      <c r="B483" s="1" t="s">
        <v>1339</v>
      </c>
      <c r="C483">
        <v>0</v>
      </c>
      <c r="D483">
        <v>1610612752</v>
      </c>
      <c r="E483" s="1" t="s">
        <v>1248</v>
      </c>
      <c r="F483">
        <v>250</v>
      </c>
      <c r="G483">
        <v>42</v>
      </c>
      <c r="J483">
        <v>160</v>
      </c>
      <c r="K483">
        <v>521</v>
      </c>
      <c r="L483">
        <v>307</v>
      </c>
      <c r="P483">
        <v>81</v>
      </c>
      <c r="Q483">
        <v>121</v>
      </c>
      <c r="R483">
        <v>669</v>
      </c>
      <c r="V483">
        <v>34</v>
      </c>
      <c r="Z483">
        <v>110</v>
      </c>
      <c r="AA483">
        <v>401</v>
      </c>
      <c r="AB483" s="1" t="s">
        <v>1546</v>
      </c>
    </row>
    <row r="484" spans="1:28" x14ac:dyDescent="0.3">
      <c r="A484">
        <v>77793</v>
      </c>
      <c r="B484" s="1" t="s">
        <v>1297</v>
      </c>
      <c r="C484">
        <v>0</v>
      </c>
      <c r="D484">
        <v>1610612752</v>
      </c>
      <c r="E484" s="1" t="s">
        <v>1248</v>
      </c>
      <c r="F484">
        <v>260</v>
      </c>
      <c r="G484">
        <v>48</v>
      </c>
      <c r="J484">
        <v>224</v>
      </c>
      <c r="K484">
        <v>710</v>
      </c>
      <c r="L484">
        <v>315</v>
      </c>
      <c r="P484">
        <v>174</v>
      </c>
      <c r="Q484">
        <v>234</v>
      </c>
      <c r="R484">
        <v>744</v>
      </c>
      <c r="V484">
        <v>45</v>
      </c>
      <c r="Z484">
        <v>149</v>
      </c>
      <c r="AA484">
        <v>622</v>
      </c>
      <c r="AB484" s="1" t="s">
        <v>1546</v>
      </c>
    </row>
    <row r="485" spans="1:28" x14ac:dyDescent="0.3">
      <c r="A485">
        <v>77793</v>
      </c>
      <c r="B485" s="1" t="s">
        <v>1299</v>
      </c>
      <c r="C485">
        <v>0</v>
      </c>
      <c r="D485">
        <v>1610612752</v>
      </c>
      <c r="E485" s="1" t="s">
        <v>1248</v>
      </c>
      <c r="F485">
        <v>270</v>
      </c>
      <c r="G485">
        <v>58</v>
      </c>
      <c r="J485">
        <v>240</v>
      </c>
      <c r="K485">
        <v>685</v>
      </c>
      <c r="L485">
        <v>35</v>
      </c>
      <c r="P485">
        <v>234</v>
      </c>
      <c r="Q485">
        <v>307</v>
      </c>
      <c r="R485">
        <v>762</v>
      </c>
      <c r="V485">
        <v>108</v>
      </c>
      <c r="Z485">
        <v>206</v>
      </c>
      <c r="AA485">
        <v>714</v>
      </c>
      <c r="AB485" s="1" t="s">
        <v>1546</v>
      </c>
    </row>
    <row r="486" spans="1:28" x14ac:dyDescent="0.3">
      <c r="A486">
        <v>101135</v>
      </c>
      <c r="B486" s="1" t="s">
        <v>1300</v>
      </c>
      <c r="C486">
        <v>0</v>
      </c>
      <c r="D486">
        <v>1610612752</v>
      </c>
      <c r="E486" s="1" t="s">
        <v>1248</v>
      </c>
      <c r="F486">
        <v>230</v>
      </c>
      <c r="G486">
        <v>67</v>
      </c>
      <c r="H486">
        <v>140</v>
      </c>
      <c r="I486">
        <v>11290</v>
      </c>
      <c r="J486">
        <v>137</v>
      </c>
      <c r="K486">
        <v>230</v>
      </c>
      <c r="L486">
        <v>596</v>
      </c>
      <c r="M486">
        <v>0</v>
      </c>
      <c r="N486">
        <v>0</v>
      </c>
      <c r="O486">
        <v>0</v>
      </c>
      <c r="P486">
        <v>71</v>
      </c>
      <c r="Q486">
        <v>123</v>
      </c>
      <c r="R486">
        <v>577</v>
      </c>
      <c r="S486">
        <v>1090</v>
      </c>
      <c r="T486">
        <v>1940</v>
      </c>
      <c r="U486">
        <v>3030</v>
      </c>
      <c r="V486">
        <v>43</v>
      </c>
      <c r="W486">
        <v>300</v>
      </c>
      <c r="X486">
        <v>200</v>
      </c>
      <c r="Y486">
        <v>510</v>
      </c>
      <c r="Z486">
        <v>124</v>
      </c>
      <c r="AA486">
        <v>345</v>
      </c>
      <c r="AB486" s="1" t="s">
        <v>1547</v>
      </c>
    </row>
    <row r="487" spans="1:28" x14ac:dyDescent="0.3">
      <c r="A487">
        <v>101135</v>
      </c>
      <c r="B487" s="1" t="s">
        <v>1302</v>
      </c>
      <c r="C487">
        <v>0</v>
      </c>
      <c r="D487">
        <v>1610612752</v>
      </c>
      <c r="E487" s="1" t="s">
        <v>1248</v>
      </c>
      <c r="F487">
        <v>240</v>
      </c>
      <c r="G487">
        <v>58</v>
      </c>
      <c r="H487">
        <v>120</v>
      </c>
      <c r="I487">
        <v>17270</v>
      </c>
      <c r="J487">
        <v>240</v>
      </c>
      <c r="K487">
        <v>400</v>
      </c>
      <c r="L487">
        <v>6</v>
      </c>
      <c r="M487">
        <v>0</v>
      </c>
      <c r="N487">
        <v>0</v>
      </c>
      <c r="O487">
        <v>0</v>
      </c>
      <c r="P487">
        <v>141</v>
      </c>
      <c r="Q487">
        <v>173</v>
      </c>
      <c r="R487">
        <v>815</v>
      </c>
      <c r="S487">
        <v>1960</v>
      </c>
      <c r="T487">
        <v>4060</v>
      </c>
      <c r="U487">
        <v>6020</v>
      </c>
      <c r="V487">
        <v>104</v>
      </c>
      <c r="W487">
        <v>480</v>
      </c>
      <c r="X487">
        <v>230</v>
      </c>
      <c r="Y487">
        <v>920</v>
      </c>
      <c r="Z487">
        <v>155</v>
      </c>
      <c r="AA487">
        <v>621</v>
      </c>
      <c r="AB487" s="1" t="s">
        <v>1547</v>
      </c>
    </row>
    <row r="488" spans="1:28" x14ac:dyDescent="0.3">
      <c r="A488">
        <v>101135</v>
      </c>
      <c r="B488" s="1" t="s">
        <v>1303</v>
      </c>
      <c r="C488">
        <v>0</v>
      </c>
      <c r="D488">
        <v>1610612752</v>
      </c>
      <c r="E488" s="1" t="s">
        <v>1248</v>
      </c>
      <c r="F488">
        <v>250</v>
      </c>
      <c r="G488">
        <v>81</v>
      </c>
      <c r="H488">
        <v>290</v>
      </c>
      <c r="I488">
        <v>23560</v>
      </c>
      <c r="J488">
        <v>341</v>
      </c>
      <c r="K488">
        <v>618</v>
      </c>
      <c r="L488">
        <v>552</v>
      </c>
      <c r="M488">
        <v>0</v>
      </c>
      <c r="N488">
        <v>20</v>
      </c>
      <c r="O488">
        <v>0</v>
      </c>
      <c r="P488">
        <v>194</v>
      </c>
      <c r="Q488">
        <v>237</v>
      </c>
      <c r="R488">
        <v>819</v>
      </c>
      <c r="S488">
        <v>2420</v>
      </c>
      <c r="T488">
        <v>4820</v>
      </c>
      <c r="U488">
        <v>7240</v>
      </c>
      <c r="V488">
        <v>95</v>
      </c>
      <c r="W488">
        <v>550</v>
      </c>
      <c r="X488">
        <v>290</v>
      </c>
      <c r="Y488">
        <v>970</v>
      </c>
      <c r="Z488">
        <v>210</v>
      </c>
      <c r="AA488">
        <v>876</v>
      </c>
      <c r="AB488" s="1" t="s">
        <v>1547</v>
      </c>
    </row>
    <row r="489" spans="1:28" x14ac:dyDescent="0.3">
      <c r="A489">
        <v>101135</v>
      </c>
      <c r="B489" s="1" t="s">
        <v>1304</v>
      </c>
      <c r="C489">
        <v>0</v>
      </c>
      <c r="D489">
        <v>1610612752</v>
      </c>
      <c r="E489" s="1" t="s">
        <v>1248</v>
      </c>
      <c r="F489">
        <v>260</v>
      </c>
      <c r="G489">
        <v>81</v>
      </c>
      <c r="H489">
        <v>740</v>
      </c>
      <c r="I489">
        <v>28240</v>
      </c>
      <c r="J489">
        <v>522</v>
      </c>
      <c r="K489">
        <v>951</v>
      </c>
      <c r="L489">
        <v>549</v>
      </c>
      <c r="M489">
        <v>0</v>
      </c>
      <c r="N489">
        <v>30</v>
      </c>
      <c r="O489">
        <v>0</v>
      </c>
      <c r="P489">
        <v>249</v>
      </c>
      <c r="Q489">
        <v>330</v>
      </c>
      <c r="R489">
        <v>755</v>
      </c>
      <c r="S489">
        <v>2560</v>
      </c>
      <c r="T489">
        <v>6950</v>
      </c>
      <c r="U489">
        <v>9510</v>
      </c>
      <c r="V489">
        <v>174</v>
      </c>
      <c r="W489">
        <v>800</v>
      </c>
      <c r="X489">
        <v>220</v>
      </c>
      <c r="Y489">
        <v>1500</v>
      </c>
      <c r="Z489">
        <v>260</v>
      </c>
      <c r="AA489">
        <v>1293</v>
      </c>
      <c r="AB489" s="1" t="s">
        <v>1547</v>
      </c>
    </row>
    <row r="490" spans="1:28" x14ac:dyDescent="0.3">
      <c r="A490">
        <v>101135</v>
      </c>
      <c r="B490" s="1" t="s">
        <v>1305</v>
      </c>
      <c r="C490">
        <v>0</v>
      </c>
      <c r="D490">
        <v>1610612752</v>
      </c>
      <c r="E490" s="1" t="s">
        <v>1248</v>
      </c>
      <c r="F490">
        <v>270</v>
      </c>
      <c r="G490">
        <v>81</v>
      </c>
      <c r="H490">
        <v>810</v>
      </c>
      <c r="I490">
        <v>30190</v>
      </c>
      <c r="J490">
        <v>686</v>
      </c>
      <c r="K490">
        <v>1258</v>
      </c>
      <c r="L490">
        <v>545</v>
      </c>
      <c r="M490">
        <v>0</v>
      </c>
      <c r="N490">
        <v>80</v>
      </c>
      <c r="O490">
        <v>0</v>
      </c>
      <c r="P490">
        <v>268</v>
      </c>
      <c r="Q490">
        <v>330</v>
      </c>
      <c r="R490">
        <v>812</v>
      </c>
      <c r="S490">
        <v>2280</v>
      </c>
      <c r="T490">
        <v>7210</v>
      </c>
      <c r="U490">
        <v>9490</v>
      </c>
      <c r="V490">
        <v>295</v>
      </c>
      <c r="W490">
        <v>850</v>
      </c>
      <c r="X490">
        <v>400</v>
      </c>
      <c r="Y490">
        <v>1890</v>
      </c>
      <c r="Z490">
        <v>257</v>
      </c>
      <c r="AA490">
        <v>1640</v>
      </c>
      <c r="AB490" s="1" t="s">
        <v>1547</v>
      </c>
    </row>
    <row r="491" spans="1:28" x14ac:dyDescent="0.3">
      <c r="A491">
        <v>76008</v>
      </c>
      <c r="B491" s="1" t="s">
        <v>1349</v>
      </c>
      <c r="C491">
        <v>0</v>
      </c>
      <c r="D491">
        <v>1610612752</v>
      </c>
      <c r="E491" s="1" t="s">
        <v>1248</v>
      </c>
      <c r="F491">
        <v>230</v>
      </c>
      <c r="G491">
        <v>28</v>
      </c>
      <c r="I491">
        <v>2200</v>
      </c>
      <c r="J491">
        <v>14</v>
      </c>
      <c r="K491">
        <v>63</v>
      </c>
      <c r="L491">
        <v>222</v>
      </c>
      <c r="P491">
        <v>15</v>
      </c>
      <c r="Q491">
        <v>28</v>
      </c>
      <c r="R491">
        <v>536</v>
      </c>
      <c r="U491">
        <v>150</v>
      </c>
      <c r="V491">
        <v>23</v>
      </c>
      <c r="Z491">
        <v>43</v>
      </c>
      <c r="AA491">
        <v>43</v>
      </c>
      <c r="AB491" s="1" t="s">
        <v>1548</v>
      </c>
    </row>
    <row r="492" spans="1:28" x14ac:dyDescent="0.3">
      <c r="A492">
        <v>76981</v>
      </c>
      <c r="B492" s="1" t="s">
        <v>1261</v>
      </c>
      <c r="C492">
        <v>0</v>
      </c>
      <c r="D492">
        <v>1610612752</v>
      </c>
      <c r="E492" s="1" t="s">
        <v>1248</v>
      </c>
      <c r="F492">
        <v>270</v>
      </c>
      <c r="G492">
        <v>78</v>
      </c>
      <c r="I492">
        <v>28920</v>
      </c>
      <c r="J492">
        <v>605</v>
      </c>
      <c r="K492">
        <v>1360</v>
      </c>
      <c r="L492">
        <v>445</v>
      </c>
      <c r="P492">
        <v>339</v>
      </c>
      <c r="Q492">
        <v>448</v>
      </c>
      <c r="R492">
        <v>757</v>
      </c>
      <c r="S492">
        <v>2340</v>
      </c>
      <c r="T492">
        <v>6440</v>
      </c>
      <c r="U492">
        <v>8780</v>
      </c>
      <c r="V492">
        <v>92</v>
      </c>
      <c r="W492">
        <v>530</v>
      </c>
      <c r="X492">
        <v>800</v>
      </c>
      <c r="Z492">
        <v>255</v>
      </c>
      <c r="AA492">
        <v>1549</v>
      </c>
      <c r="AB492" s="1" t="s">
        <v>1549</v>
      </c>
    </row>
    <row r="493" spans="1:28" x14ac:dyDescent="0.3">
      <c r="A493">
        <v>76981</v>
      </c>
      <c r="B493" s="1" t="s">
        <v>1263</v>
      </c>
      <c r="C493">
        <v>0</v>
      </c>
      <c r="D493">
        <v>1610612752</v>
      </c>
      <c r="E493" s="1" t="s">
        <v>1248</v>
      </c>
      <c r="F493">
        <v>280</v>
      </c>
      <c r="G493">
        <v>31</v>
      </c>
      <c r="I493">
        <v>10210</v>
      </c>
      <c r="J493">
        <v>202</v>
      </c>
      <c r="K493">
        <v>449</v>
      </c>
      <c r="L493">
        <v>45</v>
      </c>
      <c r="P493">
        <v>109</v>
      </c>
      <c r="Q493">
        <v>131</v>
      </c>
      <c r="R493">
        <v>832</v>
      </c>
      <c r="S493">
        <v>770</v>
      </c>
      <c r="T493">
        <v>2030</v>
      </c>
      <c r="U493">
        <v>2800</v>
      </c>
      <c r="V493">
        <v>50</v>
      </c>
      <c r="W493">
        <v>140</v>
      </c>
      <c r="X493">
        <v>290</v>
      </c>
      <c r="Z493">
        <v>72</v>
      </c>
      <c r="AA493">
        <v>513</v>
      </c>
      <c r="AB493" s="1" t="s">
        <v>1549</v>
      </c>
    </row>
    <row r="494" spans="1:28" x14ac:dyDescent="0.3">
      <c r="A494">
        <v>76981</v>
      </c>
      <c r="B494" s="1" t="s">
        <v>1264</v>
      </c>
      <c r="C494">
        <v>0</v>
      </c>
      <c r="D494">
        <v>1610612752</v>
      </c>
      <c r="E494" s="1" t="s">
        <v>1248</v>
      </c>
      <c r="F494">
        <v>290</v>
      </c>
      <c r="G494">
        <v>67</v>
      </c>
      <c r="I494">
        <v>17650</v>
      </c>
      <c r="J494">
        <v>412</v>
      </c>
      <c r="K494">
        <v>852</v>
      </c>
      <c r="L494">
        <v>484</v>
      </c>
      <c r="P494">
        <v>96</v>
      </c>
      <c r="Q494">
        <v>135</v>
      </c>
      <c r="R494">
        <v>711</v>
      </c>
      <c r="S494">
        <v>1410</v>
      </c>
      <c r="T494">
        <v>3010</v>
      </c>
      <c r="U494">
        <v>4420</v>
      </c>
      <c r="V494">
        <v>126</v>
      </c>
      <c r="W494">
        <v>370</v>
      </c>
      <c r="X494">
        <v>720</v>
      </c>
      <c r="Y494">
        <v>1400</v>
      </c>
      <c r="Z494">
        <v>188</v>
      </c>
      <c r="AA494">
        <v>920</v>
      </c>
      <c r="AB494" s="1" t="s">
        <v>1549</v>
      </c>
    </row>
    <row r="495" spans="1:28" x14ac:dyDescent="0.3">
      <c r="A495">
        <v>76981</v>
      </c>
      <c r="B495" s="1" t="s">
        <v>1265</v>
      </c>
      <c r="C495">
        <v>0</v>
      </c>
      <c r="D495">
        <v>1610612752</v>
      </c>
      <c r="E495" s="1" t="s">
        <v>1248</v>
      </c>
      <c r="F495">
        <v>300</v>
      </c>
      <c r="G495">
        <v>34</v>
      </c>
      <c r="I495">
        <v>10230</v>
      </c>
      <c r="J495">
        <v>249</v>
      </c>
      <c r="K495">
        <v>509</v>
      </c>
      <c r="L495">
        <v>489</v>
      </c>
      <c r="P495">
        <v>107</v>
      </c>
      <c r="Q495">
        <v>146</v>
      </c>
      <c r="R495">
        <v>733</v>
      </c>
      <c r="S495">
        <v>660</v>
      </c>
      <c r="T495">
        <v>1400</v>
      </c>
      <c r="U495">
        <v>2060</v>
      </c>
      <c r="V495">
        <v>56</v>
      </c>
      <c r="W495">
        <v>100</v>
      </c>
      <c r="X495">
        <v>290</v>
      </c>
      <c r="Y495">
        <v>870</v>
      </c>
      <c r="Z495">
        <v>108</v>
      </c>
      <c r="AA495">
        <v>605</v>
      </c>
      <c r="AB495" s="1" t="s">
        <v>1549</v>
      </c>
    </row>
    <row r="496" spans="1:28" x14ac:dyDescent="0.3">
      <c r="A496">
        <v>76647</v>
      </c>
      <c r="B496" s="1" t="s">
        <v>1257</v>
      </c>
      <c r="C496">
        <v>0</v>
      </c>
      <c r="D496">
        <v>1610612752</v>
      </c>
      <c r="E496" s="1" t="s">
        <v>1248</v>
      </c>
      <c r="F496">
        <v>250</v>
      </c>
      <c r="G496">
        <v>66</v>
      </c>
      <c r="I496">
        <v>23250</v>
      </c>
      <c r="J496">
        <v>334</v>
      </c>
      <c r="K496">
        <v>758</v>
      </c>
      <c r="L496">
        <v>441</v>
      </c>
      <c r="P496">
        <v>193</v>
      </c>
      <c r="Q496">
        <v>243</v>
      </c>
      <c r="R496">
        <v>794</v>
      </c>
      <c r="U496">
        <v>1910</v>
      </c>
      <c r="V496">
        <v>358</v>
      </c>
      <c r="Z496">
        <v>181</v>
      </c>
      <c r="AA496">
        <v>861</v>
      </c>
      <c r="AB496" s="1" t="s">
        <v>1550</v>
      </c>
    </row>
    <row r="497" spans="1:28" x14ac:dyDescent="0.3">
      <c r="A497">
        <v>76647</v>
      </c>
      <c r="B497" s="1" t="s">
        <v>1258</v>
      </c>
      <c r="C497">
        <v>0</v>
      </c>
      <c r="D497">
        <v>1610612752</v>
      </c>
      <c r="E497" s="1" t="s">
        <v>1248</v>
      </c>
      <c r="F497">
        <v>260</v>
      </c>
      <c r="G497">
        <v>74</v>
      </c>
      <c r="I497">
        <v>16640</v>
      </c>
      <c r="J497">
        <v>258</v>
      </c>
      <c r="K497">
        <v>529</v>
      </c>
      <c r="L497">
        <v>488</v>
      </c>
      <c r="P497">
        <v>162</v>
      </c>
      <c r="Q497">
        <v>199</v>
      </c>
      <c r="R497">
        <v>814</v>
      </c>
      <c r="U497">
        <v>1430</v>
      </c>
      <c r="V497">
        <v>252</v>
      </c>
      <c r="Z497">
        <v>139</v>
      </c>
      <c r="AA497">
        <v>678</v>
      </c>
      <c r="AB497" s="1" t="s">
        <v>1550</v>
      </c>
    </row>
    <row r="498" spans="1:28" x14ac:dyDescent="0.3">
      <c r="A498">
        <v>76647</v>
      </c>
      <c r="B498" s="1" t="s">
        <v>1412</v>
      </c>
      <c r="C498">
        <v>0</v>
      </c>
      <c r="D498">
        <v>1610612752</v>
      </c>
      <c r="E498" s="1" t="s">
        <v>1248</v>
      </c>
      <c r="F498">
        <v>270</v>
      </c>
      <c r="G498">
        <v>7</v>
      </c>
      <c r="I498">
        <v>580</v>
      </c>
      <c r="J498">
        <v>5</v>
      </c>
      <c r="K498">
        <v>16</v>
      </c>
      <c r="L498">
        <v>313</v>
      </c>
      <c r="P498">
        <v>7</v>
      </c>
      <c r="Q498">
        <v>10</v>
      </c>
      <c r="R498">
        <v>7</v>
      </c>
      <c r="U498">
        <v>20</v>
      </c>
      <c r="V498">
        <v>14</v>
      </c>
      <c r="Z498">
        <v>4</v>
      </c>
      <c r="AA498">
        <v>17</v>
      </c>
      <c r="AB498" s="1" t="s">
        <v>1550</v>
      </c>
    </row>
    <row r="499" spans="1:28" x14ac:dyDescent="0.3">
      <c r="A499">
        <v>203504</v>
      </c>
      <c r="B499" s="1" t="s">
        <v>1259</v>
      </c>
      <c r="C499">
        <v>0</v>
      </c>
      <c r="D499">
        <v>1610612752</v>
      </c>
      <c r="E499" s="1" t="s">
        <v>1248</v>
      </c>
      <c r="F499">
        <v>250</v>
      </c>
      <c r="G499">
        <v>36</v>
      </c>
      <c r="H499">
        <v>90</v>
      </c>
      <c r="I499">
        <v>7850</v>
      </c>
      <c r="J499">
        <v>193</v>
      </c>
      <c r="K499">
        <v>384</v>
      </c>
      <c r="L499">
        <v>503</v>
      </c>
      <c r="M499">
        <v>380</v>
      </c>
      <c r="N499">
        <v>1050</v>
      </c>
      <c r="O499">
        <v>362</v>
      </c>
      <c r="P499">
        <v>37</v>
      </c>
      <c r="Q499">
        <v>57</v>
      </c>
      <c r="R499">
        <v>649</v>
      </c>
      <c r="S499">
        <v>130</v>
      </c>
      <c r="T499">
        <v>580</v>
      </c>
      <c r="U499">
        <v>710</v>
      </c>
      <c r="V499">
        <v>170</v>
      </c>
      <c r="W499">
        <v>240</v>
      </c>
      <c r="X499">
        <v>40</v>
      </c>
      <c r="Y499">
        <v>430</v>
      </c>
      <c r="Z499">
        <v>43</v>
      </c>
      <c r="AA499">
        <v>461</v>
      </c>
      <c r="AB499" s="1" t="s">
        <v>1551</v>
      </c>
    </row>
    <row r="500" spans="1:28" x14ac:dyDescent="0.3">
      <c r="A500">
        <v>203504</v>
      </c>
      <c r="B500" s="1" t="s">
        <v>1287</v>
      </c>
      <c r="C500">
        <v>0</v>
      </c>
      <c r="D500">
        <v>1610612752</v>
      </c>
      <c r="E500" s="1" t="s">
        <v>1248</v>
      </c>
      <c r="F500">
        <v>260</v>
      </c>
      <c r="G500">
        <v>33</v>
      </c>
      <c r="H500">
        <v>70</v>
      </c>
      <c r="I500">
        <v>6890</v>
      </c>
      <c r="J500">
        <v>148</v>
      </c>
      <c r="K500">
        <v>358</v>
      </c>
      <c r="L500">
        <v>413</v>
      </c>
      <c r="M500">
        <v>300</v>
      </c>
      <c r="N500">
        <v>860</v>
      </c>
      <c r="O500">
        <v>349</v>
      </c>
      <c r="P500">
        <v>62</v>
      </c>
      <c r="Q500">
        <v>75</v>
      </c>
      <c r="R500">
        <v>827</v>
      </c>
      <c r="S500">
        <v>150</v>
      </c>
      <c r="T500">
        <v>470</v>
      </c>
      <c r="U500">
        <v>620</v>
      </c>
      <c r="V500">
        <v>94</v>
      </c>
      <c r="W500">
        <v>210</v>
      </c>
      <c r="X500">
        <v>50</v>
      </c>
      <c r="Y500">
        <v>290</v>
      </c>
      <c r="Z500">
        <v>33</v>
      </c>
      <c r="AA500">
        <v>388</v>
      </c>
      <c r="AB500" s="1" t="s">
        <v>1551</v>
      </c>
    </row>
    <row r="501" spans="1:28" x14ac:dyDescent="0.3">
      <c r="A501">
        <v>1630579</v>
      </c>
      <c r="B501" s="1" t="s">
        <v>1308</v>
      </c>
      <c r="C501">
        <v>0</v>
      </c>
      <c r="D501">
        <v>1610612752</v>
      </c>
      <c r="E501" s="1" t="s">
        <v>1248</v>
      </c>
      <c r="F501">
        <v>230</v>
      </c>
      <c r="G501">
        <v>41</v>
      </c>
      <c r="H501">
        <v>50</v>
      </c>
      <c r="I501">
        <v>5550</v>
      </c>
      <c r="J501">
        <v>39</v>
      </c>
      <c r="K501">
        <v>54</v>
      </c>
      <c r="L501">
        <v>722</v>
      </c>
      <c r="M501">
        <v>0</v>
      </c>
      <c r="N501">
        <v>0</v>
      </c>
      <c r="O501">
        <v>0</v>
      </c>
      <c r="P501">
        <v>12</v>
      </c>
      <c r="Q501">
        <v>29</v>
      </c>
      <c r="R501">
        <v>414</v>
      </c>
      <c r="S501">
        <v>610</v>
      </c>
      <c r="T501">
        <v>1080</v>
      </c>
      <c r="U501">
        <v>1690</v>
      </c>
      <c r="V501">
        <v>21</v>
      </c>
      <c r="W501">
        <v>110</v>
      </c>
      <c r="X501">
        <v>220</v>
      </c>
      <c r="Y501">
        <v>200</v>
      </c>
      <c r="Z501">
        <v>66</v>
      </c>
      <c r="AA501">
        <v>90</v>
      </c>
      <c r="AB501" s="1" t="s">
        <v>1552</v>
      </c>
    </row>
    <row r="502" spans="1:28" x14ac:dyDescent="0.3">
      <c r="A502">
        <v>1630579</v>
      </c>
      <c r="B502" s="1" t="s">
        <v>1327</v>
      </c>
      <c r="C502">
        <v>0</v>
      </c>
      <c r="D502">
        <v>1610612752</v>
      </c>
      <c r="E502" s="1" t="s">
        <v>1248</v>
      </c>
      <c r="F502">
        <v>240</v>
      </c>
      <c r="G502">
        <v>52</v>
      </c>
      <c r="H502">
        <v>160</v>
      </c>
      <c r="I502">
        <v>8120</v>
      </c>
      <c r="J502">
        <v>83</v>
      </c>
      <c r="K502">
        <v>107</v>
      </c>
      <c r="L502">
        <v>776</v>
      </c>
      <c r="M502">
        <v>0</v>
      </c>
      <c r="N502">
        <v>10</v>
      </c>
      <c r="O502">
        <v>0</v>
      </c>
      <c r="P502">
        <v>12</v>
      </c>
      <c r="Q502">
        <v>16</v>
      </c>
      <c r="R502">
        <v>75</v>
      </c>
      <c r="S502">
        <v>990</v>
      </c>
      <c r="T502">
        <v>1430</v>
      </c>
      <c r="U502">
        <v>2420</v>
      </c>
      <c r="V502">
        <v>25</v>
      </c>
      <c r="W502">
        <v>150</v>
      </c>
      <c r="X502">
        <v>280</v>
      </c>
      <c r="Y502">
        <v>270</v>
      </c>
      <c r="Z502">
        <v>96</v>
      </c>
      <c r="AA502">
        <v>178</v>
      </c>
      <c r="AB502" s="1" t="s">
        <v>1552</v>
      </c>
    </row>
    <row r="503" spans="1:28" x14ac:dyDescent="0.3">
      <c r="A503">
        <v>1630579</v>
      </c>
      <c r="B503" s="1" t="s">
        <v>1369</v>
      </c>
      <c r="C503">
        <v>0</v>
      </c>
      <c r="D503">
        <v>1610612752</v>
      </c>
      <c r="E503" s="1" t="s">
        <v>1248</v>
      </c>
      <c r="F503">
        <v>250</v>
      </c>
      <c r="G503">
        <v>45</v>
      </c>
      <c r="H503">
        <v>110</v>
      </c>
      <c r="I503">
        <v>5850</v>
      </c>
      <c r="J503">
        <v>38</v>
      </c>
      <c r="K503">
        <v>55</v>
      </c>
      <c r="L503">
        <v>691</v>
      </c>
      <c r="M503">
        <v>0</v>
      </c>
      <c r="N503">
        <v>0</v>
      </c>
      <c r="O503">
        <v>0</v>
      </c>
      <c r="P503">
        <v>16</v>
      </c>
      <c r="Q503">
        <v>24</v>
      </c>
      <c r="R503">
        <v>667</v>
      </c>
      <c r="S503">
        <v>560</v>
      </c>
      <c r="T503">
        <v>910</v>
      </c>
      <c r="U503">
        <v>1470</v>
      </c>
      <c r="V503">
        <v>25</v>
      </c>
      <c r="W503">
        <v>80</v>
      </c>
      <c r="X503">
        <v>190</v>
      </c>
      <c r="Y503">
        <v>160</v>
      </c>
      <c r="Z503">
        <v>45</v>
      </c>
      <c r="AA503">
        <v>92</v>
      </c>
      <c r="AB503" s="1" t="s">
        <v>1552</v>
      </c>
    </row>
    <row r="504" spans="1:28" x14ac:dyDescent="0.3">
      <c r="A504">
        <v>201584</v>
      </c>
      <c r="B504" s="1" t="s">
        <v>1281</v>
      </c>
      <c r="C504">
        <v>0</v>
      </c>
      <c r="D504">
        <v>1610612752</v>
      </c>
      <c r="E504" s="1" t="s">
        <v>1248</v>
      </c>
      <c r="F504">
        <v>310</v>
      </c>
      <c r="G504">
        <v>77</v>
      </c>
      <c r="H504">
        <v>740</v>
      </c>
      <c r="I504">
        <v>24590</v>
      </c>
      <c r="J504">
        <v>321</v>
      </c>
      <c r="K504">
        <v>704</v>
      </c>
      <c r="L504">
        <v>456</v>
      </c>
      <c r="M504">
        <v>1080</v>
      </c>
      <c r="N504">
        <v>2690</v>
      </c>
      <c r="O504">
        <v>401</v>
      </c>
      <c r="P504">
        <v>85</v>
      </c>
      <c r="Q504">
        <v>98</v>
      </c>
      <c r="R504">
        <v>867</v>
      </c>
      <c r="S504">
        <v>530</v>
      </c>
      <c r="T504">
        <v>2060</v>
      </c>
      <c r="U504">
        <v>2590</v>
      </c>
      <c r="V504">
        <v>179</v>
      </c>
      <c r="W504">
        <v>810</v>
      </c>
      <c r="X504">
        <v>240</v>
      </c>
      <c r="Y504">
        <v>690</v>
      </c>
      <c r="Z504">
        <v>141</v>
      </c>
      <c r="AA504">
        <v>835</v>
      </c>
      <c r="AB504" s="1" t="s">
        <v>1553</v>
      </c>
    </row>
    <row r="505" spans="1:28" x14ac:dyDescent="0.3">
      <c r="A505">
        <v>201584</v>
      </c>
      <c r="B505" s="1" t="s">
        <v>1259</v>
      </c>
      <c r="C505">
        <v>0</v>
      </c>
      <c r="D505">
        <v>1610612752</v>
      </c>
      <c r="E505" s="1" t="s">
        <v>1248</v>
      </c>
      <c r="F505">
        <v>320</v>
      </c>
      <c r="G505">
        <v>76</v>
      </c>
      <c r="H505">
        <v>690</v>
      </c>
      <c r="I505">
        <v>23100</v>
      </c>
      <c r="J505">
        <v>343</v>
      </c>
      <c r="K505">
        <v>755</v>
      </c>
      <c r="L505">
        <v>454</v>
      </c>
      <c r="M505">
        <v>1130</v>
      </c>
      <c r="N505">
        <v>2780</v>
      </c>
      <c r="O505">
        <v>406</v>
      </c>
      <c r="P505">
        <v>114</v>
      </c>
      <c r="Q505">
        <v>124</v>
      </c>
      <c r="R505">
        <v>919</v>
      </c>
      <c r="S505">
        <v>300</v>
      </c>
      <c r="T505">
        <v>1940</v>
      </c>
      <c r="U505">
        <v>2240</v>
      </c>
      <c r="V505">
        <v>180</v>
      </c>
      <c r="W505">
        <v>800</v>
      </c>
      <c r="X505">
        <v>170</v>
      </c>
      <c r="Y505">
        <v>840</v>
      </c>
      <c r="Z505">
        <v>109</v>
      </c>
      <c r="AA505">
        <v>913</v>
      </c>
      <c r="AB505" s="1" t="s">
        <v>1553</v>
      </c>
    </row>
    <row r="506" spans="1:28" x14ac:dyDescent="0.3">
      <c r="A506">
        <v>201584</v>
      </c>
      <c r="B506" s="1" t="s">
        <v>1287</v>
      </c>
      <c r="C506">
        <v>0</v>
      </c>
      <c r="D506">
        <v>1610612752</v>
      </c>
      <c r="E506" s="1" t="s">
        <v>1248</v>
      </c>
      <c r="F506">
        <v>330</v>
      </c>
      <c r="G506">
        <v>12</v>
      </c>
      <c r="H506">
        <v>20</v>
      </c>
      <c r="I506">
        <v>1600</v>
      </c>
      <c r="J506">
        <v>21</v>
      </c>
      <c r="K506">
        <v>47</v>
      </c>
      <c r="L506">
        <v>447</v>
      </c>
      <c r="M506">
        <v>50</v>
      </c>
      <c r="N506">
        <v>160</v>
      </c>
      <c r="O506">
        <v>313</v>
      </c>
      <c r="P506">
        <v>9</v>
      </c>
      <c r="Q506">
        <v>14</v>
      </c>
      <c r="R506">
        <v>643</v>
      </c>
      <c r="S506">
        <v>60</v>
      </c>
      <c r="T506">
        <v>210</v>
      </c>
      <c r="U506">
        <v>270</v>
      </c>
      <c r="V506">
        <v>16</v>
      </c>
      <c r="W506">
        <v>80</v>
      </c>
      <c r="X506">
        <v>20</v>
      </c>
      <c r="Y506">
        <v>50</v>
      </c>
      <c r="Z506">
        <v>13</v>
      </c>
      <c r="AA506">
        <v>56</v>
      </c>
      <c r="AB506" s="1" t="s">
        <v>1553</v>
      </c>
    </row>
    <row r="507" spans="1:28" x14ac:dyDescent="0.3">
      <c r="A507">
        <v>76968</v>
      </c>
      <c r="B507" s="1" t="s">
        <v>1468</v>
      </c>
      <c r="C507">
        <v>0</v>
      </c>
      <c r="D507">
        <v>1610612752</v>
      </c>
      <c r="E507" s="1" t="s">
        <v>1248</v>
      </c>
      <c r="F507">
        <v>230</v>
      </c>
      <c r="G507">
        <v>21</v>
      </c>
      <c r="H507">
        <v>0</v>
      </c>
      <c r="I507">
        <v>980</v>
      </c>
      <c r="J507">
        <v>8</v>
      </c>
      <c r="K507">
        <v>22</v>
      </c>
      <c r="L507">
        <v>364</v>
      </c>
      <c r="M507">
        <v>0</v>
      </c>
      <c r="N507">
        <v>10</v>
      </c>
      <c r="O507">
        <v>0</v>
      </c>
      <c r="P507">
        <v>7</v>
      </c>
      <c r="Q507">
        <v>14</v>
      </c>
      <c r="R507">
        <v>5</v>
      </c>
      <c r="S507">
        <v>100</v>
      </c>
      <c r="T507">
        <v>210</v>
      </c>
      <c r="U507">
        <v>310</v>
      </c>
      <c r="V507">
        <v>1</v>
      </c>
      <c r="W507">
        <v>50</v>
      </c>
      <c r="X507">
        <v>0</v>
      </c>
      <c r="Y507">
        <v>60</v>
      </c>
      <c r="Z507">
        <v>31</v>
      </c>
      <c r="AA507">
        <v>23</v>
      </c>
      <c r="AB507" s="1" t="s">
        <v>1554</v>
      </c>
    </row>
    <row r="508" spans="1:28" x14ac:dyDescent="0.3">
      <c r="A508">
        <v>76635</v>
      </c>
      <c r="B508" s="1" t="s">
        <v>1272</v>
      </c>
      <c r="C508">
        <v>0</v>
      </c>
      <c r="D508">
        <v>1610612752</v>
      </c>
      <c r="E508" s="1" t="s">
        <v>1248</v>
      </c>
      <c r="F508">
        <v>240</v>
      </c>
      <c r="G508">
        <v>4</v>
      </c>
      <c r="H508">
        <v>0</v>
      </c>
      <c r="I508">
        <v>130</v>
      </c>
      <c r="J508">
        <v>2</v>
      </c>
      <c r="K508">
        <v>9</v>
      </c>
      <c r="L508">
        <v>222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10</v>
      </c>
      <c r="U508">
        <v>10</v>
      </c>
      <c r="V508">
        <v>0</v>
      </c>
      <c r="W508">
        <v>0</v>
      </c>
      <c r="X508">
        <v>0</v>
      </c>
      <c r="Y508">
        <v>0</v>
      </c>
      <c r="Z508">
        <v>3</v>
      </c>
      <c r="AA508">
        <v>4</v>
      </c>
      <c r="AB508" s="1" t="s">
        <v>1555</v>
      </c>
    </row>
    <row r="509" spans="1:28" x14ac:dyDescent="0.3">
      <c r="A509">
        <v>76303</v>
      </c>
      <c r="B509" s="1" t="s">
        <v>1263</v>
      </c>
      <c r="C509">
        <v>0</v>
      </c>
      <c r="D509">
        <v>1610612752</v>
      </c>
      <c r="E509" s="1" t="s">
        <v>1248</v>
      </c>
      <c r="F509">
        <v>240</v>
      </c>
      <c r="G509">
        <v>61</v>
      </c>
      <c r="I509">
        <v>6080</v>
      </c>
      <c r="J509">
        <v>148</v>
      </c>
      <c r="K509">
        <v>352</v>
      </c>
      <c r="L509">
        <v>42</v>
      </c>
      <c r="P509">
        <v>51</v>
      </c>
      <c r="Q509">
        <v>85</v>
      </c>
      <c r="R509">
        <v>6</v>
      </c>
      <c r="S509">
        <v>260</v>
      </c>
      <c r="T509">
        <v>400</v>
      </c>
      <c r="U509">
        <v>660</v>
      </c>
      <c r="V509">
        <v>62</v>
      </c>
      <c r="W509">
        <v>470</v>
      </c>
      <c r="X509">
        <v>10</v>
      </c>
      <c r="Z509">
        <v>88</v>
      </c>
      <c r="AA509">
        <v>347</v>
      </c>
      <c r="AB509" s="1" t="s">
        <v>1556</v>
      </c>
    </row>
    <row r="510" spans="1:28" x14ac:dyDescent="0.3">
      <c r="A510">
        <v>76303</v>
      </c>
      <c r="B510" s="1" t="s">
        <v>1264</v>
      </c>
      <c r="C510">
        <v>0</v>
      </c>
      <c r="D510">
        <v>1610612752</v>
      </c>
      <c r="E510" s="1" t="s">
        <v>1248</v>
      </c>
      <c r="F510">
        <v>250</v>
      </c>
      <c r="G510">
        <v>2</v>
      </c>
      <c r="I510">
        <v>150</v>
      </c>
      <c r="J510">
        <v>1</v>
      </c>
      <c r="K510">
        <v>2</v>
      </c>
      <c r="L510">
        <v>5</v>
      </c>
      <c r="P510">
        <v>0</v>
      </c>
      <c r="Q510">
        <v>0</v>
      </c>
      <c r="S510">
        <v>0</v>
      </c>
      <c r="T510">
        <v>0</v>
      </c>
      <c r="U510">
        <v>0</v>
      </c>
      <c r="V510">
        <v>1</v>
      </c>
      <c r="W510">
        <v>10</v>
      </c>
      <c r="X510">
        <v>0</v>
      </c>
      <c r="Y510">
        <v>0</v>
      </c>
      <c r="Z510">
        <v>1</v>
      </c>
      <c r="AA510">
        <v>2</v>
      </c>
      <c r="AB510" s="1" t="s">
        <v>1556</v>
      </c>
    </row>
    <row r="511" spans="1:28" x14ac:dyDescent="0.3">
      <c r="A511">
        <v>203495</v>
      </c>
      <c r="B511" s="1" t="s">
        <v>1343</v>
      </c>
      <c r="C511">
        <v>0</v>
      </c>
      <c r="D511">
        <v>1610612752</v>
      </c>
      <c r="E511" s="1" t="s">
        <v>1248</v>
      </c>
      <c r="F511">
        <v>220</v>
      </c>
      <c r="G511">
        <v>12</v>
      </c>
      <c r="H511">
        <v>0</v>
      </c>
      <c r="I511">
        <v>2330</v>
      </c>
      <c r="J511">
        <v>32</v>
      </c>
      <c r="K511">
        <v>90</v>
      </c>
      <c r="L511">
        <v>356</v>
      </c>
      <c r="M511">
        <v>100</v>
      </c>
      <c r="N511">
        <v>240</v>
      </c>
      <c r="O511">
        <v>417</v>
      </c>
      <c r="P511">
        <v>15</v>
      </c>
      <c r="Q511">
        <v>20</v>
      </c>
      <c r="R511">
        <v>75</v>
      </c>
      <c r="S511">
        <v>150</v>
      </c>
      <c r="T511">
        <v>190</v>
      </c>
      <c r="U511">
        <v>340</v>
      </c>
      <c r="V511">
        <v>18</v>
      </c>
      <c r="W511">
        <v>60</v>
      </c>
      <c r="X511">
        <v>10</v>
      </c>
      <c r="Y511">
        <v>240</v>
      </c>
      <c r="Z511">
        <v>20</v>
      </c>
      <c r="AA511">
        <v>89</v>
      </c>
      <c r="AB511" s="1" t="s">
        <v>1557</v>
      </c>
    </row>
    <row r="512" spans="1:28" x14ac:dyDescent="0.3">
      <c r="A512">
        <v>1628392</v>
      </c>
      <c r="B512" s="1" t="s">
        <v>1327</v>
      </c>
      <c r="C512">
        <v>0</v>
      </c>
      <c r="D512">
        <v>1610612752</v>
      </c>
      <c r="E512" s="1" t="s">
        <v>1248</v>
      </c>
      <c r="F512">
        <v>250</v>
      </c>
      <c r="G512">
        <v>82</v>
      </c>
      <c r="H512">
        <v>80</v>
      </c>
      <c r="I512">
        <v>16280</v>
      </c>
      <c r="J512">
        <v>175</v>
      </c>
      <c r="K512">
        <v>327</v>
      </c>
      <c r="L512">
        <v>535</v>
      </c>
      <c r="M512">
        <v>80</v>
      </c>
      <c r="N512">
        <v>370</v>
      </c>
      <c r="O512">
        <v>216</v>
      </c>
      <c r="P512">
        <v>48</v>
      </c>
      <c r="Q512">
        <v>71</v>
      </c>
      <c r="R512">
        <v>676</v>
      </c>
      <c r="S512">
        <v>2090</v>
      </c>
      <c r="T512">
        <v>3270</v>
      </c>
      <c r="U512">
        <v>5360</v>
      </c>
      <c r="V512">
        <v>102</v>
      </c>
      <c r="W512">
        <v>530</v>
      </c>
      <c r="X512">
        <v>640</v>
      </c>
      <c r="Y512">
        <v>660</v>
      </c>
      <c r="Z512">
        <v>213</v>
      </c>
      <c r="AA512">
        <v>406</v>
      </c>
      <c r="AB512" s="1" t="s">
        <v>1558</v>
      </c>
    </row>
    <row r="513" spans="1:28" x14ac:dyDescent="0.3">
      <c r="A513">
        <v>1628392</v>
      </c>
      <c r="B513" s="1" t="s">
        <v>1369</v>
      </c>
      <c r="C513">
        <v>0</v>
      </c>
      <c r="D513">
        <v>1610612752</v>
      </c>
      <c r="E513" s="1" t="s">
        <v>1248</v>
      </c>
      <c r="F513">
        <v>260</v>
      </c>
      <c r="G513">
        <v>75</v>
      </c>
      <c r="H513">
        <v>490</v>
      </c>
      <c r="I513">
        <v>18960</v>
      </c>
      <c r="J513">
        <v>235</v>
      </c>
      <c r="K513">
        <v>365</v>
      </c>
      <c r="L513">
        <v>644</v>
      </c>
      <c r="M513">
        <v>10</v>
      </c>
      <c r="N513">
        <v>30</v>
      </c>
      <c r="O513">
        <v>333</v>
      </c>
      <c r="P513">
        <v>111</v>
      </c>
      <c r="Q513">
        <v>157</v>
      </c>
      <c r="R513">
        <v>707</v>
      </c>
      <c r="S513">
        <v>2440</v>
      </c>
      <c r="T513">
        <v>3820</v>
      </c>
      <c r="U513">
        <v>6260</v>
      </c>
      <c r="V513">
        <v>188</v>
      </c>
      <c r="W513">
        <v>870</v>
      </c>
      <c r="X513">
        <v>850</v>
      </c>
      <c r="Y513">
        <v>930</v>
      </c>
      <c r="Z513">
        <v>210</v>
      </c>
      <c r="AA513">
        <v>582</v>
      </c>
      <c r="AB513" s="1" t="s">
        <v>1558</v>
      </c>
    </row>
    <row r="514" spans="1:28" x14ac:dyDescent="0.3">
      <c r="A514">
        <v>203921</v>
      </c>
      <c r="B514" s="1" t="s">
        <v>1343</v>
      </c>
      <c r="C514">
        <v>0</v>
      </c>
      <c r="D514">
        <v>1610612752</v>
      </c>
      <c r="E514" s="1" t="s">
        <v>1248</v>
      </c>
      <c r="F514">
        <v>240</v>
      </c>
      <c r="G514">
        <v>39</v>
      </c>
      <c r="H514">
        <v>70</v>
      </c>
      <c r="I514">
        <v>6470</v>
      </c>
      <c r="J514">
        <v>76</v>
      </c>
      <c r="K514">
        <v>214</v>
      </c>
      <c r="L514">
        <v>355</v>
      </c>
      <c r="M514">
        <v>220</v>
      </c>
      <c r="N514">
        <v>840</v>
      </c>
      <c r="O514">
        <v>262</v>
      </c>
      <c r="P514">
        <v>36</v>
      </c>
      <c r="Q514">
        <v>48</v>
      </c>
      <c r="R514">
        <v>75</v>
      </c>
      <c r="S514">
        <v>220</v>
      </c>
      <c r="T514">
        <v>750</v>
      </c>
      <c r="U514">
        <v>970</v>
      </c>
      <c r="V514">
        <v>36</v>
      </c>
      <c r="W514">
        <v>240</v>
      </c>
      <c r="X514">
        <v>120</v>
      </c>
      <c r="Y514">
        <v>400</v>
      </c>
      <c r="Z514">
        <v>57</v>
      </c>
      <c r="AA514">
        <v>210</v>
      </c>
      <c r="AB514" s="1" t="s">
        <v>1559</v>
      </c>
    </row>
    <row r="515" spans="1:28" x14ac:dyDescent="0.3">
      <c r="A515">
        <v>203921</v>
      </c>
      <c r="B515" s="1" t="s">
        <v>1279</v>
      </c>
      <c r="C515">
        <v>0</v>
      </c>
      <c r="D515">
        <v>1610612752</v>
      </c>
      <c r="E515" s="1" t="s">
        <v>1248</v>
      </c>
      <c r="F515">
        <v>250</v>
      </c>
      <c r="G515">
        <v>17</v>
      </c>
      <c r="H515">
        <v>20</v>
      </c>
      <c r="I515">
        <v>1540</v>
      </c>
      <c r="J515">
        <v>12</v>
      </c>
      <c r="K515">
        <v>40</v>
      </c>
      <c r="L515">
        <v>3</v>
      </c>
      <c r="M515">
        <v>40</v>
      </c>
      <c r="N515">
        <v>150</v>
      </c>
      <c r="O515">
        <v>267</v>
      </c>
      <c r="P515">
        <v>3</v>
      </c>
      <c r="Q515">
        <v>4</v>
      </c>
      <c r="R515">
        <v>75</v>
      </c>
      <c r="S515">
        <v>40</v>
      </c>
      <c r="T515">
        <v>220</v>
      </c>
      <c r="U515">
        <v>260</v>
      </c>
      <c r="V515">
        <v>6</v>
      </c>
      <c r="W515">
        <v>20</v>
      </c>
      <c r="X515">
        <v>30</v>
      </c>
      <c r="Y515">
        <v>90</v>
      </c>
      <c r="Z515">
        <v>16</v>
      </c>
      <c r="AA515">
        <v>31</v>
      </c>
      <c r="AB515" s="1" t="s">
        <v>1559</v>
      </c>
    </row>
    <row r="516" spans="1:28" x14ac:dyDescent="0.3">
      <c r="A516">
        <v>76300</v>
      </c>
      <c r="B516" s="1" t="s">
        <v>1265</v>
      </c>
      <c r="C516">
        <v>0</v>
      </c>
      <c r="D516">
        <v>1610612752</v>
      </c>
      <c r="E516" s="1" t="s">
        <v>1248</v>
      </c>
      <c r="F516">
        <v>230</v>
      </c>
      <c r="G516">
        <v>12</v>
      </c>
      <c r="I516">
        <v>970</v>
      </c>
      <c r="J516">
        <v>9</v>
      </c>
      <c r="K516">
        <v>26</v>
      </c>
      <c r="L516">
        <v>346</v>
      </c>
      <c r="P516">
        <v>10</v>
      </c>
      <c r="Q516">
        <v>12</v>
      </c>
      <c r="R516">
        <v>833</v>
      </c>
      <c r="S516">
        <v>90</v>
      </c>
      <c r="T516">
        <v>80</v>
      </c>
      <c r="U516">
        <v>170</v>
      </c>
      <c r="V516">
        <v>4</v>
      </c>
      <c r="W516">
        <v>30</v>
      </c>
      <c r="X516">
        <v>30</v>
      </c>
      <c r="Y516">
        <v>50</v>
      </c>
      <c r="Z516">
        <v>10</v>
      </c>
      <c r="AA516">
        <v>28</v>
      </c>
      <c r="AB516" s="1" t="s">
        <v>1560</v>
      </c>
    </row>
    <row r="517" spans="1:28" x14ac:dyDescent="0.3">
      <c r="A517">
        <v>77350</v>
      </c>
      <c r="B517" s="1" t="s">
        <v>1263</v>
      </c>
      <c r="C517">
        <v>0</v>
      </c>
      <c r="D517">
        <v>1610612752</v>
      </c>
      <c r="E517" s="1" t="s">
        <v>1248</v>
      </c>
      <c r="F517">
        <v>280</v>
      </c>
      <c r="G517">
        <v>56</v>
      </c>
      <c r="I517">
        <v>7650</v>
      </c>
      <c r="J517">
        <v>134</v>
      </c>
      <c r="K517">
        <v>277</v>
      </c>
      <c r="L517">
        <v>484</v>
      </c>
      <c r="P517">
        <v>58</v>
      </c>
      <c r="Q517">
        <v>73</v>
      </c>
      <c r="R517">
        <v>795</v>
      </c>
      <c r="S517">
        <v>110</v>
      </c>
      <c r="T517">
        <v>360</v>
      </c>
      <c r="U517">
        <v>470</v>
      </c>
      <c r="V517">
        <v>154</v>
      </c>
      <c r="W517">
        <v>210</v>
      </c>
      <c r="X517">
        <v>60</v>
      </c>
      <c r="Z517">
        <v>87</v>
      </c>
      <c r="AA517">
        <v>326</v>
      </c>
      <c r="AB517" s="1" t="s">
        <v>1561</v>
      </c>
    </row>
    <row r="518" spans="1:28" x14ac:dyDescent="0.3">
      <c r="A518">
        <v>1628404</v>
      </c>
      <c r="B518" s="1" t="s">
        <v>1327</v>
      </c>
      <c r="C518">
        <v>0</v>
      </c>
      <c r="D518">
        <v>1610612752</v>
      </c>
      <c r="E518" s="1" t="s">
        <v>1248</v>
      </c>
      <c r="F518">
        <v>280</v>
      </c>
      <c r="G518">
        <v>25</v>
      </c>
      <c r="H518">
        <v>10</v>
      </c>
      <c r="I518">
        <v>7500</v>
      </c>
      <c r="J518">
        <v>92</v>
      </c>
      <c r="K518">
        <v>157</v>
      </c>
      <c r="L518">
        <v>586</v>
      </c>
      <c r="M518">
        <v>270</v>
      </c>
      <c r="N518">
        <v>520</v>
      </c>
      <c r="O518">
        <v>519</v>
      </c>
      <c r="P518">
        <v>45</v>
      </c>
      <c r="Q518">
        <v>57</v>
      </c>
      <c r="R518">
        <v>789</v>
      </c>
      <c r="S518">
        <v>470</v>
      </c>
      <c r="T518">
        <v>1290</v>
      </c>
      <c r="U518">
        <v>1760</v>
      </c>
      <c r="V518">
        <v>90</v>
      </c>
      <c r="W518">
        <v>340</v>
      </c>
      <c r="X518">
        <v>120</v>
      </c>
      <c r="Y518">
        <v>380</v>
      </c>
      <c r="Z518">
        <v>62</v>
      </c>
      <c r="AA518">
        <v>256</v>
      </c>
      <c r="AB518" s="1" t="s">
        <v>1562</v>
      </c>
    </row>
    <row r="519" spans="1:28" x14ac:dyDescent="0.3">
      <c r="A519">
        <v>1628404</v>
      </c>
      <c r="B519" s="1" t="s">
        <v>1369</v>
      </c>
      <c r="C519">
        <v>0</v>
      </c>
      <c r="D519">
        <v>1610612752</v>
      </c>
      <c r="E519" s="1" t="s">
        <v>1248</v>
      </c>
      <c r="F519">
        <v>290</v>
      </c>
      <c r="G519">
        <v>81</v>
      </c>
      <c r="H519">
        <v>420</v>
      </c>
      <c r="I519">
        <v>27070</v>
      </c>
      <c r="J519">
        <v>295</v>
      </c>
      <c r="K519">
        <v>679</v>
      </c>
      <c r="L519">
        <v>434</v>
      </c>
      <c r="M519">
        <v>800</v>
      </c>
      <c r="N519">
        <v>2580</v>
      </c>
      <c r="O519">
        <v>31</v>
      </c>
      <c r="P519">
        <v>91</v>
      </c>
      <c r="Q519">
        <v>115</v>
      </c>
      <c r="R519">
        <v>791</v>
      </c>
      <c r="S519">
        <v>1280</v>
      </c>
      <c r="T519">
        <v>5470</v>
      </c>
      <c r="U519">
        <v>6750</v>
      </c>
      <c r="V519">
        <v>331</v>
      </c>
      <c r="W519">
        <v>750</v>
      </c>
      <c r="X519">
        <v>230</v>
      </c>
      <c r="Y519">
        <v>1180</v>
      </c>
      <c r="Z519">
        <v>171</v>
      </c>
      <c r="AA519">
        <v>761</v>
      </c>
      <c r="AB519" s="1" t="s">
        <v>1562</v>
      </c>
    </row>
    <row r="520" spans="1:28" x14ac:dyDescent="0.3">
      <c r="A520">
        <v>76611</v>
      </c>
      <c r="B520" s="1" t="s">
        <v>1315</v>
      </c>
      <c r="C520">
        <v>0</v>
      </c>
      <c r="D520">
        <v>1610612752</v>
      </c>
      <c r="E520" s="1" t="s">
        <v>1248</v>
      </c>
      <c r="F520">
        <v>260</v>
      </c>
      <c r="G520">
        <v>60</v>
      </c>
      <c r="I520">
        <v>12900</v>
      </c>
      <c r="J520">
        <v>149</v>
      </c>
      <c r="K520">
        <v>370</v>
      </c>
      <c r="L520">
        <v>403</v>
      </c>
      <c r="P520">
        <v>167</v>
      </c>
      <c r="Q520">
        <v>236</v>
      </c>
      <c r="R520">
        <v>708</v>
      </c>
      <c r="U520">
        <v>4430</v>
      </c>
      <c r="V520">
        <v>39</v>
      </c>
      <c r="Z520">
        <v>211</v>
      </c>
      <c r="AA520">
        <v>465</v>
      </c>
      <c r="AB520" s="1" t="s">
        <v>1563</v>
      </c>
    </row>
    <row r="521" spans="1:28" x14ac:dyDescent="0.3">
      <c r="A521">
        <v>203493</v>
      </c>
      <c r="B521" s="1" t="s">
        <v>1288</v>
      </c>
      <c r="C521">
        <v>0</v>
      </c>
      <c r="D521">
        <v>1610612752</v>
      </c>
      <c r="E521" s="1" t="s">
        <v>1248</v>
      </c>
      <c r="F521">
        <v>290</v>
      </c>
      <c r="G521">
        <v>29</v>
      </c>
      <c r="H521">
        <v>190</v>
      </c>
      <c r="I521">
        <v>6840</v>
      </c>
      <c r="J521">
        <v>90</v>
      </c>
      <c r="K521">
        <v>224</v>
      </c>
      <c r="L521">
        <v>402</v>
      </c>
      <c r="M521">
        <v>370</v>
      </c>
      <c r="N521">
        <v>1110</v>
      </c>
      <c r="O521">
        <v>333</v>
      </c>
      <c r="P521">
        <v>17</v>
      </c>
      <c r="Q521">
        <v>21</v>
      </c>
      <c r="R521">
        <v>81</v>
      </c>
      <c r="S521">
        <v>130</v>
      </c>
      <c r="T521">
        <v>550</v>
      </c>
      <c r="U521">
        <v>680</v>
      </c>
      <c r="V521">
        <v>42</v>
      </c>
      <c r="W521">
        <v>250</v>
      </c>
      <c r="X521">
        <v>30</v>
      </c>
      <c r="Y521">
        <v>190</v>
      </c>
      <c r="Z521">
        <v>56</v>
      </c>
      <c r="AA521">
        <v>234</v>
      </c>
      <c r="AB521" s="1" t="s">
        <v>1564</v>
      </c>
    </row>
    <row r="522" spans="1:28" x14ac:dyDescent="0.3">
      <c r="A522">
        <v>203493</v>
      </c>
      <c r="B522" s="1" t="s">
        <v>1289</v>
      </c>
      <c r="C522">
        <v>0</v>
      </c>
      <c r="D522">
        <v>1610612752</v>
      </c>
      <c r="E522" s="1" t="s">
        <v>1248</v>
      </c>
      <c r="F522">
        <v>300</v>
      </c>
      <c r="G522">
        <v>65</v>
      </c>
      <c r="H522">
        <v>640</v>
      </c>
      <c r="I522">
        <v>19490</v>
      </c>
      <c r="J522">
        <v>248</v>
      </c>
      <c r="K522">
        <v>561</v>
      </c>
      <c r="L522">
        <v>442</v>
      </c>
      <c r="M522">
        <v>1630</v>
      </c>
      <c r="N522">
        <v>3980</v>
      </c>
      <c r="O522">
        <v>41</v>
      </c>
      <c r="P522">
        <v>50</v>
      </c>
      <c r="Q522">
        <v>55</v>
      </c>
      <c r="R522">
        <v>909</v>
      </c>
      <c r="S522">
        <v>160</v>
      </c>
      <c r="T522">
        <v>2070</v>
      </c>
      <c r="U522">
        <v>2230</v>
      </c>
      <c r="V522">
        <v>99</v>
      </c>
      <c r="W522">
        <v>520</v>
      </c>
      <c r="X522">
        <v>110</v>
      </c>
      <c r="Y522">
        <v>450</v>
      </c>
      <c r="Z522">
        <v>146</v>
      </c>
      <c r="AA522">
        <v>709</v>
      </c>
      <c r="AB522" s="1" t="s">
        <v>1564</v>
      </c>
    </row>
    <row r="523" spans="1:28" x14ac:dyDescent="0.3">
      <c r="A523">
        <v>77346</v>
      </c>
      <c r="B523" s="1" t="s">
        <v>1378</v>
      </c>
      <c r="C523">
        <v>0</v>
      </c>
      <c r="D523">
        <v>1610612752</v>
      </c>
      <c r="E523" s="1" t="s">
        <v>1248</v>
      </c>
      <c r="F523">
        <v>240</v>
      </c>
      <c r="G523">
        <v>30</v>
      </c>
      <c r="J523">
        <v>32</v>
      </c>
      <c r="K523">
        <v>93</v>
      </c>
      <c r="L523">
        <v>344</v>
      </c>
      <c r="P523">
        <v>35</v>
      </c>
      <c r="Q523">
        <v>41</v>
      </c>
      <c r="R523">
        <v>854</v>
      </c>
      <c r="U523">
        <v>590</v>
      </c>
      <c r="V523">
        <v>23</v>
      </c>
      <c r="Z523">
        <v>56</v>
      </c>
      <c r="AA523">
        <v>99</v>
      </c>
      <c r="AB523" s="1" t="s">
        <v>1565</v>
      </c>
    </row>
    <row r="524" spans="1:28" x14ac:dyDescent="0.3">
      <c r="A524">
        <v>970</v>
      </c>
      <c r="B524" s="1" t="s">
        <v>1465</v>
      </c>
      <c r="C524">
        <v>0</v>
      </c>
      <c r="D524">
        <v>1610612752</v>
      </c>
      <c r="E524" s="1" t="s">
        <v>1248</v>
      </c>
      <c r="F524">
        <v>270</v>
      </c>
      <c r="G524">
        <v>30</v>
      </c>
      <c r="H524">
        <v>50</v>
      </c>
      <c r="I524">
        <v>5480</v>
      </c>
      <c r="J524">
        <v>67</v>
      </c>
      <c r="K524">
        <v>121</v>
      </c>
      <c r="L524">
        <v>554</v>
      </c>
      <c r="M524">
        <v>0</v>
      </c>
      <c r="N524">
        <v>0</v>
      </c>
      <c r="O524">
        <v>0</v>
      </c>
      <c r="P524">
        <v>51</v>
      </c>
      <c r="Q524">
        <v>70</v>
      </c>
      <c r="R524">
        <v>729</v>
      </c>
      <c r="S524">
        <v>370</v>
      </c>
      <c r="T524">
        <v>620</v>
      </c>
      <c r="U524">
        <v>990</v>
      </c>
      <c r="V524">
        <v>20</v>
      </c>
      <c r="W524">
        <v>150</v>
      </c>
      <c r="X524">
        <v>190</v>
      </c>
      <c r="Y524">
        <v>410</v>
      </c>
      <c r="Z524">
        <v>101</v>
      </c>
      <c r="AA524">
        <v>185</v>
      </c>
      <c r="AB524" s="1" t="s">
        <v>1566</v>
      </c>
    </row>
    <row r="525" spans="1:28" x14ac:dyDescent="0.3">
      <c r="A525">
        <v>970</v>
      </c>
      <c r="B525" s="1" t="s">
        <v>1330</v>
      </c>
      <c r="C525">
        <v>0</v>
      </c>
      <c r="D525">
        <v>1610612752</v>
      </c>
      <c r="E525" s="1" t="s">
        <v>1248</v>
      </c>
      <c r="F525">
        <v>280</v>
      </c>
      <c r="G525">
        <v>77</v>
      </c>
      <c r="H525">
        <v>40</v>
      </c>
      <c r="I525">
        <v>15640</v>
      </c>
      <c r="J525">
        <v>237</v>
      </c>
      <c r="K525">
        <v>450</v>
      </c>
      <c r="L525">
        <v>527</v>
      </c>
      <c r="M525">
        <v>0</v>
      </c>
      <c r="N525">
        <v>20</v>
      </c>
      <c r="O525">
        <v>0</v>
      </c>
      <c r="P525">
        <v>122</v>
      </c>
      <c r="Q525">
        <v>172</v>
      </c>
      <c r="R525">
        <v>709</v>
      </c>
      <c r="S525">
        <v>1250</v>
      </c>
      <c r="T525">
        <v>2240</v>
      </c>
      <c r="U525">
        <v>3490</v>
      </c>
      <c r="V525">
        <v>37</v>
      </c>
      <c r="W525">
        <v>300</v>
      </c>
      <c r="X525">
        <v>360</v>
      </c>
      <c r="Y525">
        <v>950</v>
      </c>
      <c r="Z525">
        <v>250</v>
      </c>
      <c r="AA525">
        <v>596</v>
      </c>
      <c r="AB525" s="1" t="s">
        <v>1566</v>
      </c>
    </row>
    <row r="526" spans="1:28" x14ac:dyDescent="0.3">
      <c r="A526">
        <v>970</v>
      </c>
      <c r="B526" s="1" t="s">
        <v>1325</v>
      </c>
      <c r="C526">
        <v>0</v>
      </c>
      <c r="D526">
        <v>1610612752</v>
      </c>
      <c r="E526" s="1" t="s">
        <v>1248</v>
      </c>
      <c r="F526">
        <v>290</v>
      </c>
      <c r="G526">
        <v>74</v>
      </c>
      <c r="H526">
        <v>640</v>
      </c>
      <c r="I526">
        <v>18460</v>
      </c>
      <c r="J526">
        <v>225</v>
      </c>
      <c r="K526">
        <v>443</v>
      </c>
      <c r="L526">
        <v>508</v>
      </c>
      <c r="M526">
        <v>0</v>
      </c>
      <c r="N526">
        <v>0</v>
      </c>
      <c r="O526">
        <v>0</v>
      </c>
      <c r="P526">
        <v>123</v>
      </c>
      <c r="Q526">
        <v>150</v>
      </c>
      <c r="R526">
        <v>82</v>
      </c>
      <c r="S526">
        <v>1650</v>
      </c>
      <c r="T526">
        <v>3110</v>
      </c>
      <c r="U526">
        <v>4760</v>
      </c>
      <c r="V526">
        <v>62</v>
      </c>
      <c r="W526">
        <v>120</v>
      </c>
      <c r="X526">
        <v>230</v>
      </c>
      <c r="Y526">
        <v>900</v>
      </c>
      <c r="Z526">
        <v>231</v>
      </c>
      <c r="AA526">
        <v>573</v>
      </c>
      <c r="AB526" s="1" t="s">
        <v>1566</v>
      </c>
    </row>
    <row r="527" spans="1:28" x14ac:dyDescent="0.3">
      <c r="A527">
        <v>970</v>
      </c>
      <c r="B527" s="1" t="s">
        <v>1293</v>
      </c>
      <c r="C527">
        <v>0</v>
      </c>
      <c r="D527">
        <v>1610612752</v>
      </c>
      <c r="E527" s="1" t="s">
        <v>1248</v>
      </c>
      <c r="F527">
        <v>300</v>
      </c>
      <c r="G527">
        <v>56</v>
      </c>
      <c r="H527">
        <v>30</v>
      </c>
      <c r="I527">
        <v>8710</v>
      </c>
      <c r="J527">
        <v>100</v>
      </c>
      <c r="K527">
        <v>202</v>
      </c>
      <c r="L527">
        <v>495</v>
      </c>
      <c r="M527">
        <v>0</v>
      </c>
      <c r="N527">
        <v>0</v>
      </c>
      <c r="O527">
        <v>0</v>
      </c>
      <c r="P527">
        <v>58</v>
      </c>
      <c r="Q527">
        <v>78</v>
      </c>
      <c r="R527">
        <v>744</v>
      </c>
      <c r="S527">
        <v>580</v>
      </c>
      <c r="T527">
        <v>1190</v>
      </c>
      <c r="U527">
        <v>1770</v>
      </c>
      <c r="V527">
        <v>29</v>
      </c>
      <c r="W527">
        <v>120</v>
      </c>
      <c r="X527">
        <v>140</v>
      </c>
      <c r="Y527">
        <v>650</v>
      </c>
      <c r="Z527">
        <v>134</v>
      </c>
      <c r="AA527">
        <v>258</v>
      </c>
      <c r="AB527" s="1" t="s">
        <v>1566</v>
      </c>
    </row>
    <row r="528" spans="1:28" x14ac:dyDescent="0.3">
      <c r="A528">
        <v>2768</v>
      </c>
      <c r="B528" s="1" t="s">
        <v>1304</v>
      </c>
      <c r="C528">
        <v>0</v>
      </c>
      <c r="D528">
        <v>1610612752</v>
      </c>
      <c r="E528" s="1" t="s">
        <v>1248</v>
      </c>
      <c r="F528">
        <v>260</v>
      </c>
      <c r="G528">
        <v>79</v>
      </c>
      <c r="H528">
        <v>780</v>
      </c>
      <c r="I528">
        <v>29060</v>
      </c>
      <c r="J528">
        <v>287</v>
      </c>
      <c r="K528">
        <v>681</v>
      </c>
      <c r="L528">
        <v>421</v>
      </c>
      <c r="M528">
        <v>1270</v>
      </c>
      <c r="N528">
        <v>3250</v>
      </c>
      <c r="O528">
        <v>391</v>
      </c>
      <c r="P528">
        <v>179</v>
      </c>
      <c r="Q528">
        <v>209</v>
      </c>
      <c r="R528">
        <v>856</v>
      </c>
      <c r="S528">
        <v>450</v>
      </c>
      <c r="T528">
        <v>2010</v>
      </c>
      <c r="U528">
        <v>2460</v>
      </c>
      <c r="V528">
        <v>566</v>
      </c>
      <c r="W528">
        <v>720</v>
      </c>
      <c r="X528">
        <v>70</v>
      </c>
      <c r="Y528">
        <v>2210</v>
      </c>
      <c r="Z528">
        <v>126</v>
      </c>
      <c r="AA528">
        <v>880</v>
      </c>
      <c r="AB528" s="1" t="s">
        <v>1567</v>
      </c>
    </row>
    <row r="529" spans="1:28" x14ac:dyDescent="0.3">
      <c r="A529">
        <v>2768</v>
      </c>
      <c r="B529" s="1" t="s">
        <v>1305</v>
      </c>
      <c r="C529">
        <v>0</v>
      </c>
      <c r="D529">
        <v>1610612752</v>
      </c>
      <c r="E529" s="1" t="s">
        <v>1248</v>
      </c>
      <c r="F529">
        <v>270</v>
      </c>
      <c r="G529">
        <v>67</v>
      </c>
      <c r="H529">
        <v>590</v>
      </c>
      <c r="I529">
        <v>20720</v>
      </c>
      <c r="J529">
        <v>168</v>
      </c>
      <c r="K529">
        <v>451</v>
      </c>
      <c r="L529">
        <v>373</v>
      </c>
      <c r="M529">
        <v>900</v>
      </c>
      <c r="N529">
        <v>2580</v>
      </c>
      <c r="O529">
        <v>349</v>
      </c>
      <c r="P529">
        <v>68</v>
      </c>
      <c r="Q529">
        <v>95</v>
      </c>
      <c r="R529">
        <v>716</v>
      </c>
      <c r="S529">
        <v>280</v>
      </c>
      <c r="T529">
        <v>1500</v>
      </c>
      <c r="U529">
        <v>1780</v>
      </c>
      <c r="V529">
        <v>378</v>
      </c>
      <c r="W529">
        <v>590</v>
      </c>
      <c r="X529">
        <v>30</v>
      </c>
      <c r="Y529">
        <v>1100</v>
      </c>
      <c r="Z529">
        <v>83</v>
      </c>
      <c r="AA529">
        <v>494</v>
      </c>
      <c r="AB529" s="1" t="s">
        <v>1567</v>
      </c>
    </row>
    <row r="530" spans="1:28" x14ac:dyDescent="0.3">
      <c r="A530">
        <v>76297</v>
      </c>
      <c r="B530" s="1" t="s">
        <v>1322</v>
      </c>
      <c r="C530">
        <v>0</v>
      </c>
      <c r="D530">
        <v>1610612752</v>
      </c>
      <c r="E530" s="1" t="s">
        <v>1248</v>
      </c>
      <c r="F530">
        <v>220</v>
      </c>
      <c r="G530">
        <v>61</v>
      </c>
      <c r="I530">
        <v>10750</v>
      </c>
      <c r="J530">
        <v>156</v>
      </c>
      <c r="K530">
        <v>361</v>
      </c>
      <c r="L530">
        <v>432</v>
      </c>
      <c r="P530">
        <v>87</v>
      </c>
      <c r="Q530">
        <v>134</v>
      </c>
      <c r="R530">
        <v>649</v>
      </c>
      <c r="U530">
        <v>2970</v>
      </c>
      <c r="V530">
        <v>45</v>
      </c>
      <c r="Z530">
        <v>171</v>
      </c>
      <c r="AA530">
        <v>399</v>
      </c>
      <c r="AB530" s="1" t="s">
        <v>1568</v>
      </c>
    </row>
    <row r="531" spans="1:28" x14ac:dyDescent="0.3">
      <c r="A531">
        <v>76297</v>
      </c>
      <c r="B531" s="1" t="s">
        <v>1323</v>
      </c>
      <c r="C531">
        <v>0</v>
      </c>
      <c r="D531">
        <v>1610612752</v>
      </c>
      <c r="E531" s="1" t="s">
        <v>1248</v>
      </c>
      <c r="F531">
        <v>230</v>
      </c>
      <c r="G531">
        <v>79</v>
      </c>
      <c r="I531">
        <v>13700</v>
      </c>
      <c r="J531">
        <v>188</v>
      </c>
      <c r="K531">
        <v>431</v>
      </c>
      <c r="L531">
        <v>436</v>
      </c>
      <c r="P531">
        <v>138</v>
      </c>
      <c r="Q531">
        <v>231</v>
      </c>
      <c r="R531">
        <v>597</v>
      </c>
      <c r="U531">
        <v>3450</v>
      </c>
      <c r="V531">
        <v>86</v>
      </c>
      <c r="Z531">
        <v>162</v>
      </c>
      <c r="AA531">
        <v>514</v>
      </c>
      <c r="AB531" s="1" t="s">
        <v>1568</v>
      </c>
    </row>
    <row r="532" spans="1:28" x14ac:dyDescent="0.3">
      <c r="A532">
        <v>76297</v>
      </c>
      <c r="B532" s="1" t="s">
        <v>1255</v>
      </c>
      <c r="C532">
        <v>0</v>
      </c>
      <c r="D532">
        <v>1610612752</v>
      </c>
      <c r="E532" s="1" t="s">
        <v>1248</v>
      </c>
      <c r="F532">
        <v>240</v>
      </c>
      <c r="G532">
        <v>78</v>
      </c>
      <c r="I532">
        <v>17250</v>
      </c>
      <c r="J532">
        <v>294</v>
      </c>
      <c r="K532">
        <v>596</v>
      </c>
      <c r="L532">
        <v>493</v>
      </c>
      <c r="P532">
        <v>151</v>
      </c>
      <c r="Q532">
        <v>202</v>
      </c>
      <c r="R532">
        <v>748</v>
      </c>
      <c r="U532">
        <v>3950</v>
      </c>
      <c r="V532">
        <v>87</v>
      </c>
      <c r="Z532">
        <v>204</v>
      </c>
      <c r="AA532">
        <v>739</v>
      </c>
      <c r="AB532" s="1" t="s">
        <v>1568</v>
      </c>
    </row>
    <row r="533" spans="1:28" x14ac:dyDescent="0.3">
      <c r="A533">
        <v>76297</v>
      </c>
      <c r="B533" s="1" t="s">
        <v>1257</v>
      </c>
      <c r="C533">
        <v>0</v>
      </c>
      <c r="D533">
        <v>1610612752</v>
      </c>
      <c r="E533" s="1" t="s">
        <v>1248</v>
      </c>
      <c r="F533">
        <v>250</v>
      </c>
      <c r="G533">
        <v>73</v>
      </c>
      <c r="I533">
        <v>10310</v>
      </c>
      <c r="J533">
        <v>128</v>
      </c>
      <c r="K533">
        <v>297</v>
      </c>
      <c r="L533">
        <v>431</v>
      </c>
      <c r="P533">
        <v>84</v>
      </c>
      <c r="Q533">
        <v>115</v>
      </c>
      <c r="R533">
        <v>73</v>
      </c>
      <c r="U533">
        <v>2760</v>
      </c>
      <c r="V533">
        <v>57</v>
      </c>
      <c r="Z533">
        <v>130</v>
      </c>
      <c r="AA533">
        <v>340</v>
      </c>
      <c r="AB533" s="1" t="s">
        <v>1568</v>
      </c>
    </row>
    <row r="534" spans="1:28" x14ac:dyDescent="0.3">
      <c r="A534">
        <v>76297</v>
      </c>
      <c r="B534" s="1" t="s">
        <v>1258</v>
      </c>
      <c r="C534">
        <v>0</v>
      </c>
      <c r="D534">
        <v>1610612752</v>
      </c>
      <c r="E534" s="1" t="s">
        <v>1248</v>
      </c>
      <c r="F534">
        <v>260</v>
      </c>
      <c r="G534">
        <v>62</v>
      </c>
      <c r="I534">
        <v>11880</v>
      </c>
      <c r="J534">
        <v>196</v>
      </c>
      <c r="K534">
        <v>407</v>
      </c>
      <c r="L534">
        <v>482</v>
      </c>
      <c r="P534">
        <v>121</v>
      </c>
      <c r="Q534">
        <v>170</v>
      </c>
      <c r="R534">
        <v>712</v>
      </c>
      <c r="U534">
        <v>3100</v>
      </c>
      <c r="V534">
        <v>62</v>
      </c>
      <c r="Z534">
        <v>147</v>
      </c>
      <c r="AA534">
        <v>513</v>
      </c>
      <c r="AB534" s="1" t="s">
        <v>1568</v>
      </c>
    </row>
    <row r="535" spans="1:28" x14ac:dyDescent="0.3">
      <c r="A535">
        <v>76085</v>
      </c>
      <c r="B535" s="1" t="s">
        <v>1406</v>
      </c>
      <c r="C535">
        <v>0</v>
      </c>
      <c r="D535">
        <v>1610612752</v>
      </c>
      <c r="E535" s="1" t="s">
        <v>1248</v>
      </c>
      <c r="F535">
        <v>280</v>
      </c>
      <c r="G535">
        <v>74</v>
      </c>
      <c r="H535">
        <v>280</v>
      </c>
      <c r="I535">
        <v>12970</v>
      </c>
      <c r="J535">
        <v>156</v>
      </c>
      <c r="K535">
        <v>349</v>
      </c>
      <c r="L535">
        <v>447</v>
      </c>
      <c r="M535">
        <v>0</v>
      </c>
      <c r="N535">
        <v>10</v>
      </c>
      <c r="O535">
        <v>0</v>
      </c>
      <c r="P535">
        <v>73</v>
      </c>
      <c r="Q535">
        <v>108</v>
      </c>
      <c r="R535">
        <v>676</v>
      </c>
      <c r="S535">
        <v>1220</v>
      </c>
      <c r="T535">
        <v>2220</v>
      </c>
      <c r="U535">
        <v>3440</v>
      </c>
      <c r="V535">
        <v>39</v>
      </c>
      <c r="W535">
        <v>300</v>
      </c>
      <c r="X535">
        <v>500</v>
      </c>
      <c r="Y535">
        <v>1000</v>
      </c>
      <c r="Z535">
        <v>286</v>
      </c>
      <c r="AA535">
        <v>385</v>
      </c>
      <c r="AB535" s="1" t="s">
        <v>1569</v>
      </c>
    </row>
    <row r="536" spans="1:28" x14ac:dyDescent="0.3">
      <c r="A536">
        <v>76085</v>
      </c>
      <c r="B536" s="1" t="s">
        <v>1392</v>
      </c>
      <c r="C536">
        <v>0</v>
      </c>
      <c r="D536">
        <v>1610612752</v>
      </c>
      <c r="E536" s="1" t="s">
        <v>1248</v>
      </c>
      <c r="F536">
        <v>290</v>
      </c>
      <c r="G536">
        <v>48</v>
      </c>
      <c r="H536">
        <v>360</v>
      </c>
      <c r="I536">
        <v>12450</v>
      </c>
      <c r="J536">
        <v>202</v>
      </c>
      <c r="K536">
        <v>443</v>
      </c>
      <c r="L536">
        <v>456</v>
      </c>
      <c r="M536">
        <v>0</v>
      </c>
      <c r="N536">
        <v>40</v>
      </c>
      <c r="O536">
        <v>0</v>
      </c>
      <c r="P536">
        <v>129</v>
      </c>
      <c r="Q536">
        <v>167</v>
      </c>
      <c r="R536">
        <v>772</v>
      </c>
      <c r="S536">
        <v>1020</v>
      </c>
      <c r="T536">
        <v>2320</v>
      </c>
      <c r="U536">
        <v>3340</v>
      </c>
      <c r="V536">
        <v>50</v>
      </c>
      <c r="W536">
        <v>330</v>
      </c>
      <c r="X536">
        <v>400</v>
      </c>
      <c r="Y536">
        <v>990</v>
      </c>
      <c r="Z536">
        <v>207</v>
      </c>
      <c r="AA536">
        <v>533</v>
      </c>
      <c r="AB536" s="1" t="s">
        <v>1569</v>
      </c>
    </row>
    <row r="537" spans="1:28" x14ac:dyDescent="0.3">
      <c r="A537">
        <v>203499</v>
      </c>
      <c r="B537" s="1" t="s">
        <v>1343</v>
      </c>
      <c r="C537">
        <v>0</v>
      </c>
      <c r="D537">
        <v>1610612752</v>
      </c>
      <c r="E537" s="1" t="s">
        <v>1248</v>
      </c>
      <c r="F537">
        <v>220</v>
      </c>
      <c r="G537">
        <v>76</v>
      </c>
      <c r="H537">
        <v>220</v>
      </c>
      <c r="I537">
        <v>18650</v>
      </c>
      <c r="J537">
        <v>187</v>
      </c>
      <c r="K537">
        <v>432</v>
      </c>
      <c r="L537">
        <v>433</v>
      </c>
      <c r="M537">
        <v>350</v>
      </c>
      <c r="N537">
        <v>1160</v>
      </c>
      <c r="O537">
        <v>302</v>
      </c>
      <c r="P537">
        <v>61</v>
      </c>
      <c r="Q537">
        <v>78</v>
      </c>
      <c r="R537">
        <v>782</v>
      </c>
      <c r="S537">
        <v>290</v>
      </c>
      <c r="T537">
        <v>1470</v>
      </c>
      <c r="U537">
        <v>1760</v>
      </c>
      <c r="V537">
        <v>226</v>
      </c>
      <c r="W537">
        <v>930</v>
      </c>
      <c r="X537">
        <v>90</v>
      </c>
      <c r="Y537">
        <v>830</v>
      </c>
      <c r="Z537">
        <v>150</v>
      </c>
      <c r="AA537">
        <v>470</v>
      </c>
      <c r="AB537" s="1" t="s">
        <v>1570</v>
      </c>
    </row>
    <row r="538" spans="1:28" x14ac:dyDescent="0.3">
      <c r="A538">
        <v>1733</v>
      </c>
      <c r="B538" s="1" t="s">
        <v>1304</v>
      </c>
      <c r="C538">
        <v>0</v>
      </c>
      <c r="D538">
        <v>1610612752</v>
      </c>
      <c r="E538" s="1" t="s">
        <v>1248</v>
      </c>
      <c r="F538">
        <v>290</v>
      </c>
      <c r="G538">
        <v>68</v>
      </c>
      <c r="H538">
        <v>510</v>
      </c>
      <c r="I538">
        <v>23800</v>
      </c>
      <c r="J538">
        <v>509</v>
      </c>
      <c r="K538">
        <v>1142</v>
      </c>
      <c r="L538">
        <v>446</v>
      </c>
      <c r="M538">
        <v>1600</v>
      </c>
      <c r="N538">
        <v>4420</v>
      </c>
      <c r="O538">
        <v>362</v>
      </c>
      <c r="P538">
        <v>229</v>
      </c>
      <c r="Q538">
        <v>285</v>
      </c>
      <c r="R538">
        <v>804</v>
      </c>
      <c r="S538">
        <v>890</v>
      </c>
      <c r="T538">
        <v>3380</v>
      </c>
      <c r="U538">
        <v>4270</v>
      </c>
      <c r="V538">
        <v>92</v>
      </c>
      <c r="W538">
        <v>810</v>
      </c>
      <c r="X538">
        <v>220</v>
      </c>
      <c r="Y538">
        <v>1540</v>
      </c>
      <c r="Z538">
        <v>213</v>
      </c>
      <c r="AA538">
        <v>1407</v>
      </c>
      <c r="AB538" s="1" t="s">
        <v>1571</v>
      </c>
    </row>
    <row r="539" spans="1:28" x14ac:dyDescent="0.3">
      <c r="A539">
        <v>1733</v>
      </c>
      <c r="B539" s="1" t="s">
        <v>1305</v>
      </c>
      <c r="C539">
        <v>0</v>
      </c>
      <c r="D539">
        <v>1610612752</v>
      </c>
      <c r="E539" s="1" t="s">
        <v>1248</v>
      </c>
      <c r="F539">
        <v>300</v>
      </c>
      <c r="G539">
        <v>72</v>
      </c>
      <c r="H539">
        <v>150</v>
      </c>
      <c r="I539">
        <v>21950</v>
      </c>
      <c r="J539">
        <v>448</v>
      </c>
      <c r="K539">
        <v>1030</v>
      </c>
      <c r="L539">
        <v>435</v>
      </c>
      <c r="M539">
        <v>1400</v>
      </c>
      <c r="N539">
        <v>4090</v>
      </c>
      <c r="O539">
        <v>342</v>
      </c>
      <c r="P539">
        <v>240</v>
      </c>
      <c r="Q539">
        <v>317</v>
      </c>
      <c r="R539">
        <v>757</v>
      </c>
      <c r="S539">
        <v>880</v>
      </c>
      <c r="T539">
        <v>3170</v>
      </c>
      <c r="U539">
        <v>4050</v>
      </c>
      <c r="V539">
        <v>110</v>
      </c>
      <c r="W539">
        <v>620</v>
      </c>
      <c r="X539">
        <v>260</v>
      </c>
      <c r="Y539">
        <v>1320</v>
      </c>
      <c r="Z539">
        <v>209</v>
      </c>
      <c r="AA539">
        <v>1276</v>
      </c>
      <c r="AB539" s="1" t="s">
        <v>1571</v>
      </c>
    </row>
    <row r="540" spans="1:28" x14ac:dyDescent="0.3">
      <c r="A540">
        <v>201</v>
      </c>
      <c r="B540" s="1" t="s">
        <v>1278</v>
      </c>
      <c r="C540">
        <v>0</v>
      </c>
      <c r="D540">
        <v>1610612752</v>
      </c>
      <c r="E540" s="1" t="s">
        <v>1248</v>
      </c>
      <c r="F540">
        <v>330</v>
      </c>
      <c r="G540">
        <v>51</v>
      </c>
      <c r="H540">
        <v>220</v>
      </c>
      <c r="I540">
        <v>8580</v>
      </c>
      <c r="J540">
        <v>58</v>
      </c>
      <c r="K540">
        <v>143</v>
      </c>
      <c r="L540">
        <v>406</v>
      </c>
      <c r="M540">
        <v>0</v>
      </c>
      <c r="N540">
        <v>0</v>
      </c>
      <c r="O540">
        <v>0</v>
      </c>
      <c r="P540">
        <v>41</v>
      </c>
      <c r="Q540">
        <v>92</v>
      </c>
      <c r="R540">
        <v>446</v>
      </c>
      <c r="S540">
        <v>1080</v>
      </c>
      <c r="T540">
        <v>1670</v>
      </c>
      <c r="U540">
        <v>2750</v>
      </c>
      <c r="V540">
        <v>21</v>
      </c>
      <c r="W540">
        <v>130</v>
      </c>
      <c r="X540">
        <v>510</v>
      </c>
      <c r="Y540">
        <v>440</v>
      </c>
      <c r="Z540">
        <v>139</v>
      </c>
      <c r="AA540">
        <v>157</v>
      </c>
      <c r="AB540" s="1" t="s">
        <v>1572</v>
      </c>
    </row>
    <row r="541" spans="1:28" x14ac:dyDescent="0.3">
      <c r="A541">
        <v>201</v>
      </c>
      <c r="B541" s="1" t="s">
        <v>1429</v>
      </c>
      <c r="C541">
        <v>0</v>
      </c>
      <c r="D541">
        <v>1610612752</v>
      </c>
      <c r="E541" s="1" t="s">
        <v>1248</v>
      </c>
      <c r="F541">
        <v>340</v>
      </c>
      <c r="G541">
        <v>46</v>
      </c>
      <c r="H541">
        <v>160</v>
      </c>
      <c r="I541">
        <v>6850</v>
      </c>
      <c r="J541">
        <v>48</v>
      </c>
      <c r="K541">
        <v>109</v>
      </c>
      <c r="L541">
        <v>44</v>
      </c>
      <c r="M541">
        <v>0</v>
      </c>
      <c r="N541">
        <v>0</v>
      </c>
      <c r="O541">
        <v>0</v>
      </c>
      <c r="P541">
        <v>19</v>
      </c>
      <c r="Q541">
        <v>40</v>
      </c>
      <c r="R541">
        <v>475</v>
      </c>
      <c r="S541">
        <v>790</v>
      </c>
      <c r="T541">
        <v>1140</v>
      </c>
      <c r="U541">
        <v>1930</v>
      </c>
      <c r="V541">
        <v>7</v>
      </c>
      <c r="W541">
        <v>130</v>
      </c>
      <c r="X541">
        <v>380</v>
      </c>
      <c r="Y541">
        <v>240</v>
      </c>
      <c r="Z541">
        <v>116</v>
      </c>
      <c r="AA541">
        <v>115</v>
      </c>
      <c r="AB541" s="1" t="s">
        <v>1572</v>
      </c>
    </row>
    <row r="542" spans="1:28" x14ac:dyDescent="0.3">
      <c r="A542">
        <v>201</v>
      </c>
      <c r="B542" s="1" t="s">
        <v>1464</v>
      </c>
      <c r="C542">
        <v>0</v>
      </c>
      <c r="D542">
        <v>1610612752</v>
      </c>
      <c r="E542" s="1" t="s">
        <v>1248</v>
      </c>
      <c r="F542">
        <v>350</v>
      </c>
      <c r="G542">
        <v>47</v>
      </c>
      <c r="H542">
        <v>30</v>
      </c>
      <c r="I542">
        <v>4590</v>
      </c>
      <c r="J542">
        <v>23</v>
      </c>
      <c r="K542">
        <v>67</v>
      </c>
      <c r="L542">
        <v>343</v>
      </c>
      <c r="M542">
        <v>0</v>
      </c>
      <c r="N542">
        <v>0</v>
      </c>
      <c r="O542">
        <v>0</v>
      </c>
      <c r="P542">
        <v>9</v>
      </c>
      <c r="Q542">
        <v>27</v>
      </c>
      <c r="R542">
        <v>333</v>
      </c>
      <c r="S542">
        <v>630</v>
      </c>
      <c r="T542">
        <v>730</v>
      </c>
      <c r="U542">
        <v>1360</v>
      </c>
      <c r="V542">
        <v>5</v>
      </c>
      <c r="W542">
        <v>70</v>
      </c>
      <c r="X542">
        <v>210</v>
      </c>
      <c r="Y542">
        <v>180</v>
      </c>
      <c r="Z542">
        <v>95</v>
      </c>
      <c r="AA542">
        <v>55</v>
      </c>
      <c r="AB542" s="1" t="s">
        <v>1572</v>
      </c>
    </row>
    <row r="543" spans="1:28" x14ac:dyDescent="0.3">
      <c r="A543">
        <v>76295</v>
      </c>
      <c r="B543" s="1" t="s">
        <v>1323</v>
      </c>
      <c r="C543">
        <v>0</v>
      </c>
      <c r="D543">
        <v>1610612752</v>
      </c>
      <c r="E543" s="1" t="s">
        <v>1248</v>
      </c>
      <c r="F543">
        <v>230</v>
      </c>
      <c r="G543">
        <v>62</v>
      </c>
      <c r="I543">
        <v>6960</v>
      </c>
      <c r="J543">
        <v>158</v>
      </c>
      <c r="K543">
        <v>367</v>
      </c>
      <c r="L543">
        <v>431</v>
      </c>
      <c r="P543">
        <v>83</v>
      </c>
      <c r="Q543">
        <v>133</v>
      </c>
      <c r="R543">
        <v>624</v>
      </c>
      <c r="U543">
        <v>2360</v>
      </c>
      <c r="V543">
        <v>39</v>
      </c>
      <c r="Z543">
        <v>114</v>
      </c>
      <c r="AA543">
        <v>399</v>
      </c>
      <c r="AB543" s="1" t="s">
        <v>1573</v>
      </c>
    </row>
    <row r="544" spans="1:28" x14ac:dyDescent="0.3">
      <c r="A544">
        <v>76295</v>
      </c>
      <c r="B544" s="1" t="s">
        <v>1255</v>
      </c>
      <c r="C544">
        <v>0</v>
      </c>
      <c r="D544">
        <v>1610612752</v>
      </c>
      <c r="E544" s="1" t="s">
        <v>1248</v>
      </c>
      <c r="F544">
        <v>240</v>
      </c>
      <c r="G544">
        <v>6</v>
      </c>
      <c r="I544">
        <v>270</v>
      </c>
      <c r="J544">
        <v>5</v>
      </c>
      <c r="K544">
        <v>10</v>
      </c>
      <c r="L544">
        <v>5</v>
      </c>
      <c r="P544">
        <v>2</v>
      </c>
      <c r="Q544">
        <v>4</v>
      </c>
      <c r="R544">
        <v>5</v>
      </c>
      <c r="U544">
        <v>40</v>
      </c>
      <c r="V544">
        <v>5</v>
      </c>
      <c r="Z544">
        <v>6</v>
      </c>
      <c r="AA544">
        <v>12</v>
      </c>
      <c r="AB544" s="1" t="s">
        <v>1573</v>
      </c>
    </row>
    <row r="545" spans="1:28" x14ac:dyDescent="0.3">
      <c r="A545">
        <v>462</v>
      </c>
      <c r="B545" s="1" t="s">
        <v>1276</v>
      </c>
      <c r="C545">
        <v>0</v>
      </c>
      <c r="D545">
        <v>1610612752</v>
      </c>
      <c r="E545" s="1" t="s">
        <v>1248</v>
      </c>
      <c r="F545">
        <v>280</v>
      </c>
      <c r="G545">
        <v>33</v>
      </c>
      <c r="H545">
        <v>160</v>
      </c>
      <c r="I545">
        <v>6700</v>
      </c>
      <c r="J545">
        <v>88</v>
      </c>
      <c r="K545">
        <v>160</v>
      </c>
      <c r="L545">
        <v>55</v>
      </c>
      <c r="M545">
        <v>0</v>
      </c>
      <c r="N545">
        <v>0</v>
      </c>
      <c r="O545">
        <v>0</v>
      </c>
      <c r="P545">
        <v>43</v>
      </c>
      <c r="Q545">
        <v>55</v>
      </c>
      <c r="R545">
        <v>782</v>
      </c>
      <c r="S545">
        <v>380</v>
      </c>
      <c r="T545">
        <v>940</v>
      </c>
      <c r="U545">
        <v>1320</v>
      </c>
      <c r="V545">
        <v>28</v>
      </c>
      <c r="W545">
        <v>180</v>
      </c>
      <c r="X545">
        <v>70</v>
      </c>
      <c r="Y545">
        <v>300</v>
      </c>
      <c r="Z545">
        <v>89</v>
      </c>
      <c r="AA545">
        <v>219</v>
      </c>
      <c r="AB545" s="1" t="s">
        <v>1574</v>
      </c>
    </row>
    <row r="546" spans="1:28" x14ac:dyDescent="0.3">
      <c r="A546">
        <v>457</v>
      </c>
      <c r="B546" s="1" t="s">
        <v>1464</v>
      </c>
      <c r="C546">
        <v>0</v>
      </c>
      <c r="D546">
        <v>1610612752</v>
      </c>
      <c r="E546" s="1" t="s">
        <v>1248</v>
      </c>
      <c r="F546">
        <v>340</v>
      </c>
      <c r="G546">
        <v>19</v>
      </c>
      <c r="H546">
        <v>100</v>
      </c>
      <c r="I546">
        <v>2440</v>
      </c>
      <c r="J546">
        <v>28</v>
      </c>
      <c r="K546">
        <v>64</v>
      </c>
      <c r="L546">
        <v>438</v>
      </c>
      <c r="M546">
        <v>0</v>
      </c>
      <c r="N546">
        <v>0</v>
      </c>
      <c r="O546">
        <v>0</v>
      </c>
      <c r="P546">
        <v>3</v>
      </c>
      <c r="Q546">
        <v>7</v>
      </c>
      <c r="R546">
        <v>429</v>
      </c>
      <c r="S546">
        <v>160</v>
      </c>
      <c r="T546">
        <v>440</v>
      </c>
      <c r="U546">
        <v>600</v>
      </c>
      <c r="V546">
        <v>3</v>
      </c>
      <c r="W546">
        <v>80</v>
      </c>
      <c r="X546">
        <v>60</v>
      </c>
      <c r="Y546">
        <v>50</v>
      </c>
      <c r="Z546">
        <v>31</v>
      </c>
      <c r="AA546">
        <v>59</v>
      </c>
      <c r="AB546" s="1" t="s">
        <v>1575</v>
      </c>
    </row>
    <row r="547" spans="1:28" x14ac:dyDescent="0.3">
      <c r="A547">
        <v>202725</v>
      </c>
      <c r="B547" s="1" t="s">
        <v>1290</v>
      </c>
      <c r="C547">
        <v>0</v>
      </c>
      <c r="D547">
        <v>1610612752</v>
      </c>
      <c r="E547" s="1" t="s">
        <v>1248</v>
      </c>
      <c r="F547">
        <v>230</v>
      </c>
      <c r="G547">
        <v>37</v>
      </c>
      <c r="H547">
        <v>40</v>
      </c>
      <c r="I547">
        <v>5400</v>
      </c>
      <c r="J547">
        <v>63</v>
      </c>
      <c r="K547">
        <v>149</v>
      </c>
      <c r="L547">
        <v>423</v>
      </c>
      <c r="M547">
        <v>200</v>
      </c>
      <c r="N547">
        <v>590</v>
      </c>
      <c r="O547">
        <v>339</v>
      </c>
      <c r="P547">
        <v>16</v>
      </c>
      <c r="Q547">
        <v>26</v>
      </c>
      <c r="R547">
        <v>615</v>
      </c>
      <c r="S547">
        <v>470</v>
      </c>
      <c r="T547">
        <v>970</v>
      </c>
      <c r="U547">
        <v>1440</v>
      </c>
      <c r="V547">
        <v>11</v>
      </c>
      <c r="W547">
        <v>230</v>
      </c>
      <c r="X547">
        <v>200</v>
      </c>
      <c r="Y547">
        <v>200</v>
      </c>
      <c r="Z547">
        <v>48</v>
      </c>
      <c r="AA547">
        <v>162</v>
      </c>
      <c r="AB547" s="1" t="s">
        <v>1576</v>
      </c>
    </row>
    <row r="548" spans="1:28" x14ac:dyDescent="0.3">
      <c r="A548">
        <v>201962</v>
      </c>
      <c r="B548" s="1" t="s">
        <v>1305</v>
      </c>
      <c r="C548">
        <v>0</v>
      </c>
      <c r="D548">
        <v>1610612752</v>
      </c>
      <c r="E548" s="1" t="s">
        <v>1248</v>
      </c>
      <c r="F548">
        <v>240</v>
      </c>
      <c r="G548">
        <v>56</v>
      </c>
      <c r="H548">
        <v>120</v>
      </c>
      <c r="I548">
        <v>10870</v>
      </c>
      <c r="J548">
        <v>179</v>
      </c>
      <c r="K548">
        <v>391</v>
      </c>
      <c r="L548">
        <v>458</v>
      </c>
      <c r="M548">
        <v>680</v>
      </c>
      <c r="N548">
        <v>1750</v>
      </c>
      <c r="O548">
        <v>389</v>
      </c>
      <c r="P548">
        <v>55</v>
      </c>
      <c r="Q548">
        <v>68</v>
      </c>
      <c r="R548">
        <v>809</v>
      </c>
      <c r="S548">
        <v>400</v>
      </c>
      <c r="T548">
        <v>680</v>
      </c>
      <c r="U548">
        <v>1080</v>
      </c>
      <c r="V548">
        <v>112</v>
      </c>
      <c r="W548">
        <v>420</v>
      </c>
      <c r="X548">
        <v>30</v>
      </c>
      <c r="Y548">
        <v>550</v>
      </c>
      <c r="Z548">
        <v>116</v>
      </c>
      <c r="AA548">
        <v>481</v>
      </c>
      <c r="AB548" s="1" t="s">
        <v>1577</v>
      </c>
    </row>
    <row r="549" spans="1:28" x14ac:dyDescent="0.3">
      <c r="A549">
        <v>201962</v>
      </c>
      <c r="B549" s="1" t="s">
        <v>1312</v>
      </c>
      <c r="C549">
        <v>0</v>
      </c>
      <c r="D549">
        <v>1610612752</v>
      </c>
      <c r="E549" s="1" t="s">
        <v>1248</v>
      </c>
      <c r="F549">
        <v>250</v>
      </c>
      <c r="G549">
        <v>81</v>
      </c>
      <c r="H549">
        <v>90</v>
      </c>
      <c r="I549">
        <v>19710</v>
      </c>
      <c r="J549">
        <v>314</v>
      </c>
      <c r="K549">
        <v>755</v>
      </c>
      <c r="L549">
        <v>416</v>
      </c>
      <c r="M549">
        <v>1430</v>
      </c>
      <c r="N549">
        <v>3830</v>
      </c>
      <c r="O549">
        <v>373</v>
      </c>
      <c r="P549">
        <v>85</v>
      </c>
      <c r="Q549">
        <v>107</v>
      </c>
      <c r="R549">
        <v>794</v>
      </c>
      <c r="S549">
        <v>650</v>
      </c>
      <c r="T549">
        <v>1790</v>
      </c>
      <c r="U549">
        <v>2440</v>
      </c>
      <c r="V549">
        <v>244</v>
      </c>
      <c r="W549">
        <v>890</v>
      </c>
      <c r="X549">
        <v>40</v>
      </c>
      <c r="Y549">
        <v>890</v>
      </c>
      <c r="Z549">
        <v>177</v>
      </c>
      <c r="AA549">
        <v>856</v>
      </c>
      <c r="AB549" s="1" t="s">
        <v>1577</v>
      </c>
    </row>
    <row r="550" spans="1:28" x14ac:dyDescent="0.3">
      <c r="A550">
        <v>201962</v>
      </c>
      <c r="B550" s="1" t="s">
        <v>1290</v>
      </c>
      <c r="C550">
        <v>0</v>
      </c>
      <c r="D550">
        <v>1610612752</v>
      </c>
      <c r="E550" s="1" t="s">
        <v>1248</v>
      </c>
      <c r="F550">
        <v>260</v>
      </c>
      <c r="G550">
        <v>38</v>
      </c>
      <c r="H550">
        <v>90</v>
      </c>
      <c r="I550">
        <v>6560</v>
      </c>
      <c r="J550">
        <v>94</v>
      </c>
      <c r="K550">
        <v>290</v>
      </c>
      <c r="L550">
        <v>324</v>
      </c>
      <c r="M550">
        <v>270</v>
      </c>
      <c r="N550">
        <v>1170</v>
      </c>
      <c r="O550">
        <v>231</v>
      </c>
      <c r="P550">
        <v>22</v>
      </c>
      <c r="Q550">
        <v>26</v>
      </c>
      <c r="R550">
        <v>846</v>
      </c>
      <c r="S550">
        <v>160</v>
      </c>
      <c r="T550">
        <v>560</v>
      </c>
      <c r="U550">
        <v>720</v>
      </c>
      <c r="V550">
        <v>77</v>
      </c>
      <c r="W550">
        <v>290</v>
      </c>
      <c r="X550">
        <v>10</v>
      </c>
      <c r="Y550">
        <v>560</v>
      </c>
      <c r="Z550">
        <v>55</v>
      </c>
      <c r="AA550">
        <v>237</v>
      </c>
      <c r="AB550" s="1" t="s">
        <v>1577</v>
      </c>
    </row>
    <row r="551" spans="1:28" x14ac:dyDescent="0.3">
      <c r="A551">
        <v>76289</v>
      </c>
      <c r="B551" s="1" t="s">
        <v>1258</v>
      </c>
      <c r="C551">
        <v>0</v>
      </c>
      <c r="D551">
        <v>1610612752</v>
      </c>
      <c r="E551" s="1" t="s">
        <v>1248</v>
      </c>
      <c r="F551">
        <v>260</v>
      </c>
      <c r="G551">
        <v>77</v>
      </c>
      <c r="I551">
        <v>13320</v>
      </c>
      <c r="J551">
        <v>145</v>
      </c>
      <c r="K551">
        <v>436</v>
      </c>
      <c r="L551">
        <v>333</v>
      </c>
      <c r="P551">
        <v>87</v>
      </c>
      <c r="Q551">
        <v>133</v>
      </c>
      <c r="R551">
        <v>654</v>
      </c>
      <c r="U551">
        <v>1670</v>
      </c>
      <c r="V551">
        <v>167</v>
      </c>
      <c r="Z551">
        <v>212</v>
      </c>
      <c r="AA551">
        <v>377</v>
      </c>
      <c r="AB551" s="1" t="s">
        <v>1578</v>
      </c>
    </row>
    <row r="552" spans="1:28" x14ac:dyDescent="0.3">
      <c r="A552">
        <v>76289</v>
      </c>
      <c r="B552" s="1" t="s">
        <v>1412</v>
      </c>
      <c r="C552">
        <v>0</v>
      </c>
      <c r="D552">
        <v>1610612752</v>
      </c>
      <c r="E552" s="1" t="s">
        <v>1248</v>
      </c>
      <c r="F552">
        <v>270</v>
      </c>
      <c r="G552">
        <v>71</v>
      </c>
      <c r="I552">
        <v>11930</v>
      </c>
      <c r="J552">
        <v>212</v>
      </c>
      <c r="K552">
        <v>449</v>
      </c>
      <c r="L552">
        <v>472</v>
      </c>
      <c r="P552">
        <v>74</v>
      </c>
      <c r="Q552">
        <v>101</v>
      </c>
      <c r="R552">
        <v>733</v>
      </c>
      <c r="U552">
        <v>1700</v>
      </c>
      <c r="V552">
        <v>216</v>
      </c>
      <c r="Z552">
        <v>215</v>
      </c>
      <c r="AA552">
        <v>498</v>
      </c>
      <c r="AB552" s="1" t="s">
        <v>1578</v>
      </c>
    </row>
    <row r="553" spans="1:28" x14ac:dyDescent="0.3">
      <c r="A553">
        <v>76289</v>
      </c>
      <c r="B553" s="1" t="s">
        <v>1360</v>
      </c>
      <c r="C553">
        <v>0</v>
      </c>
      <c r="D553">
        <v>1610612752</v>
      </c>
      <c r="E553" s="1" t="s">
        <v>1248</v>
      </c>
      <c r="F553">
        <v>280</v>
      </c>
      <c r="G553">
        <v>63</v>
      </c>
      <c r="I553">
        <v>15930</v>
      </c>
      <c r="J553">
        <v>236</v>
      </c>
      <c r="K553">
        <v>577</v>
      </c>
      <c r="L553">
        <v>409</v>
      </c>
      <c r="P553">
        <v>74</v>
      </c>
      <c r="Q553">
        <v>114</v>
      </c>
      <c r="R553">
        <v>649</v>
      </c>
      <c r="U553">
        <v>2730</v>
      </c>
      <c r="V553">
        <v>218</v>
      </c>
      <c r="Z553">
        <v>231</v>
      </c>
      <c r="AA553">
        <v>546</v>
      </c>
      <c r="AB553" s="1" t="s">
        <v>1578</v>
      </c>
    </row>
    <row r="554" spans="1:28" x14ac:dyDescent="0.3">
      <c r="A554">
        <v>76289</v>
      </c>
      <c r="B554" s="1" t="s">
        <v>1414</v>
      </c>
      <c r="C554">
        <v>0</v>
      </c>
      <c r="D554">
        <v>1610612752</v>
      </c>
      <c r="E554" s="1" t="s">
        <v>1248</v>
      </c>
      <c r="F554">
        <v>290</v>
      </c>
      <c r="G554">
        <v>77</v>
      </c>
      <c r="I554">
        <v>9680</v>
      </c>
      <c r="J554">
        <v>112</v>
      </c>
      <c r="K554">
        <v>291</v>
      </c>
      <c r="L554">
        <v>385</v>
      </c>
      <c r="P554">
        <v>59</v>
      </c>
      <c r="Q554">
        <v>86</v>
      </c>
      <c r="R554">
        <v>686</v>
      </c>
      <c r="U554">
        <v>1330</v>
      </c>
      <c r="V554">
        <v>134</v>
      </c>
      <c r="Z554">
        <v>173</v>
      </c>
      <c r="AA554">
        <v>283</v>
      </c>
      <c r="AB554" s="1" t="s">
        <v>1578</v>
      </c>
    </row>
    <row r="555" spans="1:28" x14ac:dyDescent="0.3">
      <c r="A555">
        <v>1631376</v>
      </c>
      <c r="B555" s="1" t="s">
        <v>1369</v>
      </c>
      <c r="C555">
        <v>0</v>
      </c>
      <c r="D555">
        <v>1610612752</v>
      </c>
      <c r="E555" s="1" t="s">
        <v>1248</v>
      </c>
      <c r="F555">
        <v>260</v>
      </c>
      <c r="G555">
        <v>2</v>
      </c>
      <c r="H555">
        <v>0</v>
      </c>
      <c r="I555">
        <v>20</v>
      </c>
      <c r="J555">
        <v>0</v>
      </c>
      <c r="K555">
        <v>1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 s="1" t="s">
        <v>1579</v>
      </c>
    </row>
    <row r="556" spans="1:28" x14ac:dyDescent="0.3">
      <c r="A556">
        <v>78142</v>
      </c>
      <c r="B556" s="1" t="s">
        <v>1362</v>
      </c>
      <c r="C556">
        <v>0</v>
      </c>
      <c r="D556">
        <v>1610612752</v>
      </c>
      <c r="E556" s="1" t="s">
        <v>1248</v>
      </c>
      <c r="F556">
        <v>230</v>
      </c>
      <c r="G556">
        <v>62</v>
      </c>
      <c r="I556">
        <v>9470</v>
      </c>
      <c r="J556">
        <v>100</v>
      </c>
      <c r="K556">
        <v>289</v>
      </c>
      <c r="L556">
        <v>346</v>
      </c>
      <c r="P556">
        <v>59</v>
      </c>
      <c r="Q556">
        <v>78</v>
      </c>
      <c r="R556">
        <v>756</v>
      </c>
      <c r="U556">
        <v>1540</v>
      </c>
      <c r="V556">
        <v>89</v>
      </c>
      <c r="Z556">
        <v>64</v>
      </c>
      <c r="AA556">
        <v>259</v>
      </c>
      <c r="AB556" s="1" t="s">
        <v>1580</v>
      </c>
    </row>
    <row r="557" spans="1:28" x14ac:dyDescent="0.3">
      <c r="A557">
        <v>78142</v>
      </c>
      <c r="B557" s="1" t="s">
        <v>1315</v>
      </c>
      <c r="C557">
        <v>0</v>
      </c>
      <c r="D557">
        <v>1610612752</v>
      </c>
      <c r="E557" s="1" t="s">
        <v>1248</v>
      </c>
      <c r="F557">
        <v>240</v>
      </c>
      <c r="G557">
        <v>72</v>
      </c>
      <c r="I557">
        <v>17500</v>
      </c>
      <c r="J557">
        <v>240</v>
      </c>
      <c r="K557">
        <v>625</v>
      </c>
      <c r="L557">
        <v>384</v>
      </c>
      <c r="P557">
        <v>181</v>
      </c>
      <c r="Q557">
        <v>237</v>
      </c>
      <c r="R557">
        <v>764</v>
      </c>
      <c r="U557">
        <v>2120</v>
      </c>
      <c r="V557">
        <v>179</v>
      </c>
      <c r="Z557">
        <v>111</v>
      </c>
      <c r="AA557">
        <v>661</v>
      </c>
      <c r="AB557" s="1" t="s">
        <v>1580</v>
      </c>
    </row>
    <row r="558" spans="1:28" x14ac:dyDescent="0.3">
      <c r="A558">
        <v>78142</v>
      </c>
      <c r="B558" s="1" t="s">
        <v>1255</v>
      </c>
      <c r="C558">
        <v>0</v>
      </c>
      <c r="D558">
        <v>1610612752</v>
      </c>
      <c r="E558" s="1" t="s">
        <v>1248</v>
      </c>
      <c r="F558">
        <v>310</v>
      </c>
      <c r="G558">
        <v>78</v>
      </c>
      <c r="I558">
        <v>22880</v>
      </c>
      <c r="J558">
        <v>354</v>
      </c>
      <c r="K558">
        <v>894</v>
      </c>
      <c r="L558">
        <v>396</v>
      </c>
      <c r="P558">
        <v>208</v>
      </c>
      <c r="Q558">
        <v>302</v>
      </c>
      <c r="R558">
        <v>689</v>
      </c>
      <c r="U558">
        <v>1910</v>
      </c>
      <c r="V558">
        <v>259</v>
      </c>
      <c r="Z558">
        <v>171</v>
      </c>
      <c r="AA558">
        <v>916</v>
      </c>
      <c r="AB558" s="1" t="s">
        <v>1580</v>
      </c>
    </row>
    <row r="559" spans="1:28" x14ac:dyDescent="0.3">
      <c r="A559">
        <v>202068</v>
      </c>
      <c r="B559" s="1" t="s">
        <v>1305</v>
      </c>
      <c r="C559">
        <v>0</v>
      </c>
      <c r="D559">
        <v>1610612752</v>
      </c>
      <c r="E559" s="1" t="s">
        <v>1248</v>
      </c>
      <c r="F559">
        <v>240</v>
      </c>
      <c r="G559">
        <v>17</v>
      </c>
      <c r="H559">
        <v>0</v>
      </c>
      <c r="I559">
        <v>1080</v>
      </c>
      <c r="J559">
        <v>16</v>
      </c>
      <c r="K559">
        <v>41</v>
      </c>
      <c r="L559">
        <v>39</v>
      </c>
      <c r="M559">
        <v>90</v>
      </c>
      <c r="N559">
        <v>260</v>
      </c>
      <c r="O559">
        <v>346</v>
      </c>
      <c r="P559">
        <v>3</v>
      </c>
      <c r="Q559">
        <v>5</v>
      </c>
      <c r="R559">
        <v>6</v>
      </c>
      <c r="S559">
        <v>50</v>
      </c>
      <c r="T559">
        <v>140</v>
      </c>
      <c r="U559">
        <v>190</v>
      </c>
      <c r="V559">
        <v>0</v>
      </c>
      <c r="W559">
        <v>10</v>
      </c>
      <c r="X559">
        <v>20</v>
      </c>
      <c r="Y559">
        <v>60</v>
      </c>
      <c r="Z559">
        <v>14</v>
      </c>
      <c r="AA559">
        <v>44</v>
      </c>
      <c r="AB559" s="1" t="s">
        <v>1581</v>
      </c>
    </row>
    <row r="560" spans="1:28" x14ac:dyDescent="0.3">
      <c r="A560">
        <v>1629607</v>
      </c>
      <c r="B560" s="1" t="s">
        <v>1289</v>
      </c>
      <c r="C560">
        <v>0</v>
      </c>
      <c r="D560">
        <v>1610612752</v>
      </c>
      <c r="E560" s="1" t="s">
        <v>1248</v>
      </c>
      <c r="F560">
        <v>230</v>
      </c>
      <c r="G560">
        <v>8</v>
      </c>
      <c r="H560">
        <v>0</v>
      </c>
      <c r="I560">
        <v>160</v>
      </c>
      <c r="J560">
        <v>0</v>
      </c>
      <c r="K560">
        <v>4</v>
      </c>
      <c r="L560">
        <v>0</v>
      </c>
      <c r="M560">
        <v>0</v>
      </c>
      <c r="N560">
        <v>10</v>
      </c>
      <c r="O560">
        <v>0</v>
      </c>
      <c r="P560">
        <v>3</v>
      </c>
      <c r="Q560">
        <v>4</v>
      </c>
      <c r="R560">
        <v>75</v>
      </c>
      <c r="S560">
        <v>0</v>
      </c>
      <c r="T560">
        <v>20</v>
      </c>
      <c r="U560">
        <v>20</v>
      </c>
      <c r="V560">
        <v>1</v>
      </c>
      <c r="W560">
        <v>0</v>
      </c>
      <c r="X560">
        <v>0</v>
      </c>
      <c r="Y560">
        <v>30</v>
      </c>
      <c r="Z560">
        <v>1</v>
      </c>
      <c r="AA560">
        <v>3</v>
      </c>
      <c r="AB560" s="1" t="s">
        <v>1582</v>
      </c>
    </row>
    <row r="561" spans="1:28" x14ac:dyDescent="0.3">
      <c r="A561">
        <v>1628422</v>
      </c>
      <c r="B561" s="1" t="s">
        <v>1259</v>
      </c>
      <c r="C561">
        <v>0</v>
      </c>
      <c r="D561">
        <v>1610612752</v>
      </c>
      <c r="E561" s="1" t="s">
        <v>1248</v>
      </c>
      <c r="F561">
        <v>240</v>
      </c>
      <c r="G561">
        <v>44</v>
      </c>
      <c r="H561">
        <v>20</v>
      </c>
      <c r="I561">
        <v>4740</v>
      </c>
      <c r="J561">
        <v>72</v>
      </c>
      <c r="K561">
        <v>161</v>
      </c>
      <c r="L561">
        <v>447</v>
      </c>
      <c r="M561">
        <v>220</v>
      </c>
      <c r="N561">
        <v>680</v>
      </c>
      <c r="O561">
        <v>324</v>
      </c>
      <c r="P561">
        <v>16</v>
      </c>
      <c r="Q561">
        <v>23</v>
      </c>
      <c r="R561">
        <v>696</v>
      </c>
      <c r="S561">
        <v>90</v>
      </c>
      <c r="T561">
        <v>750</v>
      </c>
      <c r="U561">
        <v>840</v>
      </c>
      <c r="V561">
        <v>31</v>
      </c>
      <c r="W561">
        <v>120</v>
      </c>
      <c r="X561">
        <v>20</v>
      </c>
      <c r="Y561">
        <v>170</v>
      </c>
      <c r="Z561">
        <v>34</v>
      </c>
      <c r="AA561">
        <v>182</v>
      </c>
      <c r="AB561" s="1" t="s">
        <v>1583</v>
      </c>
    </row>
    <row r="562" spans="1:28" x14ac:dyDescent="0.3">
      <c r="A562">
        <v>1628422</v>
      </c>
      <c r="B562" s="1" t="s">
        <v>1287</v>
      </c>
      <c r="C562">
        <v>0</v>
      </c>
      <c r="D562">
        <v>1610612752</v>
      </c>
      <c r="E562" s="1" t="s">
        <v>1248</v>
      </c>
      <c r="F562">
        <v>250</v>
      </c>
      <c r="G562">
        <v>73</v>
      </c>
      <c r="H562">
        <v>400</v>
      </c>
      <c r="I562">
        <v>20040</v>
      </c>
      <c r="J562">
        <v>290</v>
      </c>
      <c r="K562">
        <v>698</v>
      </c>
      <c r="L562">
        <v>415</v>
      </c>
      <c r="M562">
        <v>1260</v>
      </c>
      <c r="N562">
        <v>3420</v>
      </c>
      <c r="O562">
        <v>368</v>
      </c>
      <c r="P562">
        <v>73</v>
      </c>
      <c r="Q562">
        <v>98</v>
      </c>
      <c r="R562">
        <v>745</v>
      </c>
      <c r="S562">
        <v>340</v>
      </c>
      <c r="T562">
        <v>2280</v>
      </c>
      <c r="U562">
        <v>2620</v>
      </c>
      <c r="V562">
        <v>135</v>
      </c>
      <c r="W562">
        <v>580</v>
      </c>
      <c r="X562">
        <v>100</v>
      </c>
      <c r="Y562">
        <v>710</v>
      </c>
      <c r="Z562">
        <v>135</v>
      </c>
      <c r="AA562">
        <v>779</v>
      </c>
      <c r="AB562" s="1" t="s">
        <v>1583</v>
      </c>
    </row>
    <row r="563" spans="1:28" x14ac:dyDescent="0.3">
      <c r="A563">
        <v>1628422</v>
      </c>
      <c r="B563" s="1" t="s">
        <v>1288</v>
      </c>
      <c r="C563">
        <v>0</v>
      </c>
      <c r="D563">
        <v>1610612752</v>
      </c>
      <c r="E563" s="1" t="s">
        <v>1248</v>
      </c>
      <c r="F563">
        <v>260</v>
      </c>
      <c r="G563">
        <v>48</v>
      </c>
      <c r="H563">
        <v>0</v>
      </c>
      <c r="I563">
        <v>8360</v>
      </c>
      <c r="J563">
        <v>120</v>
      </c>
      <c r="K563">
        <v>290</v>
      </c>
      <c r="L563">
        <v>414</v>
      </c>
      <c r="M563">
        <v>590</v>
      </c>
      <c r="N563">
        <v>1630</v>
      </c>
      <c r="O563">
        <v>362</v>
      </c>
      <c r="P563">
        <v>22</v>
      </c>
      <c r="Q563">
        <v>33</v>
      </c>
      <c r="R563">
        <v>667</v>
      </c>
      <c r="S563">
        <v>100</v>
      </c>
      <c r="T563">
        <v>810</v>
      </c>
      <c r="U563">
        <v>910</v>
      </c>
      <c r="V563">
        <v>57</v>
      </c>
      <c r="W563">
        <v>230</v>
      </c>
      <c r="X563">
        <v>40</v>
      </c>
      <c r="Y563">
        <v>210</v>
      </c>
      <c r="Z563">
        <v>44</v>
      </c>
      <c r="AA563">
        <v>321</v>
      </c>
      <c r="AB563" s="1" t="s">
        <v>1583</v>
      </c>
    </row>
    <row r="564" spans="1:28" x14ac:dyDescent="0.3">
      <c r="A564">
        <v>1628422</v>
      </c>
      <c r="B564" s="1" t="s">
        <v>1308</v>
      </c>
      <c r="C564">
        <v>0</v>
      </c>
      <c r="D564">
        <v>1610612752</v>
      </c>
      <c r="E564" s="1" t="s">
        <v>1248</v>
      </c>
      <c r="F564">
        <v>280</v>
      </c>
      <c r="G564">
        <v>2</v>
      </c>
      <c r="H564">
        <v>0</v>
      </c>
      <c r="I564">
        <v>210</v>
      </c>
      <c r="J564">
        <v>2</v>
      </c>
      <c r="K564">
        <v>4</v>
      </c>
      <c r="L564">
        <v>5</v>
      </c>
      <c r="M564">
        <v>0</v>
      </c>
      <c r="N564">
        <v>10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20</v>
      </c>
      <c r="U564">
        <v>20</v>
      </c>
      <c r="V564">
        <v>1</v>
      </c>
      <c r="W564">
        <v>0</v>
      </c>
      <c r="X564">
        <v>0</v>
      </c>
      <c r="Y564">
        <v>0</v>
      </c>
      <c r="Z564">
        <v>0</v>
      </c>
      <c r="AA564">
        <v>4</v>
      </c>
      <c r="AB564" s="1" t="s">
        <v>1583</v>
      </c>
    </row>
    <row r="565" spans="1:28" x14ac:dyDescent="0.3">
      <c r="A565">
        <v>1594</v>
      </c>
      <c r="B565" s="1" t="s">
        <v>1429</v>
      </c>
      <c r="C565">
        <v>0</v>
      </c>
      <c r="D565">
        <v>1610612752</v>
      </c>
      <c r="E565" s="1" t="s">
        <v>1248</v>
      </c>
      <c r="F565">
        <v>270</v>
      </c>
      <c r="G565">
        <v>17</v>
      </c>
      <c r="H565">
        <v>0</v>
      </c>
      <c r="I565">
        <v>950</v>
      </c>
      <c r="J565">
        <v>6</v>
      </c>
      <c r="K565">
        <v>21</v>
      </c>
      <c r="L565">
        <v>286</v>
      </c>
      <c r="M565">
        <v>0</v>
      </c>
      <c r="N565">
        <v>50</v>
      </c>
      <c r="O565">
        <v>0</v>
      </c>
      <c r="P565">
        <v>5</v>
      </c>
      <c r="Q565">
        <v>18</v>
      </c>
      <c r="R565">
        <v>278</v>
      </c>
      <c r="S565">
        <v>30</v>
      </c>
      <c r="T565">
        <v>70</v>
      </c>
      <c r="U565">
        <v>100</v>
      </c>
      <c r="V565">
        <v>19</v>
      </c>
      <c r="W565">
        <v>90</v>
      </c>
      <c r="X565">
        <v>0</v>
      </c>
      <c r="Y565">
        <v>120</v>
      </c>
      <c r="Z565">
        <v>8</v>
      </c>
      <c r="AA565">
        <v>17</v>
      </c>
      <c r="AB565" s="1" t="s">
        <v>1584</v>
      </c>
    </row>
    <row r="566" spans="1:28" x14ac:dyDescent="0.3">
      <c r="A566">
        <v>1594</v>
      </c>
      <c r="B566" s="1" t="s">
        <v>1464</v>
      </c>
      <c r="C566">
        <v>0</v>
      </c>
      <c r="D566">
        <v>1610612752</v>
      </c>
      <c r="E566" s="1" t="s">
        <v>1248</v>
      </c>
      <c r="F566">
        <v>280</v>
      </c>
      <c r="G566">
        <v>37</v>
      </c>
      <c r="H566">
        <v>0</v>
      </c>
      <c r="I566">
        <v>2890</v>
      </c>
      <c r="J566">
        <v>29</v>
      </c>
      <c r="K566">
        <v>70</v>
      </c>
      <c r="L566">
        <v>414</v>
      </c>
      <c r="M566">
        <v>20</v>
      </c>
      <c r="N566">
        <v>130</v>
      </c>
      <c r="O566">
        <v>154</v>
      </c>
      <c r="P566">
        <v>11</v>
      </c>
      <c r="Q566">
        <v>18</v>
      </c>
      <c r="R566">
        <v>611</v>
      </c>
      <c r="S566">
        <v>30</v>
      </c>
      <c r="T566">
        <v>240</v>
      </c>
      <c r="U566">
        <v>270</v>
      </c>
      <c r="V566">
        <v>49</v>
      </c>
      <c r="W566">
        <v>90</v>
      </c>
      <c r="X566">
        <v>10</v>
      </c>
      <c r="Y566">
        <v>310</v>
      </c>
      <c r="Z566">
        <v>35</v>
      </c>
      <c r="AA566">
        <v>71</v>
      </c>
      <c r="AB566" s="1" t="s">
        <v>1584</v>
      </c>
    </row>
    <row r="567" spans="1:28" x14ac:dyDescent="0.3">
      <c r="A567">
        <v>1594</v>
      </c>
      <c r="B567" s="1" t="s">
        <v>1465</v>
      </c>
      <c r="C567">
        <v>0</v>
      </c>
      <c r="D567">
        <v>1610612752</v>
      </c>
      <c r="E567" s="1" t="s">
        <v>1248</v>
      </c>
      <c r="F567">
        <v>290</v>
      </c>
      <c r="G567">
        <v>15</v>
      </c>
      <c r="H567">
        <v>0</v>
      </c>
      <c r="I567">
        <v>660</v>
      </c>
      <c r="J567">
        <v>8</v>
      </c>
      <c r="K567">
        <v>19</v>
      </c>
      <c r="L567">
        <v>421</v>
      </c>
      <c r="M567">
        <v>0</v>
      </c>
      <c r="N567">
        <v>30</v>
      </c>
      <c r="O567">
        <v>0</v>
      </c>
      <c r="P567">
        <v>4</v>
      </c>
      <c r="Q567">
        <v>6</v>
      </c>
      <c r="R567">
        <v>667</v>
      </c>
      <c r="S567">
        <v>30</v>
      </c>
      <c r="T567">
        <v>90</v>
      </c>
      <c r="U567">
        <v>120</v>
      </c>
      <c r="V567">
        <v>7</v>
      </c>
      <c r="W567">
        <v>10</v>
      </c>
      <c r="X567">
        <v>0</v>
      </c>
      <c r="Y567">
        <v>80</v>
      </c>
      <c r="Z567">
        <v>5</v>
      </c>
      <c r="AA567">
        <v>20</v>
      </c>
      <c r="AB567" s="1" t="s">
        <v>1584</v>
      </c>
    </row>
    <row r="568" spans="1:28" x14ac:dyDescent="0.3">
      <c r="A568">
        <v>1628443</v>
      </c>
      <c r="B568" s="1" t="s">
        <v>1287</v>
      </c>
      <c r="C568">
        <v>0</v>
      </c>
      <c r="D568">
        <v>1610612752</v>
      </c>
      <c r="E568" s="1" t="s">
        <v>1248</v>
      </c>
      <c r="F568">
        <v>260</v>
      </c>
      <c r="G568">
        <v>19</v>
      </c>
      <c r="H568">
        <v>10</v>
      </c>
      <c r="I568">
        <v>4160</v>
      </c>
      <c r="J568">
        <v>65</v>
      </c>
      <c r="K568">
        <v>141</v>
      </c>
      <c r="L568">
        <v>461</v>
      </c>
      <c r="M568">
        <v>170</v>
      </c>
      <c r="N568">
        <v>360</v>
      </c>
      <c r="O568">
        <v>472</v>
      </c>
      <c r="P568">
        <v>42</v>
      </c>
      <c r="Q568">
        <v>54</v>
      </c>
      <c r="R568">
        <v>778</v>
      </c>
      <c r="S568">
        <v>80</v>
      </c>
      <c r="T568">
        <v>430</v>
      </c>
      <c r="U568">
        <v>510</v>
      </c>
      <c r="V568">
        <v>76</v>
      </c>
      <c r="W568">
        <v>160</v>
      </c>
      <c r="X568">
        <v>40</v>
      </c>
      <c r="Y568">
        <v>260</v>
      </c>
      <c r="Z568">
        <v>46</v>
      </c>
      <c r="AA568">
        <v>189</v>
      </c>
      <c r="AB568" s="1" t="s">
        <v>1585</v>
      </c>
    </row>
    <row r="569" spans="1:28" x14ac:dyDescent="0.3">
      <c r="A569">
        <v>1628443</v>
      </c>
      <c r="B569" s="1" t="s">
        <v>1288</v>
      </c>
      <c r="C569">
        <v>0</v>
      </c>
      <c r="D569">
        <v>1610612752</v>
      </c>
      <c r="E569" s="1" t="s">
        <v>1248</v>
      </c>
      <c r="F569">
        <v>270</v>
      </c>
      <c r="G569">
        <v>10</v>
      </c>
      <c r="H569">
        <v>0</v>
      </c>
      <c r="I569">
        <v>1170</v>
      </c>
      <c r="J569">
        <v>19</v>
      </c>
      <c r="K569">
        <v>44</v>
      </c>
      <c r="L569">
        <v>432</v>
      </c>
      <c r="M569">
        <v>50</v>
      </c>
      <c r="N569">
        <v>160</v>
      </c>
      <c r="O569">
        <v>313</v>
      </c>
      <c r="P569">
        <v>7</v>
      </c>
      <c r="Q569">
        <v>11</v>
      </c>
      <c r="R569">
        <v>636</v>
      </c>
      <c r="S569">
        <v>20</v>
      </c>
      <c r="T569">
        <v>70</v>
      </c>
      <c r="U569">
        <v>90</v>
      </c>
      <c r="V569">
        <v>21</v>
      </c>
      <c r="W569">
        <v>50</v>
      </c>
      <c r="X569">
        <v>20</v>
      </c>
      <c r="Y569">
        <v>80</v>
      </c>
      <c r="Z569">
        <v>7</v>
      </c>
      <c r="AA569">
        <v>50</v>
      </c>
      <c r="AB569" s="1" t="s">
        <v>1585</v>
      </c>
    </row>
    <row r="570" spans="1:28" x14ac:dyDescent="0.3">
      <c r="A570">
        <v>1626184</v>
      </c>
      <c r="B570" s="1" t="s">
        <v>1281</v>
      </c>
      <c r="C570">
        <v>0</v>
      </c>
      <c r="D570">
        <v>1610612752</v>
      </c>
      <c r="E570" s="1" t="s">
        <v>1248</v>
      </c>
      <c r="F570">
        <v>240</v>
      </c>
      <c r="G570">
        <v>18</v>
      </c>
      <c r="H570">
        <v>0</v>
      </c>
      <c r="I570">
        <v>2250</v>
      </c>
      <c r="J570">
        <v>28</v>
      </c>
      <c r="K570">
        <v>72</v>
      </c>
      <c r="L570">
        <v>389</v>
      </c>
      <c r="M570">
        <v>100</v>
      </c>
      <c r="N570">
        <v>320</v>
      </c>
      <c r="O570">
        <v>313</v>
      </c>
      <c r="P570">
        <v>29</v>
      </c>
      <c r="Q570">
        <v>31</v>
      </c>
      <c r="R570">
        <v>935</v>
      </c>
      <c r="S570">
        <v>60</v>
      </c>
      <c r="T570">
        <v>210</v>
      </c>
      <c r="U570">
        <v>270</v>
      </c>
      <c r="V570">
        <v>28</v>
      </c>
      <c r="W570">
        <v>60</v>
      </c>
      <c r="X570">
        <v>10</v>
      </c>
      <c r="Y570">
        <v>160</v>
      </c>
      <c r="Z570">
        <v>28</v>
      </c>
      <c r="AA570">
        <v>95</v>
      </c>
      <c r="AB570" s="1" t="s">
        <v>1586</v>
      </c>
    </row>
    <row r="571" spans="1:28" x14ac:dyDescent="0.3">
      <c r="A571">
        <v>78138</v>
      </c>
      <c r="B571" s="1" t="s">
        <v>1261</v>
      </c>
      <c r="C571">
        <v>0</v>
      </c>
      <c r="D571">
        <v>1610612752</v>
      </c>
      <c r="E571" s="1" t="s">
        <v>1248</v>
      </c>
      <c r="F571">
        <v>220</v>
      </c>
      <c r="G571">
        <v>27</v>
      </c>
      <c r="I571">
        <v>1850</v>
      </c>
      <c r="J571">
        <v>26</v>
      </c>
      <c r="K571">
        <v>80</v>
      </c>
      <c r="L571">
        <v>325</v>
      </c>
      <c r="P571">
        <v>19</v>
      </c>
      <c r="Q571">
        <v>30</v>
      </c>
      <c r="R571">
        <v>633</v>
      </c>
      <c r="S571">
        <v>170</v>
      </c>
      <c r="T571">
        <v>240</v>
      </c>
      <c r="U571">
        <v>410</v>
      </c>
      <c r="V571">
        <v>8</v>
      </c>
      <c r="W571">
        <v>80</v>
      </c>
      <c r="X571">
        <v>30</v>
      </c>
      <c r="Z571">
        <v>31</v>
      </c>
      <c r="AA571">
        <v>71</v>
      </c>
      <c r="AB571" s="1" t="s">
        <v>1587</v>
      </c>
    </row>
    <row r="572" spans="1:28" x14ac:dyDescent="0.3">
      <c r="A572">
        <v>1627851</v>
      </c>
      <c r="B572" s="1" t="s">
        <v>1281</v>
      </c>
      <c r="C572">
        <v>0</v>
      </c>
      <c r="D572">
        <v>1610612752</v>
      </c>
      <c r="E572" s="1" t="s">
        <v>1248</v>
      </c>
      <c r="F572">
        <v>270</v>
      </c>
      <c r="G572">
        <v>68</v>
      </c>
      <c r="H572">
        <v>50</v>
      </c>
      <c r="I572">
        <v>10160</v>
      </c>
      <c r="J572">
        <v>158</v>
      </c>
      <c r="K572">
        <v>369</v>
      </c>
      <c r="L572">
        <v>428</v>
      </c>
      <c r="M572">
        <v>540</v>
      </c>
      <c r="N572">
        <v>1680</v>
      </c>
      <c r="O572">
        <v>321</v>
      </c>
      <c r="P572">
        <v>55</v>
      </c>
      <c r="Q572">
        <v>68</v>
      </c>
      <c r="R572">
        <v>809</v>
      </c>
      <c r="S572">
        <v>470</v>
      </c>
      <c r="T572">
        <v>790</v>
      </c>
      <c r="U572">
        <v>1260</v>
      </c>
      <c r="V572">
        <v>69</v>
      </c>
      <c r="W572">
        <v>290</v>
      </c>
      <c r="X572">
        <v>110</v>
      </c>
      <c r="Y572">
        <v>510</v>
      </c>
      <c r="Z572">
        <v>79</v>
      </c>
      <c r="AA572">
        <v>425</v>
      </c>
      <c r="AB572" s="1" t="s">
        <v>1588</v>
      </c>
    </row>
    <row r="573" spans="1:28" x14ac:dyDescent="0.3">
      <c r="A573">
        <v>1627851</v>
      </c>
      <c r="B573" s="1" t="s">
        <v>1259</v>
      </c>
      <c r="C573">
        <v>0</v>
      </c>
      <c r="D573">
        <v>1610612752</v>
      </c>
      <c r="E573" s="1" t="s">
        <v>1248</v>
      </c>
      <c r="F573">
        <v>280</v>
      </c>
      <c r="G573">
        <v>1</v>
      </c>
      <c r="H573">
        <v>0</v>
      </c>
      <c r="I573">
        <v>20</v>
      </c>
      <c r="J573">
        <v>0</v>
      </c>
      <c r="K573">
        <v>2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 s="1" t="s">
        <v>1588</v>
      </c>
    </row>
    <row r="574" spans="1:28" x14ac:dyDescent="0.3">
      <c r="A574">
        <v>157</v>
      </c>
      <c r="B574" s="1" t="s">
        <v>1274</v>
      </c>
      <c r="C574">
        <v>0</v>
      </c>
      <c r="D574">
        <v>1610612752</v>
      </c>
      <c r="E574" s="1" t="s">
        <v>1248</v>
      </c>
      <c r="F574">
        <v>320</v>
      </c>
      <c r="G574">
        <v>54</v>
      </c>
      <c r="H574">
        <v>270</v>
      </c>
      <c r="I574">
        <v>13110</v>
      </c>
      <c r="J574">
        <v>173</v>
      </c>
      <c r="K574">
        <v>402</v>
      </c>
      <c r="L574">
        <v>43</v>
      </c>
      <c r="M574">
        <v>360</v>
      </c>
      <c r="N574">
        <v>980</v>
      </c>
      <c r="O574">
        <v>367</v>
      </c>
      <c r="P574">
        <v>84</v>
      </c>
      <c r="Q574">
        <v>113</v>
      </c>
      <c r="R574">
        <v>743</v>
      </c>
      <c r="S574">
        <v>100</v>
      </c>
      <c r="T574">
        <v>760</v>
      </c>
      <c r="U574">
        <v>860</v>
      </c>
      <c r="V574">
        <v>236</v>
      </c>
      <c r="W574">
        <v>800</v>
      </c>
      <c r="X574">
        <v>40</v>
      </c>
      <c r="Y574">
        <v>810</v>
      </c>
      <c r="Z574">
        <v>117</v>
      </c>
      <c r="AA574">
        <v>466</v>
      </c>
      <c r="AB574" s="1" t="s">
        <v>1589</v>
      </c>
    </row>
    <row r="575" spans="1:28" x14ac:dyDescent="0.3">
      <c r="A575">
        <v>157</v>
      </c>
      <c r="B575" s="1" t="s">
        <v>1275</v>
      </c>
      <c r="C575">
        <v>0</v>
      </c>
      <c r="D575">
        <v>1610612752</v>
      </c>
      <c r="E575" s="1" t="s">
        <v>1248</v>
      </c>
      <c r="F575">
        <v>330</v>
      </c>
      <c r="G575">
        <v>80</v>
      </c>
      <c r="H575">
        <v>800</v>
      </c>
      <c r="I575">
        <v>27160</v>
      </c>
      <c r="J575">
        <v>337</v>
      </c>
      <c r="K575">
        <v>756</v>
      </c>
      <c r="L575">
        <v>446</v>
      </c>
      <c r="M575">
        <v>1060</v>
      </c>
      <c r="N575">
        <v>2920</v>
      </c>
      <c r="O575">
        <v>363</v>
      </c>
      <c r="P575">
        <v>139</v>
      </c>
      <c r="Q575">
        <v>192</v>
      </c>
      <c r="R575">
        <v>724</v>
      </c>
      <c r="S575">
        <v>310</v>
      </c>
      <c r="T575">
        <v>1630</v>
      </c>
      <c r="U575">
        <v>1940</v>
      </c>
      <c r="V575">
        <v>458</v>
      </c>
      <c r="W575">
        <v>790</v>
      </c>
      <c r="X575">
        <v>100</v>
      </c>
      <c r="Y575">
        <v>1510</v>
      </c>
      <c r="Z575">
        <v>219</v>
      </c>
      <c r="AA575">
        <v>919</v>
      </c>
      <c r="AB575" s="1" t="s">
        <v>1589</v>
      </c>
    </row>
    <row r="576" spans="1:28" x14ac:dyDescent="0.3">
      <c r="A576">
        <v>157</v>
      </c>
      <c r="B576" s="1" t="s">
        <v>1276</v>
      </c>
      <c r="C576">
        <v>0</v>
      </c>
      <c r="D576">
        <v>1610612752</v>
      </c>
      <c r="E576" s="1" t="s">
        <v>1248</v>
      </c>
      <c r="F576">
        <v>340</v>
      </c>
      <c r="G576">
        <v>82</v>
      </c>
      <c r="H576">
        <v>820</v>
      </c>
      <c r="I576">
        <v>28930</v>
      </c>
      <c r="J576">
        <v>436</v>
      </c>
      <c r="K576">
        <v>939</v>
      </c>
      <c r="L576">
        <v>464</v>
      </c>
      <c r="M576">
        <v>1210</v>
      </c>
      <c r="N576">
        <v>3250</v>
      </c>
      <c r="O576">
        <v>372</v>
      </c>
      <c r="P576">
        <v>156</v>
      </c>
      <c r="Q576">
        <v>206</v>
      </c>
      <c r="R576">
        <v>757</v>
      </c>
      <c r="S576">
        <v>320</v>
      </c>
      <c r="T576">
        <v>1700</v>
      </c>
      <c r="U576">
        <v>2020</v>
      </c>
      <c r="V576">
        <v>352</v>
      </c>
      <c r="W576">
        <v>1310</v>
      </c>
      <c r="X576">
        <v>50</v>
      </c>
      <c r="Y576">
        <v>1780</v>
      </c>
      <c r="Z576">
        <v>201</v>
      </c>
      <c r="AA576">
        <v>1149</v>
      </c>
      <c r="AB576" s="1" t="s">
        <v>1589</v>
      </c>
    </row>
    <row r="577" spans="1:28" x14ac:dyDescent="0.3">
      <c r="A577">
        <v>76585</v>
      </c>
      <c r="B577" s="1" t="s">
        <v>1266</v>
      </c>
      <c r="C577">
        <v>0</v>
      </c>
      <c r="D577">
        <v>1610612752</v>
      </c>
      <c r="E577" s="1" t="s">
        <v>1248</v>
      </c>
      <c r="F577">
        <v>230</v>
      </c>
      <c r="G577">
        <v>45</v>
      </c>
      <c r="J577">
        <v>90</v>
      </c>
      <c r="K577">
        <v>275</v>
      </c>
      <c r="L577">
        <v>327</v>
      </c>
      <c r="P577">
        <v>73</v>
      </c>
      <c r="Q577">
        <v>106</v>
      </c>
      <c r="R577">
        <v>689</v>
      </c>
      <c r="V577">
        <v>38</v>
      </c>
      <c r="Z577">
        <v>107</v>
      </c>
      <c r="AA577">
        <v>253</v>
      </c>
      <c r="AB577" s="1" t="s">
        <v>1590</v>
      </c>
    </row>
    <row r="578" spans="1:28" x14ac:dyDescent="0.3">
      <c r="A578">
        <v>1628973</v>
      </c>
      <c r="B578" s="1" t="s">
        <v>1327</v>
      </c>
      <c r="C578">
        <v>0</v>
      </c>
      <c r="D578">
        <v>1610612752</v>
      </c>
      <c r="E578" s="1" t="s">
        <v>1248</v>
      </c>
      <c r="F578">
        <v>260</v>
      </c>
      <c r="G578">
        <v>68</v>
      </c>
      <c r="H578">
        <v>680</v>
      </c>
      <c r="I578">
        <v>23790</v>
      </c>
      <c r="J578">
        <v>587</v>
      </c>
      <c r="K578">
        <v>1195</v>
      </c>
      <c r="L578">
        <v>491</v>
      </c>
      <c r="M578">
        <v>1340</v>
      </c>
      <c r="N578">
        <v>3220</v>
      </c>
      <c r="O578">
        <v>416</v>
      </c>
      <c r="P578">
        <v>325</v>
      </c>
      <c r="Q578">
        <v>392</v>
      </c>
      <c r="R578">
        <v>829</v>
      </c>
      <c r="S578">
        <v>400</v>
      </c>
      <c r="T578">
        <v>2010</v>
      </c>
      <c r="U578">
        <v>2410</v>
      </c>
      <c r="V578">
        <v>421</v>
      </c>
      <c r="W578">
        <v>610</v>
      </c>
      <c r="X578">
        <v>150</v>
      </c>
      <c r="Y578">
        <v>1420</v>
      </c>
      <c r="Z578">
        <v>152</v>
      </c>
      <c r="AA578">
        <v>1633</v>
      </c>
      <c r="AB578" s="1" t="s">
        <v>1591</v>
      </c>
    </row>
    <row r="579" spans="1:28" x14ac:dyDescent="0.3">
      <c r="A579">
        <v>1628973</v>
      </c>
      <c r="B579" s="1" t="s">
        <v>1369</v>
      </c>
      <c r="C579">
        <v>0</v>
      </c>
      <c r="D579">
        <v>1610612752</v>
      </c>
      <c r="E579" s="1" t="s">
        <v>1248</v>
      </c>
      <c r="F579">
        <v>270</v>
      </c>
      <c r="G579">
        <v>77</v>
      </c>
      <c r="H579">
        <v>770</v>
      </c>
      <c r="I579">
        <v>27260</v>
      </c>
      <c r="J579">
        <v>790</v>
      </c>
      <c r="K579">
        <v>1648</v>
      </c>
      <c r="L579">
        <v>479</v>
      </c>
      <c r="M579">
        <v>2110</v>
      </c>
      <c r="N579">
        <v>5260</v>
      </c>
      <c r="O579">
        <v>401</v>
      </c>
      <c r="P579">
        <v>421</v>
      </c>
      <c r="Q579">
        <v>497</v>
      </c>
      <c r="R579">
        <v>847</v>
      </c>
      <c r="S579">
        <v>430</v>
      </c>
      <c r="T579">
        <v>2350</v>
      </c>
      <c r="U579">
        <v>2780</v>
      </c>
      <c r="V579">
        <v>519</v>
      </c>
      <c r="W579">
        <v>700</v>
      </c>
      <c r="X579">
        <v>130</v>
      </c>
      <c r="Y579">
        <v>1860</v>
      </c>
      <c r="Z579">
        <v>144</v>
      </c>
      <c r="AA579">
        <v>2212</v>
      </c>
      <c r="AB579" s="1" t="s">
        <v>1591</v>
      </c>
    </row>
    <row r="580" spans="1:28" x14ac:dyDescent="0.3">
      <c r="A580">
        <v>2068</v>
      </c>
      <c r="B580" s="1" t="s">
        <v>1465</v>
      </c>
      <c r="C580">
        <v>0</v>
      </c>
      <c r="D580">
        <v>1610612752</v>
      </c>
      <c r="E580" s="1" t="s">
        <v>1248</v>
      </c>
      <c r="F580">
        <v>230</v>
      </c>
      <c r="G580">
        <v>26</v>
      </c>
      <c r="H580">
        <v>0</v>
      </c>
      <c r="I580">
        <v>1680</v>
      </c>
      <c r="J580">
        <v>17</v>
      </c>
      <c r="K580">
        <v>54</v>
      </c>
      <c r="L580">
        <v>315</v>
      </c>
      <c r="M580">
        <v>30</v>
      </c>
      <c r="N580">
        <v>110</v>
      </c>
      <c r="O580">
        <v>273</v>
      </c>
      <c r="P580">
        <v>22</v>
      </c>
      <c r="Q580">
        <v>27</v>
      </c>
      <c r="R580">
        <v>815</v>
      </c>
      <c r="S580">
        <v>80</v>
      </c>
      <c r="T580">
        <v>170</v>
      </c>
      <c r="U580">
        <v>250</v>
      </c>
      <c r="V580">
        <v>5</v>
      </c>
      <c r="W580">
        <v>40</v>
      </c>
      <c r="X580">
        <v>20</v>
      </c>
      <c r="Y580">
        <v>170</v>
      </c>
      <c r="Z580">
        <v>12</v>
      </c>
      <c r="AA580">
        <v>59</v>
      </c>
      <c r="AB580" s="1" t="s">
        <v>1592</v>
      </c>
    </row>
    <row r="581" spans="1:28" x14ac:dyDescent="0.3">
      <c r="A581">
        <v>2068</v>
      </c>
      <c r="B581" s="1" t="s">
        <v>1330</v>
      </c>
      <c r="C581">
        <v>0</v>
      </c>
      <c r="D581">
        <v>1610612752</v>
      </c>
      <c r="E581" s="1" t="s">
        <v>1248</v>
      </c>
      <c r="F581">
        <v>240</v>
      </c>
      <c r="G581">
        <v>23</v>
      </c>
      <c r="H581">
        <v>0</v>
      </c>
      <c r="I581">
        <v>1780</v>
      </c>
      <c r="J581">
        <v>28</v>
      </c>
      <c r="K581">
        <v>84</v>
      </c>
      <c r="L581">
        <v>333</v>
      </c>
      <c r="M581">
        <v>60</v>
      </c>
      <c r="N581">
        <v>260</v>
      </c>
      <c r="O581">
        <v>231</v>
      </c>
      <c r="P581">
        <v>31</v>
      </c>
      <c r="Q581">
        <v>41</v>
      </c>
      <c r="R581">
        <v>756</v>
      </c>
      <c r="S581">
        <v>20</v>
      </c>
      <c r="T581">
        <v>140</v>
      </c>
      <c r="U581">
        <v>160</v>
      </c>
      <c r="V581">
        <v>5</v>
      </c>
      <c r="W581">
        <v>60</v>
      </c>
      <c r="X581">
        <v>0</v>
      </c>
      <c r="Y581">
        <v>110</v>
      </c>
      <c r="Z581">
        <v>7</v>
      </c>
      <c r="AA581">
        <v>93</v>
      </c>
      <c r="AB581" s="1" t="s">
        <v>1592</v>
      </c>
    </row>
    <row r="582" spans="1:28" x14ac:dyDescent="0.3">
      <c r="A582">
        <v>2068</v>
      </c>
      <c r="B582" s="1" t="s">
        <v>1325</v>
      </c>
      <c r="C582">
        <v>0</v>
      </c>
      <c r="D582">
        <v>1610612752</v>
      </c>
      <c r="E582" s="1" t="s">
        <v>1248</v>
      </c>
      <c r="F582">
        <v>250</v>
      </c>
      <c r="G582">
        <v>12</v>
      </c>
      <c r="H582">
        <v>0</v>
      </c>
      <c r="I582">
        <v>990</v>
      </c>
      <c r="J582">
        <v>14</v>
      </c>
      <c r="K582">
        <v>38</v>
      </c>
      <c r="L582">
        <v>368</v>
      </c>
      <c r="M582">
        <v>20</v>
      </c>
      <c r="N582">
        <v>70</v>
      </c>
      <c r="O582">
        <v>286</v>
      </c>
      <c r="P582">
        <v>13</v>
      </c>
      <c r="Q582">
        <v>15</v>
      </c>
      <c r="R582">
        <v>867</v>
      </c>
      <c r="S582">
        <v>10</v>
      </c>
      <c r="T582">
        <v>30</v>
      </c>
      <c r="U582">
        <v>40</v>
      </c>
      <c r="V582">
        <v>3</v>
      </c>
      <c r="W582">
        <v>20</v>
      </c>
      <c r="X582">
        <v>0</v>
      </c>
      <c r="Y582">
        <v>70</v>
      </c>
      <c r="Z582">
        <v>9</v>
      </c>
      <c r="AA582">
        <v>43</v>
      </c>
      <c r="AB582" s="1" t="s">
        <v>1592</v>
      </c>
    </row>
    <row r="583" spans="1:28" x14ac:dyDescent="0.3">
      <c r="A583">
        <v>77875</v>
      </c>
      <c r="B583" s="1" t="s">
        <v>1358</v>
      </c>
      <c r="C583">
        <v>0</v>
      </c>
      <c r="D583">
        <v>1610612752</v>
      </c>
      <c r="E583" s="1" t="s">
        <v>1248</v>
      </c>
      <c r="F583">
        <v>260</v>
      </c>
      <c r="G583">
        <v>17</v>
      </c>
      <c r="I583">
        <v>1330</v>
      </c>
      <c r="J583">
        <v>13</v>
      </c>
      <c r="K583">
        <v>36</v>
      </c>
      <c r="L583">
        <v>361</v>
      </c>
      <c r="P583">
        <v>7</v>
      </c>
      <c r="Q583">
        <v>9</v>
      </c>
      <c r="R583">
        <v>778</v>
      </c>
      <c r="S583">
        <v>130</v>
      </c>
      <c r="T583">
        <v>250</v>
      </c>
      <c r="U583">
        <v>380</v>
      </c>
      <c r="V583">
        <v>2</v>
      </c>
      <c r="W583">
        <v>30</v>
      </c>
      <c r="X583">
        <v>10</v>
      </c>
      <c r="Z583">
        <v>17</v>
      </c>
      <c r="AA583">
        <v>33</v>
      </c>
      <c r="AB583" s="1" t="s">
        <v>1593</v>
      </c>
    </row>
    <row r="584" spans="1:28" x14ac:dyDescent="0.3">
      <c r="A584">
        <v>77322</v>
      </c>
      <c r="B584" s="1" t="s">
        <v>1297</v>
      </c>
      <c r="C584">
        <v>0</v>
      </c>
      <c r="D584">
        <v>1610612752</v>
      </c>
      <c r="E584" s="1" t="s">
        <v>1248</v>
      </c>
      <c r="F584">
        <v>260</v>
      </c>
      <c r="G584">
        <v>44</v>
      </c>
      <c r="J584">
        <v>89</v>
      </c>
      <c r="K584">
        <v>273</v>
      </c>
      <c r="L584">
        <v>326</v>
      </c>
      <c r="P584">
        <v>50</v>
      </c>
      <c r="Q584">
        <v>84</v>
      </c>
      <c r="R584">
        <v>595</v>
      </c>
      <c r="V584">
        <v>27</v>
      </c>
      <c r="Z584">
        <v>117</v>
      </c>
      <c r="AA584">
        <v>228</v>
      </c>
      <c r="AB584" s="1" t="s">
        <v>1594</v>
      </c>
    </row>
    <row r="585" spans="1:28" x14ac:dyDescent="0.3">
      <c r="A585">
        <v>77322</v>
      </c>
      <c r="B585" s="1" t="s">
        <v>1299</v>
      </c>
      <c r="C585">
        <v>0</v>
      </c>
      <c r="D585">
        <v>1610612752</v>
      </c>
      <c r="E585" s="1" t="s">
        <v>1248</v>
      </c>
      <c r="F585">
        <v>270</v>
      </c>
      <c r="G585">
        <v>8</v>
      </c>
      <c r="J585">
        <v>10</v>
      </c>
      <c r="K585">
        <v>36</v>
      </c>
      <c r="L585">
        <v>278</v>
      </c>
      <c r="P585">
        <v>5</v>
      </c>
      <c r="Q585">
        <v>9</v>
      </c>
      <c r="R585">
        <v>556</v>
      </c>
      <c r="V585">
        <v>11</v>
      </c>
      <c r="Z585">
        <v>16</v>
      </c>
      <c r="AA585">
        <v>25</v>
      </c>
      <c r="AB585" s="1" t="s">
        <v>1594</v>
      </c>
    </row>
    <row r="586" spans="1:28" x14ac:dyDescent="0.3">
      <c r="A586">
        <v>76950</v>
      </c>
      <c r="B586" s="1" t="s">
        <v>1257</v>
      </c>
      <c r="C586">
        <v>0</v>
      </c>
      <c r="D586">
        <v>1610612752</v>
      </c>
      <c r="E586" s="1" t="s">
        <v>1248</v>
      </c>
      <c r="F586">
        <v>240</v>
      </c>
      <c r="G586">
        <v>5</v>
      </c>
      <c r="I586">
        <v>590</v>
      </c>
      <c r="J586">
        <v>13</v>
      </c>
      <c r="K586">
        <v>30</v>
      </c>
      <c r="L586">
        <v>433</v>
      </c>
      <c r="P586">
        <v>3</v>
      </c>
      <c r="Q586">
        <v>8</v>
      </c>
      <c r="R586">
        <v>375</v>
      </c>
      <c r="U586">
        <v>60</v>
      </c>
      <c r="V586">
        <v>6</v>
      </c>
      <c r="Z586">
        <v>4</v>
      </c>
      <c r="AA586">
        <v>29</v>
      </c>
      <c r="AB586" s="1" t="s">
        <v>1595</v>
      </c>
    </row>
    <row r="587" spans="1:28" x14ac:dyDescent="0.3">
      <c r="A587">
        <v>76586</v>
      </c>
      <c r="B587" s="1" t="s">
        <v>1253</v>
      </c>
      <c r="C587">
        <v>0</v>
      </c>
      <c r="D587">
        <v>1610612752</v>
      </c>
      <c r="E587" s="1" t="s">
        <v>1248</v>
      </c>
      <c r="F587">
        <v>230</v>
      </c>
      <c r="G587">
        <v>44</v>
      </c>
      <c r="H587">
        <v>0</v>
      </c>
      <c r="I587">
        <v>3640</v>
      </c>
      <c r="J587">
        <v>44</v>
      </c>
      <c r="K587">
        <v>109</v>
      </c>
      <c r="L587">
        <v>404</v>
      </c>
      <c r="M587">
        <v>0</v>
      </c>
      <c r="N587">
        <v>70</v>
      </c>
      <c r="O587">
        <v>0</v>
      </c>
      <c r="P587">
        <v>17</v>
      </c>
      <c r="Q587">
        <v>21</v>
      </c>
      <c r="R587">
        <v>81</v>
      </c>
      <c r="S587">
        <v>50</v>
      </c>
      <c r="T587">
        <v>200</v>
      </c>
      <c r="U587">
        <v>250</v>
      </c>
      <c r="V587">
        <v>87</v>
      </c>
      <c r="W587">
        <v>160</v>
      </c>
      <c r="X587">
        <v>10</v>
      </c>
      <c r="Y587">
        <v>420</v>
      </c>
      <c r="Z587">
        <v>33</v>
      </c>
      <c r="AA587">
        <v>105</v>
      </c>
      <c r="AB587" s="1" t="s">
        <v>1596</v>
      </c>
    </row>
    <row r="588" spans="1:28" x14ac:dyDescent="0.3">
      <c r="A588">
        <v>1629718</v>
      </c>
      <c r="B588" s="1" t="s">
        <v>1369</v>
      </c>
      <c r="C588">
        <v>0</v>
      </c>
      <c r="D588">
        <v>1610612752</v>
      </c>
      <c r="E588" s="1" t="s">
        <v>1248</v>
      </c>
      <c r="F588">
        <v>270</v>
      </c>
      <c r="G588">
        <v>8</v>
      </c>
      <c r="H588">
        <v>0</v>
      </c>
      <c r="I588">
        <v>370</v>
      </c>
      <c r="J588">
        <v>2</v>
      </c>
      <c r="K588">
        <v>10</v>
      </c>
      <c r="L588">
        <v>2</v>
      </c>
      <c r="M588">
        <v>20</v>
      </c>
      <c r="N588">
        <v>70</v>
      </c>
      <c r="O588">
        <v>286</v>
      </c>
      <c r="P588">
        <v>0</v>
      </c>
      <c r="Q588">
        <v>0</v>
      </c>
      <c r="R588">
        <v>0</v>
      </c>
      <c r="S588">
        <v>10</v>
      </c>
      <c r="T588">
        <v>10</v>
      </c>
      <c r="U588">
        <v>20</v>
      </c>
      <c r="V588">
        <v>0</v>
      </c>
      <c r="W588">
        <v>0</v>
      </c>
      <c r="X588">
        <v>20</v>
      </c>
      <c r="Y588">
        <v>20</v>
      </c>
      <c r="Z588">
        <v>5</v>
      </c>
      <c r="AA588">
        <v>6</v>
      </c>
      <c r="AB588" s="1" t="s">
        <v>1597</v>
      </c>
    </row>
    <row r="589" spans="1:28" x14ac:dyDescent="0.3">
      <c r="A589">
        <v>77792</v>
      </c>
      <c r="B589" s="1" t="s">
        <v>1321</v>
      </c>
      <c r="C589">
        <v>0</v>
      </c>
      <c r="D589">
        <v>1610612752</v>
      </c>
      <c r="E589" s="1" t="s">
        <v>1248</v>
      </c>
      <c r="F589">
        <v>270</v>
      </c>
      <c r="G589">
        <v>74</v>
      </c>
      <c r="I589">
        <v>14820</v>
      </c>
      <c r="J589">
        <v>246</v>
      </c>
      <c r="K589">
        <v>574</v>
      </c>
      <c r="L589">
        <v>429</v>
      </c>
      <c r="P589">
        <v>119</v>
      </c>
      <c r="Q589">
        <v>174</v>
      </c>
      <c r="R589">
        <v>684</v>
      </c>
      <c r="U589">
        <v>3890</v>
      </c>
      <c r="V589">
        <v>70</v>
      </c>
      <c r="Z589">
        <v>224</v>
      </c>
      <c r="AA589">
        <v>611</v>
      </c>
      <c r="AB589" s="1" t="s">
        <v>1598</v>
      </c>
    </row>
    <row r="590" spans="1:28" x14ac:dyDescent="0.3">
      <c r="A590">
        <v>77792</v>
      </c>
      <c r="B590" s="1" t="s">
        <v>1322</v>
      </c>
      <c r="C590">
        <v>0</v>
      </c>
      <c r="D590">
        <v>1610612752</v>
      </c>
      <c r="E590" s="1" t="s">
        <v>1248</v>
      </c>
      <c r="F590">
        <v>280</v>
      </c>
      <c r="G590">
        <v>55</v>
      </c>
      <c r="I590">
        <v>6880</v>
      </c>
      <c r="J590">
        <v>125</v>
      </c>
      <c r="K590">
        <v>310</v>
      </c>
      <c r="L590">
        <v>403</v>
      </c>
      <c r="P590">
        <v>44</v>
      </c>
      <c r="Q590">
        <v>65</v>
      </c>
      <c r="R590">
        <v>677</v>
      </c>
      <c r="U590">
        <v>1790</v>
      </c>
      <c r="V590">
        <v>30</v>
      </c>
      <c r="Z590">
        <v>128</v>
      </c>
      <c r="AA590">
        <v>294</v>
      </c>
      <c r="AB590" s="1" t="s">
        <v>1598</v>
      </c>
    </row>
    <row r="591" spans="1:28" x14ac:dyDescent="0.3">
      <c r="A591">
        <v>77993</v>
      </c>
      <c r="B591" s="1" t="s">
        <v>1468</v>
      </c>
      <c r="C591">
        <v>0</v>
      </c>
      <c r="D591">
        <v>1610612752</v>
      </c>
      <c r="E591" s="1" t="s">
        <v>1248</v>
      </c>
      <c r="F591">
        <v>310</v>
      </c>
      <c r="G591">
        <v>81</v>
      </c>
      <c r="H591">
        <v>760</v>
      </c>
      <c r="I591">
        <v>24260</v>
      </c>
      <c r="J591">
        <v>326</v>
      </c>
      <c r="K591">
        <v>706</v>
      </c>
      <c r="L591">
        <v>462</v>
      </c>
      <c r="M591">
        <v>0</v>
      </c>
      <c r="N591">
        <v>0</v>
      </c>
      <c r="O591">
        <v>0</v>
      </c>
      <c r="P591">
        <v>118</v>
      </c>
      <c r="Q591">
        <v>201</v>
      </c>
      <c r="R591">
        <v>587</v>
      </c>
      <c r="S591">
        <v>1990</v>
      </c>
      <c r="T591">
        <v>4580</v>
      </c>
      <c r="U591">
        <v>6570</v>
      </c>
      <c r="V591">
        <v>145</v>
      </c>
      <c r="W591">
        <v>570</v>
      </c>
      <c r="X591">
        <v>240</v>
      </c>
      <c r="Y591">
        <v>1900</v>
      </c>
      <c r="Z591">
        <v>241</v>
      </c>
      <c r="AA591">
        <v>770</v>
      </c>
      <c r="AB591" s="1" t="s">
        <v>1599</v>
      </c>
    </row>
    <row r="592" spans="1:28" x14ac:dyDescent="0.3">
      <c r="A592">
        <v>77993</v>
      </c>
      <c r="B592" s="1" t="s">
        <v>1469</v>
      </c>
      <c r="C592">
        <v>0</v>
      </c>
      <c r="D592">
        <v>1610612752</v>
      </c>
      <c r="E592" s="1" t="s">
        <v>1248</v>
      </c>
      <c r="F592">
        <v>320</v>
      </c>
      <c r="G592">
        <v>65</v>
      </c>
      <c r="H592">
        <v>630</v>
      </c>
      <c r="I592">
        <v>21350</v>
      </c>
      <c r="J592">
        <v>284</v>
      </c>
      <c r="K592">
        <v>581</v>
      </c>
      <c r="L592">
        <v>489</v>
      </c>
      <c r="M592">
        <v>0</v>
      </c>
      <c r="N592">
        <v>0</v>
      </c>
      <c r="O592">
        <v>0</v>
      </c>
      <c r="P592">
        <v>133</v>
      </c>
      <c r="Q592">
        <v>206</v>
      </c>
      <c r="R592">
        <v>646</v>
      </c>
      <c r="S592">
        <v>1710</v>
      </c>
      <c r="T592">
        <v>3740</v>
      </c>
      <c r="U592">
        <v>5450</v>
      </c>
      <c r="V592">
        <v>94</v>
      </c>
      <c r="W592">
        <v>430</v>
      </c>
      <c r="X592">
        <v>270</v>
      </c>
      <c r="Y592">
        <v>1600</v>
      </c>
      <c r="Z592">
        <v>217</v>
      </c>
      <c r="AA592">
        <v>701</v>
      </c>
      <c r="AB592" s="1" t="s">
        <v>1599</v>
      </c>
    </row>
    <row r="593" spans="1:28" x14ac:dyDescent="0.3">
      <c r="A593">
        <v>77993</v>
      </c>
      <c r="B593" s="1" t="s">
        <v>1406</v>
      </c>
      <c r="C593">
        <v>0</v>
      </c>
      <c r="D593">
        <v>1610612752</v>
      </c>
      <c r="E593" s="1" t="s">
        <v>1248</v>
      </c>
      <c r="F593">
        <v>330</v>
      </c>
      <c r="G593">
        <v>2</v>
      </c>
      <c r="H593">
        <v>10</v>
      </c>
      <c r="I593">
        <v>350</v>
      </c>
      <c r="J593">
        <v>2</v>
      </c>
      <c r="K593">
        <v>5</v>
      </c>
      <c r="L593">
        <v>4</v>
      </c>
      <c r="M593">
        <v>0</v>
      </c>
      <c r="N593">
        <v>0</v>
      </c>
      <c r="P593">
        <v>0</v>
      </c>
      <c r="Q593">
        <v>2</v>
      </c>
      <c r="R593">
        <v>0</v>
      </c>
      <c r="S593">
        <v>60</v>
      </c>
      <c r="T593">
        <v>30</v>
      </c>
      <c r="U593">
        <v>90</v>
      </c>
      <c r="V593">
        <v>3</v>
      </c>
      <c r="W593">
        <v>20</v>
      </c>
      <c r="X593">
        <v>30</v>
      </c>
      <c r="Y593">
        <v>50</v>
      </c>
      <c r="Z593">
        <v>3</v>
      </c>
      <c r="AA593">
        <v>4</v>
      </c>
      <c r="AB593" s="1" t="s">
        <v>1599</v>
      </c>
    </row>
    <row r="594" spans="1:28" x14ac:dyDescent="0.3">
      <c r="A594">
        <v>84</v>
      </c>
      <c r="B594" s="1" t="s">
        <v>1429</v>
      </c>
      <c r="C594">
        <v>0</v>
      </c>
      <c r="D594">
        <v>1610612752</v>
      </c>
      <c r="E594" s="1" t="s">
        <v>1248</v>
      </c>
      <c r="F594">
        <v>280</v>
      </c>
      <c r="G594">
        <v>37</v>
      </c>
      <c r="H594">
        <v>40</v>
      </c>
      <c r="I594">
        <v>12330</v>
      </c>
      <c r="J594">
        <v>215</v>
      </c>
      <c r="K594">
        <v>518</v>
      </c>
      <c r="L594">
        <v>415</v>
      </c>
      <c r="M594">
        <v>210</v>
      </c>
      <c r="N594">
        <v>770</v>
      </c>
      <c r="O594">
        <v>273</v>
      </c>
      <c r="P594">
        <v>155</v>
      </c>
      <c r="Q594">
        <v>191</v>
      </c>
      <c r="R594">
        <v>812</v>
      </c>
      <c r="S594">
        <v>410</v>
      </c>
      <c r="T594">
        <v>1150</v>
      </c>
      <c r="U594">
        <v>1560</v>
      </c>
      <c r="V594">
        <v>91</v>
      </c>
      <c r="W594">
        <v>460</v>
      </c>
      <c r="X594">
        <v>20</v>
      </c>
      <c r="Y594">
        <v>790</v>
      </c>
      <c r="Z594">
        <v>65</v>
      </c>
      <c r="AA594">
        <v>606</v>
      </c>
      <c r="AB594" s="1" t="s">
        <v>1600</v>
      </c>
    </row>
    <row r="595" spans="1:28" x14ac:dyDescent="0.3">
      <c r="A595">
        <v>84</v>
      </c>
      <c r="B595" s="1" t="s">
        <v>1464</v>
      </c>
      <c r="C595">
        <v>0</v>
      </c>
      <c r="D595">
        <v>1610612752</v>
      </c>
      <c r="E595" s="1" t="s">
        <v>1248</v>
      </c>
      <c r="F595">
        <v>290</v>
      </c>
      <c r="G595">
        <v>82</v>
      </c>
      <c r="H595">
        <v>820</v>
      </c>
      <c r="I595">
        <v>32760</v>
      </c>
      <c r="J595">
        <v>568</v>
      </c>
      <c r="K595">
        <v>1305</v>
      </c>
      <c r="L595">
        <v>435</v>
      </c>
      <c r="M595">
        <v>440</v>
      </c>
      <c r="N595">
        <v>1270</v>
      </c>
      <c r="O595">
        <v>346</v>
      </c>
      <c r="P595">
        <v>344</v>
      </c>
      <c r="Q595">
        <v>397</v>
      </c>
      <c r="R595">
        <v>866</v>
      </c>
      <c r="S595">
        <v>490</v>
      </c>
      <c r="T595">
        <v>3000</v>
      </c>
      <c r="U595">
        <v>3490</v>
      </c>
      <c r="V595">
        <v>332</v>
      </c>
      <c r="W595">
        <v>1090</v>
      </c>
      <c r="X595">
        <v>220</v>
      </c>
      <c r="Y595">
        <v>2260</v>
      </c>
      <c r="Z595">
        <v>184</v>
      </c>
      <c r="AA595">
        <v>1524</v>
      </c>
      <c r="AB595" s="1" t="s">
        <v>1600</v>
      </c>
    </row>
    <row r="596" spans="1:28" x14ac:dyDescent="0.3">
      <c r="A596">
        <v>84</v>
      </c>
      <c r="B596" s="1" t="s">
        <v>1465</v>
      </c>
      <c r="C596">
        <v>0</v>
      </c>
      <c r="D596">
        <v>1610612752</v>
      </c>
      <c r="E596" s="1" t="s">
        <v>1248</v>
      </c>
      <c r="F596">
        <v>300</v>
      </c>
      <c r="G596">
        <v>77</v>
      </c>
      <c r="H596">
        <v>770</v>
      </c>
      <c r="I596">
        <v>30130</v>
      </c>
      <c r="J596">
        <v>524</v>
      </c>
      <c r="K596">
        <v>1219</v>
      </c>
      <c r="L596">
        <v>43</v>
      </c>
      <c r="M596">
        <v>410</v>
      </c>
      <c r="N596">
        <v>1350</v>
      </c>
      <c r="O596">
        <v>304</v>
      </c>
      <c r="P596">
        <v>275</v>
      </c>
      <c r="Q596">
        <v>351</v>
      </c>
      <c r="R596">
        <v>783</v>
      </c>
      <c r="S596">
        <v>490</v>
      </c>
      <c r="T596">
        <v>2980</v>
      </c>
      <c r="U596">
        <v>3470</v>
      </c>
      <c r="V596">
        <v>269</v>
      </c>
      <c r="W596">
        <v>1060</v>
      </c>
      <c r="X596">
        <v>280</v>
      </c>
      <c r="Y596">
        <v>2180</v>
      </c>
      <c r="Z596">
        <v>159</v>
      </c>
      <c r="AA596">
        <v>1364</v>
      </c>
      <c r="AB596" s="1" t="s">
        <v>1600</v>
      </c>
    </row>
    <row r="597" spans="1:28" x14ac:dyDescent="0.3">
      <c r="A597">
        <v>84</v>
      </c>
      <c r="B597" s="1" t="s">
        <v>1330</v>
      </c>
      <c r="C597">
        <v>0</v>
      </c>
      <c r="D597">
        <v>1610612752</v>
      </c>
      <c r="E597" s="1" t="s">
        <v>1248</v>
      </c>
      <c r="F597">
        <v>310</v>
      </c>
      <c r="G597">
        <v>81</v>
      </c>
      <c r="H597">
        <v>810</v>
      </c>
      <c r="I597">
        <v>33280</v>
      </c>
      <c r="J597">
        <v>573</v>
      </c>
      <c r="K597">
        <v>1419</v>
      </c>
      <c r="L597">
        <v>404</v>
      </c>
      <c r="M597">
        <v>1450</v>
      </c>
      <c r="N597">
        <v>4030</v>
      </c>
      <c r="O597">
        <v>36</v>
      </c>
      <c r="P597">
        <v>284</v>
      </c>
      <c r="Q597">
        <v>346</v>
      </c>
      <c r="R597">
        <v>821</v>
      </c>
      <c r="S597">
        <v>590</v>
      </c>
      <c r="T597">
        <v>2390</v>
      </c>
      <c r="U597">
        <v>2980</v>
      </c>
      <c r="V597">
        <v>313</v>
      </c>
      <c r="W597">
        <v>940</v>
      </c>
      <c r="X597">
        <v>140</v>
      </c>
      <c r="Y597">
        <v>2230</v>
      </c>
      <c r="Z597">
        <v>161</v>
      </c>
      <c r="AA597">
        <v>1575</v>
      </c>
      <c r="AB597" s="1" t="s">
        <v>1600</v>
      </c>
    </row>
    <row r="598" spans="1:28" x14ac:dyDescent="0.3">
      <c r="A598">
        <v>84</v>
      </c>
      <c r="B598" s="1" t="s">
        <v>1325</v>
      </c>
      <c r="C598">
        <v>0</v>
      </c>
      <c r="D598">
        <v>1610612752</v>
      </c>
      <c r="E598" s="1" t="s">
        <v>1248</v>
      </c>
      <c r="F598">
        <v>320</v>
      </c>
      <c r="G598">
        <v>74</v>
      </c>
      <c r="H598">
        <v>730</v>
      </c>
      <c r="I598">
        <v>28580</v>
      </c>
      <c r="J598">
        <v>454</v>
      </c>
      <c r="K598">
        <v>1127</v>
      </c>
      <c r="L598">
        <v>403</v>
      </c>
      <c r="M598">
        <v>1340</v>
      </c>
      <c r="N598">
        <v>3600</v>
      </c>
      <c r="O598">
        <v>372</v>
      </c>
      <c r="P598">
        <v>173</v>
      </c>
      <c r="Q598">
        <v>218</v>
      </c>
      <c r="R598">
        <v>794</v>
      </c>
      <c r="S598">
        <v>450</v>
      </c>
      <c r="T598">
        <v>2400</v>
      </c>
      <c r="U598">
        <v>2850</v>
      </c>
      <c r="V598">
        <v>332</v>
      </c>
      <c r="W598">
        <v>1020</v>
      </c>
      <c r="X598">
        <v>220</v>
      </c>
      <c r="Y598">
        <v>1720</v>
      </c>
      <c r="Z598">
        <v>134</v>
      </c>
      <c r="AA598">
        <v>1215</v>
      </c>
      <c r="AB598" s="1" t="s">
        <v>1600</v>
      </c>
    </row>
    <row r="599" spans="1:28" x14ac:dyDescent="0.3">
      <c r="A599">
        <v>200769</v>
      </c>
      <c r="B599" s="1" t="s">
        <v>1337</v>
      </c>
      <c r="C599">
        <v>0</v>
      </c>
      <c r="D599">
        <v>1610612752</v>
      </c>
      <c r="E599" s="1" t="s">
        <v>1248</v>
      </c>
      <c r="F599">
        <v>280</v>
      </c>
      <c r="G599">
        <v>19</v>
      </c>
      <c r="H599">
        <v>0</v>
      </c>
      <c r="I599">
        <v>1480</v>
      </c>
      <c r="J599">
        <v>16</v>
      </c>
      <c r="K599">
        <v>38</v>
      </c>
      <c r="L599">
        <v>421</v>
      </c>
      <c r="M599">
        <v>0</v>
      </c>
      <c r="N599">
        <v>0</v>
      </c>
      <c r="O599">
        <v>0</v>
      </c>
      <c r="P599">
        <v>8</v>
      </c>
      <c r="Q599">
        <v>12</v>
      </c>
      <c r="R599">
        <v>667</v>
      </c>
      <c r="S599">
        <v>60</v>
      </c>
      <c r="T599">
        <v>90</v>
      </c>
      <c r="U599">
        <v>150</v>
      </c>
      <c r="V599">
        <v>4</v>
      </c>
      <c r="W599">
        <v>120</v>
      </c>
      <c r="X599">
        <v>0</v>
      </c>
      <c r="Y599">
        <v>100</v>
      </c>
      <c r="Z599">
        <v>12</v>
      </c>
      <c r="AA599">
        <v>40</v>
      </c>
      <c r="AB599" s="1" t="s">
        <v>1601</v>
      </c>
    </row>
    <row r="600" spans="1:28" x14ac:dyDescent="0.3">
      <c r="A600">
        <v>77307</v>
      </c>
      <c r="B600" s="1" t="s">
        <v>1258</v>
      </c>
      <c r="C600">
        <v>0</v>
      </c>
      <c r="D600">
        <v>1610612752</v>
      </c>
      <c r="E600" s="1" t="s">
        <v>1248</v>
      </c>
      <c r="F600">
        <v>220</v>
      </c>
      <c r="G600">
        <v>19</v>
      </c>
      <c r="I600">
        <v>2310</v>
      </c>
      <c r="J600">
        <v>27</v>
      </c>
      <c r="K600">
        <v>86</v>
      </c>
      <c r="L600">
        <v>314</v>
      </c>
      <c r="P600">
        <v>30</v>
      </c>
      <c r="Q600">
        <v>40</v>
      </c>
      <c r="R600">
        <v>75</v>
      </c>
      <c r="U600">
        <v>410</v>
      </c>
      <c r="V600">
        <v>15</v>
      </c>
      <c r="Z600">
        <v>31</v>
      </c>
      <c r="AA600">
        <v>84</v>
      </c>
      <c r="AB600" s="1" t="s">
        <v>1602</v>
      </c>
    </row>
    <row r="601" spans="1:28" x14ac:dyDescent="0.3">
      <c r="A601">
        <v>203090</v>
      </c>
      <c r="B601" s="1" t="s">
        <v>1288</v>
      </c>
      <c r="C601">
        <v>0</v>
      </c>
      <c r="D601">
        <v>1610612752</v>
      </c>
      <c r="E601" s="1" t="s">
        <v>1248</v>
      </c>
      <c r="F601">
        <v>270</v>
      </c>
      <c r="G601">
        <v>12</v>
      </c>
      <c r="H601">
        <v>100</v>
      </c>
      <c r="I601">
        <v>2860</v>
      </c>
      <c r="J601">
        <v>30</v>
      </c>
      <c r="K601">
        <v>66</v>
      </c>
      <c r="L601">
        <v>455</v>
      </c>
      <c r="M601">
        <v>70</v>
      </c>
      <c r="N601">
        <v>250</v>
      </c>
      <c r="O601">
        <v>28</v>
      </c>
      <c r="P601">
        <v>15</v>
      </c>
      <c r="Q601">
        <v>24</v>
      </c>
      <c r="R601">
        <v>625</v>
      </c>
      <c r="S601">
        <v>80</v>
      </c>
      <c r="T601">
        <v>320</v>
      </c>
      <c r="U601">
        <v>400</v>
      </c>
      <c r="V601">
        <v>20</v>
      </c>
      <c r="W601">
        <v>90</v>
      </c>
      <c r="X601">
        <v>30</v>
      </c>
      <c r="Y601">
        <v>70</v>
      </c>
      <c r="Z601">
        <v>28</v>
      </c>
      <c r="AA601">
        <v>82</v>
      </c>
      <c r="AB601" s="1" t="s">
        <v>1603</v>
      </c>
    </row>
    <row r="602" spans="1:28" x14ac:dyDescent="0.3">
      <c r="A602">
        <v>76583</v>
      </c>
      <c r="B602" s="1" t="s">
        <v>1272</v>
      </c>
      <c r="C602">
        <v>0</v>
      </c>
      <c r="D602">
        <v>1610612752</v>
      </c>
      <c r="E602" s="1" t="s">
        <v>1248</v>
      </c>
      <c r="F602">
        <v>340</v>
      </c>
      <c r="G602">
        <v>14</v>
      </c>
      <c r="H602">
        <v>0</v>
      </c>
      <c r="I602">
        <v>810</v>
      </c>
      <c r="J602">
        <v>5</v>
      </c>
      <c r="K602">
        <v>18</v>
      </c>
      <c r="L602">
        <v>278</v>
      </c>
      <c r="M602">
        <v>0</v>
      </c>
      <c r="N602">
        <v>0</v>
      </c>
      <c r="O602">
        <v>0</v>
      </c>
      <c r="P602">
        <v>2</v>
      </c>
      <c r="Q602">
        <v>2</v>
      </c>
      <c r="R602">
        <v>10</v>
      </c>
      <c r="S602">
        <v>20</v>
      </c>
      <c r="T602">
        <v>170</v>
      </c>
      <c r="U602">
        <v>190</v>
      </c>
      <c r="V602">
        <v>2</v>
      </c>
      <c r="W602">
        <v>0</v>
      </c>
      <c r="X602">
        <v>50</v>
      </c>
      <c r="Y602">
        <v>70</v>
      </c>
      <c r="Z602">
        <v>17</v>
      </c>
      <c r="AA602">
        <v>12</v>
      </c>
      <c r="AB602" s="1" t="s">
        <v>1604</v>
      </c>
    </row>
    <row r="603" spans="1:28" x14ac:dyDescent="0.3">
      <c r="A603">
        <v>201974</v>
      </c>
      <c r="B603" s="1" t="s">
        <v>1312</v>
      </c>
      <c r="C603">
        <v>0</v>
      </c>
      <c r="D603">
        <v>1610612752</v>
      </c>
      <c r="E603" s="1" t="s">
        <v>1248</v>
      </c>
      <c r="F603">
        <v>230</v>
      </c>
      <c r="G603">
        <v>8</v>
      </c>
      <c r="H603">
        <v>0</v>
      </c>
      <c r="I603">
        <v>880</v>
      </c>
      <c r="J603">
        <v>12</v>
      </c>
      <c r="K603">
        <v>18</v>
      </c>
      <c r="L603">
        <v>667</v>
      </c>
      <c r="M603">
        <v>30</v>
      </c>
      <c r="N603">
        <v>40</v>
      </c>
      <c r="O603">
        <v>75</v>
      </c>
      <c r="P603">
        <v>7</v>
      </c>
      <c r="Q603">
        <v>13</v>
      </c>
      <c r="R603">
        <v>538</v>
      </c>
      <c r="S603">
        <v>90</v>
      </c>
      <c r="T603">
        <v>60</v>
      </c>
      <c r="U603">
        <v>150</v>
      </c>
      <c r="V603">
        <v>4</v>
      </c>
      <c r="W603">
        <v>40</v>
      </c>
      <c r="X603">
        <v>20</v>
      </c>
      <c r="Y603">
        <v>70</v>
      </c>
      <c r="Z603">
        <v>11</v>
      </c>
      <c r="AA603">
        <v>34</v>
      </c>
      <c r="AB603" s="1" t="s">
        <v>1605</v>
      </c>
    </row>
    <row r="604" spans="1:28" x14ac:dyDescent="0.3">
      <c r="A604">
        <v>1628436</v>
      </c>
      <c r="B604" s="1" t="s">
        <v>1259</v>
      </c>
      <c r="C604">
        <v>0</v>
      </c>
      <c r="D604">
        <v>1610612752</v>
      </c>
      <c r="E604" s="1" t="s">
        <v>1248</v>
      </c>
      <c r="F604">
        <v>220</v>
      </c>
      <c r="G604">
        <v>20</v>
      </c>
      <c r="H604">
        <v>10</v>
      </c>
      <c r="I604">
        <v>3260</v>
      </c>
      <c r="J604">
        <v>49</v>
      </c>
      <c r="K604">
        <v>125</v>
      </c>
      <c r="L604">
        <v>392</v>
      </c>
      <c r="M604">
        <v>280</v>
      </c>
      <c r="N604">
        <v>790</v>
      </c>
      <c r="O604">
        <v>354</v>
      </c>
      <c r="P604">
        <v>8</v>
      </c>
      <c r="Q604">
        <v>11</v>
      </c>
      <c r="R604">
        <v>727</v>
      </c>
      <c r="S604">
        <v>110</v>
      </c>
      <c r="T604">
        <v>530</v>
      </c>
      <c r="U604">
        <v>640</v>
      </c>
      <c r="V604">
        <v>26</v>
      </c>
      <c r="W604">
        <v>60</v>
      </c>
      <c r="X604">
        <v>160</v>
      </c>
      <c r="Y604">
        <v>120</v>
      </c>
      <c r="Z604">
        <v>28</v>
      </c>
      <c r="AA604">
        <v>134</v>
      </c>
      <c r="AB604" s="1" t="s">
        <v>1606</v>
      </c>
    </row>
    <row r="605" spans="1:28" x14ac:dyDescent="0.3">
      <c r="A605">
        <v>1628436</v>
      </c>
      <c r="B605" s="1" t="s">
        <v>1287</v>
      </c>
      <c r="C605">
        <v>0</v>
      </c>
      <c r="D605">
        <v>1610612752</v>
      </c>
      <c r="E605" s="1" t="s">
        <v>1248</v>
      </c>
      <c r="F605">
        <v>230</v>
      </c>
      <c r="G605">
        <v>46</v>
      </c>
      <c r="H605">
        <v>180</v>
      </c>
      <c r="I605">
        <v>7840</v>
      </c>
      <c r="J605">
        <v>107</v>
      </c>
      <c r="K605">
        <v>283</v>
      </c>
      <c r="L605">
        <v>378</v>
      </c>
      <c r="M605">
        <v>700</v>
      </c>
      <c r="N605">
        <v>1930</v>
      </c>
      <c r="O605">
        <v>363</v>
      </c>
      <c r="P605">
        <v>38</v>
      </c>
      <c r="Q605">
        <v>46</v>
      </c>
      <c r="R605">
        <v>826</v>
      </c>
      <c r="S605">
        <v>280</v>
      </c>
      <c r="T605">
        <v>1070</v>
      </c>
      <c r="U605">
        <v>1350</v>
      </c>
      <c r="V605">
        <v>54</v>
      </c>
      <c r="W605">
        <v>270</v>
      </c>
      <c r="X605">
        <v>420</v>
      </c>
      <c r="Y605">
        <v>250</v>
      </c>
      <c r="Z605">
        <v>41</v>
      </c>
      <c r="AA605">
        <v>322</v>
      </c>
      <c r="AB605" s="1" t="s">
        <v>1606</v>
      </c>
    </row>
    <row r="606" spans="1:28" x14ac:dyDescent="0.3">
      <c r="A606">
        <v>203501</v>
      </c>
      <c r="B606" s="1" t="s">
        <v>1337</v>
      </c>
      <c r="C606">
        <v>0</v>
      </c>
      <c r="D606">
        <v>1610612752</v>
      </c>
      <c r="E606" s="1" t="s">
        <v>1248</v>
      </c>
      <c r="F606">
        <v>220</v>
      </c>
      <c r="G606">
        <v>81</v>
      </c>
      <c r="H606">
        <v>10</v>
      </c>
      <c r="I606">
        <v>18750</v>
      </c>
      <c r="J606">
        <v>294</v>
      </c>
      <c r="K606">
        <v>687</v>
      </c>
      <c r="L606">
        <v>428</v>
      </c>
      <c r="M606">
        <v>1300</v>
      </c>
      <c r="N606">
        <v>3580</v>
      </c>
      <c r="O606">
        <v>363</v>
      </c>
      <c r="P606">
        <v>106</v>
      </c>
      <c r="Q606">
        <v>128</v>
      </c>
      <c r="R606">
        <v>828</v>
      </c>
      <c r="S606">
        <v>190</v>
      </c>
      <c r="T606">
        <v>1020</v>
      </c>
      <c r="U606">
        <v>1210</v>
      </c>
      <c r="V606">
        <v>66</v>
      </c>
      <c r="W606">
        <v>440</v>
      </c>
      <c r="X606">
        <v>70</v>
      </c>
      <c r="Y606">
        <v>470</v>
      </c>
      <c r="Z606">
        <v>144</v>
      </c>
      <c r="AA606">
        <v>824</v>
      </c>
      <c r="AB606" s="1" t="s">
        <v>1607</v>
      </c>
    </row>
    <row r="607" spans="1:28" x14ac:dyDescent="0.3">
      <c r="A607">
        <v>203501</v>
      </c>
      <c r="B607" s="1" t="s">
        <v>1343</v>
      </c>
      <c r="C607">
        <v>0</v>
      </c>
      <c r="D607">
        <v>1610612752</v>
      </c>
      <c r="E607" s="1" t="s">
        <v>1248</v>
      </c>
      <c r="F607">
        <v>230</v>
      </c>
      <c r="G607">
        <v>70</v>
      </c>
      <c r="H607">
        <v>300</v>
      </c>
      <c r="I607">
        <v>16810</v>
      </c>
      <c r="J607">
        <v>279</v>
      </c>
      <c r="K607">
        <v>717</v>
      </c>
      <c r="L607">
        <v>389</v>
      </c>
      <c r="M607">
        <v>1210</v>
      </c>
      <c r="N607">
        <v>3540</v>
      </c>
      <c r="O607">
        <v>342</v>
      </c>
      <c r="P607">
        <v>125</v>
      </c>
      <c r="Q607">
        <v>156</v>
      </c>
      <c r="R607">
        <v>801</v>
      </c>
      <c r="S607">
        <v>120</v>
      </c>
      <c r="T607">
        <v>1440</v>
      </c>
      <c r="U607">
        <v>1560</v>
      </c>
      <c r="V607">
        <v>127</v>
      </c>
      <c r="W607">
        <v>200</v>
      </c>
      <c r="X607">
        <v>140</v>
      </c>
      <c r="Y607">
        <v>820</v>
      </c>
      <c r="Z607">
        <v>119</v>
      </c>
      <c r="AA607">
        <v>804</v>
      </c>
      <c r="AB607" s="1" t="s">
        <v>1607</v>
      </c>
    </row>
    <row r="608" spans="1:28" x14ac:dyDescent="0.3">
      <c r="A608">
        <v>203501</v>
      </c>
      <c r="B608" s="1" t="s">
        <v>1259</v>
      </c>
      <c r="C608">
        <v>0</v>
      </c>
      <c r="D608">
        <v>1610612752</v>
      </c>
      <c r="E608" s="1" t="s">
        <v>1248</v>
      </c>
      <c r="F608">
        <v>260</v>
      </c>
      <c r="G608">
        <v>57</v>
      </c>
      <c r="H608">
        <v>540</v>
      </c>
      <c r="I608">
        <v>18850</v>
      </c>
      <c r="J608">
        <v>360</v>
      </c>
      <c r="K608">
        <v>856</v>
      </c>
      <c r="L608">
        <v>421</v>
      </c>
      <c r="M608">
        <v>1300</v>
      </c>
      <c r="N608">
        <v>4100</v>
      </c>
      <c r="O608">
        <v>317</v>
      </c>
      <c r="P608">
        <v>146</v>
      </c>
      <c r="Q608">
        <v>179</v>
      </c>
      <c r="R608">
        <v>816</v>
      </c>
      <c r="S608">
        <v>320</v>
      </c>
      <c r="T608">
        <v>1920</v>
      </c>
      <c r="U608">
        <v>2240</v>
      </c>
      <c r="V608">
        <v>155</v>
      </c>
      <c r="W608">
        <v>620</v>
      </c>
      <c r="X608">
        <v>100</v>
      </c>
      <c r="Y608">
        <v>920</v>
      </c>
      <c r="Z608">
        <v>123</v>
      </c>
      <c r="AA608">
        <v>996</v>
      </c>
      <c r="AB608" s="1" t="s">
        <v>1607</v>
      </c>
    </row>
    <row r="609" spans="1:28" x14ac:dyDescent="0.3">
      <c r="A609">
        <v>203501</v>
      </c>
      <c r="B609" s="1" t="s">
        <v>1287</v>
      </c>
      <c r="C609">
        <v>0</v>
      </c>
      <c r="D609">
        <v>1610612752</v>
      </c>
      <c r="E609" s="1" t="s">
        <v>1248</v>
      </c>
      <c r="F609">
        <v>270</v>
      </c>
      <c r="G609">
        <v>46</v>
      </c>
      <c r="H609">
        <v>460</v>
      </c>
      <c r="I609">
        <v>14990</v>
      </c>
      <c r="J609">
        <v>282</v>
      </c>
      <c r="K609">
        <v>726</v>
      </c>
      <c r="L609">
        <v>388</v>
      </c>
      <c r="M609">
        <v>1170</v>
      </c>
      <c r="N609">
        <v>3370</v>
      </c>
      <c r="O609">
        <v>347</v>
      </c>
      <c r="P609">
        <v>199</v>
      </c>
      <c r="Q609">
        <v>233</v>
      </c>
      <c r="R609">
        <v>854</v>
      </c>
      <c r="S609">
        <v>260</v>
      </c>
      <c r="T609">
        <v>1350</v>
      </c>
      <c r="U609">
        <v>1610</v>
      </c>
      <c r="V609">
        <v>122</v>
      </c>
      <c r="W609">
        <v>420</v>
      </c>
      <c r="X609">
        <v>60</v>
      </c>
      <c r="Y609">
        <v>810</v>
      </c>
      <c r="Z609">
        <v>106</v>
      </c>
      <c r="AA609">
        <v>880</v>
      </c>
      <c r="AB609" s="1" t="s">
        <v>1607</v>
      </c>
    </row>
    <row r="610" spans="1:28" x14ac:dyDescent="0.3">
      <c r="A610">
        <v>1720</v>
      </c>
      <c r="B610" s="1" t="s">
        <v>1325</v>
      </c>
      <c r="C610">
        <v>0</v>
      </c>
      <c r="D610">
        <v>1610612752</v>
      </c>
      <c r="E610" s="1" t="s">
        <v>1248</v>
      </c>
      <c r="F610">
        <v>260</v>
      </c>
      <c r="G610">
        <v>75</v>
      </c>
      <c r="H610">
        <v>0</v>
      </c>
      <c r="I610">
        <v>10400</v>
      </c>
      <c r="J610">
        <v>146</v>
      </c>
      <c r="K610">
        <v>343</v>
      </c>
      <c r="L610">
        <v>426</v>
      </c>
      <c r="M610">
        <v>0</v>
      </c>
      <c r="N610">
        <v>0</v>
      </c>
      <c r="O610">
        <v>0</v>
      </c>
      <c r="P610">
        <v>36</v>
      </c>
      <c r="Q610">
        <v>46</v>
      </c>
      <c r="R610">
        <v>783</v>
      </c>
      <c r="S610">
        <v>650</v>
      </c>
      <c r="T610">
        <v>1540</v>
      </c>
      <c r="U610">
        <v>2190</v>
      </c>
      <c r="V610">
        <v>42</v>
      </c>
      <c r="W610">
        <v>160</v>
      </c>
      <c r="X610">
        <v>160</v>
      </c>
      <c r="Y610">
        <v>490</v>
      </c>
      <c r="Z610">
        <v>150</v>
      </c>
      <c r="AA610">
        <v>328</v>
      </c>
      <c r="AB610" s="1" t="s">
        <v>1608</v>
      </c>
    </row>
    <row r="611" spans="1:28" x14ac:dyDescent="0.3">
      <c r="A611">
        <v>1720</v>
      </c>
      <c r="B611" s="1" t="s">
        <v>1293</v>
      </c>
      <c r="C611">
        <v>0</v>
      </c>
      <c r="D611">
        <v>1610612752</v>
      </c>
      <c r="E611" s="1" t="s">
        <v>1248</v>
      </c>
      <c r="F611">
        <v>270</v>
      </c>
      <c r="G611">
        <v>46</v>
      </c>
      <c r="H611">
        <v>0</v>
      </c>
      <c r="I611">
        <v>6810</v>
      </c>
      <c r="J611">
        <v>100</v>
      </c>
      <c r="K611">
        <v>225</v>
      </c>
      <c r="L611">
        <v>444</v>
      </c>
      <c r="M611">
        <v>0</v>
      </c>
      <c r="N611">
        <v>0</v>
      </c>
      <c r="O611">
        <v>0</v>
      </c>
      <c r="P611">
        <v>31</v>
      </c>
      <c r="Q611">
        <v>36</v>
      </c>
      <c r="R611">
        <v>861</v>
      </c>
      <c r="S611">
        <v>600</v>
      </c>
      <c r="T611">
        <v>1290</v>
      </c>
      <c r="U611">
        <v>1890</v>
      </c>
      <c r="V611">
        <v>30</v>
      </c>
      <c r="W611">
        <v>170</v>
      </c>
      <c r="X611">
        <v>300</v>
      </c>
      <c r="Y611">
        <v>370</v>
      </c>
      <c r="Z611">
        <v>84</v>
      </c>
      <c r="AA611">
        <v>231</v>
      </c>
      <c r="AB611" s="1" t="s">
        <v>1608</v>
      </c>
    </row>
    <row r="612" spans="1:28" x14ac:dyDescent="0.3">
      <c r="A612">
        <v>418</v>
      </c>
      <c r="B612" s="1" t="s">
        <v>1277</v>
      </c>
      <c r="C612">
        <v>0</v>
      </c>
      <c r="D612">
        <v>1610612752</v>
      </c>
      <c r="E612" s="1" t="s">
        <v>1248</v>
      </c>
      <c r="F612">
        <v>310</v>
      </c>
      <c r="G612">
        <v>38</v>
      </c>
      <c r="H612">
        <v>0</v>
      </c>
      <c r="I612">
        <v>2470</v>
      </c>
      <c r="J612">
        <v>19</v>
      </c>
      <c r="K612">
        <v>39</v>
      </c>
      <c r="L612">
        <v>487</v>
      </c>
      <c r="M612">
        <v>50</v>
      </c>
      <c r="N612">
        <v>120</v>
      </c>
      <c r="O612">
        <v>417</v>
      </c>
      <c r="P612">
        <v>14</v>
      </c>
      <c r="Q612">
        <v>15</v>
      </c>
      <c r="R612">
        <v>933</v>
      </c>
      <c r="S612">
        <v>60</v>
      </c>
      <c r="T612">
        <v>120</v>
      </c>
      <c r="U612">
        <v>180</v>
      </c>
      <c r="V612">
        <v>29</v>
      </c>
      <c r="W612">
        <v>210</v>
      </c>
      <c r="X612">
        <v>0</v>
      </c>
      <c r="Y612">
        <v>170</v>
      </c>
      <c r="Z612">
        <v>35</v>
      </c>
      <c r="AA612">
        <v>57</v>
      </c>
      <c r="AB612" s="1" t="s">
        <v>1609</v>
      </c>
    </row>
    <row r="613" spans="1:28" x14ac:dyDescent="0.3">
      <c r="A613">
        <v>78260</v>
      </c>
      <c r="B613" s="1" t="s">
        <v>1255</v>
      </c>
      <c r="C613">
        <v>0</v>
      </c>
      <c r="D613">
        <v>1610612752</v>
      </c>
      <c r="E613" s="1" t="s">
        <v>1248</v>
      </c>
      <c r="F613">
        <v>240</v>
      </c>
      <c r="G613">
        <v>25</v>
      </c>
      <c r="I613">
        <v>2090</v>
      </c>
      <c r="J613">
        <v>37</v>
      </c>
      <c r="K613">
        <v>110</v>
      </c>
      <c r="L613">
        <v>336</v>
      </c>
      <c r="P613">
        <v>3</v>
      </c>
      <c r="Q613">
        <v>10</v>
      </c>
      <c r="R613">
        <v>3</v>
      </c>
      <c r="U613">
        <v>390</v>
      </c>
      <c r="V613">
        <v>18</v>
      </c>
      <c r="Z613">
        <v>23</v>
      </c>
      <c r="AA613">
        <v>77</v>
      </c>
      <c r="AB613" s="1" t="s">
        <v>1610</v>
      </c>
    </row>
    <row r="614" spans="1:28" x14ac:dyDescent="0.3">
      <c r="A614">
        <v>77297</v>
      </c>
      <c r="B614" s="1" t="s">
        <v>1258</v>
      </c>
      <c r="C614">
        <v>0</v>
      </c>
      <c r="D614">
        <v>1610612752</v>
      </c>
      <c r="E614" s="1" t="s">
        <v>1248</v>
      </c>
      <c r="F614">
        <v>240</v>
      </c>
      <c r="G614">
        <v>80</v>
      </c>
      <c r="I614">
        <v>23780</v>
      </c>
      <c r="J614">
        <v>381</v>
      </c>
      <c r="K614">
        <v>1020</v>
      </c>
      <c r="L614">
        <v>374</v>
      </c>
      <c r="P614">
        <v>212</v>
      </c>
      <c r="Q614">
        <v>254</v>
      </c>
      <c r="R614">
        <v>835</v>
      </c>
      <c r="U614">
        <v>1950</v>
      </c>
      <c r="V614">
        <v>265</v>
      </c>
      <c r="Z614">
        <v>246</v>
      </c>
      <c r="AA614">
        <v>974</v>
      </c>
      <c r="AB614" s="1" t="s">
        <v>1611</v>
      </c>
    </row>
    <row r="615" spans="1:28" x14ac:dyDescent="0.3">
      <c r="A615">
        <v>77297</v>
      </c>
      <c r="B615" s="1" t="s">
        <v>1412</v>
      </c>
      <c r="C615">
        <v>0</v>
      </c>
      <c r="D615">
        <v>1610612752</v>
      </c>
      <c r="E615" s="1" t="s">
        <v>1248</v>
      </c>
      <c r="F615">
        <v>250</v>
      </c>
      <c r="G615">
        <v>80</v>
      </c>
      <c r="I615">
        <v>26120</v>
      </c>
      <c r="J615">
        <v>436</v>
      </c>
      <c r="K615">
        <v>1116</v>
      </c>
      <c r="L615">
        <v>391</v>
      </c>
      <c r="P615">
        <v>241</v>
      </c>
      <c r="Q615">
        <v>280</v>
      </c>
      <c r="R615">
        <v>861</v>
      </c>
      <c r="U615">
        <v>2810</v>
      </c>
      <c r="V615">
        <v>425</v>
      </c>
      <c r="Z615">
        <v>278</v>
      </c>
      <c r="AA615">
        <v>1113</v>
      </c>
      <c r="AB615" s="1" t="s">
        <v>1611</v>
      </c>
    </row>
    <row r="616" spans="1:28" x14ac:dyDescent="0.3">
      <c r="A616">
        <v>77297</v>
      </c>
      <c r="B616" s="1" t="s">
        <v>1360</v>
      </c>
      <c r="C616">
        <v>0</v>
      </c>
      <c r="D616">
        <v>1610612752</v>
      </c>
      <c r="E616" s="1" t="s">
        <v>1248</v>
      </c>
      <c r="F616">
        <v>260</v>
      </c>
      <c r="G616">
        <v>65</v>
      </c>
      <c r="I616">
        <v>22820</v>
      </c>
      <c r="J616">
        <v>402</v>
      </c>
      <c r="K616">
        <v>995</v>
      </c>
      <c r="L616">
        <v>404</v>
      </c>
      <c r="P616">
        <v>217</v>
      </c>
      <c r="Q616">
        <v>253</v>
      </c>
      <c r="R616">
        <v>858</v>
      </c>
      <c r="U616">
        <v>1830</v>
      </c>
      <c r="V616">
        <v>401</v>
      </c>
      <c r="Z616">
        <v>213</v>
      </c>
      <c r="AA616">
        <v>1021</v>
      </c>
      <c r="AB616" s="1" t="s">
        <v>1611</v>
      </c>
    </row>
    <row r="617" spans="1:28" x14ac:dyDescent="0.3">
      <c r="A617">
        <v>77297</v>
      </c>
      <c r="B617" s="1" t="s">
        <v>1414</v>
      </c>
      <c r="C617">
        <v>0</v>
      </c>
      <c r="D617">
        <v>1610612752</v>
      </c>
      <c r="E617" s="1" t="s">
        <v>1248</v>
      </c>
      <c r="F617">
        <v>270</v>
      </c>
      <c r="G617">
        <v>78</v>
      </c>
      <c r="I617">
        <v>16600</v>
      </c>
      <c r="J617">
        <v>233</v>
      </c>
      <c r="K617">
        <v>631</v>
      </c>
      <c r="L617">
        <v>369</v>
      </c>
      <c r="P617">
        <v>132</v>
      </c>
      <c r="Q617">
        <v>161</v>
      </c>
      <c r="R617">
        <v>82</v>
      </c>
      <c r="U617">
        <v>1680</v>
      </c>
      <c r="V617">
        <v>246</v>
      </c>
      <c r="Z617">
        <v>170</v>
      </c>
      <c r="AA617">
        <v>598</v>
      </c>
      <c r="AB617" s="1" t="s">
        <v>1611</v>
      </c>
    </row>
    <row r="618" spans="1:28" x14ac:dyDescent="0.3">
      <c r="A618">
        <v>77297</v>
      </c>
      <c r="B618" s="1" t="s">
        <v>1415</v>
      </c>
      <c r="C618">
        <v>0</v>
      </c>
      <c r="D618">
        <v>1610612752</v>
      </c>
      <c r="E618" s="1" t="s">
        <v>1248</v>
      </c>
      <c r="F618">
        <v>280</v>
      </c>
      <c r="G618">
        <v>32</v>
      </c>
      <c r="I618">
        <v>8360</v>
      </c>
      <c r="J618">
        <v>107</v>
      </c>
      <c r="K618">
        <v>309</v>
      </c>
      <c r="L618">
        <v>346</v>
      </c>
      <c r="P618">
        <v>73</v>
      </c>
      <c r="Q618">
        <v>86</v>
      </c>
      <c r="R618">
        <v>849</v>
      </c>
      <c r="U618">
        <v>950</v>
      </c>
      <c r="V618">
        <v>137</v>
      </c>
      <c r="Z618">
        <v>96</v>
      </c>
      <c r="AA618">
        <v>287</v>
      </c>
      <c r="AB618" s="1" t="s">
        <v>1611</v>
      </c>
    </row>
    <row r="619" spans="1:28" x14ac:dyDescent="0.3">
      <c r="A619">
        <v>358</v>
      </c>
      <c r="B619" s="1" t="s">
        <v>1293</v>
      </c>
      <c r="C619">
        <v>0</v>
      </c>
      <c r="D619">
        <v>1610612752</v>
      </c>
      <c r="E619" s="1" t="s">
        <v>1248</v>
      </c>
      <c r="F619">
        <v>320</v>
      </c>
      <c r="G619">
        <v>42</v>
      </c>
      <c r="H619">
        <v>40</v>
      </c>
      <c r="I619">
        <v>12190</v>
      </c>
      <c r="J619">
        <v>159</v>
      </c>
      <c r="K619">
        <v>408</v>
      </c>
      <c r="L619">
        <v>39</v>
      </c>
      <c r="M619">
        <v>160</v>
      </c>
      <c r="N619">
        <v>440</v>
      </c>
      <c r="O619">
        <v>364</v>
      </c>
      <c r="P619">
        <v>69</v>
      </c>
      <c r="Q619">
        <v>89</v>
      </c>
      <c r="R619">
        <v>775</v>
      </c>
      <c r="S619">
        <v>420</v>
      </c>
      <c r="T619">
        <v>1470</v>
      </c>
      <c r="U619">
        <v>1890</v>
      </c>
      <c r="V619">
        <v>79</v>
      </c>
      <c r="W619">
        <v>420</v>
      </c>
      <c r="X619">
        <v>120</v>
      </c>
      <c r="Y619">
        <v>650</v>
      </c>
      <c r="Z619">
        <v>81</v>
      </c>
      <c r="AA619">
        <v>403</v>
      </c>
      <c r="AB619" s="1" t="s">
        <v>1612</v>
      </c>
    </row>
    <row r="620" spans="1:28" x14ac:dyDescent="0.3">
      <c r="A620">
        <v>358</v>
      </c>
      <c r="B620" s="1" t="s">
        <v>1295</v>
      </c>
      <c r="C620">
        <v>0</v>
      </c>
      <c r="D620">
        <v>1610612752</v>
      </c>
      <c r="E620" s="1" t="s">
        <v>1248</v>
      </c>
      <c r="F620">
        <v>330</v>
      </c>
      <c r="G620">
        <v>37</v>
      </c>
      <c r="H620">
        <v>0</v>
      </c>
      <c r="I620">
        <v>8950</v>
      </c>
      <c r="J620">
        <v>110</v>
      </c>
      <c r="K620">
        <v>260</v>
      </c>
      <c r="L620">
        <v>423</v>
      </c>
      <c r="M620">
        <v>150</v>
      </c>
      <c r="N620">
        <v>500</v>
      </c>
      <c r="O620">
        <v>3</v>
      </c>
      <c r="P620">
        <v>34</v>
      </c>
      <c r="Q620">
        <v>46</v>
      </c>
      <c r="R620">
        <v>739</v>
      </c>
      <c r="S620">
        <v>190</v>
      </c>
      <c r="T620">
        <v>700</v>
      </c>
      <c r="U620">
        <v>890</v>
      </c>
      <c r="V620">
        <v>74</v>
      </c>
      <c r="W620">
        <v>280</v>
      </c>
      <c r="X620">
        <v>30</v>
      </c>
      <c r="Y620">
        <v>500</v>
      </c>
      <c r="Z620">
        <v>79</v>
      </c>
      <c r="AA620">
        <v>269</v>
      </c>
      <c r="AB620" s="1" t="s">
        <v>1612</v>
      </c>
    </row>
    <row r="621" spans="1:28" x14ac:dyDescent="0.3">
      <c r="A621">
        <v>358</v>
      </c>
      <c r="B621" s="1" t="s">
        <v>1300</v>
      </c>
      <c r="C621">
        <v>0</v>
      </c>
      <c r="D621">
        <v>1610612752</v>
      </c>
      <c r="E621" s="1" t="s">
        <v>1248</v>
      </c>
      <c r="F621">
        <v>340</v>
      </c>
      <c r="G621">
        <v>4</v>
      </c>
      <c r="H621">
        <v>0</v>
      </c>
      <c r="I621">
        <v>720</v>
      </c>
      <c r="J621">
        <v>4</v>
      </c>
      <c r="K621">
        <v>14</v>
      </c>
      <c r="L621">
        <v>286</v>
      </c>
      <c r="M621">
        <v>0</v>
      </c>
      <c r="N621">
        <v>10</v>
      </c>
      <c r="O621">
        <v>0</v>
      </c>
      <c r="P621">
        <v>2</v>
      </c>
      <c r="Q621">
        <v>2</v>
      </c>
      <c r="R621">
        <v>10</v>
      </c>
      <c r="S621">
        <v>0</v>
      </c>
      <c r="T621">
        <v>100</v>
      </c>
      <c r="U621">
        <v>100</v>
      </c>
      <c r="V621">
        <v>8</v>
      </c>
      <c r="W621">
        <v>20</v>
      </c>
      <c r="X621">
        <v>0</v>
      </c>
      <c r="Y621">
        <v>60</v>
      </c>
      <c r="Z621">
        <v>7</v>
      </c>
      <c r="AA621">
        <v>10</v>
      </c>
      <c r="AB621" s="1" t="s">
        <v>1612</v>
      </c>
    </row>
    <row r="622" spans="1:28" x14ac:dyDescent="0.3">
      <c r="A622">
        <v>1629603</v>
      </c>
      <c r="B622" s="1" t="s">
        <v>1369</v>
      </c>
      <c r="C622">
        <v>0</v>
      </c>
      <c r="D622">
        <v>1610612752</v>
      </c>
      <c r="E622" s="1" t="s">
        <v>1248</v>
      </c>
      <c r="F622">
        <v>270</v>
      </c>
      <c r="G622">
        <v>3</v>
      </c>
      <c r="H622">
        <v>0</v>
      </c>
      <c r="I622">
        <v>80</v>
      </c>
      <c r="J622">
        <v>0</v>
      </c>
      <c r="K622">
        <v>1</v>
      </c>
      <c r="L622">
        <v>0</v>
      </c>
      <c r="M622">
        <v>0</v>
      </c>
      <c r="N622">
        <v>10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10</v>
      </c>
      <c r="U622">
        <v>10</v>
      </c>
      <c r="V622">
        <v>0</v>
      </c>
      <c r="W622">
        <v>10</v>
      </c>
      <c r="X622">
        <v>0</v>
      </c>
      <c r="Y622">
        <v>10</v>
      </c>
      <c r="Z622">
        <v>1</v>
      </c>
      <c r="AA622">
        <v>0</v>
      </c>
      <c r="AB622" s="1" t="s">
        <v>1613</v>
      </c>
    </row>
    <row r="623" spans="1:28" x14ac:dyDescent="0.3">
      <c r="A623">
        <v>76255</v>
      </c>
      <c r="B623" s="1" t="s">
        <v>1339</v>
      </c>
      <c r="C623">
        <v>0</v>
      </c>
      <c r="D623">
        <v>1610612752</v>
      </c>
      <c r="E623" s="1" t="s">
        <v>1248</v>
      </c>
      <c r="F623">
        <v>230</v>
      </c>
      <c r="G623">
        <v>12</v>
      </c>
      <c r="J623">
        <v>14</v>
      </c>
      <c r="K623">
        <v>49</v>
      </c>
      <c r="L623">
        <v>286</v>
      </c>
      <c r="P623">
        <v>6</v>
      </c>
      <c r="Q623">
        <v>7</v>
      </c>
      <c r="R623">
        <v>857</v>
      </c>
      <c r="V623">
        <v>1</v>
      </c>
      <c r="Z623">
        <v>16</v>
      </c>
      <c r="AA623">
        <v>34</v>
      </c>
      <c r="AB623" s="1" t="s">
        <v>1614</v>
      </c>
    </row>
    <row r="624" spans="1:28" x14ac:dyDescent="0.3">
      <c r="A624">
        <v>76219</v>
      </c>
      <c r="B624" s="1" t="s">
        <v>1414</v>
      </c>
      <c r="C624">
        <v>0</v>
      </c>
      <c r="D624">
        <v>1610612752</v>
      </c>
      <c r="E624" s="1" t="s">
        <v>1248</v>
      </c>
      <c r="F624">
        <v>250</v>
      </c>
      <c r="G624">
        <v>42</v>
      </c>
      <c r="I624">
        <v>2720</v>
      </c>
      <c r="J624">
        <v>52</v>
      </c>
      <c r="K624">
        <v>134</v>
      </c>
      <c r="L624">
        <v>388</v>
      </c>
      <c r="P624">
        <v>10</v>
      </c>
      <c r="Q624">
        <v>15</v>
      </c>
      <c r="R624">
        <v>667</v>
      </c>
      <c r="U624">
        <v>1130</v>
      </c>
      <c r="V624">
        <v>20</v>
      </c>
      <c r="Z624">
        <v>69</v>
      </c>
      <c r="AA624">
        <v>114</v>
      </c>
      <c r="AB624" s="1" t="s">
        <v>1615</v>
      </c>
    </row>
    <row r="625" spans="1:28" x14ac:dyDescent="0.3">
      <c r="A625">
        <v>76219</v>
      </c>
      <c r="B625" s="1" t="s">
        <v>1415</v>
      </c>
      <c r="C625">
        <v>0</v>
      </c>
      <c r="D625">
        <v>1610612752</v>
      </c>
      <c r="E625" s="1" t="s">
        <v>1248</v>
      </c>
      <c r="F625">
        <v>260</v>
      </c>
      <c r="G625">
        <v>67</v>
      </c>
      <c r="I625">
        <v>6070</v>
      </c>
      <c r="J625">
        <v>82</v>
      </c>
      <c r="K625">
        <v>226</v>
      </c>
      <c r="L625">
        <v>363</v>
      </c>
      <c r="P625">
        <v>29</v>
      </c>
      <c r="Q625">
        <v>61</v>
      </c>
      <c r="R625">
        <v>475</v>
      </c>
      <c r="U625">
        <v>2200</v>
      </c>
      <c r="V625">
        <v>53</v>
      </c>
      <c r="Z625">
        <v>142</v>
      </c>
      <c r="AA625">
        <v>193</v>
      </c>
      <c r="AB625" s="1" t="s">
        <v>1615</v>
      </c>
    </row>
    <row r="626" spans="1:28" x14ac:dyDescent="0.3">
      <c r="A626">
        <v>76219</v>
      </c>
      <c r="B626" s="1" t="s">
        <v>1416</v>
      </c>
      <c r="C626">
        <v>0</v>
      </c>
      <c r="D626">
        <v>1610612752</v>
      </c>
      <c r="E626" s="1" t="s">
        <v>1248</v>
      </c>
      <c r="F626">
        <v>270</v>
      </c>
      <c r="G626">
        <v>81</v>
      </c>
      <c r="I626">
        <v>7440</v>
      </c>
      <c r="J626">
        <v>98</v>
      </c>
      <c r="K626">
        <v>235</v>
      </c>
      <c r="L626">
        <v>417</v>
      </c>
      <c r="P626">
        <v>41</v>
      </c>
      <c r="Q626">
        <v>79</v>
      </c>
      <c r="R626">
        <v>519</v>
      </c>
      <c r="U626">
        <v>2570</v>
      </c>
      <c r="V626">
        <v>46</v>
      </c>
      <c r="Z626">
        <v>189</v>
      </c>
      <c r="AA626">
        <v>237</v>
      </c>
      <c r="AB626" s="1" t="s">
        <v>1615</v>
      </c>
    </row>
    <row r="627" spans="1:28" x14ac:dyDescent="0.3">
      <c r="A627">
        <v>1628995</v>
      </c>
      <c r="B627" s="1" t="s">
        <v>1287</v>
      </c>
      <c r="C627">
        <v>0</v>
      </c>
      <c r="D627">
        <v>1610612752</v>
      </c>
      <c r="E627" s="1" t="s">
        <v>1248</v>
      </c>
      <c r="F627">
        <v>190</v>
      </c>
      <c r="G627">
        <v>75</v>
      </c>
      <c r="H627">
        <v>570</v>
      </c>
      <c r="I627">
        <v>21580</v>
      </c>
      <c r="J627">
        <v>338</v>
      </c>
      <c r="K627">
        <v>914</v>
      </c>
      <c r="L627">
        <v>37</v>
      </c>
      <c r="M627">
        <v>1250</v>
      </c>
      <c r="N627">
        <v>3640</v>
      </c>
      <c r="O627">
        <v>343</v>
      </c>
      <c r="P627">
        <v>162</v>
      </c>
      <c r="Q627">
        <v>226</v>
      </c>
      <c r="R627">
        <v>717</v>
      </c>
      <c r="S627">
        <v>610</v>
      </c>
      <c r="T627">
        <v>2740</v>
      </c>
      <c r="U627">
        <v>3350</v>
      </c>
      <c r="V627">
        <v>82</v>
      </c>
      <c r="W627">
        <v>430</v>
      </c>
      <c r="X627">
        <v>240</v>
      </c>
      <c r="Y627">
        <v>1140</v>
      </c>
      <c r="Z627">
        <v>175</v>
      </c>
      <c r="AA627">
        <v>963</v>
      </c>
      <c r="AB627" s="1" t="s">
        <v>1616</v>
      </c>
    </row>
    <row r="628" spans="1:28" x14ac:dyDescent="0.3">
      <c r="A628">
        <v>1628995</v>
      </c>
      <c r="B628" s="1" t="s">
        <v>1288</v>
      </c>
      <c r="C628">
        <v>0</v>
      </c>
      <c r="D628">
        <v>1610612752</v>
      </c>
      <c r="E628" s="1" t="s">
        <v>1248</v>
      </c>
      <c r="F628">
        <v>200</v>
      </c>
      <c r="G628">
        <v>65</v>
      </c>
      <c r="H628">
        <v>40</v>
      </c>
      <c r="I628">
        <v>11660</v>
      </c>
      <c r="J628">
        <v>144</v>
      </c>
      <c r="K628">
        <v>401</v>
      </c>
      <c r="L628">
        <v>359</v>
      </c>
      <c r="M628">
        <v>650</v>
      </c>
      <c r="N628">
        <v>1990</v>
      </c>
      <c r="O628">
        <v>327</v>
      </c>
      <c r="P628">
        <v>66</v>
      </c>
      <c r="Q628">
        <v>101</v>
      </c>
      <c r="R628">
        <v>653</v>
      </c>
      <c r="S628">
        <v>280</v>
      </c>
      <c r="T628">
        <v>1560</v>
      </c>
      <c r="U628">
        <v>1840</v>
      </c>
      <c r="V628">
        <v>61</v>
      </c>
      <c r="W628">
        <v>230</v>
      </c>
      <c r="X628">
        <v>280</v>
      </c>
      <c r="Y628">
        <v>450</v>
      </c>
      <c r="Z628">
        <v>106</v>
      </c>
      <c r="AA628">
        <v>419</v>
      </c>
      <c r="AB628" s="1" t="s">
        <v>1616</v>
      </c>
    </row>
    <row r="629" spans="1:28" x14ac:dyDescent="0.3">
      <c r="A629">
        <v>1628995</v>
      </c>
      <c r="B629" s="1" t="s">
        <v>1289</v>
      </c>
      <c r="C629">
        <v>0</v>
      </c>
      <c r="D629">
        <v>1610612752</v>
      </c>
      <c r="E629" s="1" t="s">
        <v>1248</v>
      </c>
      <c r="F629">
        <v>210</v>
      </c>
      <c r="G629">
        <v>42</v>
      </c>
      <c r="H629">
        <v>0</v>
      </c>
      <c r="I629">
        <v>4640</v>
      </c>
      <c r="J629">
        <v>56</v>
      </c>
      <c r="K629">
        <v>143</v>
      </c>
      <c r="L629">
        <v>392</v>
      </c>
      <c r="M629">
        <v>350</v>
      </c>
      <c r="N629">
        <v>890</v>
      </c>
      <c r="O629">
        <v>393</v>
      </c>
      <c r="P629">
        <v>16</v>
      </c>
      <c r="Q629">
        <v>20</v>
      </c>
      <c r="R629">
        <v>8</v>
      </c>
      <c r="S629">
        <v>100</v>
      </c>
      <c r="T629">
        <v>510</v>
      </c>
      <c r="U629">
        <v>610</v>
      </c>
      <c r="V629">
        <v>19</v>
      </c>
      <c r="W629">
        <v>120</v>
      </c>
      <c r="X629">
        <v>60</v>
      </c>
      <c r="Y629">
        <v>170</v>
      </c>
      <c r="Z629">
        <v>37</v>
      </c>
      <c r="AA629">
        <v>163</v>
      </c>
      <c r="AB629" s="1" t="s">
        <v>1616</v>
      </c>
    </row>
    <row r="630" spans="1:28" x14ac:dyDescent="0.3">
      <c r="A630">
        <v>1628995</v>
      </c>
      <c r="B630" s="1" t="s">
        <v>1308</v>
      </c>
      <c r="C630">
        <v>0</v>
      </c>
      <c r="D630">
        <v>1610612752</v>
      </c>
      <c r="E630" s="1" t="s">
        <v>1248</v>
      </c>
      <c r="F630">
        <v>220</v>
      </c>
      <c r="G630">
        <v>13</v>
      </c>
      <c r="H630">
        <v>0</v>
      </c>
      <c r="I630">
        <v>1110</v>
      </c>
      <c r="J630">
        <v>15</v>
      </c>
      <c r="K630">
        <v>40</v>
      </c>
      <c r="L630">
        <v>375</v>
      </c>
      <c r="M630">
        <v>100</v>
      </c>
      <c r="N630">
        <v>280</v>
      </c>
      <c r="O630">
        <v>357</v>
      </c>
      <c r="P630">
        <v>7</v>
      </c>
      <c r="Q630">
        <v>10</v>
      </c>
      <c r="R630">
        <v>7</v>
      </c>
      <c r="S630">
        <v>80</v>
      </c>
      <c r="T630">
        <v>140</v>
      </c>
      <c r="U630">
        <v>220</v>
      </c>
      <c r="V630">
        <v>3</v>
      </c>
      <c r="W630">
        <v>20</v>
      </c>
      <c r="X630">
        <v>10</v>
      </c>
      <c r="Y630">
        <v>50</v>
      </c>
      <c r="Z630">
        <v>5</v>
      </c>
      <c r="AA630">
        <v>47</v>
      </c>
      <c r="AB630" s="1" t="s">
        <v>1616</v>
      </c>
    </row>
    <row r="631" spans="1:28" x14ac:dyDescent="0.3">
      <c r="A631">
        <v>1629788</v>
      </c>
      <c r="B631" s="1" t="s">
        <v>1308</v>
      </c>
      <c r="C631">
        <v>0</v>
      </c>
      <c r="D631">
        <v>1610612752</v>
      </c>
      <c r="E631" s="1" t="s">
        <v>1248</v>
      </c>
      <c r="F631">
        <v>250</v>
      </c>
      <c r="G631">
        <v>1</v>
      </c>
      <c r="H631">
        <v>0</v>
      </c>
      <c r="I631">
        <v>20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 s="1" t="s">
        <v>1617</v>
      </c>
    </row>
    <row r="632" spans="1:28" x14ac:dyDescent="0.3">
      <c r="A632">
        <v>1628978</v>
      </c>
      <c r="B632" s="1" t="s">
        <v>1369</v>
      </c>
      <c r="C632">
        <v>0</v>
      </c>
      <c r="D632">
        <v>1610612752</v>
      </c>
      <c r="E632" s="1" t="s">
        <v>1248</v>
      </c>
      <c r="F632">
        <v>270</v>
      </c>
      <c r="G632">
        <v>81</v>
      </c>
      <c r="H632">
        <v>630</v>
      </c>
      <c r="I632">
        <v>23600</v>
      </c>
      <c r="J632">
        <v>445</v>
      </c>
      <c r="K632">
        <v>1004</v>
      </c>
      <c r="L632">
        <v>443</v>
      </c>
      <c r="M632">
        <v>2830</v>
      </c>
      <c r="N632">
        <v>7050</v>
      </c>
      <c r="O632">
        <v>401</v>
      </c>
      <c r="P632">
        <v>86</v>
      </c>
      <c r="Q632">
        <v>114</v>
      </c>
      <c r="R632">
        <v>754</v>
      </c>
      <c r="S632">
        <v>630</v>
      </c>
      <c r="T632">
        <v>2340</v>
      </c>
      <c r="U632">
        <v>2970</v>
      </c>
      <c r="V632">
        <v>216</v>
      </c>
      <c r="W632">
        <v>1070</v>
      </c>
      <c r="X632">
        <v>360</v>
      </c>
      <c r="Y632">
        <v>1130</v>
      </c>
      <c r="Z632">
        <v>166</v>
      </c>
      <c r="AA632">
        <v>1259</v>
      </c>
      <c r="AB632" s="1" t="s">
        <v>1618</v>
      </c>
    </row>
    <row r="633" spans="1:28" x14ac:dyDescent="0.3">
      <c r="A633">
        <v>77291</v>
      </c>
      <c r="B633" s="1" t="s">
        <v>1339</v>
      </c>
      <c r="C633">
        <v>0</v>
      </c>
      <c r="D633">
        <v>1610612752</v>
      </c>
      <c r="E633" s="1" t="s">
        <v>1248</v>
      </c>
      <c r="F633">
        <v>250</v>
      </c>
      <c r="G633">
        <v>22</v>
      </c>
      <c r="J633">
        <v>62</v>
      </c>
      <c r="K633">
        <v>219</v>
      </c>
      <c r="L633">
        <v>283</v>
      </c>
      <c r="P633">
        <v>47</v>
      </c>
      <c r="Q633">
        <v>72</v>
      </c>
      <c r="R633">
        <v>653</v>
      </c>
      <c r="V633">
        <v>21</v>
      </c>
      <c r="Z633">
        <v>64</v>
      </c>
      <c r="AA633">
        <v>171</v>
      </c>
      <c r="AB633" s="1" t="s">
        <v>1619</v>
      </c>
    </row>
    <row r="634" spans="1:28" x14ac:dyDescent="0.3">
      <c r="A634">
        <v>77291</v>
      </c>
      <c r="B634" s="1" t="s">
        <v>1297</v>
      </c>
      <c r="C634">
        <v>0</v>
      </c>
      <c r="D634">
        <v>1610612752</v>
      </c>
      <c r="E634" s="1" t="s">
        <v>1248</v>
      </c>
      <c r="F634">
        <v>260</v>
      </c>
      <c r="G634">
        <v>48</v>
      </c>
      <c r="J634">
        <v>99</v>
      </c>
      <c r="K634">
        <v>369</v>
      </c>
      <c r="L634">
        <v>268</v>
      </c>
      <c r="P634">
        <v>61</v>
      </c>
      <c r="Q634">
        <v>120</v>
      </c>
      <c r="R634">
        <v>508</v>
      </c>
      <c r="V634">
        <v>50</v>
      </c>
      <c r="Z634">
        <v>171</v>
      </c>
      <c r="AA634">
        <v>259</v>
      </c>
      <c r="AB634" s="1" t="s">
        <v>1619</v>
      </c>
    </row>
    <row r="635" spans="1:28" x14ac:dyDescent="0.3">
      <c r="A635">
        <v>77291</v>
      </c>
      <c r="B635" s="1" t="s">
        <v>1299</v>
      </c>
      <c r="C635">
        <v>0</v>
      </c>
      <c r="D635">
        <v>1610612752</v>
      </c>
      <c r="E635" s="1" t="s">
        <v>1248</v>
      </c>
      <c r="F635">
        <v>270</v>
      </c>
      <c r="G635">
        <v>60</v>
      </c>
      <c r="J635">
        <v>156</v>
      </c>
      <c r="K635">
        <v>457</v>
      </c>
      <c r="L635">
        <v>341</v>
      </c>
      <c r="P635">
        <v>131</v>
      </c>
      <c r="Q635">
        <v>183</v>
      </c>
      <c r="R635">
        <v>716</v>
      </c>
      <c r="V635">
        <v>135</v>
      </c>
      <c r="Z635">
        <v>258</v>
      </c>
      <c r="AA635">
        <v>443</v>
      </c>
      <c r="AB635" s="1" t="s">
        <v>1619</v>
      </c>
    </row>
    <row r="636" spans="1:28" x14ac:dyDescent="0.3">
      <c r="A636">
        <v>200758</v>
      </c>
      <c r="B636" s="1" t="s">
        <v>1292</v>
      </c>
      <c r="C636">
        <v>0</v>
      </c>
      <c r="D636">
        <v>1610612752</v>
      </c>
      <c r="E636" s="1" t="s">
        <v>1248</v>
      </c>
      <c r="F636">
        <v>280</v>
      </c>
      <c r="G636">
        <v>46</v>
      </c>
      <c r="H636">
        <v>340</v>
      </c>
      <c r="I636">
        <v>7110</v>
      </c>
      <c r="J636">
        <v>64</v>
      </c>
      <c r="K636">
        <v>175</v>
      </c>
      <c r="L636">
        <v>366</v>
      </c>
      <c r="M636">
        <v>220</v>
      </c>
      <c r="N636">
        <v>710</v>
      </c>
      <c r="O636">
        <v>31</v>
      </c>
      <c r="P636">
        <v>16</v>
      </c>
      <c r="Q636">
        <v>39</v>
      </c>
      <c r="R636">
        <v>41</v>
      </c>
      <c r="S636">
        <v>290</v>
      </c>
      <c r="T636">
        <v>710</v>
      </c>
      <c r="U636">
        <v>1000</v>
      </c>
      <c r="V636">
        <v>40</v>
      </c>
      <c r="W636">
        <v>340</v>
      </c>
      <c r="X636">
        <v>60</v>
      </c>
      <c r="Y636">
        <v>140</v>
      </c>
      <c r="Z636">
        <v>27</v>
      </c>
      <c r="AA636">
        <v>166</v>
      </c>
      <c r="AB636" s="1" t="s">
        <v>1620</v>
      </c>
    </row>
    <row r="637" spans="1:28" x14ac:dyDescent="0.3">
      <c r="A637">
        <v>76902</v>
      </c>
      <c r="B637" s="1" t="s">
        <v>1318</v>
      </c>
      <c r="C637">
        <v>0</v>
      </c>
      <c r="D637">
        <v>1610612752</v>
      </c>
      <c r="E637" s="1" t="s">
        <v>1248</v>
      </c>
      <c r="F637">
        <v>250</v>
      </c>
      <c r="G637">
        <v>72</v>
      </c>
      <c r="I637">
        <v>17930</v>
      </c>
      <c r="J637">
        <v>257</v>
      </c>
      <c r="K637">
        <v>699</v>
      </c>
      <c r="L637">
        <v>368</v>
      </c>
      <c r="P637">
        <v>181</v>
      </c>
      <c r="Q637">
        <v>292</v>
      </c>
      <c r="R637">
        <v>62</v>
      </c>
      <c r="U637">
        <v>3340</v>
      </c>
      <c r="V637">
        <v>182</v>
      </c>
      <c r="Z637">
        <v>186</v>
      </c>
      <c r="AA637">
        <v>695</v>
      </c>
      <c r="AB637" s="1" t="s">
        <v>1621</v>
      </c>
    </row>
    <row r="638" spans="1:28" x14ac:dyDescent="0.3">
      <c r="A638">
        <v>76902</v>
      </c>
      <c r="B638" s="1" t="s">
        <v>1320</v>
      </c>
      <c r="C638">
        <v>0</v>
      </c>
      <c r="D638">
        <v>1610612752</v>
      </c>
      <c r="E638" s="1" t="s">
        <v>1248</v>
      </c>
      <c r="F638">
        <v>260</v>
      </c>
      <c r="G638">
        <v>63</v>
      </c>
      <c r="I638">
        <v>23680</v>
      </c>
      <c r="J638">
        <v>344</v>
      </c>
      <c r="K638">
        <v>973</v>
      </c>
      <c r="L638">
        <v>354</v>
      </c>
      <c r="P638">
        <v>353</v>
      </c>
      <c r="Q638">
        <v>511</v>
      </c>
      <c r="R638">
        <v>691</v>
      </c>
      <c r="U638">
        <v>4890</v>
      </c>
      <c r="V638">
        <v>317</v>
      </c>
      <c r="Z638">
        <v>202</v>
      </c>
      <c r="AA638">
        <v>1041</v>
      </c>
      <c r="AB638" s="1" t="s">
        <v>1621</v>
      </c>
    </row>
    <row r="639" spans="1:28" x14ac:dyDescent="0.3">
      <c r="A639">
        <v>76902</v>
      </c>
      <c r="B639" s="1" t="s">
        <v>1250</v>
      </c>
      <c r="C639">
        <v>0</v>
      </c>
      <c r="D639">
        <v>1610612752</v>
      </c>
      <c r="E639" s="1" t="s">
        <v>1248</v>
      </c>
      <c r="F639">
        <v>270</v>
      </c>
      <c r="G639">
        <v>71</v>
      </c>
      <c r="I639">
        <v>25580</v>
      </c>
      <c r="J639">
        <v>443</v>
      </c>
      <c r="K639">
        <v>1046</v>
      </c>
      <c r="L639">
        <v>424</v>
      </c>
      <c r="P639">
        <v>405</v>
      </c>
      <c r="Q639">
        <v>505</v>
      </c>
      <c r="R639">
        <v>802</v>
      </c>
      <c r="U639">
        <v>5180</v>
      </c>
      <c r="V639">
        <v>364</v>
      </c>
      <c r="Z639">
        <v>255</v>
      </c>
      <c r="AA639">
        <v>1291</v>
      </c>
      <c r="AB639" s="1" t="s">
        <v>1621</v>
      </c>
    </row>
    <row r="640" spans="1:28" x14ac:dyDescent="0.3">
      <c r="A640">
        <v>76902</v>
      </c>
      <c r="B640" s="1" t="s">
        <v>1321</v>
      </c>
      <c r="C640">
        <v>0</v>
      </c>
      <c r="D640">
        <v>1610612752</v>
      </c>
      <c r="E640" s="1" t="s">
        <v>1248</v>
      </c>
      <c r="F640">
        <v>280</v>
      </c>
      <c r="G640">
        <v>74</v>
      </c>
      <c r="I640">
        <v>24290</v>
      </c>
      <c r="J640">
        <v>579</v>
      </c>
      <c r="K640">
        <v>1379</v>
      </c>
      <c r="L640">
        <v>42</v>
      </c>
      <c r="P640">
        <v>457</v>
      </c>
      <c r="Q640">
        <v>591</v>
      </c>
      <c r="R640">
        <v>773</v>
      </c>
      <c r="U640">
        <v>5050</v>
      </c>
      <c r="V640">
        <v>468</v>
      </c>
      <c r="Z640">
        <v>242</v>
      </c>
      <c r="AA640">
        <v>1615</v>
      </c>
      <c r="AB640" s="1" t="s">
        <v>1621</v>
      </c>
    </row>
    <row r="641" spans="1:28" x14ac:dyDescent="0.3">
      <c r="A641">
        <v>76902</v>
      </c>
      <c r="B641" s="1" t="s">
        <v>1322</v>
      </c>
      <c r="C641">
        <v>0</v>
      </c>
      <c r="D641">
        <v>1610612752</v>
      </c>
      <c r="E641" s="1" t="s">
        <v>1248</v>
      </c>
      <c r="F641">
        <v>290</v>
      </c>
      <c r="G641">
        <v>79</v>
      </c>
      <c r="I641">
        <v>30230</v>
      </c>
      <c r="J641">
        <v>612</v>
      </c>
      <c r="K641">
        <v>1545</v>
      </c>
      <c r="L641">
        <v>396</v>
      </c>
      <c r="P641">
        <v>496</v>
      </c>
      <c r="Q641">
        <v>626</v>
      </c>
      <c r="R641">
        <v>792</v>
      </c>
      <c r="U641">
        <v>6280</v>
      </c>
      <c r="V641">
        <v>503</v>
      </c>
      <c r="Z641">
        <v>310</v>
      </c>
      <c r="AA641">
        <v>1720</v>
      </c>
      <c r="AB641" s="1" t="s">
        <v>1621</v>
      </c>
    </row>
    <row r="642" spans="1:28" x14ac:dyDescent="0.3">
      <c r="A642">
        <v>76902</v>
      </c>
      <c r="B642" s="1" t="s">
        <v>1323</v>
      </c>
      <c r="C642">
        <v>0</v>
      </c>
      <c r="D642">
        <v>1610612752</v>
      </c>
      <c r="E642" s="1" t="s">
        <v>1248</v>
      </c>
      <c r="F642">
        <v>300</v>
      </c>
      <c r="G642">
        <v>78</v>
      </c>
      <c r="I642">
        <v>33480</v>
      </c>
      <c r="J642">
        <v>839</v>
      </c>
      <c r="K642">
        <v>1897</v>
      </c>
      <c r="L642">
        <v>442</v>
      </c>
      <c r="P642">
        <v>625</v>
      </c>
      <c r="Q642">
        <v>762</v>
      </c>
      <c r="R642">
        <v>82</v>
      </c>
      <c r="U642">
        <v>5010</v>
      </c>
      <c r="V642">
        <v>539</v>
      </c>
      <c r="Z642">
        <v>299</v>
      </c>
      <c r="AA642">
        <v>2303</v>
      </c>
      <c r="AB642" s="1" t="s">
        <v>1621</v>
      </c>
    </row>
    <row r="643" spans="1:28" x14ac:dyDescent="0.3">
      <c r="A643">
        <v>76902</v>
      </c>
      <c r="B643" s="1" t="s">
        <v>1255</v>
      </c>
      <c r="C643">
        <v>0</v>
      </c>
      <c r="D643">
        <v>1610612752</v>
      </c>
      <c r="E643" s="1" t="s">
        <v>1248</v>
      </c>
      <c r="F643">
        <v>310</v>
      </c>
      <c r="G643">
        <v>79</v>
      </c>
      <c r="I643">
        <v>27120</v>
      </c>
      <c r="J643">
        <v>596</v>
      </c>
      <c r="K643">
        <v>1380</v>
      </c>
      <c r="L643">
        <v>432</v>
      </c>
      <c r="P643">
        <v>509</v>
      </c>
      <c r="Q643">
        <v>600</v>
      </c>
      <c r="R643">
        <v>848</v>
      </c>
      <c r="U643">
        <v>3310</v>
      </c>
      <c r="V643">
        <v>348</v>
      </c>
      <c r="Z643">
        <v>228</v>
      </c>
      <c r="AA643">
        <v>1701</v>
      </c>
      <c r="AB643" s="1" t="s">
        <v>1621</v>
      </c>
    </row>
    <row r="644" spans="1:28" x14ac:dyDescent="0.3">
      <c r="A644">
        <v>76560</v>
      </c>
      <c r="B644" s="1" t="s">
        <v>1360</v>
      </c>
      <c r="C644">
        <v>0</v>
      </c>
      <c r="D644">
        <v>1610612752</v>
      </c>
      <c r="E644" s="1" t="s">
        <v>1248</v>
      </c>
      <c r="F644">
        <v>220</v>
      </c>
      <c r="G644">
        <v>19</v>
      </c>
      <c r="I644">
        <v>930</v>
      </c>
      <c r="J644">
        <v>6</v>
      </c>
      <c r="K644">
        <v>36</v>
      </c>
      <c r="L644">
        <v>167</v>
      </c>
      <c r="P644">
        <v>9</v>
      </c>
      <c r="Q644">
        <v>20</v>
      </c>
      <c r="R644">
        <v>45</v>
      </c>
      <c r="U644">
        <v>210</v>
      </c>
      <c r="V644">
        <v>15</v>
      </c>
      <c r="Z644">
        <v>17</v>
      </c>
      <c r="AA644">
        <v>21</v>
      </c>
      <c r="AB644" s="1" t="s">
        <v>1622</v>
      </c>
    </row>
    <row r="645" spans="1:28" x14ac:dyDescent="0.3">
      <c r="A645">
        <v>76018</v>
      </c>
      <c r="B645" s="1" t="s">
        <v>1360</v>
      </c>
      <c r="C645">
        <v>0</v>
      </c>
      <c r="D645">
        <v>1610612752</v>
      </c>
      <c r="E645" s="1" t="s">
        <v>1248</v>
      </c>
      <c r="F645">
        <v>220</v>
      </c>
      <c r="G645">
        <v>50</v>
      </c>
      <c r="I645">
        <v>4530</v>
      </c>
      <c r="J645">
        <v>83</v>
      </c>
      <c r="K645">
        <v>230</v>
      </c>
      <c r="L645">
        <v>361</v>
      </c>
      <c r="P645">
        <v>26</v>
      </c>
      <c r="Q645">
        <v>37</v>
      </c>
      <c r="R645">
        <v>703</v>
      </c>
      <c r="U645">
        <v>1200</v>
      </c>
      <c r="V645">
        <v>25</v>
      </c>
      <c r="Z645">
        <v>82</v>
      </c>
      <c r="AA645">
        <v>192</v>
      </c>
      <c r="AB645" s="1" t="s">
        <v>1623</v>
      </c>
    </row>
    <row r="646" spans="1:28" x14ac:dyDescent="0.3">
      <c r="A646">
        <v>2249</v>
      </c>
      <c r="B646" s="1" t="s">
        <v>1295</v>
      </c>
      <c r="C646">
        <v>0</v>
      </c>
      <c r="D646">
        <v>1610612752</v>
      </c>
      <c r="E646" s="1" t="s">
        <v>1248</v>
      </c>
      <c r="F646">
        <v>240</v>
      </c>
      <c r="G646">
        <v>18</v>
      </c>
      <c r="H646">
        <v>0</v>
      </c>
      <c r="I646">
        <v>1840</v>
      </c>
      <c r="J646">
        <v>11</v>
      </c>
      <c r="K646">
        <v>37</v>
      </c>
      <c r="L646">
        <v>297</v>
      </c>
      <c r="M646">
        <v>30</v>
      </c>
      <c r="N646">
        <v>150</v>
      </c>
      <c r="O646">
        <v>2</v>
      </c>
      <c r="P646">
        <v>6</v>
      </c>
      <c r="Q646">
        <v>13</v>
      </c>
      <c r="R646">
        <v>462</v>
      </c>
      <c r="S646">
        <v>60</v>
      </c>
      <c r="T646">
        <v>160</v>
      </c>
      <c r="U646">
        <v>220</v>
      </c>
      <c r="V646">
        <v>12</v>
      </c>
      <c r="W646">
        <v>80</v>
      </c>
      <c r="X646">
        <v>10</v>
      </c>
      <c r="Y646">
        <v>130</v>
      </c>
      <c r="Z646">
        <v>11</v>
      </c>
      <c r="AA646">
        <v>31</v>
      </c>
      <c r="AB646" s="1" t="s">
        <v>1624</v>
      </c>
    </row>
    <row r="647" spans="1:28" x14ac:dyDescent="0.3">
      <c r="A647">
        <v>969</v>
      </c>
      <c r="B647" s="1" t="s">
        <v>1465</v>
      </c>
      <c r="C647">
        <v>0</v>
      </c>
      <c r="D647">
        <v>1610612752</v>
      </c>
      <c r="E647" s="1" t="s">
        <v>1248</v>
      </c>
      <c r="F647">
        <v>260</v>
      </c>
      <c r="G647">
        <v>45</v>
      </c>
      <c r="H647">
        <v>0</v>
      </c>
      <c r="I647">
        <v>2550</v>
      </c>
      <c r="J647">
        <v>10</v>
      </c>
      <c r="K647">
        <v>53</v>
      </c>
      <c r="L647">
        <v>189</v>
      </c>
      <c r="M647">
        <v>0</v>
      </c>
      <c r="N647">
        <v>10</v>
      </c>
      <c r="O647">
        <v>0</v>
      </c>
      <c r="P647">
        <v>9</v>
      </c>
      <c r="Q647">
        <v>18</v>
      </c>
      <c r="R647">
        <v>5</v>
      </c>
      <c r="S647">
        <v>190</v>
      </c>
      <c r="T647">
        <v>340</v>
      </c>
      <c r="U647">
        <v>530</v>
      </c>
      <c r="V647">
        <v>5</v>
      </c>
      <c r="W647">
        <v>50</v>
      </c>
      <c r="X647">
        <v>110</v>
      </c>
      <c r="Y647">
        <v>100</v>
      </c>
      <c r="Z647">
        <v>47</v>
      </c>
      <c r="AA647">
        <v>29</v>
      </c>
      <c r="AB647" s="1" t="s">
        <v>1625</v>
      </c>
    </row>
    <row r="648" spans="1:28" x14ac:dyDescent="0.3">
      <c r="A648">
        <v>969</v>
      </c>
      <c r="B648" s="1" t="s">
        <v>1330</v>
      </c>
      <c r="C648">
        <v>0</v>
      </c>
      <c r="D648">
        <v>1610612752</v>
      </c>
      <c r="E648" s="1" t="s">
        <v>1248</v>
      </c>
      <c r="F648">
        <v>270</v>
      </c>
      <c r="G648">
        <v>49</v>
      </c>
      <c r="H648">
        <v>0</v>
      </c>
      <c r="I648">
        <v>4300</v>
      </c>
      <c r="J648">
        <v>41</v>
      </c>
      <c r="K648">
        <v>113</v>
      </c>
      <c r="L648">
        <v>363</v>
      </c>
      <c r="M648">
        <v>0</v>
      </c>
      <c r="N648">
        <v>0</v>
      </c>
      <c r="O648">
        <v>0</v>
      </c>
      <c r="P648">
        <v>16</v>
      </c>
      <c r="Q648">
        <v>21</v>
      </c>
      <c r="R648">
        <v>762</v>
      </c>
      <c r="S648">
        <v>480</v>
      </c>
      <c r="T648">
        <v>560</v>
      </c>
      <c r="U648">
        <v>1040</v>
      </c>
      <c r="V648">
        <v>8</v>
      </c>
      <c r="W648">
        <v>110</v>
      </c>
      <c r="X648">
        <v>100</v>
      </c>
      <c r="Y648">
        <v>270</v>
      </c>
      <c r="Z648">
        <v>95</v>
      </c>
      <c r="AA648">
        <v>98</v>
      </c>
      <c r="AB648" s="1" t="s">
        <v>1625</v>
      </c>
    </row>
    <row r="649" spans="1:28" x14ac:dyDescent="0.3">
      <c r="A649">
        <v>969</v>
      </c>
      <c r="B649" s="1" t="s">
        <v>1325</v>
      </c>
      <c r="C649">
        <v>0</v>
      </c>
      <c r="D649">
        <v>1610612752</v>
      </c>
      <c r="E649" s="1" t="s">
        <v>1248</v>
      </c>
      <c r="F649">
        <v>280</v>
      </c>
      <c r="G649">
        <v>32</v>
      </c>
      <c r="H649">
        <v>0</v>
      </c>
      <c r="I649">
        <v>2870</v>
      </c>
      <c r="J649">
        <v>25</v>
      </c>
      <c r="K649">
        <v>65</v>
      </c>
      <c r="L649">
        <v>385</v>
      </c>
      <c r="M649">
        <v>0</v>
      </c>
      <c r="N649">
        <v>10</v>
      </c>
      <c r="O649">
        <v>0</v>
      </c>
      <c r="P649">
        <v>10</v>
      </c>
      <c r="Q649">
        <v>13</v>
      </c>
      <c r="R649">
        <v>769</v>
      </c>
      <c r="S649">
        <v>180</v>
      </c>
      <c r="T649">
        <v>440</v>
      </c>
      <c r="U649">
        <v>620</v>
      </c>
      <c r="V649">
        <v>14</v>
      </c>
      <c r="W649">
        <v>80</v>
      </c>
      <c r="X649">
        <v>90</v>
      </c>
      <c r="Y649">
        <v>100</v>
      </c>
      <c r="Z649">
        <v>44</v>
      </c>
      <c r="AA649">
        <v>60</v>
      </c>
      <c r="AB649" s="1" t="s">
        <v>1625</v>
      </c>
    </row>
    <row r="650" spans="1:28" x14ac:dyDescent="0.3">
      <c r="A650">
        <v>76899</v>
      </c>
      <c r="B650" s="1" t="s">
        <v>1468</v>
      </c>
      <c r="C650">
        <v>0</v>
      </c>
      <c r="D650">
        <v>1610612752</v>
      </c>
      <c r="E650" s="1" t="s">
        <v>1248</v>
      </c>
      <c r="F650">
        <v>280</v>
      </c>
      <c r="G650">
        <v>77</v>
      </c>
      <c r="H650">
        <v>0</v>
      </c>
      <c r="I650">
        <v>14220</v>
      </c>
      <c r="J650">
        <v>167</v>
      </c>
      <c r="K650">
        <v>377</v>
      </c>
      <c r="L650">
        <v>443</v>
      </c>
      <c r="M650">
        <v>0</v>
      </c>
      <c r="N650">
        <v>40</v>
      </c>
      <c r="O650">
        <v>0</v>
      </c>
      <c r="P650">
        <v>81</v>
      </c>
      <c r="Q650">
        <v>98</v>
      </c>
      <c r="R650">
        <v>827</v>
      </c>
      <c r="S650">
        <v>420</v>
      </c>
      <c r="T650">
        <v>1210</v>
      </c>
      <c r="U650">
        <v>1630</v>
      </c>
      <c r="V650">
        <v>136</v>
      </c>
      <c r="W650">
        <v>400</v>
      </c>
      <c r="X650">
        <v>100</v>
      </c>
      <c r="Y650">
        <v>840</v>
      </c>
      <c r="Z650">
        <v>172</v>
      </c>
      <c r="AA650">
        <v>415</v>
      </c>
      <c r="AB650" s="1" t="s">
        <v>1626</v>
      </c>
    </row>
    <row r="651" spans="1:28" x14ac:dyDescent="0.3">
      <c r="A651">
        <v>76899</v>
      </c>
      <c r="B651" s="1" t="s">
        <v>1469</v>
      </c>
      <c r="C651">
        <v>0</v>
      </c>
      <c r="D651">
        <v>1610612752</v>
      </c>
      <c r="E651" s="1" t="s">
        <v>1248</v>
      </c>
      <c r="F651">
        <v>290</v>
      </c>
      <c r="G651">
        <v>76</v>
      </c>
      <c r="H651">
        <v>60</v>
      </c>
      <c r="I651">
        <v>11190</v>
      </c>
      <c r="J651">
        <v>166</v>
      </c>
      <c r="K651">
        <v>362</v>
      </c>
      <c r="L651">
        <v>459</v>
      </c>
      <c r="M651">
        <v>20</v>
      </c>
      <c r="N651">
        <v>90</v>
      </c>
      <c r="O651">
        <v>222</v>
      </c>
      <c r="P651">
        <v>64</v>
      </c>
      <c r="Q651">
        <v>83</v>
      </c>
      <c r="R651">
        <v>771</v>
      </c>
      <c r="S651">
        <v>240</v>
      </c>
      <c r="T651">
        <v>970</v>
      </c>
      <c r="U651">
        <v>1210</v>
      </c>
      <c r="V651">
        <v>108</v>
      </c>
      <c r="W651">
        <v>430</v>
      </c>
      <c r="X651">
        <v>70</v>
      </c>
      <c r="Y651">
        <v>710</v>
      </c>
      <c r="Z651">
        <v>151</v>
      </c>
      <c r="AA651">
        <v>398</v>
      </c>
      <c r="AB651" s="1" t="s">
        <v>1626</v>
      </c>
    </row>
    <row r="652" spans="1:28" x14ac:dyDescent="0.3">
      <c r="A652">
        <v>76899</v>
      </c>
      <c r="B652" s="1" t="s">
        <v>1406</v>
      </c>
      <c r="C652">
        <v>0</v>
      </c>
      <c r="D652">
        <v>1610612752</v>
      </c>
      <c r="E652" s="1" t="s">
        <v>1248</v>
      </c>
      <c r="F652">
        <v>300</v>
      </c>
      <c r="G652">
        <v>69</v>
      </c>
      <c r="H652">
        <v>0</v>
      </c>
      <c r="I652">
        <v>10610</v>
      </c>
      <c r="J652">
        <v>188</v>
      </c>
      <c r="K652">
        <v>384</v>
      </c>
      <c r="L652">
        <v>49</v>
      </c>
      <c r="M652">
        <v>20</v>
      </c>
      <c r="N652">
        <v>80</v>
      </c>
      <c r="O652">
        <v>25</v>
      </c>
      <c r="P652">
        <v>77</v>
      </c>
      <c r="Q652">
        <v>104</v>
      </c>
      <c r="R652">
        <v>74</v>
      </c>
      <c r="S652">
        <v>410</v>
      </c>
      <c r="T652">
        <v>1100</v>
      </c>
      <c r="U652">
        <v>1510</v>
      </c>
      <c r="V652">
        <v>105</v>
      </c>
      <c r="W652">
        <v>500</v>
      </c>
      <c r="X652">
        <v>70</v>
      </c>
      <c r="Y652">
        <v>400</v>
      </c>
      <c r="Z652">
        <v>129</v>
      </c>
      <c r="AA652">
        <v>455</v>
      </c>
      <c r="AB652" s="1" t="s">
        <v>1626</v>
      </c>
    </row>
    <row r="653" spans="1:28" x14ac:dyDescent="0.3">
      <c r="A653">
        <v>76899</v>
      </c>
      <c r="B653" s="1" t="s">
        <v>1392</v>
      </c>
      <c r="C653">
        <v>0</v>
      </c>
      <c r="D653">
        <v>1610612752</v>
      </c>
      <c r="E653" s="1" t="s">
        <v>1248</v>
      </c>
      <c r="F653">
        <v>310</v>
      </c>
      <c r="G653">
        <v>76</v>
      </c>
      <c r="H653">
        <v>0</v>
      </c>
      <c r="I653">
        <v>14020</v>
      </c>
      <c r="J653">
        <v>148</v>
      </c>
      <c r="K653">
        <v>355</v>
      </c>
      <c r="L653">
        <v>417</v>
      </c>
      <c r="M653">
        <v>260</v>
      </c>
      <c r="N653">
        <v>610</v>
      </c>
      <c r="O653">
        <v>426</v>
      </c>
      <c r="P653">
        <v>90</v>
      </c>
      <c r="Q653">
        <v>108</v>
      </c>
      <c r="R653">
        <v>833</v>
      </c>
      <c r="S653">
        <v>420</v>
      </c>
      <c r="T653">
        <v>1640</v>
      </c>
      <c r="U653">
        <v>2060</v>
      </c>
      <c r="V653">
        <v>119</v>
      </c>
      <c r="W653">
        <v>390</v>
      </c>
      <c r="X653">
        <v>130</v>
      </c>
      <c r="Y653">
        <v>500</v>
      </c>
      <c r="Z653">
        <v>192</v>
      </c>
      <c r="AA653">
        <v>412</v>
      </c>
      <c r="AB653" s="1" t="s">
        <v>1626</v>
      </c>
    </row>
    <row r="654" spans="1:28" x14ac:dyDescent="0.3">
      <c r="A654">
        <v>76553</v>
      </c>
      <c r="B654" s="1" t="s">
        <v>1359</v>
      </c>
      <c r="C654">
        <v>0</v>
      </c>
      <c r="D654">
        <v>1610612752</v>
      </c>
      <c r="E654" s="1" t="s">
        <v>1248</v>
      </c>
      <c r="F654">
        <v>230</v>
      </c>
      <c r="G654">
        <v>82</v>
      </c>
      <c r="I654">
        <v>18720</v>
      </c>
      <c r="J654">
        <v>230</v>
      </c>
      <c r="K654">
        <v>528</v>
      </c>
      <c r="L654">
        <v>436</v>
      </c>
      <c r="M654">
        <v>0</v>
      </c>
      <c r="N654">
        <v>0</v>
      </c>
      <c r="P654">
        <v>110</v>
      </c>
      <c r="Q654">
        <v>183</v>
      </c>
      <c r="R654">
        <v>601</v>
      </c>
      <c r="S654">
        <v>1950</v>
      </c>
      <c r="T654">
        <v>2880</v>
      </c>
      <c r="U654">
        <v>4830</v>
      </c>
      <c r="V654">
        <v>64</v>
      </c>
      <c r="W654">
        <v>560</v>
      </c>
      <c r="X654">
        <v>300</v>
      </c>
      <c r="Y654">
        <v>1680</v>
      </c>
      <c r="Z654">
        <v>306</v>
      </c>
      <c r="AA654">
        <v>570</v>
      </c>
      <c r="AB654" s="1" t="s">
        <v>1627</v>
      </c>
    </row>
    <row r="655" spans="1:28" x14ac:dyDescent="0.3">
      <c r="A655">
        <v>76553</v>
      </c>
      <c r="B655" s="1" t="s">
        <v>1282</v>
      </c>
      <c r="C655">
        <v>0</v>
      </c>
      <c r="D655">
        <v>1610612752</v>
      </c>
      <c r="E655" s="1" t="s">
        <v>1248</v>
      </c>
      <c r="F655">
        <v>240</v>
      </c>
      <c r="G655">
        <v>76</v>
      </c>
      <c r="I655">
        <v>9640</v>
      </c>
      <c r="J655">
        <v>128</v>
      </c>
      <c r="K655">
        <v>254</v>
      </c>
      <c r="L655">
        <v>504</v>
      </c>
      <c r="M655">
        <v>0</v>
      </c>
      <c r="N655">
        <v>20</v>
      </c>
      <c r="O655">
        <v>0</v>
      </c>
      <c r="P655">
        <v>58</v>
      </c>
      <c r="Q655">
        <v>92</v>
      </c>
      <c r="R655">
        <v>63</v>
      </c>
      <c r="S655">
        <v>1140</v>
      </c>
      <c r="T655">
        <v>1290</v>
      </c>
      <c r="U655">
        <v>2430</v>
      </c>
      <c r="V655">
        <v>28</v>
      </c>
      <c r="W655">
        <v>120</v>
      </c>
      <c r="X655">
        <v>130</v>
      </c>
      <c r="Y655">
        <v>580</v>
      </c>
      <c r="Z655">
        <v>153</v>
      </c>
      <c r="AA655">
        <v>314</v>
      </c>
      <c r="AB655" s="1" t="s">
        <v>1627</v>
      </c>
    </row>
    <row r="656" spans="1:28" x14ac:dyDescent="0.3">
      <c r="A656">
        <v>76553</v>
      </c>
      <c r="B656" s="1" t="s">
        <v>1284</v>
      </c>
      <c r="C656">
        <v>0</v>
      </c>
      <c r="D656">
        <v>1610612752</v>
      </c>
      <c r="E656" s="1" t="s">
        <v>1248</v>
      </c>
      <c r="F656">
        <v>250</v>
      </c>
      <c r="G656">
        <v>48</v>
      </c>
      <c r="H656">
        <v>0</v>
      </c>
      <c r="I656">
        <v>3560</v>
      </c>
      <c r="J656">
        <v>39</v>
      </c>
      <c r="K656">
        <v>83</v>
      </c>
      <c r="L656">
        <v>47</v>
      </c>
      <c r="M656">
        <v>0</v>
      </c>
      <c r="N656">
        <v>10</v>
      </c>
      <c r="O656">
        <v>0</v>
      </c>
      <c r="P656">
        <v>14</v>
      </c>
      <c r="Q656">
        <v>39</v>
      </c>
      <c r="R656">
        <v>359</v>
      </c>
      <c r="S656">
        <v>290</v>
      </c>
      <c r="T656">
        <v>500</v>
      </c>
      <c r="U656">
        <v>790</v>
      </c>
      <c r="V656">
        <v>14</v>
      </c>
      <c r="W656">
        <v>40</v>
      </c>
      <c r="X656">
        <v>60</v>
      </c>
      <c r="Y656">
        <v>260</v>
      </c>
      <c r="Z656">
        <v>65</v>
      </c>
      <c r="AA656">
        <v>92</v>
      </c>
      <c r="AB656" s="1" t="s">
        <v>1627</v>
      </c>
    </row>
    <row r="657" spans="1:28" x14ac:dyDescent="0.3">
      <c r="A657">
        <v>77929</v>
      </c>
      <c r="B657" s="1" t="s">
        <v>1258</v>
      </c>
      <c r="C657">
        <v>0</v>
      </c>
      <c r="D657">
        <v>1610612752</v>
      </c>
      <c r="E657" s="1" t="s">
        <v>1248</v>
      </c>
      <c r="F657">
        <v>230</v>
      </c>
      <c r="G657">
        <v>80</v>
      </c>
      <c r="I657">
        <v>30420</v>
      </c>
      <c r="J657">
        <v>629</v>
      </c>
      <c r="K657">
        <v>1457</v>
      </c>
      <c r="L657">
        <v>432</v>
      </c>
      <c r="P657">
        <v>302</v>
      </c>
      <c r="Q657">
        <v>407</v>
      </c>
      <c r="R657">
        <v>742</v>
      </c>
      <c r="U657">
        <v>11750</v>
      </c>
      <c r="V657">
        <v>133</v>
      </c>
      <c r="Z657">
        <v>339</v>
      </c>
      <c r="AA657">
        <v>1560</v>
      </c>
      <c r="AB657" s="1" t="s">
        <v>1628</v>
      </c>
    </row>
    <row r="658" spans="1:28" x14ac:dyDescent="0.3">
      <c r="A658">
        <v>77929</v>
      </c>
      <c r="B658" s="1" t="s">
        <v>1412</v>
      </c>
      <c r="C658">
        <v>0</v>
      </c>
      <c r="D658">
        <v>1610612752</v>
      </c>
      <c r="E658" s="1" t="s">
        <v>1248</v>
      </c>
      <c r="F658">
        <v>240</v>
      </c>
      <c r="G658">
        <v>76</v>
      </c>
      <c r="I658">
        <v>25370</v>
      </c>
      <c r="J658">
        <v>438</v>
      </c>
      <c r="K658">
        <v>1009</v>
      </c>
      <c r="L658">
        <v>434</v>
      </c>
      <c r="P658">
        <v>302</v>
      </c>
      <c r="Q658">
        <v>399</v>
      </c>
      <c r="R658">
        <v>757</v>
      </c>
      <c r="U658">
        <v>8830</v>
      </c>
      <c r="V658">
        <v>91</v>
      </c>
      <c r="Z658">
        <v>323</v>
      </c>
      <c r="AA658">
        <v>1178</v>
      </c>
      <c r="AB658" s="1" t="s">
        <v>1628</v>
      </c>
    </row>
    <row r="659" spans="1:28" x14ac:dyDescent="0.3">
      <c r="A659">
        <v>77929</v>
      </c>
      <c r="B659" s="1" t="s">
        <v>1360</v>
      </c>
      <c r="C659">
        <v>0</v>
      </c>
      <c r="D659">
        <v>1610612752</v>
      </c>
      <c r="E659" s="1" t="s">
        <v>1248</v>
      </c>
      <c r="F659">
        <v>250</v>
      </c>
      <c r="G659">
        <v>78</v>
      </c>
      <c r="I659">
        <v>28240</v>
      </c>
      <c r="J659">
        <v>635</v>
      </c>
      <c r="K659">
        <v>1298</v>
      </c>
      <c r="L659">
        <v>489</v>
      </c>
      <c r="P659">
        <v>358</v>
      </c>
      <c r="Q659">
        <v>487</v>
      </c>
      <c r="R659">
        <v>735</v>
      </c>
      <c r="U659">
        <v>11360</v>
      </c>
      <c r="V659">
        <v>126</v>
      </c>
      <c r="Z659">
        <v>293</v>
      </c>
      <c r="AA659">
        <v>1628</v>
      </c>
      <c r="AB659" s="1" t="s">
        <v>1628</v>
      </c>
    </row>
    <row r="660" spans="1:28" x14ac:dyDescent="0.3">
      <c r="A660">
        <v>77929</v>
      </c>
      <c r="B660" s="1" t="s">
        <v>1414</v>
      </c>
      <c r="C660">
        <v>0</v>
      </c>
      <c r="D660">
        <v>1610612752</v>
      </c>
      <c r="E660" s="1" t="s">
        <v>1248</v>
      </c>
      <c r="F660">
        <v>260</v>
      </c>
      <c r="G660">
        <v>81</v>
      </c>
      <c r="I660">
        <v>28790</v>
      </c>
      <c r="J660">
        <v>659</v>
      </c>
      <c r="K660">
        <v>1346</v>
      </c>
      <c r="L660">
        <v>49</v>
      </c>
      <c r="P660">
        <v>367</v>
      </c>
      <c r="Q660">
        <v>509</v>
      </c>
      <c r="R660">
        <v>721</v>
      </c>
      <c r="U660">
        <v>10730</v>
      </c>
      <c r="V660">
        <v>159</v>
      </c>
      <c r="Z660">
        <v>343</v>
      </c>
      <c r="AA660">
        <v>1685</v>
      </c>
      <c r="AB660" s="1" t="s">
        <v>1628</v>
      </c>
    </row>
    <row r="661" spans="1:28" x14ac:dyDescent="0.3">
      <c r="A661">
        <v>77929</v>
      </c>
      <c r="B661" s="1" t="s">
        <v>1415</v>
      </c>
      <c r="C661">
        <v>0</v>
      </c>
      <c r="D661">
        <v>1610612752</v>
      </c>
      <c r="E661" s="1" t="s">
        <v>1248</v>
      </c>
      <c r="F661">
        <v>270</v>
      </c>
      <c r="G661">
        <v>82</v>
      </c>
      <c r="I661">
        <v>31080</v>
      </c>
      <c r="J661">
        <v>704</v>
      </c>
      <c r="K661">
        <v>1351</v>
      </c>
      <c r="L661">
        <v>521</v>
      </c>
      <c r="P661">
        <v>325</v>
      </c>
      <c r="Q661">
        <v>435</v>
      </c>
      <c r="R661">
        <v>747</v>
      </c>
      <c r="U661">
        <v>11910</v>
      </c>
      <c r="V661">
        <v>190</v>
      </c>
      <c r="Z661">
        <v>314</v>
      </c>
      <c r="AA661">
        <v>1733</v>
      </c>
      <c r="AB661" s="1" t="s">
        <v>1628</v>
      </c>
    </row>
    <row r="662" spans="1:28" x14ac:dyDescent="0.3">
      <c r="A662">
        <v>77929</v>
      </c>
      <c r="B662" s="1" t="s">
        <v>1416</v>
      </c>
      <c r="C662">
        <v>0</v>
      </c>
      <c r="D662">
        <v>1610612752</v>
      </c>
      <c r="E662" s="1" t="s">
        <v>1248</v>
      </c>
      <c r="F662">
        <v>280</v>
      </c>
      <c r="G662">
        <v>81</v>
      </c>
      <c r="I662">
        <v>30890</v>
      </c>
      <c r="J662">
        <v>702</v>
      </c>
      <c r="K662">
        <v>1385</v>
      </c>
      <c r="L662">
        <v>507</v>
      </c>
      <c r="P662">
        <v>351</v>
      </c>
      <c r="Q662">
        <v>464</v>
      </c>
      <c r="R662">
        <v>756</v>
      </c>
      <c r="U662">
        <v>11260</v>
      </c>
      <c r="V662">
        <v>161</v>
      </c>
      <c r="Z662">
        <v>287</v>
      </c>
      <c r="AA662">
        <v>1755</v>
      </c>
      <c r="AB662" s="1" t="s">
        <v>1628</v>
      </c>
    </row>
    <row r="663" spans="1:28" x14ac:dyDescent="0.3">
      <c r="A663">
        <v>77929</v>
      </c>
      <c r="B663" s="1" t="s">
        <v>1417</v>
      </c>
      <c r="C663">
        <v>0</v>
      </c>
      <c r="D663">
        <v>1610612752</v>
      </c>
      <c r="E663" s="1" t="s">
        <v>1248</v>
      </c>
      <c r="F663">
        <v>290</v>
      </c>
      <c r="G663">
        <v>73</v>
      </c>
      <c r="I663">
        <v>28550</v>
      </c>
      <c r="J663">
        <v>614</v>
      </c>
      <c r="K663">
        <v>1330</v>
      </c>
      <c r="L663">
        <v>462</v>
      </c>
      <c r="P663">
        <v>299</v>
      </c>
      <c r="Q663">
        <v>381</v>
      </c>
      <c r="R663">
        <v>785</v>
      </c>
      <c r="U663">
        <v>10030</v>
      </c>
      <c r="V663">
        <v>148</v>
      </c>
      <c r="Z663">
        <v>228</v>
      </c>
      <c r="AA663">
        <v>1527</v>
      </c>
      <c r="AB663" s="1" t="s">
        <v>1628</v>
      </c>
    </row>
    <row r="664" spans="1:28" x14ac:dyDescent="0.3">
      <c r="A664">
        <v>77929</v>
      </c>
      <c r="B664" s="1" t="s">
        <v>1354</v>
      </c>
      <c r="C664">
        <v>0</v>
      </c>
      <c r="D664">
        <v>1610612752</v>
      </c>
      <c r="E664" s="1" t="s">
        <v>1248</v>
      </c>
      <c r="F664">
        <v>300</v>
      </c>
      <c r="G664">
        <v>11</v>
      </c>
      <c r="I664">
        <v>3630</v>
      </c>
      <c r="J664">
        <v>60</v>
      </c>
      <c r="K664">
        <v>137</v>
      </c>
      <c r="L664">
        <v>438</v>
      </c>
      <c r="P664">
        <v>27</v>
      </c>
      <c r="Q664">
        <v>39</v>
      </c>
      <c r="R664">
        <v>692</v>
      </c>
      <c r="U664">
        <v>960</v>
      </c>
      <c r="V664">
        <v>22</v>
      </c>
      <c r="Z664">
        <v>30</v>
      </c>
      <c r="AA664">
        <v>147</v>
      </c>
      <c r="AB664" s="1" t="s">
        <v>1628</v>
      </c>
    </row>
    <row r="665" spans="1:28" x14ac:dyDescent="0.3">
      <c r="A665">
        <v>77929</v>
      </c>
      <c r="B665" s="1" t="s">
        <v>1356</v>
      </c>
      <c r="C665">
        <v>0</v>
      </c>
      <c r="D665">
        <v>1610612752</v>
      </c>
      <c r="E665" s="1" t="s">
        <v>1248</v>
      </c>
      <c r="F665">
        <v>310</v>
      </c>
      <c r="G665">
        <v>69</v>
      </c>
      <c r="I665">
        <v>18760</v>
      </c>
      <c r="J665">
        <v>334</v>
      </c>
      <c r="K665">
        <v>705</v>
      </c>
      <c r="L665">
        <v>474</v>
      </c>
      <c r="P665">
        <v>92</v>
      </c>
      <c r="Q665">
        <v>124</v>
      </c>
      <c r="R665">
        <v>742</v>
      </c>
      <c r="U665">
        <v>5900</v>
      </c>
      <c r="V665">
        <v>126</v>
      </c>
      <c r="Z665">
        <v>205</v>
      </c>
      <c r="AA665">
        <v>760</v>
      </c>
      <c r="AB665" s="1" t="s">
        <v>1628</v>
      </c>
    </row>
    <row r="666" spans="1:28" x14ac:dyDescent="0.3">
      <c r="A666">
        <v>77929</v>
      </c>
      <c r="B666" s="1" t="s">
        <v>1357</v>
      </c>
      <c r="C666">
        <v>0</v>
      </c>
      <c r="D666">
        <v>1610612752</v>
      </c>
      <c r="E666" s="1" t="s">
        <v>1248</v>
      </c>
      <c r="F666">
        <v>320</v>
      </c>
      <c r="G666">
        <v>19</v>
      </c>
      <c r="I666">
        <v>5000</v>
      </c>
      <c r="J666">
        <v>84</v>
      </c>
      <c r="K666">
        <v>184</v>
      </c>
      <c r="L666">
        <v>457</v>
      </c>
      <c r="P666">
        <v>42</v>
      </c>
      <c r="Q666">
        <v>53</v>
      </c>
      <c r="R666">
        <v>792</v>
      </c>
      <c r="S666">
        <v>470</v>
      </c>
      <c r="T666">
        <v>940</v>
      </c>
      <c r="U666">
        <v>1410</v>
      </c>
      <c r="V666">
        <v>30</v>
      </c>
      <c r="W666">
        <v>120</v>
      </c>
      <c r="X666">
        <v>210</v>
      </c>
      <c r="Z666">
        <v>49</v>
      </c>
      <c r="AA666">
        <v>210</v>
      </c>
      <c r="AB666" s="1" t="s">
        <v>1628</v>
      </c>
    </row>
    <row r="667" spans="1:28" x14ac:dyDescent="0.3">
      <c r="A667">
        <v>77289</v>
      </c>
      <c r="B667" s="1" t="s">
        <v>1264</v>
      </c>
      <c r="C667">
        <v>0</v>
      </c>
      <c r="D667">
        <v>1610612752</v>
      </c>
      <c r="E667" s="1" t="s">
        <v>1248</v>
      </c>
      <c r="F667">
        <v>230</v>
      </c>
      <c r="G667">
        <v>80</v>
      </c>
      <c r="I667">
        <v>11690</v>
      </c>
      <c r="J667">
        <v>222</v>
      </c>
      <c r="K667">
        <v>465</v>
      </c>
      <c r="L667">
        <v>477</v>
      </c>
      <c r="P667">
        <v>63</v>
      </c>
      <c r="Q667">
        <v>97</v>
      </c>
      <c r="R667">
        <v>649</v>
      </c>
      <c r="S667">
        <v>1210</v>
      </c>
      <c r="T667">
        <v>2000</v>
      </c>
      <c r="U667">
        <v>3210</v>
      </c>
      <c r="V667">
        <v>38</v>
      </c>
      <c r="W667">
        <v>500</v>
      </c>
      <c r="X667">
        <v>280</v>
      </c>
      <c r="Y667">
        <v>970</v>
      </c>
      <c r="Z667">
        <v>211</v>
      </c>
      <c r="AA667">
        <v>507</v>
      </c>
      <c r="AB667" s="1" t="s">
        <v>1629</v>
      </c>
    </row>
    <row r="668" spans="1:28" x14ac:dyDescent="0.3">
      <c r="A668">
        <v>77289</v>
      </c>
      <c r="B668" s="1" t="s">
        <v>1265</v>
      </c>
      <c r="C668">
        <v>0</v>
      </c>
      <c r="D668">
        <v>1610612752</v>
      </c>
      <c r="E668" s="1" t="s">
        <v>1248</v>
      </c>
      <c r="F668">
        <v>240</v>
      </c>
      <c r="G668">
        <v>82</v>
      </c>
      <c r="I668">
        <v>26670</v>
      </c>
      <c r="J668">
        <v>609</v>
      </c>
      <c r="K668">
        <v>1174</v>
      </c>
      <c r="L668">
        <v>519</v>
      </c>
      <c r="P668">
        <v>145</v>
      </c>
      <c r="Q668">
        <v>206</v>
      </c>
      <c r="R668">
        <v>704</v>
      </c>
      <c r="S668">
        <v>2010</v>
      </c>
      <c r="T668">
        <v>3470</v>
      </c>
      <c r="U668">
        <v>5480</v>
      </c>
      <c r="V668">
        <v>124</v>
      </c>
      <c r="W668">
        <v>610</v>
      </c>
      <c r="X668">
        <v>600</v>
      </c>
      <c r="Y668">
        <v>1630</v>
      </c>
      <c r="Z668">
        <v>309</v>
      </c>
      <c r="AA668">
        <v>1363</v>
      </c>
      <c r="AB668" s="1" t="s">
        <v>1629</v>
      </c>
    </row>
    <row r="669" spans="1:28" x14ac:dyDescent="0.3">
      <c r="A669">
        <v>77289</v>
      </c>
      <c r="B669" s="1" t="s">
        <v>1359</v>
      </c>
      <c r="C669">
        <v>0</v>
      </c>
      <c r="D669">
        <v>1610612752</v>
      </c>
      <c r="E669" s="1" t="s">
        <v>1248</v>
      </c>
      <c r="F669">
        <v>250</v>
      </c>
      <c r="G669">
        <v>81</v>
      </c>
      <c r="I669">
        <v>29450</v>
      </c>
      <c r="J669">
        <v>669</v>
      </c>
      <c r="K669">
        <v>1265</v>
      </c>
      <c r="L669">
        <v>529</v>
      </c>
      <c r="M669">
        <v>0</v>
      </c>
      <c r="N669">
        <v>20</v>
      </c>
      <c r="O669">
        <v>0</v>
      </c>
      <c r="P669">
        <v>211</v>
      </c>
      <c r="Q669">
        <v>261</v>
      </c>
      <c r="R669">
        <v>808</v>
      </c>
      <c r="S669">
        <v>2010</v>
      </c>
      <c r="T669">
        <v>2920</v>
      </c>
      <c r="U669">
        <v>4930</v>
      </c>
      <c r="V669">
        <v>150</v>
      </c>
      <c r="W669">
        <v>1170</v>
      </c>
      <c r="X669">
        <v>860</v>
      </c>
      <c r="Y669">
        <v>1630</v>
      </c>
      <c r="Z669">
        <v>302</v>
      </c>
      <c r="AA669">
        <v>1549</v>
      </c>
      <c r="AB669" s="1" t="s">
        <v>1629</v>
      </c>
    </row>
    <row r="670" spans="1:28" x14ac:dyDescent="0.3">
      <c r="A670">
        <v>77289</v>
      </c>
      <c r="B670" s="1" t="s">
        <v>1284</v>
      </c>
      <c r="C670">
        <v>0</v>
      </c>
      <c r="D670">
        <v>1610612752</v>
      </c>
      <c r="E670" s="1" t="s">
        <v>1248</v>
      </c>
      <c r="F670">
        <v>270</v>
      </c>
      <c r="G670">
        <v>40</v>
      </c>
      <c r="H670">
        <v>0</v>
      </c>
      <c r="I670">
        <v>5500</v>
      </c>
      <c r="J670">
        <v>102</v>
      </c>
      <c r="K670">
        <v>183</v>
      </c>
      <c r="L670">
        <v>557</v>
      </c>
      <c r="M670">
        <v>0</v>
      </c>
      <c r="N670">
        <v>0</v>
      </c>
      <c r="P670">
        <v>17</v>
      </c>
      <c r="Q670">
        <v>25</v>
      </c>
      <c r="R670">
        <v>68</v>
      </c>
      <c r="S670">
        <v>330</v>
      </c>
      <c r="T670">
        <v>490</v>
      </c>
      <c r="U670">
        <v>820</v>
      </c>
      <c r="V670">
        <v>23</v>
      </c>
      <c r="W670">
        <v>140</v>
      </c>
      <c r="X670">
        <v>110</v>
      </c>
      <c r="Y670">
        <v>210</v>
      </c>
      <c r="Z670">
        <v>74</v>
      </c>
      <c r="AA670">
        <v>221</v>
      </c>
      <c r="AB670" s="1" t="s">
        <v>1629</v>
      </c>
    </row>
    <row r="671" spans="1:28" x14ac:dyDescent="0.3">
      <c r="A671">
        <v>1629656</v>
      </c>
      <c r="B671" s="1" t="s">
        <v>1308</v>
      </c>
      <c r="C671">
        <v>0</v>
      </c>
      <c r="D671">
        <v>1610612752</v>
      </c>
      <c r="E671" s="1" t="s">
        <v>1248</v>
      </c>
      <c r="F671">
        <v>220</v>
      </c>
      <c r="G671">
        <v>46</v>
      </c>
      <c r="H671">
        <v>60</v>
      </c>
      <c r="I671">
        <v>7860</v>
      </c>
      <c r="J671">
        <v>95</v>
      </c>
      <c r="K671">
        <v>235</v>
      </c>
      <c r="L671">
        <v>404</v>
      </c>
      <c r="M671">
        <v>720</v>
      </c>
      <c r="N671">
        <v>1890</v>
      </c>
      <c r="O671">
        <v>381</v>
      </c>
      <c r="P671">
        <v>13</v>
      </c>
      <c r="Q671">
        <v>19</v>
      </c>
      <c r="R671">
        <v>684</v>
      </c>
      <c r="S671">
        <v>240</v>
      </c>
      <c r="T671">
        <v>700</v>
      </c>
      <c r="U671">
        <v>940</v>
      </c>
      <c r="V671">
        <v>44</v>
      </c>
      <c r="W671">
        <v>310</v>
      </c>
      <c r="X671">
        <v>110</v>
      </c>
      <c r="Y671">
        <v>280</v>
      </c>
      <c r="Z671">
        <v>72</v>
      </c>
      <c r="AA671">
        <v>275</v>
      </c>
      <c r="AB671" s="1" t="s">
        <v>1630</v>
      </c>
    </row>
    <row r="672" spans="1:28" x14ac:dyDescent="0.3">
      <c r="A672">
        <v>1629656</v>
      </c>
      <c r="B672" s="1" t="s">
        <v>1327</v>
      </c>
      <c r="C672">
        <v>0</v>
      </c>
      <c r="D672">
        <v>1610612752</v>
      </c>
      <c r="E672" s="1" t="s">
        <v>1248</v>
      </c>
      <c r="F672">
        <v>230</v>
      </c>
      <c r="G672">
        <v>71</v>
      </c>
      <c r="H672">
        <v>660</v>
      </c>
      <c r="I672">
        <v>21210</v>
      </c>
      <c r="J672">
        <v>282</v>
      </c>
      <c r="K672">
        <v>602</v>
      </c>
      <c r="L672">
        <v>468</v>
      </c>
      <c r="M672">
        <v>1570</v>
      </c>
      <c r="N672">
        <v>4070</v>
      </c>
      <c r="O672">
        <v>386</v>
      </c>
      <c r="P672">
        <v>78</v>
      </c>
      <c r="Q672">
        <v>98</v>
      </c>
      <c r="R672">
        <v>796</v>
      </c>
      <c r="S672">
        <v>490</v>
      </c>
      <c r="T672">
        <v>1800</v>
      </c>
      <c r="U672">
        <v>2290</v>
      </c>
      <c r="V672">
        <v>150</v>
      </c>
      <c r="W672">
        <v>470</v>
      </c>
      <c r="X672">
        <v>260</v>
      </c>
      <c r="Y672">
        <v>690</v>
      </c>
      <c r="Z672">
        <v>177</v>
      </c>
      <c r="AA672">
        <v>799</v>
      </c>
      <c r="AB672" s="1" t="s">
        <v>1630</v>
      </c>
    </row>
    <row r="673" spans="1:28" x14ac:dyDescent="0.3">
      <c r="A673">
        <v>1629656</v>
      </c>
      <c r="B673" s="1" t="s">
        <v>1369</v>
      </c>
      <c r="C673">
        <v>0</v>
      </c>
      <c r="D673">
        <v>1610612752</v>
      </c>
      <c r="E673" s="1" t="s">
        <v>1248</v>
      </c>
      <c r="F673">
        <v>240</v>
      </c>
      <c r="G673">
        <v>45</v>
      </c>
      <c r="H673">
        <v>180</v>
      </c>
      <c r="I673">
        <v>9100</v>
      </c>
      <c r="J673">
        <v>113</v>
      </c>
      <c r="K673">
        <v>286</v>
      </c>
      <c r="L673">
        <v>395</v>
      </c>
      <c r="M673">
        <v>770</v>
      </c>
      <c r="N673">
        <v>2120</v>
      </c>
      <c r="O673">
        <v>363</v>
      </c>
      <c r="P673">
        <v>24</v>
      </c>
      <c r="Q673">
        <v>34</v>
      </c>
      <c r="R673">
        <v>706</v>
      </c>
      <c r="S673">
        <v>140</v>
      </c>
      <c r="T673">
        <v>740</v>
      </c>
      <c r="U673">
        <v>880</v>
      </c>
      <c r="V673">
        <v>52</v>
      </c>
      <c r="W673">
        <v>300</v>
      </c>
      <c r="X673">
        <v>30</v>
      </c>
      <c r="Y673">
        <v>210</v>
      </c>
      <c r="Z673">
        <v>66</v>
      </c>
      <c r="AA673">
        <v>327</v>
      </c>
      <c r="AB673" s="1" t="s">
        <v>1630</v>
      </c>
    </row>
    <row r="674" spans="1:28" x14ac:dyDescent="0.3">
      <c r="A674">
        <v>76545</v>
      </c>
      <c r="B674" s="1" t="s">
        <v>1415</v>
      </c>
      <c r="C674">
        <v>0</v>
      </c>
      <c r="D674">
        <v>1610612752</v>
      </c>
      <c r="E674" s="1" t="s">
        <v>1248</v>
      </c>
      <c r="F674">
        <v>280</v>
      </c>
      <c r="G674">
        <v>47</v>
      </c>
      <c r="I674">
        <v>18510</v>
      </c>
      <c r="J674">
        <v>317</v>
      </c>
      <c r="K674">
        <v>717</v>
      </c>
      <c r="L674">
        <v>442</v>
      </c>
      <c r="P674">
        <v>135</v>
      </c>
      <c r="Q674">
        <v>198</v>
      </c>
      <c r="R674">
        <v>682</v>
      </c>
      <c r="U674">
        <v>5350</v>
      </c>
      <c r="V674">
        <v>128</v>
      </c>
      <c r="Z674">
        <v>179</v>
      </c>
      <c r="AA674">
        <v>769</v>
      </c>
      <c r="AB674" s="1" t="s">
        <v>1631</v>
      </c>
    </row>
    <row r="675" spans="1:28" x14ac:dyDescent="0.3">
      <c r="A675">
        <v>76545</v>
      </c>
      <c r="B675" s="1" t="s">
        <v>1416</v>
      </c>
      <c r="C675">
        <v>0</v>
      </c>
      <c r="D675">
        <v>1610612752</v>
      </c>
      <c r="E675" s="1" t="s">
        <v>1248</v>
      </c>
      <c r="F675">
        <v>290</v>
      </c>
      <c r="G675">
        <v>79</v>
      </c>
      <c r="I675">
        <v>26270</v>
      </c>
      <c r="J675">
        <v>488</v>
      </c>
      <c r="K675">
        <v>1082</v>
      </c>
      <c r="L675">
        <v>451</v>
      </c>
      <c r="P675">
        <v>176</v>
      </c>
      <c r="Q675">
        <v>256</v>
      </c>
      <c r="R675">
        <v>688</v>
      </c>
      <c r="U675">
        <v>7900</v>
      </c>
      <c r="V675">
        <v>194</v>
      </c>
      <c r="Z675">
        <v>244</v>
      </c>
      <c r="AA675">
        <v>1152</v>
      </c>
      <c r="AB675" s="1" t="s">
        <v>1631</v>
      </c>
    </row>
    <row r="676" spans="1:28" x14ac:dyDescent="0.3">
      <c r="A676">
        <v>76545</v>
      </c>
      <c r="B676" s="1" t="s">
        <v>1417</v>
      </c>
      <c r="C676">
        <v>0</v>
      </c>
      <c r="D676">
        <v>1610612752</v>
      </c>
      <c r="E676" s="1" t="s">
        <v>1248</v>
      </c>
      <c r="F676">
        <v>300</v>
      </c>
      <c r="G676">
        <v>81</v>
      </c>
      <c r="I676">
        <v>28910</v>
      </c>
      <c r="J676">
        <v>523</v>
      </c>
      <c r="K676">
        <v>1243</v>
      </c>
      <c r="L676">
        <v>421</v>
      </c>
      <c r="P676">
        <v>217</v>
      </c>
      <c r="Q676">
        <v>312</v>
      </c>
      <c r="R676">
        <v>696</v>
      </c>
      <c r="U676">
        <v>9010</v>
      </c>
      <c r="V676">
        <v>220</v>
      </c>
      <c r="Z676">
        <v>237</v>
      </c>
      <c r="AA676">
        <v>1263</v>
      </c>
      <c r="AB676" s="1" t="s">
        <v>1631</v>
      </c>
    </row>
    <row r="677" spans="1:28" x14ac:dyDescent="0.3">
      <c r="A677">
        <v>76545</v>
      </c>
      <c r="B677" s="1" t="s">
        <v>1354</v>
      </c>
      <c r="C677">
        <v>0</v>
      </c>
      <c r="D677">
        <v>1610612752</v>
      </c>
      <c r="E677" s="1" t="s">
        <v>1248</v>
      </c>
      <c r="F677">
        <v>310</v>
      </c>
      <c r="G677">
        <v>80</v>
      </c>
      <c r="I677">
        <v>30720</v>
      </c>
      <c r="J677">
        <v>520</v>
      </c>
      <c r="K677">
        <v>1218</v>
      </c>
      <c r="L677">
        <v>427</v>
      </c>
      <c r="P677">
        <v>193</v>
      </c>
      <c r="Q677">
        <v>265</v>
      </c>
      <c r="R677">
        <v>728</v>
      </c>
      <c r="U677">
        <v>9010</v>
      </c>
      <c r="V677">
        <v>291</v>
      </c>
      <c r="Z677">
        <v>219</v>
      </c>
      <c r="AA677">
        <v>1233</v>
      </c>
      <c r="AB677" s="1" t="s">
        <v>1631</v>
      </c>
    </row>
    <row r="678" spans="1:28" x14ac:dyDescent="0.3">
      <c r="A678">
        <v>76545</v>
      </c>
      <c r="B678" s="1" t="s">
        <v>1356</v>
      </c>
      <c r="C678">
        <v>0</v>
      </c>
      <c r="D678">
        <v>1610612752</v>
      </c>
      <c r="E678" s="1" t="s">
        <v>1248</v>
      </c>
      <c r="F678">
        <v>320</v>
      </c>
      <c r="G678">
        <v>77</v>
      </c>
      <c r="I678">
        <v>28270</v>
      </c>
      <c r="J678">
        <v>532</v>
      </c>
      <c r="K678">
        <v>1224</v>
      </c>
      <c r="L678">
        <v>435</v>
      </c>
      <c r="P678">
        <v>194</v>
      </c>
      <c r="Q678">
        <v>260</v>
      </c>
      <c r="R678">
        <v>746</v>
      </c>
      <c r="U678">
        <v>7870</v>
      </c>
      <c r="V678">
        <v>259</v>
      </c>
      <c r="Z678">
        <v>215</v>
      </c>
      <c r="AA678">
        <v>1258</v>
      </c>
      <c r="AB678" s="1" t="s">
        <v>1631</v>
      </c>
    </row>
    <row r="679" spans="1:28" x14ac:dyDescent="0.3">
      <c r="A679">
        <v>76545</v>
      </c>
      <c r="B679" s="1" t="s">
        <v>1357</v>
      </c>
      <c r="C679">
        <v>0</v>
      </c>
      <c r="D679">
        <v>1610612752</v>
      </c>
      <c r="E679" s="1" t="s">
        <v>1248</v>
      </c>
      <c r="F679">
        <v>330</v>
      </c>
      <c r="G679">
        <v>71</v>
      </c>
      <c r="I679">
        <v>26990</v>
      </c>
      <c r="J679">
        <v>559</v>
      </c>
      <c r="K679">
        <v>1212</v>
      </c>
      <c r="L679">
        <v>461</v>
      </c>
      <c r="P679">
        <v>164</v>
      </c>
      <c r="Q679">
        <v>217</v>
      </c>
      <c r="R679">
        <v>756</v>
      </c>
      <c r="S679">
        <v>1340</v>
      </c>
      <c r="T679">
        <v>6230</v>
      </c>
      <c r="U679">
        <v>7570</v>
      </c>
      <c r="V679">
        <v>253</v>
      </c>
      <c r="W679">
        <v>670</v>
      </c>
      <c r="X679">
        <v>390</v>
      </c>
      <c r="Z679">
        <v>222</v>
      </c>
      <c r="AA679">
        <v>1282</v>
      </c>
      <c r="AB679" s="1" t="s">
        <v>1631</v>
      </c>
    </row>
    <row r="680" spans="1:28" x14ac:dyDescent="0.3">
      <c r="A680">
        <v>1000</v>
      </c>
      <c r="B680" s="1" t="s">
        <v>1330</v>
      </c>
      <c r="C680">
        <v>0</v>
      </c>
      <c r="D680">
        <v>1610612752</v>
      </c>
      <c r="E680" s="1" t="s">
        <v>1248</v>
      </c>
      <c r="F680">
        <v>280</v>
      </c>
      <c r="G680">
        <v>82</v>
      </c>
      <c r="H680">
        <v>60</v>
      </c>
      <c r="I680">
        <v>15960</v>
      </c>
      <c r="J680">
        <v>149</v>
      </c>
      <c r="K680">
        <v>373</v>
      </c>
      <c r="L680">
        <v>399</v>
      </c>
      <c r="M680">
        <v>390</v>
      </c>
      <c r="N680">
        <v>1410</v>
      </c>
      <c r="O680">
        <v>277</v>
      </c>
      <c r="P680">
        <v>74</v>
      </c>
      <c r="Q680">
        <v>107</v>
      </c>
      <c r="R680">
        <v>692</v>
      </c>
      <c r="S680">
        <v>570</v>
      </c>
      <c r="T680">
        <v>1920</v>
      </c>
      <c r="U680">
        <v>2490</v>
      </c>
      <c r="V680">
        <v>76</v>
      </c>
      <c r="W680">
        <v>480</v>
      </c>
      <c r="X680">
        <v>150</v>
      </c>
      <c r="Y680">
        <v>970</v>
      </c>
      <c r="Z680">
        <v>134</v>
      </c>
      <c r="AA680">
        <v>411</v>
      </c>
      <c r="AB680" s="1" t="s">
        <v>1632</v>
      </c>
    </row>
    <row r="681" spans="1:28" x14ac:dyDescent="0.3">
      <c r="A681">
        <v>1000</v>
      </c>
      <c r="B681" s="1" t="s">
        <v>1325</v>
      </c>
      <c r="C681">
        <v>0</v>
      </c>
      <c r="D681">
        <v>1610612752</v>
      </c>
      <c r="E681" s="1" t="s">
        <v>1248</v>
      </c>
      <c r="F681">
        <v>290</v>
      </c>
      <c r="G681">
        <v>82</v>
      </c>
      <c r="H681">
        <v>90</v>
      </c>
      <c r="I681">
        <v>17290</v>
      </c>
      <c r="J681">
        <v>248</v>
      </c>
      <c r="K681">
        <v>537</v>
      </c>
      <c r="L681">
        <v>462</v>
      </c>
      <c r="M681">
        <v>520</v>
      </c>
      <c r="N681">
        <v>1400</v>
      </c>
      <c r="O681">
        <v>371</v>
      </c>
      <c r="P681">
        <v>139</v>
      </c>
      <c r="Q681">
        <v>190</v>
      </c>
      <c r="R681">
        <v>732</v>
      </c>
      <c r="S681">
        <v>640</v>
      </c>
      <c r="T681">
        <v>1900</v>
      </c>
      <c r="U681">
        <v>2540</v>
      </c>
      <c r="V681">
        <v>87</v>
      </c>
      <c r="W681">
        <v>730</v>
      </c>
      <c r="X681">
        <v>200</v>
      </c>
      <c r="Y681">
        <v>1140</v>
      </c>
      <c r="Z681">
        <v>177</v>
      </c>
      <c r="AA681">
        <v>687</v>
      </c>
      <c r="AB681" s="1" t="s">
        <v>1632</v>
      </c>
    </row>
    <row r="682" spans="1:28" x14ac:dyDescent="0.3">
      <c r="A682">
        <v>1000</v>
      </c>
      <c r="B682" s="1" t="s">
        <v>1293</v>
      </c>
      <c r="C682">
        <v>0</v>
      </c>
      <c r="D682">
        <v>1610612752</v>
      </c>
      <c r="E682" s="1" t="s">
        <v>1248</v>
      </c>
      <c r="F682">
        <v>300</v>
      </c>
      <c r="G682">
        <v>80</v>
      </c>
      <c r="H682">
        <v>370</v>
      </c>
      <c r="I682">
        <v>19720</v>
      </c>
      <c r="J682">
        <v>238</v>
      </c>
      <c r="K682">
        <v>564</v>
      </c>
      <c r="L682">
        <v>422</v>
      </c>
      <c r="M682">
        <v>360</v>
      </c>
      <c r="N682">
        <v>1280</v>
      </c>
      <c r="O682">
        <v>281</v>
      </c>
      <c r="P682">
        <v>123</v>
      </c>
      <c r="Q682">
        <v>161</v>
      </c>
      <c r="R682">
        <v>764</v>
      </c>
      <c r="S682">
        <v>530</v>
      </c>
      <c r="T682">
        <v>1690</v>
      </c>
      <c r="U682">
        <v>2220</v>
      </c>
      <c r="V682">
        <v>122</v>
      </c>
      <c r="W682">
        <v>680</v>
      </c>
      <c r="X682">
        <v>170</v>
      </c>
      <c r="Y682">
        <v>1180</v>
      </c>
      <c r="Z682">
        <v>182</v>
      </c>
      <c r="AA682">
        <v>635</v>
      </c>
      <c r="AB682" s="1" t="s">
        <v>1632</v>
      </c>
    </row>
    <row r="683" spans="1:28" x14ac:dyDescent="0.3">
      <c r="A683">
        <v>1000</v>
      </c>
      <c r="B683" s="1" t="s">
        <v>1295</v>
      </c>
      <c r="C683">
        <v>0</v>
      </c>
      <c r="D683">
        <v>1610612752</v>
      </c>
      <c r="E683" s="1" t="s">
        <v>1248</v>
      </c>
      <c r="F683">
        <v>310</v>
      </c>
      <c r="G683">
        <v>1</v>
      </c>
      <c r="H683">
        <v>0</v>
      </c>
      <c r="I683">
        <v>200</v>
      </c>
      <c r="J683">
        <v>0</v>
      </c>
      <c r="K683">
        <v>2</v>
      </c>
      <c r="L683">
        <v>0</v>
      </c>
      <c r="M683">
        <v>0</v>
      </c>
      <c r="N683">
        <v>10</v>
      </c>
      <c r="O683">
        <v>0</v>
      </c>
      <c r="P683">
        <v>0</v>
      </c>
      <c r="Q683">
        <v>0</v>
      </c>
      <c r="R683">
        <v>0</v>
      </c>
      <c r="S683">
        <v>10</v>
      </c>
      <c r="T683">
        <v>0</v>
      </c>
      <c r="U683">
        <v>10</v>
      </c>
      <c r="V683">
        <v>0</v>
      </c>
      <c r="W683">
        <v>0</v>
      </c>
      <c r="X683">
        <v>0</v>
      </c>
      <c r="Y683">
        <v>10</v>
      </c>
      <c r="Z683">
        <v>2</v>
      </c>
      <c r="AA683">
        <v>0</v>
      </c>
      <c r="AB683" s="1" t="s">
        <v>1632</v>
      </c>
    </row>
    <row r="684" spans="1:28" x14ac:dyDescent="0.3">
      <c r="A684">
        <v>76245</v>
      </c>
      <c r="B684" s="1" t="s">
        <v>1250</v>
      </c>
      <c r="C684">
        <v>0</v>
      </c>
      <c r="D684">
        <v>1610612752</v>
      </c>
      <c r="E684" s="1" t="s">
        <v>1248</v>
      </c>
      <c r="F684">
        <v>220</v>
      </c>
      <c r="G684">
        <v>16</v>
      </c>
      <c r="I684">
        <v>1360</v>
      </c>
      <c r="J684">
        <v>13</v>
      </c>
      <c r="K684">
        <v>43</v>
      </c>
      <c r="L684">
        <v>302</v>
      </c>
      <c r="P684">
        <v>14</v>
      </c>
      <c r="Q684">
        <v>25</v>
      </c>
      <c r="R684">
        <v>56</v>
      </c>
      <c r="U684">
        <v>310</v>
      </c>
      <c r="V684">
        <v>6</v>
      </c>
      <c r="Z684">
        <v>15</v>
      </c>
      <c r="AA684">
        <v>40</v>
      </c>
      <c r="AB684" s="1" t="s">
        <v>1633</v>
      </c>
    </row>
    <row r="685" spans="1:28" x14ac:dyDescent="0.3">
      <c r="A685">
        <v>78216</v>
      </c>
      <c r="B685" s="1" t="s">
        <v>1318</v>
      </c>
      <c r="C685">
        <v>0</v>
      </c>
      <c r="D685">
        <v>1610612752</v>
      </c>
      <c r="E685" s="1" t="s">
        <v>1248</v>
      </c>
      <c r="F685">
        <v>220</v>
      </c>
      <c r="G685">
        <v>71</v>
      </c>
      <c r="I685">
        <v>13780</v>
      </c>
      <c r="J685">
        <v>166</v>
      </c>
      <c r="K685">
        <v>442</v>
      </c>
      <c r="L685">
        <v>376</v>
      </c>
      <c r="P685">
        <v>152</v>
      </c>
      <c r="Q685">
        <v>199</v>
      </c>
      <c r="R685">
        <v>764</v>
      </c>
      <c r="U685">
        <v>3260</v>
      </c>
      <c r="V685">
        <v>129</v>
      </c>
      <c r="Z685">
        <v>158</v>
      </c>
      <c r="AA685">
        <v>484</v>
      </c>
      <c r="AB685" s="1" t="s">
        <v>1634</v>
      </c>
    </row>
    <row r="686" spans="1:28" x14ac:dyDescent="0.3">
      <c r="A686">
        <v>78216</v>
      </c>
      <c r="B686" s="1" t="s">
        <v>1320</v>
      </c>
      <c r="C686">
        <v>0</v>
      </c>
      <c r="D686">
        <v>1610612752</v>
      </c>
      <c r="E686" s="1" t="s">
        <v>1248</v>
      </c>
      <c r="F686">
        <v>230</v>
      </c>
      <c r="G686">
        <v>55</v>
      </c>
      <c r="I686">
        <v>13990</v>
      </c>
      <c r="J686">
        <v>217</v>
      </c>
      <c r="K686">
        <v>539</v>
      </c>
      <c r="L686">
        <v>403</v>
      </c>
      <c r="P686">
        <v>196</v>
      </c>
      <c r="Q686">
        <v>239</v>
      </c>
      <c r="R686">
        <v>82</v>
      </c>
      <c r="U686">
        <v>2630</v>
      </c>
      <c r="V686">
        <v>125</v>
      </c>
      <c r="Z686">
        <v>147</v>
      </c>
      <c r="AA686">
        <v>630</v>
      </c>
      <c r="AB686" s="1" t="s">
        <v>1634</v>
      </c>
    </row>
    <row r="687" spans="1:28" x14ac:dyDescent="0.3">
      <c r="A687">
        <v>78216</v>
      </c>
      <c r="B687" s="1" t="s">
        <v>1250</v>
      </c>
      <c r="C687">
        <v>0</v>
      </c>
      <c r="D687">
        <v>1610612752</v>
      </c>
      <c r="E687" s="1" t="s">
        <v>1248</v>
      </c>
      <c r="F687">
        <v>240</v>
      </c>
      <c r="G687">
        <v>50</v>
      </c>
      <c r="I687">
        <v>8570</v>
      </c>
      <c r="J687">
        <v>144</v>
      </c>
      <c r="K687">
        <v>400</v>
      </c>
      <c r="L687">
        <v>36</v>
      </c>
      <c r="P687">
        <v>112</v>
      </c>
      <c r="Q687">
        <v>133</v>
      </c>
      <c r="R687">
        <v>842</v>
      </c>
      <c r="U687">
        <v>1540</v>
      </c>
      <c r="V687">
        <v>78</v>
      </c>
      <c r="Z687">
        <v>84</v>
      </c>
      <c r="AA687">
        <v>400</v>
      </c>
      <c r="AB687" s="1" t="s">
        <v>1634</v>
      </c>
    </row>
    <row r="688" spans="1:28" x14ac:dyDescent="0.3">
      <c r="A688">
        <v>78216</v>
      </c>
      <c r="B688" s="1" t="s">
        <v>1321</v>
      </c>
      <c r="C688">
        <v>0</v>
      </c>
      <c r="D688">
        <v>1610612752</v>
      </c>
      <c r="E688" s="1" t="s">
        <v>1248</v>
      </c>
      <c r="F688">
        <v>250</v>
      </c>
      <c r="G688">
        <v>16</v>
      </c>
      <c r="I688">
        <v>2340</v>
      </c>
      <c r="J688">
        <v>37</v>
      </c>
      <c r="K688">
        <v>108</v>
      </c>
      <c r="L688">
        <v>343</v>
      </c>
      <c r="P688">
        <v>31</v>
      </c>
      <c r="Q688">
        <v>37</v>
      </c>
      <c r="R688">
        <v>838</v>
      </c>
      <c r="U688">
        <v>480</v>
      </c>
      <c r="V688">
        <v>21</v>
      </c>
      <c r="Z688">
        <v>32</v>
      </c>
      <c r="AA688">
        <v>105</v>
      </c>
      <c r="AB688" s="1" t="s">
        <v>1634</v>
      </c>
    </row>
    <row r="689" spans="1:28" x14ac:dyDescent="0.3">
      <c r="A689">
        <v>78136</v>
      </c>
      <c r="B689" s="1" t="s">
        <v>1468</v>
      </c>
      <c r="C689">
        <v>0</v>
      </c>
      <c r="D689">
        <v>1610612752</v>
      </c>
      <c r="E689" s="1" t="s">
        <v>1248</v>
      </c>
      <c r="F689">
        <v>230</v>
      </c>
      <c r="G689">
        <v>64</v>
      </c>
      <c r="H689">
        <v>370</v>
      </c>
      <c r="I689">
        <v>16240</v>
      </c>
      <c r="J689">
        <v>171</v>
      </c>
      <c r="K689">
        <v>421</v>
      </c>
      <c r="L689">
        <v>406</v>
      </c>
      <c r="M689">
        <v>10</v>
      </c>
      <c r="N689">
        <v>130</v>
      </c>
      <c r="O689">
        <v>77</v>
      </c>
      <c r="P689">
        <v>52</v>
      </c>
      <c r="Q689">
        <v>80</v>
      </c>
      <c r="R689">
        <v>65</v>
      </c>
      <c r="S689">
        <v>430</v>
      </c>
      <c r="T689">
        <v>1060</v>
      </c>
      <c r="U689">
        <v>1490</v>
      </c>
      <c r="V689">
        <v>311</v>
      </c>
      <c r="W689">
        <v>960</v>
      </c>
      <c r="X689">
        <v>140</v>
      </c>
      <c r="Y689">
        <v>1040</v>
      </c>
      <c r="Z689">
        <v>112</v>
      </c>
      <c r="AA689">
        <v>395</v>
      </c>
      <c r="AB689" s="1" t="s">
        <v>1635</v>
      </c>
    </row>
    <row r="690" spans="1:28" x14ac:dyDescent="0.3">
      <c r="A690">
        <v>1629649</v>
      </c>
      <c r="B690" s="1" t="s">
        <v>1288</v>
      </c>
      <c r="C690">
        <v>0</v>
      </c>
      <c r="D690">
        <v>1610612752</v>
      </c>
      <c r="E690" s="1" t="s">
        <v>1248</v>
      </c>
      <c r="F690">
        <v>210</v>
      </c>
      <c r="G690">
        <v>9</v>
      </c>
      <c r="H690">
        <v>0</v>
      </c>
      <c r="I690">
        <v>530</v>
      </c>
      <c r="J690">
        <v>6</v>
      </c>
      <c r="K690">
        <v>22</v>
      </c>
      <c r="L690">
        <v>273</v>
      </c>
      <c r="M690">
        <v>10</v>
      </c>
      <c r="N690">
        <v>90</v>
      </c>
      <c r="O690">
        <v>111</v>
      </c>
      <c r="P690">
        <v>4</v>
      </c>
      <c r="Q690">
        <v>5</v>
      </c>
      <c r="R690">
        <v>8</v>
      </c>
      <c r="S690">
        <v>20</v>
      </c>
      <c r="T690">
        <v>30</v>
      </c>
      <c r="U690">
        <v>50</v>
      </c>
      <c r="V690">
        <v>4</v>
      </c>
      <c r="W690">
        <v>0</v>
      </c>
      <c r="X690">
        <v>10</v>
      </c>
      <c r="Y690">
        <v>20</v>
      </c>
      <c r="Z690">
        <v>3</v>
      </c>
      <c r="AA690">
        <v>17</v>
      </c>
      <c r="AB690" s="1" t="s">
        <v>1636</v>
      </c>
    </row>
    <row r="691" spans="1:28" x14ac:dyDescent="0.3">
      <c r="A691">
        <v>1629649</v>
      </c>
      <c r="B691" s="1" t="s">
        <v>1289</v>
      </c>
      <c r="C691">
        <v>0</v>
      </c>
      <c r="D691">
        <v>1610612752</v>
      </c>
      <c r="E691" s="1" t="s">
        <v>1248</v>
      </c>
      <c r="F691">
        <v>220</v>
      </c>
      <c r="G691">
        <v>4</v>
      </c>
      <c r="H691">
        <v>0</v>
      </c>
      <c r="I691">
        <v>70</v>
      </c>
      <c r="J691">
        <v>0</v>
      </c>
      <c r="K691">
        <v>1</v>
      </c>
      <c r="L691">
        <v>0</v>
      </c>
      <c r="M691">
        <v>0</v>
      </c>
      <c r="N691">
        <v>0</v>
      </c>
      <c r="O691">
        <v>0</v>
      </c>
      <c r="P691">
        <v>2</v>
      </c>
      <c r="Q691">
        <v>2</v>
      </c>
      <c r="R691">
        <v>10</v>
      </c>
      <c r="S691">
        <v>10</v>
      </c>
      <c r="T691">
        <v>10</v>
      </c>
      <c r="U691">
        <v>20</v>
      </c>
      <c r="V691">
        <v>1</v>
      </c>
      <c r="W691">
        <v>0</v>
      </c>
      <c r="X691">
        <v>0</v>
      </c>
      <c r="Y691">
        <v>10</v>
      </c>
      <c r="Z691">
        <v>0</v>
      </c>
      <c r="AA691">
        <v>2</v>
      </c>
      <c r="AB691" s="1" t="s">
        <v>1636</v>
      </c>
    </row>
    <row r="692" spans="1:28" x14ac:dyDescent="0.3">
      <c r="A692">
        <v>77789</v>
      </c>
      <c r="B692" s="1" t="s">
        <v>1274</v>
      </c>
      <c r="C692">
        <v>0</v>
      </c>
      <c r="D692">
        <v>1610612752</v>
      </c>
      <c r="E692" s="1" t="s">
        <v>1248</v>
      </c>
      <c r="F692">
        <v>290</v>
      </c>
      <c r="G692">
        <v>3</v>
      </c>
      <c r="H692">
        <v>0</v>
      </c>
      <c r="I692">
        <v>80</v>
      </c>
      <c r="J692">
        <v>2</v>
      </c>
      <c r="K692">
        <v>5</v>
      </c>
      <c r="L692">
        <v>4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3</v>
      </c>
      <c r="AA692">
        <v>4</v>
      </c>
      <c r="AB692" s="1" t="s">
        <v>1637</v>
      </c>
    </row>
    <row r="693" spans="1:28" x14ac:dyDescent="0.3">
      <c r="A693">
        <v>77287</v>
      </c>
      <c r="B693" s="1" t="s">
        <v>1362</v>
      </c>
      <c r="C693">
        <v>0</v>
      </c>
      <c r="D693">
        <v>1610612752</v>
      </c>
      <c r="E693" s="1" t="s">
        <v>1248</v>
      </c>
      <c r="F693">
        <v>500</v>
      </c>
      <c r="G693">
        <v>2</v>
      </c>
      <c r="I693">
        <v>290</v>
      </c>
      <c r="J693">
        <v>3</v>
      </c>
      <c r="K693">
        <v>7</v>
      </c>
      <c r="L693">
        <v>429</v>
      </c>
      <c r="P693">
        <v>1</v>
      </c>
      <c r="Q693">
        <v>1</v>
      </c>
      <c r="R693">
        <v>10</v>
      </c>
      <c r="U693">
        <v>10</v>
      </c>
      <c r="V693">
        <v>8</v>
      </c>
      <c r="Z693">
        <v>6</v>
      </c>
      <c r="AA693">
        <v>7</v>
      </c>
      <c r="AB693" s="1" t="s">
        <v>1638</v>
      </c>
    </row>
    <row r="694" spans="1:28" x14ac:dyDescent="0.3">
      <c r="A694">
        <v>76891</v>
      </c>
      <c r="B694" s="1" t="s">
        <v>1362</v>
      </c>
      <c r="C694">
        <v>0</v>
      </c>
      <c r="D694">
        <v>1610612752</v>
      </c>
      <c r="E694" s="1" t="s">
        <v>1248</v>
      </c>
      <c r="F694">
        <v>260</v>
      </c>
      <c r="G694">
        <v>7</v>
      </c>
      <c r="I694">
        <v>450</v>
      </c>
      <c r="J694">
        <v>7</v>
      </c>
      <c r="K694">
        <v>19</v>
      </c>
      <c r="L694">
        <v>368</v>
      </c>
      <c r="P694">
        <v>2</v>
      </c>
      <c r="Q694">
        <v>8</v>
      </c>
      <c r="R694">
        <v>25</v>
      </c>
      <c r="U694">
        <v>110</v>
      </c>
      <c r="V694">
        <v>7</v>
      </c>
      <c r="Z694">
        <v>9</v>
      </c>
      <c r="AA694">
        <v>16</v>
      </c>
      <c r="AB694" s="1" t="s">
        <v>1639</v>
      </c>
    </row>
    <row r="695" spans="1:28" x14ac:dyDescent="0.3">
      <c r="A695">
        <v>76530</v>
      </c>
      <c r="B695" s="1" t="s">
        <v>1468</v>
      </c>
      <c r="C695">
        <v>0</v>
      </c>
      <c r="D695">
        <v>1610612752</v>
      </c>
      <c r="E695" s="1" t="s">
        <v>1248</v>
      </c>
      <c r="F695">
        <v>260</v>
      </c>
      <c r="G695">
        <v>8</v>
      </c>
      <c r="H695">
        <v>0</v>
      </c>
      <c r="I695">
        <v>280</v>
      </c>
      <c r="J695">
        <v>4</v>
      </c>
      <c r="K695">
        <v>10</v>
      </c>
      <c r="L695">
        <v>4</v>
      </c>
      <c r="M695">
        <v>0</v>
      </c>
      <c r="N695">
        <v>0</v>
      </c>
      <c r="O695">
        <v>0</v>
      </c>
      <c r="P695">
        <v>6</v>
      </c>
      <c r="Q695">
        <v>10</v>
      </c>
      <c r="R695">
        <v>6</v>
      </c>
      <c r="S695">
        <v>30</v>
      </c>
      <c r="T695">
        <v>70</v>
      </c>
      <c r="U695">
        <v>100</v>
      </c>
      <c r="V695">
        <v>0</v>
      </c>
      <c r="W695">
        <v>0</v>
      </c>
      <c r="X695">
        <v>40</v>
      </c>
      <c r="Y695">
        <v>0</v>
      </c>
      <c r="Z695">
        <v>4</v>
      </c>
      <c r="AA695">
        <v>14</v>
      </c>
      <c r="AB695" s="1" t="s">
        <v>1640</v>
      </c>
    </row>
    <row r="696" spans="1:28" x14ac:dyDescent="0.3">
      <c r="A696">
        <v>77906</v>
      </c>
      <c r="B696" s="1" t="s">
        <v>1321</v>
      </c>
      <c r="C696">
        <v>0</v>
      </c>
      <c r="D696">
        <v>1610612752</v>
      </c>
      <c r="E696" s="1" t="s">
        <v>1248</v>
      </c>
      <c r="F696">
        <v>220</v>
      </c>
      <c r="G696">
        <v>11</v>
      </c>
      <c r="I696">
        <v>1950</v>
      </c>
      <c r="J696">
        <v>39</v>
      </c>
      <c r="K696">
        <v>96</v>
      </c>
      <c r="L696">
        <v>406</v>
      </c>
      <c r="P696">
        <v>19</v>
      </c>
      <c r="Q696">
        <v>33</v>
      </c>
      <c r="R696">
        <v>576</v>
      </c>
      <c r="U696">
        <v>660</v>
      </c>
      <c r="V696">
        <v>9</v>
      </c>
      <c r="Z696">
        <v>25</v>
      </c>
      <c r="AA696">
        <v>97</v>
      </c>
      <c r="AB696" s="1" t="s">
        <v>1641</v>
      </c>
    </row>
    <row r="697" spans="1:28" x14ac:dyDescent="0.3">
      <c r="A697">
        <v>77770</v>
      </c>
      <c r="B697" s="1" t="s">
        <v>1468</v>
      </c>
      <c r="C697">
        <v>0</v>
      </c>
      <c r="D697">
        <v>1610612752</v>
      </c>
      <c r="E697" s="1" t="s">
        <v>1248</v>
      </c>
      <c r="F697">
        <v>250</v>
      </c>
      <c r="G697">
        <v>82</v>
      </c>
      <c r="H697">
        <v>140</v>
      </c>
      <c r="I697">
        <v>16660</v>
      </c>
      <c r="J697">
        <v>274</v>
      </c>
      <c r="K697">
        <v>593</v>
      </c>
      <c r="L697">
        <v>462</v>
      </c>
      <c r="M697">
        <v>0</v>
      </c>
      <c r="N697">
        <v>20</v>
      </c>
      <c r="O697">
        <v>0</v>
      </c>
      <c r="P697">
        <v>140</v>
      </c>
      <c r="Q697">
        <v>175</v>
      </c>
      <c r="R697">
        <v>8</v>
      </c>
      <c r="S697">
        <v>940</v>
      </c>
      <c r="T697">
        <v>1340</v>
      </c>
      <c r="U697">
        <v>2280</v>
      </c>
      <c r="V697">
        <v>94</v>
      </c>
      <c r="W697">
        <v>640</v>
      </c>
      <c r="X697">
        <v>240</v>
      </c>
      <c r="Y697">
        <v>930</v>
      </c>
      <c r="Z697">
        <v>134</v>
      </c>
      <c r="AA697">
        <v>688</v>
      </c>
      <c r="AB697" s="1" t="s">
        <v>1642</v>
      </c>
    </row>
    <row r="698" spans="1:28" x14ac:dyDescent="0.3">
      <c r="A698">
        <v>77770</v>
      </c>
      <c r="B698" s="1" t="s">
        <v>1469</v>
      </c>
      <c r="C698">
        <v>0</v>
      </c>
      <c r="D698">
        <v>1610612752</v>
      </c>
      <c r="E698" s="1" t="s">
        <v>1248</v>
      </c>
      <c r="F698">
        <v>260</v>
      </c>
      <c r="G698">
        <v>78</v>
      </c>
      <c r="H698">
        <v>200</v>
      </c>
      <c r="I698">
        <v>16400</v>
      </c>
      <c r="J698">
        <v>262</v>
      </c>
      <c r="K698">
        <v>572</v>
      </c>
      <c r="L698">
        <v>458</v>
      </c>
      <c r="M698">
        <v>0</v>
      </c>
      <c r="N698">
        <v>0</v>
      </c>
      <c r="O698">
        <v>0</v>
      </c>
      <c r="P698">
        <v>173</v>
      </c>
      <c r="Q698">
        <v>211</v>
      </c>
      <c r="R698">
        <v>82</v>
      </c>
      <c r="S698">
        <v>1010</v>
      </c>
      <c r="T698">
        <v>1270</v>
      </c>
      <c r="U698">
        <v>2280</v>
      </c>
      <c r="V698">
        <v>61</v>
      </c>
      <c r="W698">
        <v>660</v>
      </c>
      <c r="X698">
        <v>170</v>
      </c>
      <c r="Y698">
        <v>950</v>
      </c>
      <c r="Z698">
        <v>142</v>
      </c>
      <c r="AA698">
        <v>697</v>
      </c>
      <c r="AB698" s="1" t="s">
        <v>1642</v>
      </c>
    </row>
    <row r="699" spans="1:28" x14ac:dyDescent="0.3">
      <c r="A699">
        <v>77770</v>
      </c>
      <c r="B699" s="1" t="s">
        <v>1406</v>
      </c>
      <c r="C699">
        <v>0</v>
      </c>
      <c r="D699">
        <v>1610612752</v>
      </c>
      <c r="E699" s="1" t="s">
        <v>1248</v>
      </c>
      <c r="F699">
        <v>270</v>
      </c>
      <c r="G699">
        <v>79</v>
      </c>
      <c r="H699">
        <v>310</v>
      </c>
      <c r="I699">
        <v>24520</v>
      </c>
      <c r="J699">
        <v>372</v>
      </c>
      <c r="K699">
        <v>766</v>
      </c>
      <c r="L699">
        <v>486</v>
      </c>
      <c r="M699">
        <v>10</v>
      </c>
      <c r="N699">
        <v>100</v>
      </c>
      <c r="O699">
        <v>1</v>
      </c>
      <c r="P699">
        <v>262</v>
      </c>
      <c r="Q699">
        <v>334</v>
      </c>
      <c r="R699">
        <v>784</v>
      </c>
      <c r="S699">
        <v>1710</v>
      </c>
      <c r="T699">
        <v>2200</v>
      </c>
      <c r="U699">
        <v>3910</v>
      </c>
      <c r="V699">
        <v>134</v>
      </c>
      <c r="W699">
        <v>1000</v>
      </c>
      <c r="X699">
        <v>270</v>
      </c>
      <c r="Y699">
        <v>1380</v>
      </c>
      <c r="Z699">
        <v>195</v>
      </c>
      <c r="AA699">
        <v>1007</v>
      </c>
      <c r="AB699" s="1" t="s">
        <v>1642</v>
      </c>
    </row>
    <row r="700" spans="1:28" x14ac:dyDescent="0.3">
      <c r="A700">
        <v>77770</v>
      </c>
      <c r="B700" s="1" t="s">
        <v>1392</v>
      </c>
      <c r="C700">
        <v>0</v>
      </c>
      <c r="D700">
        <v>1610612752</v>
      </c>
      <c r="E700" s="1" t="s">
        <v>1248</v>
      </c>
      <c r="F700">
        <v>280</v>
      </c>
      <c r="G700">
        <v>74</v>
      </c>
      <c r="H700">
        <v>640</v>
      </c>
      <c r="I700">
        <v>22370</v>
      </c>
      <c r="J700">
        <v>330</v>
      </c>
      <c r="K700">
        <v>741</v>
      </c>
      <c r="L700">
        <v>445</v>
      </c>
      <c r="M700">
        <v>0</v>
      </c>
      <c r="N700">
        <v>40</v>
      </c>
      <c r="O700">
        <v>0</v>
      </c>
      <c r="P700">
        <v>218</v>
      </c>
      <c r="Q700">
        <v>278</v>
      </c>
      <c r="R700">
        <v>784</v>
      </c>
      <c r="S700">
        <v>1230</v>
      </c>
      <c r="T700">
        <v>1890</v>
      </c>
      <c r="U700">
        <v>3120</v>
      </c>
      <c r="V700">
        <v>179</v>
      </c>
      <c r="W700">
        <v>610</v>
      </c>
      <c r="X700">
        <v>260</v>
      </c>
      <c r="Y700">
        <v>1180</v>
      </c>
      <c r="Z700">
        <v>177</v>
      </c>
      <c r="AA700">
        <v>878</v>
      </c>
      <c r="AB700" s="1" t="s">
        <v>1642</v>
      </c>
    </row>
    <row r="701" spans="1:28" x14ac:dyDescent="0.3">
      <c r="A701">
        <v>77770</v>
      </c>
      <c r="B701" s="1" t="s">
        <v>1394</v>
      </c>
      <c r="C701">
        <v>0</v>
      </c>
      <c r="D701">
        <v>1610612752</v>
      </c>
      <c r="E701" s="1" t="s">
        <v>1248</v>
      </c>
      <c r="F701">
        <v>290</v>
      </c>
      <c r="G701">
        <v>65</v>
      </c>
      <c r="H701">
        <v>80</v>
      </c>
      <c r="I701">
        <v>14400</v>
      </c>
      <c r="J701">
        <v>166</v>
      </c>
      <c r="K701">
        <v>389</v>
      </c>
      <c r="L701">
        <v>427</v>
      </c>
      <c r="M701">
        <v>10</v>
      </c>
      <c r="N701">
        <v>50</v>
      </c>
      <c r="O701">
        <v>2</v>
      </c>
      <c r="P701">
        <v>125</v>
      </c>
      <c r="Q701">
        <v>172</v>
      </c>
      <c r="R701">
        <v>727</v>
      </c>
      <c r="S701">
        <v>1020</v>
      </c>
      <c r="T701">
        <v>1300</v>
      </c>
      <c r="U701">
        <v>2320</v>
      </c>
      <c r="V701">
        <v>110</v>
      </c>
      <c r="W701">
        <v>470</v>
      </c>
      <c r="X701">
        <v>180</v>
      </c>
      <c r="Y701">
        <v>700</v>
      </c>
      <c r="Z701">
        <v>123</v>
      </c>
      <c r="AA701">
        <v>458</v>
      </c>
      <c r="AB701" s="1" t="s">
        <v>1642</v>
      </c>
    </row>
    <row r="702" spans="1:28" x14ac:dyDescent="0.3">
      <c r="A702">
        <v>77770</v>
      </c>
      <c r="B702" s="1" t="s">
        <v>1253</v>
      </c>
      <c r="C702">
        <v>0</v>
      </c>
      <c r="D702">
        <v>1610612752</v>
      </c>
      <c r="E702" s="1" t="s">
        <v>1248</v>
      </c>
      <c r="F702">
        <v>300</v>
      </c>
      <c r="G702">
        <v>29</v>
      </c>
      <c r="H702">
        <v>0</v>
      </c>
      <c r="I702">
        <v>1800</v>
      </c>
      <c r="J702">
        <v>16</v>
      </c>
      <c r="K702">
        <v>50</v>
      </c>
      <c r="L702">
        <v>32</v>
      </c>
      <c r="M702">
        <v>0</v>
      </c>
      <c r="N702">
        <v>10</v>
      </c>
      <c r="O702">
        <v>0</v>
      </c>
      <c r="P702">
        <v>8</v>
      </c>
      <c r="Q702">
        <v>16</v>
      </c>
      <c r="R702">
        <v>5</v>
      </c>
      <c r="S702">
        <v>130</v>
      </c>
      <c r="T702">
        <v>210</v>
      </c>
      <c r="U702">
        <v>340</v>
      </c>
      <c r="V702">
        <v>9</v>
      </c>
      <c r="W702">
        <v>60</v>
      </c>
      <c r="X702">
        <v>0</v>
      </c>
      <c r="Y702">
        <v>140</v>
      </c>
      <c r="Z702">
        <v>27</v>
      </c>
      <c r="AA702">
        <v>40</v>
      </c>
      <c r="AB702" s="1" t="s">
        <v>1642</v>
      </c>
    </row>
    <row r="703" spans="1:28" x14ac:dyDescent="0.3">
      <c r="A703">
        <v>293</v>
      </c>
      <c r="B703" s="1" t="s">
        <v>1273</v>
      </c>
      <c r="C703">
        <v>0</v>
      </c>
      <c r="D703">
        <v>1610612752</v>
      </c>
      <c r="E703" s="1" t="s">
        <v>1248</v>
      </c>
      <c r="F703">
        <v>270</v>
      </c>
      <c r="G703">
        <v>81</v>
      </c>
      <c r="H703">
        <v>680</v>
      </c>
      <c r="I703">
        <v>21720</v>
      </c>
      <c r="J703">
        <v>358</v>
      </c>
      <c r="K703">
        <v>764</v>
      </c>
      <c r="L703">
        <v>469</v>
      </c>
      <c r="M703">
        <v>0</v>
      </c>
      <c r="N703">
        <v>20</v>
      </c>
      <c r="O703">
        <v>0</v>
      </c>
      <c r="P703">
        <v>287</v>
      </c>
      <c r="Q703">
        <v>367</v>
      </c>
      <c r="R703">
        <v>782</v>
      </c>
      <c r="S703">
        <v>1700</v>
      </c>
      <c r="T703">
        <v>2620</v>
      </c>
      <c r="U703">
        <v>4320</v>
      </c>
      <c r="V703">
        <v>142</v>
      </c>
      <c r="W703">
        <v>480</v>
      </c>
      <c r="X703">
        <v>960</v>
      </c>
      <c r="Y703">
        <v>1550</v>
      </c>
      <c r="Z703">
        <v>254</v>
      </c>
      <c r="AA703">
        <v>1003</v>
      </c>
      <c r="AB703" s="1" t="s">
        <v>1643</v>
      </c>
    </row>
    <row r="704" spans="1:28" x14ac:dyDescent="0.3">
      <c r="A704">
        <v>293</v>
      </c>
      <c r="B704" s="1" t="s">
        <v>1274</v>
      </c>
      <c r="C704">
        <v>0</v>
      </c>
      <c r="D704">
        <v>1610612752</v>
      </c>
      <c r="E704" s="1" t="s">
        <v>1248</v>
      </c>
      <c r="F704">
        <v>280</v>
      </c>
      <c r="G704">
        <v>43</v>
      </c>
      <c r="H704">
        <v>210</v>
      </c>
      <c r="I704">
        <v>11050</v>
      </c>
      <c r="J704">
        <v>176</v>
      </c>
      <c r="K704">
        <v>397</v>
      </c>
      <c r="L704">
        <v>443</v>
      </c>
      <c r="M704">
        <v>80</v>
      </c>
      <c r="N704">
        <v>160</v>
      </c>
      <c r="O704">
        <v>5</v>
      </c>
      <c r="P704">
        <v>87</v>
      </c>
      <c r="Q704">
        <v>121</v>
      </c>
      <c r="R704">
        <v>719</v>
      </c>
      <c r="S704">
        <v>660</v>
      </c>
      <c r="T704">
        <v>990</v>
      </c>
      <c r="U704">
        <v>1650</v>
      </c>
      <c r="V704">
        <v>50</v>
      </c>
      <c r="W704">
        <v>260</v>
      </c>
      <c r="X704">
        <v>450</v>
      </c>
      <c r="Y704">
        <v>640</v>
      </c>
      <c r="Z704">
        <v>144</v>
      </c>
      <c r="AA704">
        <v>447</v>
      </c>
      <c r="AB704" s="1" t="s">
        <v>1643</v>
      </c>
    </row>
    <row r="705" spans="1:28" x14ac:dyDescent="0.3">
      <c r="A705">
        <v>293</v>
      </c>
      <c r="B705" s="1" t="s">
        <v>1275</v>
      </c>
      <c r="C705">
        <v>0</v>
      </c>
      <c r="D705">
        <v>1610612752</v>
      </c>
      <c r="E705" s="1" t="s">
        <v>1248</v>
      </c>
      <c r="F705">
        <v>290</v>
      </c>
      <c r="G705">
        <v>76</v>
      </c>
      <c r="H705">
        <v>580</v>
      </c>
      <c r="I705">
        <v>21500</v>
      </c>
      <c r="J705">
        <v>352</v>
      </c>
      <c r="K705">
        <v>747</v>
      </c>
      <c r="L705">
        <v>471</v>
      </c>
      <c r="M705">
        <v>70</v>
      </c>
      <c r="N705">
        <v>310</v>
      </c>
      <c r="O705">
        <v>226</v>
      </c>
      <c r="P705">
        <v>255</v>
      </c>
      <c r="Q705">
        <v>322</v>
      </c>
      <c r="R705">
        <v>792</v>
      </c>
      <c r="S705">
        <v>1440</v>
      </c>
      <c r="T705">
        <v>1800</v>
      </c>
      <c r="U705">
        <v>3240</v>
      </c>
      <c r="V705">
        <v>120</v>
      </c>
      <c r="W705">
        <v>490</v>
      </c>
      <c r="X705">
        <v>950</v>
      </c>
      <c r="Y705">
        <v>1470</v>
      </c>
      <c r="Z705">
        <v>286</v>
      </c>
      <c r="AA705">
        <v>966</v>
      </c>
      <c r="AB705" s="1" t="s">
        <v>1643</v>
      </c>
    </row>
    <row r="706" spans="1:28" x14ac:dyDescent="0.3">
      <c r="A706">
        <v>293</v>
      </c>
      <c r="B706" s="1" t="s">
        <v>1276</v>
      </c>
      <c r="C706">
        <v>0</v>
      </c>
      <c r="D706">
        <v>1610612752</v>
      </c>
      <c r="E706" s="1" t="s">
        <v>1248</v>
      </c>
      <c r="F706">
        <v>300</v>
      </c>
      <c r="G706">
        <v>41</v>
      </c>
      <c r="H706">
        <v>40</v>
      </c>
      <c r="I706">
        <v>8900</v>
      </c>
      <c r="J706">
        <v>114</v>
      </c>
      <c r="K706">
        <v>294</v>
      </c>
      <c r="L706">
        <v>388</v>
      </c>
      <c r="M706">
        <v>20</v>
      </c>
      <c r="N706">
        <v>150</v>
      </c>
      <c r="O706">
        <v>133</v>
      </c>
      <c r="P706">
        <v>73</v>
      </c>
      <c r="Q706">
        <v>103</v>
      </c>
      <c r="R706">
        <v>709</v>
      </c>
      <c r="S706">
        <v>590</v>
      </c>
      <c r="T706">
        <v>1010</v>
      </c>
      <c r="U706">
        <v>1600</v>
      </c>
      <c r="V706">
        <v>29</v>
      </c>
      <c r="W706">
        <v>180</v>
      </c>
      <c r="X706">
        <v>510</v>
      </c>
      <c r="Y706">
        <v>610</v>
      </c>
      <c r="Z706">
        <v>124</v>
      </c>
      <c r="AA706">
        <v>303</v>
      </c>
      <c r="AB706" s="1" t="s">
        <v>1643</v>
      </c>
    </row>
    <row r="707" spans="1:28" x14ac:dyDescent="0.3">
      <c r="A707">
        <v>1123</v>
      </c>
      <c r="B707" s="1" t="s">
        <v>1275</v>
      </c>
      <c r="C707">
        <v>0</v>
      </c>
      <c r="D707">
        <v>1610612752</v>
      </c>
      <c r="E707" s="1" t="s">
        <v>1248</v>
      </c>
      <c r="F707">
        <v>330</v>
      </c>
      <c r="G707">
        <v>2</v>
      </c>
      <c r="H707">
        <v>0</v>
      </c>
      <c r="I707">
        <v>160</v>
      </c>
      <c r="J707">
        <v>0</v>
      </c>
      <c r="K707">
        <v>3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20</v>
      </c>
      <c r="T707">
        <v>20</v>
      </c>
      <c r="U707">
        <v>40</v>
      </c>
      <c r="V707">
        <v>0</v>
      </c>
      <c r="W707">
        <v>0</v>
      </c>
      <c r="X707">
        <v>0</v>
      </c>
      <c r="Y707">
        <v>10</v>
      </c>
      <c r="Z707">
        <v>2</v>
      </c>
      <c r="AA707">
        <v>0</v>
      </c>
      <c r="AB707" s="1" t="s">
        <v>1644</v>
      </c>
    </row>
    <row r="708" spans="1:28" x14ac:dyDescent="0.3">
      <c r="A708">
        <v>76876</v>
      </c>
      <c r="B708" s="1" t="s">
        <v>1253</v>
      </c>
      <c r="C708">
        <v>0</v>
      </c>
      <c r="D708">
        <v>1610612752</v>
      </c>
      <c r="E708" s="1" t="s">
        <v>1248</v>
      </c>
      <c r="F708">
        <v>270</v>
      </c>
      <c r="G708">
        <v>82</v>
      </c>
      <c r="H708">
        <v>650</v>
      </c>
      <c r="I708">
        <v>20490</v>
      </c>
      <c r="J708">
        <v>258</v>
      </c>
      <c r="K708">
        <v>585</v>
      </c>
      <c r="L708">
        <v>441</v>
      </c>
      <c r="M708">
        <v>0</v>
      </c>
      <c r="N708">
        <v>20</v>
      </c>
      <c r="O708">
        <v>0</v>
      </c>
      <c r="P708">
        <v>126</v>
      </c>
      <c r="Q708">
        <v>190</v>
      </c>
      <c r="R708">
        <v>663</v>
      </c>
      <c r="S708">
        <v>2210</v>
      </c>
      <c r="T708">
        <v>4210</v>
      </c>
      <c r="U708">
        <v>6420</v>
      </c>
      <c r="V708">
        <v>93</v>
      </c>
      <c r="W708">
        <v>650</v>
      </c>
      <c r="X708">
        <v>320</v>
      </c>
      <c r="Y708">
        <v>1480</v>
      </c>
      <c r="Z708">
        <v>318</v>
      </c>
      <c r="AA708">
        <v>642</v>
      </c>
      <c r="AB708" s="1" t="s">
        <v>1645</v>
      </c>
    </row>
    <row r="709" spans="1:28" x14ac:dyDescent="0.3">
      <c r="A709">
        <v>76876</v>
      </c>
      <c r="B709" s="1" t="s">
        <v>1268</v>
      </c>
      <c r="C709">
        <v>0</v>
      </c>
      <c r="D709">
        <v>1610612752</v>
      </c>
      <c r="E709" s="1" t="s">
        <v>1248</v>
      </c>
      <c r="F709">
        <v>280</v>
      </c>
      <c r="G709">
        <v>82</v>
      </c>
      <c r="H709">
        <v>0</v>
      </c>
      <c r="I709">
        <v>12770</v>
      </c>
      <c r="J709">
        <v>194</v>
      </c>
      <c r="K709">
        <v>422</v>
      </c>
      <c r="L709">
        <v>46</v>
      </c>
      <c r="M709">
        <v>0</v>
      </c>
      <c r="N709">
        <v>30</v>
      </c>
      <c r="O709">
        <v>0</v>
      </c>
      <c r="P709">
        <v>129</v>
      </c>
      <c r="Q709">
        <v>170</v>
      </c>
      <c r="R709">
        <v>759</v>
      </c>
      <c r="S709">
        <v>1570</v>
      </c>
      <c r="T709">
        <v>2370</v>
      </c>
      <c r="U709">
        <v>3940</v>
      </c>
      <c r="V709">
        <v>76</v>
      </c>
      <c r="W709">
        <v>470</v>
      </c>
      <c r="X709">
        <v>180</v>
      </c>
      <c r="Y709">
        <v>1250</v>
      </c>
      <c r="Z709">
        <v>172</v>
      </c>
      <c r="AA709">
        <v>517</v>
      </c>
      <c r="AB709" s="1" t="s">
        <v>1645</v>
      </c>
    </row>
    <row r="710" spans="1:28" x14ac:dyDescent="0.3">
      <c r="A710">
        <v>76529</v>
      </c>
      <c r="B710" s="1" t="s">
        <v>1357</v>
      </c>
      <c r="C710">
        <v>0</v>
      </c>
      <c r="D710">
        <v>1610612752</v>
      </c>
      <c r="E710" s="1" t="s">
        <v>1248</v>
      </c>
      <c r="F710">
        <v>230</v>
      </c>
      <c r="G710">
        <v>30</v>
      </c>
      <c r="I710">
        <v>1670</v>
      </c>
      <c r="J710">
        <v>33</v>
      </c>
      <c r="K710">
        <v>95</v>
      </c>
      <c r="L710">
        <v>347</v>
      </c>
      <c r="P710">
        <v>12</v>
      </c>
      <c r="Q710">
        <v>16</v>
      </c>
      <c r="R710">
        <v>75</v>
      </c>
      <c r="S710">
        <v>170</v>
      </c>
      <c r="T710">
        <v>370</v>
      </c>
      <c r="U710">
        <v>540</v>
      </c>
      <c r="V710">
        <v>8</v>
      </c>
      <c r="W710">
        <v>30</v>
      </c>
      <c r="X710">
        <v>40</v>
      </c>
      <c r="Z710">
        <v>36</v>
      </c>
      <c r="AA710">
        <v>78</v>
      </c>
      <c r="AB710" s="1" t="s">
        <v>1646</v>
      </c>
    </row>
    <row r="711" spans="1:28" x14ac:dyDescent="0.3">
      <c r="A711">
        <v>76529</v>
      </c>
      <c r="B711" s="1" t="s">
        <v>1358</v>
      </c>
      <c r="C711">
        <v>0</v>
      </c>
      <c r="D711">
        <v>1610612752</v>
      </c>
      <c r="E711" s="1" t="s">
        <v>1248</v>
      </c>
      <c r="F711">
        <v>240</v>
      </c>
      <c r="G711">
        <v>62</v>
      </c>
      <c r="I711">
        <v>9030</v>
      </c>
      <c r="J711">
        <v>154</v>
      </c>
      <c r="K711">
        <v>395</v>
      </c>
      <c r="L711">
        <v>39</v>
      </c>
      <c r="P711">
        <v>48</v>
      </c>
      <c r="Q711">
        <v>70</v>
      </c>
      <c r="R711">
        <v>686</v>
      </c>
      <c r="S711">
        <v>700</v>
      </c>
      <c r="T711">
        <v>2510</v>
      </c>
      <c r="U711">
        <v>3210</v>
      </c>
      <c r="V711">
        <v>54</v>
      </c>
      <c r="W711">
        <v>160</v>
      </c>
      <c r="X711">
        <v>80</v>
      </c>
      <c r="Z711">
        <v>105</v>
      </c>
      <c r="AA711">
        <v>356</v>
      </c>
      <c r="AB711" s="1" t="s">
        <v>1646</v>
      </c>
    </row>
    <row r="712" spans="1:28" x14ac:dyDescent="0.3">
      <c r="A712">
        <v>76529</v>
      </c>
      <c r="B712" s="1" t="s">
        <v>1261</v>
      </c>
      <c r="C712">
        <v>0</v>
      </c>
      <c r="D712">
        <v>1610612752</v>
      </c>
      <c r="E712" s="1" t="s">
        <v>1248</v>
      </c>
      <c r="F712">
        <v>250</v>
      </c>
      <c r="G712">
        <v>42</v>
      </c>
      <c r="I712">
        <v>4080</v>
      </c>
      <c r="J712">
        <v>76</v>
      </c>
      <c r="K712">
        <v>193</v>
      </c>
      <c r="L712">
        <v>394</v>
      </c>
      <c r="P712">
        <v>22</v>
      </c>
      <c r="Q712">
        <v>29</v>
      </c>
      <c r="R712">
        <v>759</v>
      </c>
      <c r="S712">
        <v>430</v>
      </c>
      <c r="T712">
        <v>1050</v>
      </c>
      <c r="U712">
        <v>1480</v>
      </c>
      <c r="V712">
        <v>31</v>
      </c>
      <c r="W712">
        <v>160</v>
      </c>
      <c r="X712">
        <v>50</v>
      </c>
      <c r="Z712">
        <v>56</v>
      </c>
      <c r="AA712">
        <v>174</v>
      </c>
      <c r="AB712" s="1" t="s">
        <v>1646</v>
      </c>
    </row>
    <row r="713" spans="1:28" x14ac:dyDescent="0.3">
      <c r="A713">
        <v>76529</v>
      </c>
      <c r="B713" s="1" t="s">
        <v>1263</v>
      </c>
      <c r="C713">
        <v>0</v>
      </c>
      <c r="D713">
        <v>1610612752</v>
      </c>
      <c r="E713" s="1" t="s">
        <v>1248</v>
      </c>
      <c r="F713">
        <v>260</v>
      </c>
      <c r="G713">
        <v>22</v>
      </c>
      <c r="I713">
        <v>3420</v>
      </c>
      <c r="J713">
        <v>41</v>
      </c>
      <c r="K713">
        <v>110</v>
      </c>
      <c r="L713">
        <v>373</v>
      </c>
      <c r="P713">
        <v>22</v>
      </c>
      <c r="Q713">
        <v>31</v>
      </c>
      <c r="R713">
        <v>71</v>
      </c>
      <c r="S713">
        <v>300</v>
      </c>
      <c r="T713">
        <v>700</v>
      </c>
      <c r="U713">
        <v>1000</v>
      </c>
      <c r="V713">
        <v>24</v>
      </c>
      <c r="W713">
        <v>90</v>
      </c>
      <c r="X713">
        <v>10</v>
      </c>
      <c r="Z713">
        <v>45</v>
      </c>
      <c r="AA713">
        <v>104</v>
      </c>
      <c r="AB713" s="1" t="s">
        <v>1646</v>
      </c>
    </row>
    <row r="714" spans="1:28" x14ac:dyDescent="0.3">
      <c r="A714">
        <v>78141</v>
      </c>
      <c r="B714" s="1" t="s">
        <v>1299</v>
      </c>
      <c r="C714">
        <v>0</v>
      </c>
      <c r="D714">
        <v>1610612752</v>
      </c>
      <c r="E714" s="1" t="s">
        <v>1248</v>
      </c>
      <c r="F714">
        <v>260</v>
      </c>
      <c r="G714">
        <v>4</v>
      </c>
      <c r="J714">
        <v>0</v>
      </c>
      <c r="K714">
        <v>0</v>
      </c>
      <c r="P714">
        <v>1</v>
      </c>
      <c r="Q714">
        <v>3</v>
      </c>
      <c r="R714">
        <v>333</v>
      </c>
      <c r="V714">
        <v>2</v>
      </c>
      <c r="Z714">
        <v>2</v>
      </c>
      <c r="AA714">
        <v>1</v>
      </c>
      <c r="AB714" s="1" t="s">
        <v>1647</v>
      </c>
    </row>
    <row r="715" spans="1:28" x14ac:dyDescent="0.3">
      <c r="A715">
        <v>1627850</v>
      </c>
      <c r="B715" s="1" t="s">
        <v>1281</v>
      </c>
      <c r="C715">
        <v>0</v>
      </c>
      <c r="D715">
        <v>1610612752</v>
      </c>
      <c r="E715" s="1" t="s">
        <v>1248</v>
      </c>
      <c r="F715">
        <v>240</v>
      </c>
      <c r="G715">
        <v>21</v>
      </c>
      <c r="H715">
        <v>10</v>
      </c>
      <c r="I715">
        <v>1700</v>
      </c>
      <c r="J715">
        <v>16</v>
      </c>
      <c r="K715">
        <v>30</v>
      </c>
      <c r="L715">
        <v>533</v>
      </c>
      <c r="M715">
        <v>0</v>
      </c>
      <c r="N715">
        <v>0</v>
      </c>
      <c r="O715">
        <v>0</v>
      </c>
      <c r="P715">
        <v>8</v>
      </c>
      <c r="Q715">
        <v>19</v>
      </c>
      <c r="R715">
        <v>421</v>
      </c>
      <c r="S715">
        <v>230</v>
      </c>
      <c r="T715">
        <v>280</v>
      </c>
      <c r="U715">
        <v>510</v>
      </c>
      <c r="V715">
        <v>10</v>
      </c>
      <c r="W715">
        <v>40</v>
      </c>
      <c r="X715">
        <v>40</v>
      </c>
      <c r="Y715">
        <v>120</v>
      </c>
      <c r="Z715">
        <v>23</v>
      </c>
      <c r="AA715">
        <v>40</v>
      </c>
      <c r="AB715" s="1" t="s">
        <v>1648</v>
      </c>
    </row>
    <row r="716" spans="1:28" x14ac:dyDescent="0.3">
      <c r="A716">
        <v>77279</v>
      </c>
      <c r="B716" s="1" t="s">
        <v>1323</v>
      </c>
      <c r="C716">
        <v>0</v>
      </c>
      <c r="D716">
        <v>1610612752</v>
      </c>
      <c r="E716" s="1" t="s">
        <v>1248</v>
      </c>
      <c r="F716">
        <v>240</v>
      </c>
      <c r="G716">
        <v>5</v>
      </c>
      <c r="I716">
        <v>130</v>
      </c>
      <c r="J716">
        <v>3</v>
      </c>
      <c r="K716">
        <v>6</v>
      </c>
      <c r="L716">
        <v>5</v>
      </c>
      <c r="P716">
        <v>2</v>
      </c>
      <c r="Q716">
        <v>4</v>
      </c>
      <c r="R716">
        <v>5</v>
      </c>
      <c r="U716">
        <v>10</v>
      </c>
      <c r="V716">
        <v>0</v>
      </c>
      <c r="Z716">
        <v>2</v>
      </c>
      <c r="AA716">
        <v>8</v>
      </c>
      <c r="AB716" s="1" t="s">
        <v>1649</v>
      </c>
    </row>
    <row r="717" spans="1:28" x14ac:dyDescent="0.3">
      <c r="A717">
        <v>76868</v>
      </c>
      <c r="B717" s="1" t="s">
        <v>1392</v>
      </c>
      <c r="C717">
        <v>0</v>
      </c>
      <c r="D717">
        <v>1610612752</v>
      </c>
      <c r="E717" s="1" t="s">
        <v>1248</v>
      </c>
      <c r="F717">
        <v>260</v>
      </c>
      <c r="G717">
        <v>7</v>
      </c>
      <c r="H717">
        <v>0</v>
      </c>
      <c r="I717">
        <v>720</v>
      </c>
      <c r="J717">
        <v>13</v>
      </c>
      <c r="K717">
        <v>27</v>
      </c>
      <c r="L717">
        <v>481</v>
      </c>
      <c r="M717">
        <v>0</v>
      </c>
      <c r="N717">
        <v>0</v>
      </c>
      <c r="P717">
        <v>5</v>
      </c>
      <c r="Q717">
        <v>9</v>
      </c>
      <c r="R717">
        <v>556</v>
      </c>
      <c r="S717">
        <v>120</v>
      </c>
      <c r="T717">
        <v>150</v>
      </c>
      <c r="U717">
        <v>270</v>
      </c>
      <c r="V717">
        <v>2</v>
      </c>
      <c r="W717">
        <v>40</v>
      </c>
      <c r="X717">
        <v>0</v>
      </c>
      <c r="Y717">
        <v>10</v>
      </c>
      <c r="Z717">
        <v>8</v>
      </c>
      <c r="AA717">
        <v>31</v>
      </c>
      <c r="AB717" s="1" t="s">
        <v>1650</v>
      </c>
    </row>
    <row r="718" spans="1:28" x14ac:dyDescent="0.3">
      <c r="A718">
        <v>93</v>
      </c>
      <c r="B718" s="1" t="s">
        <v>1273</v>
      </c>
      <c r="C718">
        <v>0</v>
      </c>
      <c r="D718">
        <v>1610612752</v>
      </c>
      <c r="E718" s="1" t="s">
        <v>1248</v>
      </c>
      <c r="F718">
        <v>230</v>
      </c>
      <c r="G718">
        <v>50</v>
      </c>
      <c r="H718">
        <v>20</v>
      </c>
      <c r="I718">
        <v>8150</v>
      </c>
      <c r="J718">
        <v>110</v>
      </c>
      <c r="K718">
        <v>251</v>
      </c>
      <c r="L718">
        <v>438</v>
      </c>
      <c r="M718">
        <v>60</v>
      </c>
      <c r="N718">
        <v>190</v>
      </c>
      <c r="O718">
        <v>316</v>
      </c>
      <c r="P718">
        <v>43</v>
      </c>
      <c r="Q718">
        <v>54</v>
      </c>
      <c r="R718">
        <v>796</v>
      </c>
      <c r="S718">
        <v>130</v>
      </c>
      <c r="T718">
        <v>430</v>
      </c>
      <c r="U718">
        <v>560</v>
      </c>
      <c r="V718">
        <v>83</v>
      </c>
      <c r="W718">
        <v>220</v>
      </c>
      <c r="X718">
        <v>40</v>
      </c>
      <c r="Y718">
        <v>450</v>
      </c>
      <c r="Z718">
        <v>71</v>
      </c>
      <c r="AA718">
        <v>269</v>
      </c>
      <c r="AB718" s="1" t="s">
        <v>1651</v>
      </c>
    </row>
    <row r="719" spans="1:28" x14ac:dyDescent="0.3">
      <c r="A719">
        <v>93</v>
      </c>
      <c r="B719" s="1" t="s">
        <v>1274</v>
      </c>
      <c r="C719">
        <v>0</v>
      </c>
      <c r="D719">
        <v>1610612752</v>
      </c>
      <c r="E719" s="1" t="s">
        <v>1248</v>
      </c>
      <c r="F719">
        <v>240</v>
      </c>
      <c r="G719">
        <v>56</v>
      </c>
      <c r="H719">
        <v>270</v>
      </c>
      <c r="I719">
        <v>13330</v>
      </c>
      <c r="J719">
        <v>238</v>
      </c>
      <c r="K719">
        <v>505</v>
      </c>
      <c r="L719">
        <v>471</v>
      </c>
      <c r="M719">
        <v>530</v>
      </c>
      <c r="N719">
        <v>1320</v>
      </c>
      <c r="O719">
        <v>402</v>
      </c>
      <c r="P719">
        <v>85</v>
      </c>
      <c r="Q719">
        <v>103</v>
      </c>
      <c r="R719">
        <v>825</v>
      </c>
      <c r="S719">
        <v>230</v>
      </c>
      <c r="T719">
        <v>440</v>
      </c>
      <c r="U719">
        <v>670</v>
      </c>
      <c r="V719">
        <v>165</v>
      </c>
      <c r="W719">
        <v>400</v>
      </c>
      <c r="X719">
        <v>40</v>
      </c>
      <c r="Y719">
        <v>760</v>
      </c>
      <c r="Z719">
        <v>118</v>
      </c>
      <c r="AA719">
        <v>614</v>
      </c>
      <c r="AB719" s="1" t="s">
        <v>1651</v>
      </c>
    </row>
    <row r="720" spans="1:28" x14ac:dyDescent="0.3">
      <c r="A720">
        <v>93</v>
      </c>
      <c r="B720" s="1" t="s">
        <v>1275</v>
      </c>
      <c r="C720">
        <v>0</v>
      </c>
      <c r="D720">
        <v>1610612752</v>
      </c>
      <c r="E720" s="1" t="s">
        <v>1248</v>
      </c>
      <c r="F720">
        <v>250</v>
      </c>
      <c r="G720">
        <v>82</v>
      </c>
      <c r="H720">
        <v>40</v>
      </c>
      <c r="I720">
        <v>16970</v>
      </c>
      <c r="J720">
        <v>296</v>
      </c>
      <c r="K720">
        <v>617</v>
      </c>
      <c r="L720">
        <v>48</v>
      </c>
      <c r="M720">
        <v>1310</v>
      </c>
      <c r="N720">
        <v>2880</v>
      </c>
      <c r="O720">
        <v>455</v>
      </c>
      <c r="P720">
        <v>97</v>
      </c>
      <c r="Q720">
        <v>120</v>
      </c>
      <c r="R720">
        <v>808</v>
      </c>
      <c r="S720">
        <v>300</v>
      </c>
      <c r="T720">
        <v>800</v>
      </c>
      <c r="U720">
        <v>1100</v>
      </c>
      <c r="V720">
        <v>150</v>
      </c>
      <c r="W720">
        <v>350</v>
      </c>
      <c r="X720">
        <v>110</v>
      </c>
      <c r="Y720">
        <v>870</v>
      </c>
      <c r="Z720">
        <v>146</v>
      </c>
      <c r="AA720">
        <v>820</v>
      </c>
      <c r="AB720" s="1" t="s">
        <v>1651</v>
      </c>
    </row>
    <row r="721" spans="1:28" x14ac:dyDescent="0.3">
      <c r="A721">
        <v>93</v>
      </c>
      <c r="B721" s="1" t="s">
        <v>1276</v>
      </c>
      <c r="C721">
        <v>0</v>
      </c>
      <c r="D721">
        <v>1610612752</v>
      </c>
      <c r="E721" s="1" t="s">
        <v>1248</v>
      </c>
      <c r="F721">
        <v>260</v>
      </c>
      <c r="G721">
        <v>74</v>
      </c>
      <c r="H721">
        <v>140</v>
      </c>
      <c r="I721">
        <v>17730</v>
      </c>
      <c r="J721">
        <v>275</v>
      </c>
      <c r="K721">
        <v>566</v>
      </c>
      <c r="L721">
        <v>486</v>
      </c>
      <c r="M721">
        <v>1270</v>
      </c>
      <c r="N721">
        <v>2670</v>
      </c>
      <c r="O721">
        <v>476</v>
      </c>
      <c r="P721">
        <v>112</v>
      </c>
      <c r="Q721">
        <v>129</v>
      </c>
      <c r="R721">
        <v>868</v>
      </c>
      <c r="S721">
        <v>350</v>
      </c>
      <c r="T721">
        <v>880</v>
      </c>
      <c r="U721">
        <v>1230</v>
      </c>
      <c r="V721">
        <v>103</v>
      </c>
      <c r="W721">
        <v>310</v>
      </c>
      <c r="X721">
        <v>80</v>
      </c>
      <c r="Y721">
        <v>630</v>
      </c>
      <c r="Z721">
        <v>120</v>
      </c>
      <c r="AA721">
        <v>789</v>
      </c>
      <c r="AB721" s="1" t="s">
        <v>1651</v>
      </c>
    </row>
    <row r="722" spans="1:28" x14ac:dyDescent="0.3">
      <c r="A722">
        <v>101194</v>
      </c>
      <c r="B722" s="1" t="s">
        <v>1304</v>
      </c>
      <c r="C722">
        <v>0</v>
      </c>
      <c r="D722">
        <v>1610612752</v>
      </c>
      <c r="E722" s="1" t="s">
        <v>1248</v>
      </c>
      <c r="F722">
        <v>260</v>
      </c>
      <c r="G722">
        <v>23</v>
      </c>
      <c r="H722">
        <v>0</v>
      </c>
      <c r="I722">
        <v>2530</v>
      </c>
      <c r="J722">
        <v>39</v>
      </c>
      <c r="K722">
        <v>103</v>
      </c>
      <c r="L722">
        <v>379</v>
      </c>
      <c r="M722">
        <v>240</v>
      </c>
      <c r="N722">
        <v>710</v>
      </c>
      <c r="O722">
        <v>338</v>
      </c>
      <c r="P722">
        <v>5</v>
      </c>
      <c r="Q722">
        <v>5</v>
      </c>
      <c r="R722">
        <v>10</v>
      </c>
      <c r="S722">
        <v>40</v>
      </c>
      <c r="T722">
        <v>110</v>
      </c>
      <c r="U722">
        <v>150</v>
      </c>
      <c r="V722">
        <v>19</v>
      </c>
      <c r="W722">
        <v>100</v>
      </c>
      <c r="X722">
        <v>10</v>
      </c>
      <c r="Y722">
        <v>70</v>
      </c>
      <c r="Z722">
        <v>18</v>
      </c>
      <c r="AA722">
        <v>107</v>
      </c>
      <c r="AB722" s="1" t="s">
        <v>1652</v>
      </c>
    </row>
    <row r="723" spans="1:28" x14ac:dyDescent="0.3">
      <c r="A723">
        <v>600009</v>
      </c>
      <c r="B723" s="1" t="s">
        <v>1468</v>
      </c>
      <c r="C723">
        <v>0</v>
      </c>
      <c r="D723">
        <v>1610612752</v>
      </c>
      <c r="E723" s="1" t="s">
        <v>1248</v>
      </c>
      <c r="F723">
        <v>250</v>
      </c>
      <c r="G723">
        <v>32</v>
      </c>
      <c r="H723">
        <v>90</v>
      </c>
      <c r="I723">
        <v>8800</v>
      </c>
      <c r="J723">
        <v>128</v>
      </c>
      <c r="K723">
        <v>298</v>
      </c>
      <c r="L723">
        <v>43</v>
      </c>
      <c r="M723">
        <v>20</v>
      </c>
      <c r="N723">
        <v>70</v>
      </c>
      <c r="O723">
        <v>286</v>
      </c>
      <c r="P723">
        <v>63</v>
      </c>
      <c r="Q723">
        <v>86</v>
      </c>
      <c r="R723">
        <v>733</v>
      </c>
      <c r="S723">
        <v>220</v>
      </c>
      <c r="T723">
        <v>670</v>
      </c>
      <c r="U723">
        <v>890</v>
      </c>
      <c r="V723">
        <v>159</v>
      </c>
      <c r="W723">
        <v>370</v>
      </c>
      <c r="X723">
        <v>40</v>
      </c>
      <c r="Y723">
        <v>710</v>
      </c>
      <c r="Z723">
        <v>93</v>
      </c>
      <c r="AA723">
        <v>321</v>
      </c>
      <c r="AB723" s="1" t="s">
        <v>1653</v>
      </c>
    </row>
    <row r="724" spans="1:28" x14ac:dyDescent="0.3">
      <c r="A724">
        <v>600009</v>
      </c>
      <c r="B724" s="1" t="s">
        <v>1469</v>
      </c>
      <c r="C724">
        <v>0</v>
      </c>
      <c r="D724">
        <v>1610612752</v>
      </c>
      <c r="E724" s="1" t="s">
        <v>1248</v>
      </c>
      <c r="F724">
        <v>260</v>
      </c>
      <c r="G724">
        <v>79</v>
      </c>
      <c r="H724">
        <v>740</v>
      </c>
      <c r="I724">
        <v>24360</v>
      </c>
      <c r="J724">
        <v>350</v>
      </c>
      <c r="K724">
        <v>738</v>
      </c>
      <c r="L724">
        <v>474</v>
      </c>
      <c r="M724">
        <v>100</v>
      </c>
      <c r="N724">
        <v>390</v>
      </c>
      <c r="O724">
        <v>256</v>
      </c>
      <c r="P724">
        <v>108</v>
      </c>
      <c r="Q724">
        <v>131</v>
      </c>
      <c r="R724">
        <v>824</v>
      </c>
      <c r="S724">
        <v>480</v>
      </c>
      <c r="T724">
        <v>1410</v>
      </c>
      <c r="U724">
        <v>1890</v>
      </c>
      <c r="V724">
        <v>539</v>
      </c>
      <c r="W724">
        <v>1000</v>
      </c>
      <c r="X724">
        <v>80</v>
      </c>
      <c r="Y724">
        <v>2100</v>
      </c>
      <c r="Z724">
        <v>230</v>
      </c>
      <c r="AA724">
        <v>818</v>
      </c>
      <c r="AB724" s="1" t="s">
        <v>1653</v>
      </c>
    </row>
    <row r="725" spans="1:28" x14ac:dyDescent="0.3">
      <c r="A725">
        <v>600009</v>
      </c>
      <c r="B725" s="1" t="s">
        <v>1406</v>
      </c>
      <c r="C725">
        <v>0</v>
      </c>
      <c r="D725">
        <v>1610612752</v>
      </c>
      <c r="E725" s="1" t="s">
        <v>1248</v>
      </c>
      <c r="F725">
        <v>270</v>
      </c>
      <c r="G725">
        <v>79</v>
      </c>
      <c r="H725">
        <v>410</v>
      </c>
      <c r="I725">
        <v>22920</v>
      </c>
      <c r="J725">
        <v>326</v>
      </c>
      <c r="K725">
        <v>662</v>
      </c>
      <c r="L725">
        <v>492</v>
      </c>
      <c r="M725">
        <v>70</v>
      </c>
      <c r="N725">
        <v>310</v>
      </c>
      <c r="O725">
        <v>226</v>
      </c>
      <c r="P725">
        <v>122</v>
      </c>
      <c r="Q725">
        <v>141</v>
      </c>
      <c r="R725">
        <v>865</v>
      </c>
      <c r="S725">
        <v>380</v>
      </c>
      <c r="T725">
        <v>1310</v>
      </c>
      <c r="U725">
        <v>1690</v>
      </c>
      <c r="V725">
        <v>557</v>
      </c>
      <c r="W725">
        <v>810</v>
      </c>
      <c r="X725">
        <v>90</v>
      </c>
      <c r="Y725">
        <v>1500</v>
      </c>
      <c r="Z725">
        <v>200</v>
      </c>
      <c r="AA725">
        <v>781</v>
      </c>
      <c r="AB725" s="1" t="s">
        <v>1653</v>
      </c>
    </row>
    <row r="726" spans="1:28" x14ac:dyDescent="0.3">
      <c r="A726">
        <v>600009</v>
      </c>
      <c r="B726" s="1" t="s">
        <v>1392</v>
      </c>
      <c r="C726">
        <v>0</v>
      </c>
      <c r="D726">
        <v>1610612752</v>
      </c>
      <c r="E726" s="1" t="s">
        <v>1248</v>
      </c>
      <c r="F726">
        <v>280</v>
      </c>
      <c r="G726">
        <v>74</v>
      </c>
      <c r="H726">
        <v>740</v>
      </c>
      <c r="I726">
        <v>23440</v>
      </c>
      <c r="J726">
        <v>345</v>
      </c>
      <c r="K726">
        <v>723</v>
      </c>
      <c r="L726">
        <v>477</v>
      </c>
      <c r="M726">
        <v>50</v>
      </c>
      <c r="N726">
        <v>200</v>
      </c>
      <c r="O726">
        <v>25</v>
      </c>
      <c r="P726">
        <v>101</v>
      </c>
      <c r="Q726">
        <v>127</v>
      </c>
      <c r="R726">
        <v>795</v>
      </c>
      <c r="S726">
        <v>500</v>
      </c>
      <c r="T726">
        <v>1200</v>
      </c>
      <c r="U726">
        <v>1700</v>
      </c>
      <c r="V726">
        <v>472</v>
      </c>
      <c r="W726">
        <v>850</v>
      </c>
      <c r="X726">
        <v>140</v>
      </c>
      <c r="Y726">
        <v>1540</v>
      </c>
      <c r="Z726">
        <v>182</v>
      </c>
      <c r="AA726">
        <v>796</v>
      </c>
      <c r="AB726" s="1" t="s">
        <v>1653</v>
      </c>
    </row>
    <row r="727" spans="1:28" x14ac:dyDescent="0.3">
      <c r="A727">
        <v>600009</v>
      </c>
      <c r="B727" s="1" t="s">
        <v>1394</v>
      </c>
      <c r="C727">
        <v>0</v>
      </c>
      <c r="D727">
        <v>1610612752</v>
      </c>
      <c r="E727" s="1" t="s">
        <v>1248</v>
      </c>
      <c r="F727">
        <v>290</v>
      </c>
      <c r="G727">
        <v>80</v>
      </c>
      <c r="H727">
        <v>300</v>
      </c>
      <c r="I727">
        <v>19510</v>
      </c>
      <c r="J727">
        <v>263</v>
      </c>
      <c r="K727">
        <v>590</v>
      </c>
      <c r="L727">
        <v>446</v>
      </c>
      <c r="M727">
        <v>110</v>
      </c>
      <c r="N727">
        <v>420</v>
      </c>
      <c r="O727">
        <v>262</v>
      </c>
      <c r="P727">
        <v>71</v>
      </c>
      <c r="Q727">
        <v>89</v>
      </c>
      <c r="R727">
        <v>798</v>
      </c>
      <c r="S727">
        <v>290</v>
      </c>
      <c r="T727">
        <v>860</v>
      </c>
      <c r="U727">
        <v>1150</v>
      </c>
      <c r="V727">
        <v>432</v>
      </c>
      <c r="W727">
        <v>670</v>
      </c>
      <c r="X727">
        <v>60</v>
      </c>
      <c r="Y727">
        <v>1400</v>
      </c>
      <c r="Z727">
        <v>160</v>
      </c>
      <c r="AA727">
        <v>608</v>
      </c>
      <c r="AB727" s="1" t="s">
        <v>1653</v>
      </c>
    </row>
    <row r="728" spans="1:28" x14ac:dyDescent="0.3">
      <c r="A728">
        <v>600009</v>
      </c>
      <c r="B728" s="1" t="s">
        <v>1253</v>
      </c>
      <c r="C728">
        <v>0</v>
      </c>
      <c r="D728">
        <v>1610612752</v>
      </c>
      <c r="E728" s="1" t="s">
        <v>1248</v>
      </c>
      <c r="F728">
        <v>300</v>
      </c>
      <c r="G728">
        <v>3</v>
      </c>
      <c r="H728">
        <v>0</v>
      </c>
      <c r="I728">
        <v>520</v>
      </c>
      <c r="J728">
        <v>5</v>
      </c>
      <c r="K728">
        <v>19</v>
      </c>
      <c r="L728">
        <v>263</v>
      </c>
      <c r="M728">
        <v>0</v>
      </c>
      <c r="N728">
        <v>10</v>
      </c>
      <c r="O728">
        <v>0</v>
      </c>
      <c r="P728">
        <v>0</v>
      </c>
      <c r="Q728">
        <v>0</v>
      </c>
      <c r="R728">
        <v>0</v>
      </c>
      <c r="S728">
        <v>10</v>
      </c>
      <c r="T728">
        <v>10</v>
      </c>
      <c r="U728">
        <v>20</v>
      </c>
      <c r="V728">
        <v>5</v>
      </c>
      <c r="W728">
        <v>40</v>
      </c>
      <c r="X728">
        <v>0</v>
      </c>
      <c r="Y728">
        <v>60</v>
      </c>
      <c r="Z728">
        <v>7</v>
      </c>
      <c r="AA728">
        <v>10</v>
      </c>
      <c r="AB728" s="1" t="s">
        <v>1653</v>
      </c>
    </row>
    <row r="729" spans="1:28" x14ac:dyDescent="0.3">
      <c r="A729">
        <v>77264</v>
      </c>
      <c r="B729" s="1" t="s">
        <v>1468</v>
      </c>
      <c r="C729">
        <v>0</v>
      </c>
      <c r="D729">
        <v>1610612752</v>
      </c>
      <c r="E729" s="1" t="s">
        <v>1248</v>
      </c>
      <c r="F729">
        <v>260</v>
      </c>
      <c r="G729">
        <v>68</v>
      </c>
      <c r="H729">
        <v>680</v>
      </c>
      <c r="I729">
        <v>22070</v>
      </c>
      <c r="J729">
        <v>603</v>
      </c>
      <c r="K729">
        <v>1142</v>
      </c>
      <c r="L729">
        <v>528</v>
      </c>
      <c r="M729">
        <v>0</v>
      </c>
      <c r="N729">
        <v>60</v>
      </c>
      <c r="O729">
        <v>0</v>
      </c>
      <c r="P729">
        <v>280</v>
      </c>
      <c r="Q729">
        <v>388</v>
      </c>
      <c r="R729">
        <v>722</v>
      </c>
      <c r="S729">
        <v>990</v>
      </c>
      <c r="T729">
        <v>2270</v>
      </c>
      <c r="U729">
        <v>3260</v>
      </c>
      <c r="V729">
        <v>195</v>
      </c>
      <c r="W729">
        <v>900</v>
      </c>
      <c r="X729">
        <v>130</v>
      </c>
      <c r="Y729">
        <v>1970</v>
      </c>
      <c r="Z729">
        <v>233</v>
      </c>
      <c r="AA729">
        <v>1486</v>
      </c>
      <c r="AB729" s="1" t="s">
        <v>1654</v>
      </c>
    </row>
    <row r="730" spans="1:28" x14ac:dyDescent="0.3">
      <c r="A730">
        <v>77264</v>
      </c>
      <c r="B730" s="1" t="s">
        <v>1469</v>
      </c>
      <c r="C730">
        <v>0</v>
      </c>
      <c r="D730">
        <v>1610612752</v>
      </c>
      <c r="E730" s="1" t="s">
        <v>1248</v>
      </c>
      <c r="F730">
        <v>270</v>
      </c>
      <c r="G730">
        <v>77</v>
      </c>
      <c r="H730">
        <v>760</v>
      </c>
      <c r="I730">
        <v>26670</v>
      </c>
      <c r="J730">
        <v>795</v>
      </c>
      <c r="K730">
        <v>1391</v>
      </c>
      <c r="L730">
        <v>572</v>
      </c>
      <c r="M730">
        <v>0</v>
      </c>
      <c r="N730">
        <v>40</v>
      </c>
      <c r="O730">
        <v>0</v>
      </c>
      <c r="P730">
        <v>437</v>
      </c>
      <c r="Q730">
        <v>561</v>
      </c>
      <c r="R730">
        <v>779</v>
      </c>
      <c r="S730">
        <v>1230</v>
      </c>
      <c r="T730">
        <v>2710</v>
      </c>
      <c r="U730">
        <v>3940</v>
      </c>
      <c r="V730">
        <v>164</v>
      </c>
      <c r="W730">
        <v>750</v>
      </c>
      <c r="X730">
        <v>170</v>
      </c>
      <c r="Y730">
        <v>1970</v>
      </c>
      <c r="Z730">
        <v>273</v>
      </c>
      <c r="AA730">
        <v>2027</v>
      </c>
      <c r="AB730" s="1" t="s">
        <v>1654</v>
      </c>
    </row>
    <row r="731" spans="1:28" x14ac:dyDescent="0.3">
      <c r="A731">
        <v>77264</v>
      </c>
      <c r="B731" s="1" t="s">
        <v>1406</v>
      </c>
      <c r="C731">
        <v>0</v>
      </c>
      <c r="D731">
        <v>1610612752</v>
      </c>
      <c r="E731" s="1" t="s">
        <v>1248</v>
      </c>
      <c r="F731">
        <v>280</v>
      </c>
      <c r="G731">
        <v>55</v>
      </c>
      <c r="H731">
        <v>550</v>
      </c>
      <c r="I731">
        <v>20630</v>
      </c>
      <c r="J731">
        <v>691</v>
      </c>
      <c r="K731">
        <v>1303</v>
      </c>
      <c r="L731">
        <v>53</v>
      </c>
      <c r="M731">
        <v>10</v>
      </c>
      <c r="N731">
        <v>100</v>
      </c>
      <c r="O731">
        <v>1</v>
      </c>
      <c r="P731">
        <v>426</v>
      </c>
      <c r="Q731">
        <v>552</v>
      </c>
      <c r="R731">
        <v>772</v>
      </c>
      <c r="S731">
        <v>1140</v>
      </c>
      <c r="T731">
        <v>2030</v>
      </c>
      <c r="U731">
        <v>3170</v>
      </c>
      <c r="V731">
        <v>204</v>
      </c>
      <c r="W731">
        <v>710</v>
      </c>
      <c r="X731">
        <v>150</v>
      </c>
      <c r="Y731">
        <v>2040</v>
      </c>
      <c r="Z731">
        <v>191</v>
      </c>
      <c r="AA731">
        <v>1809</v>
      </c>
      <c r="AB731" s="1" t="s">
        <v>1654</v>
      </c>
    </row>
    <row r="732" spans="1:28" x14ac:dyDescent="0.3">
      <c r="A732">
        <v>77264</v>
      </c>
      <c r="B732" s="1" t="s">
        <v>1394</v>
      </c>
      <c r="C732">
        <v>0</v>
      </c>
      <c r="D732">
        <v>1610612752</v>
      </c>
      <c r="E732" s="1" t="s">
        <v>1248</v>
      </c>
      <c r="F732">
        <v>300</v>
      </c>
      <c r="G732">
        <v>6</v>
      </c>
      <c r="H732">
        <v>40</v>
      </c>
      <c r="I732">
        <v>2140</v>
      </c>
      <c r="J732">
        <v>52</v>
      </c>
      <c r="K732">
        <v>105</v>
      </c>
      <c r="L732">
        <v>495</v>
      </c>
      <c r="M732">
        <v>0</v>
      </c>
      <c r="N732">
        <v>0</v>
      </c>
      <c r="O732">
        <v>0</v>
      </c>
      <c r="P732">
        <v>32</v>
      </c>
      <c r="Q732">
        <v>43</v>
      </c>
      <c r="R732">
        <v>744</v>
      </c>
      <c r="S732">
        <v>130</v>
      </c>
      <c r="T732">
        <v>190</v>
      </c>
      <c r="U732">
        <v>320</v>
      </c>
      <c r="V732">
        <v>19</v>
      </c>
      <c r="W732">
        <v>20</v>
      </c>
      <c r="X732">
        <v>0</v>
      </c>
      <c r="Y732">
        <v>150</v>
      </c>
      <c r="Z732">
        <v>14</v>
      </c>
      <c r="AA732">
        <v>136</v>
      </c>
      <c r="AB732" s="1" t="s">
        <v>1654</v>
      </c>
    </row>
    <row r="733" spans="1:28" x14ac:dyDescent="0.3">
      <c r="A733">
        <v>76867</v>
      </c>
      <c r="B733" s="1" t="s">
        <v>1321</v>
      </c>
      <c r="C733">
        <v>0</v>
      </c>
      <c r="D733">
        <v>1610612752</v>
      </c>
      <c r="E733" s="1" t="s">
        <v>1248</v>
      </c>
      <c r="F733">
        <v>260</v>
      </c>
      <c r="G733">
        <v>69</v>
      </c>
      <c r="I733">
        <v>12320</v>
      </c>
      <c r="J733">
        <v>209</v>
      </c>
      <c r="K733">
        <v>468</v>
      </c>
      <c r="L733">
        <v>447</v>
      </c>
      <c r="P733">
        <v>63</v>
      </c>
      <c r="Q733">
        <v>155</v>
      </c>
      <c r="R733">
        <v>406</v>
      </c>
      <c r="U733">
        <v>5390</v>
      </c>
      <c r="V733">
        <v>52</v>
      </c>
      <c r="Z733">
        <v>195</v>
      </c>
      <c r="AA733">
        <v>481</v>
      </c>
      <c r="AB733" s="1" t="s">
        <v>1655</v>
      </c>
    </row>
    <row r="734" spans="1:28" x14ac:dyDescent="0.3">
      <c r="A734">
        <v>76867</v>
      </c>
      <c r="B734" s="1" t="s">
        <v>1322</v>
      </c>
      <c r="C734">
        <v>0</v>
      </c>
      <c r="D734">
        <v>1610612752</v>
      </c>
      <c r="E734" s="1" t="s">
        <v>1248</v>
      </c>
      <c r="F734">
        <v>270</v>
      </c>
      <c r="G734">
        <v>78</v>
      </c>
      <c r="I734">
        <v>17840</v>
      </c>
      <c r="J734">
        <v>326</v>
      </c>
      <c r="K734">
        <v>758</v>
      </c>
      <c r="L734">
        <v>43</v>
      </c>
      <c r="P734">
        <v>145</v>
      </c>
      <c r="Q734">
        <v>278</v>
      </c>
      <c r="R734">
        <v>522</v>
      </c>
      <c r="U734">
        <v>8380</v>
      </c>
      <c r="V734">
        <v>97</v>
      </c>
      <c r="Z734">
        <v>194</v>
      </c>
      <c r="AA734">
        <v>797</v>
      </c>
      <c r="AB734" s="1" t="s">
        <v>1655</v>
      </c>
    </row>
    <row r="735" spans="1:28" x14ac:dyDescent="0.3">
      <c r="A735">
        <v>76867</v>
      </c>
      <c r="B735" s="1" t="s">
        <v>1323</v>
      </c>
      <c r="C735">
        <v>0</v>
      </c>
      <c r="D735">
        <v>1610612752</v>
      </c>
      <c r="E735" s="1" t="s">
        <v>1248</v>
      </c>
      <c r="F735">
        <v>280</v>
      </c>
      <c r="G735">
        <v>80</v>
      </c>
      <c r="I735">
        <v>27890</v>
      </c>
      <c r="J735">
        <v>507</v>
      </c>
      <c r="K735">
        <v>1164</v>
      </c>
      <c r="L735">
        <v>436</v>
      </c>
      <c r="P735">
        <v>261</v>
      </c>
      <c r="Q735">
        <v>434</v>
      </c>
      <c r="R735">
        <v>601</v>
      </c>
      <c r="U735">
        <v>10660</v>
      </c>
      <c r="V735">
        <v>191</v>
      </c>
      <c r="Z735">
        <v>265</v>
      </c>
      <c r="AA735">
        <v>1275</v>
      </c>
      <c r="AB735" s="1" t="s">
        <v>1655</v>
      </c>
    </row>
    <row r="736" spans="1:28" x14ac:dyDescent="0.3">
      <c r="A736">
        <v>76867</v>
      </c>
      <c r="B736" s="1" t="s">
        <v>1255</v>
      </c>
      <c r="C736">
        <v>0</v>
      </c>
      <c r="D736">
        <v>1610612752</v>
      </c>
      <c r="E736" s="1" t="s">
        <v>1248</v>
      </c>
      <c r="F736">
        <v>290</v>
      </c>
      <c r="G736">
        <v>80</v>
      </c>
      <c r="I736">
        <v>25530</v>
      </c>
      <c r="J736">
        <v>582</v>
      </c>
      <c r="K736">
        <v>1261</v>
      </c>
      <c r="L736">
        <v>462</v>
      </c>
      <c r="P736">
        <v>280</v>
      </c>
      <c r="Q736">
        <v>439</v>
      </c>
      <c r="R736">
        <v>638</v>
      </c>
      <c r="U736">
        <v>9640</v>
      </c>
      <c r="V736">
        <v>152</v>
      </c>
      <c r="Z736">
        <v>243</v>
      </c>
      <c r="AA736">
        <v>1444</v>
      </c>
      <c r="AB736" s="1" t="s">
        <v>1655</v>
      </c>
    </row>
    <row r="737" spans="1:28" x14ac:dyDescent="0.3">
      <c r="A737">
        <v>76867</v>
      </c>
      <c r="B737" s="1" t="s">
        <v>1257</v>
      </c>
      <c r="C737">
        <v>0</v>
      </c>
      <c r="D737">
        <v>1610612752</v>
      </c>
      <c r="E737" s="1" t="s">
        <v>1248</v>
      </c>
      <c r="F737">
        <v>300</v>
      </c>
      <c r="G737">
        <v>80</v>
      </c>
      <c r="I737">
        <v>21340</v>
      </c>
      <c r="J737">
        <v>482</v>
      </c>
      <c r="K737">
        <v>1026</v>
      </c>
      <c r="L737">
        <v>47</v>
      </c>
      <c r="P737">
        <v>195</v>
      </c>
      <c r="Q737">
        <v>392</v>
      </c>
      <c r="R737">
        <v>497</v>
      </c>
      <c r="U737">
        <v>7990</v>
      </c>
      <c r="V737">
        <v>157</v>
      </c>
      <c r="Z737">
        <v>246</v>
      </c>
      <c r="AA737">
        <v>1159</v>
      </c>
      <c r="AB737" s="1" t="s">
        <v>1655</v>
      </c>
    </row>
    <row r="738" spans="1:28" x14ac:dyDescent="0.3">
      <c r="A738">
        <v>76867</v>
      </c>
      <c r="B738" s="1" t="s">
        <v>1258</v>
      </c>
      <c r="C738">
        <v>0</v>
      </c>
      <c r="D738">
        <v>1610612752</v>
      </c>
      <c r="E738" s="1" t="s">
        <v>1248</v>
      </c>
      <c r="F738">
        <v>310</v>
      </c>
      <c r="G738">
        <v>78</v>
      </c>
      <c r="I738">
        <v>17200</v>
      </c>
      <c r="J738">
        <v>346</v>
      </c>
      <c r="K738">
        <v>737</v>
      </c>
      <c r="L738">
        <v>469</v>
      </c>
      <c r="P738">
        <v>165</v>
      </c>
      <c r="Q738">
        <v>301</v>
      </c>
      <c r="R738">
        <v>548</v>
      </c>
      <c r="U738">
        <v>5450</v>
      </c>
      <c r="V738">
        <v>129</v>
      </c>
      <c r="Z738">
        <v>194</v>
      </c>
      <c r="AA738">
        <v>857</v>
      </c>
      <c r="AB738" s="1" t="s">
        <v>1655</v>
      </c>
    </row>
    <row r="739" spans="1:28" x14ac:dyDescent="0.3">
      <c r="A739">
        <v>76867</v>
      </c>
      <c r="B739" s="1" t="s">
        <v>1412</v>
      </c>
      <c r="C739">
        <v>0</v>
      </c>
      <c r="D739">
        <v>1610612752</v>
      </c>
      <c r="E739" s="1" t="s">
        <v>1248</v>
      </c>
      <c r="F739">
        <v>320</v>
      </c>
      <c r="G739">
        <v>7</v>
      </c>
      <c r="I739">
        <v>2080</v>
      </c>
      <c r="J739">
        <v>43</v>
      </c>
      <c r="K739">
        <v>79</v>
      </c>
      <c r="L739">
        <v>544</v>
      </c>
      <c r="P739">
        <v>15</v>
      </c>
      <c r="Q739">
        <v>31</v>
      </c>
      <c r="R739">
        <v>484</v>
      </c>
      <c r="U739">
        <v>740</v>
      </c>
      <c r="V739">
        <v>11</v>
      </c>
      <c r="Z739">
        <v>21</v>
      </c>
      <c r="AA739">
        <v>101</v>
      </c>
      <c r="AB739" s="1" t="s">
        <v>1655</v>
      </c>
    </row>
    <row r="740" spans="1:28" x14ac:dyDescent="0.3">
      <c r="A740">
        <v>989</v>
      </c>
      <c r="B740" s="1" t="s">
        <v>1278</v>
      </c>
      <c r="C740">
        <v>0</v>
      </c>
      <c r="D740">
        <v>1610612752</v>
      </c>
      <c r="E740" s="1" t="s">
        <v>1248</v>
      </c>
      <c r="F740">
        <v>250</v>
      </c>
      <c r="G740">
        <v>7</v>
      </c>
      <c r="H740">
        <v>0</v>
      </c>
      <c r="I740">
        <v>130</v>
      </c>
      <c r="J740">
        <v>2</v>
      </c>
      <c r="K740">
        <v>10</v>
      </c>
      <c r="L740">
        <v>2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60</v>
      </c>
      <c r="T740">
        <v>0</v>
      </c>
      <c r="U740">
        <v>60</v>
      </c>
      <c r="V740">
        <v>0</v>
      </c>
      <c r="W740">
        <v>10</v>
      </c>
      <c r="X740">
        <v>0</v>
      </c>
      <c r="Y740">
        <v>0</v>
      </c>
      <c r="Z740">
        <v>3</v>
      </c>
      <c r="AA740">
        <v>4</v>
      </c>
      <c r="AB740" s="1" t="s">
        <v>1656</v>
      </c>
    </row>
    <row r="741" spans="1:28" x14ac:dyDescent="0.3">
      <c r="A741">
        <v>989</v>
      </c>
      <c r="B741" s="1" t="s">
        <v>1429</v>
      </c>
      <c r="C741">
        <v>0</v>
      </c>
      <c r="D741">
        <v>1610612752</v>
      </c>
      <c r="E741" s="1" t="s">
        <v>1248</v>
      </c>
      <c r="F741">
        <v>260</v>
      </c>
      <c r="G741">
        <v>8</v>
      </c>
      <c r="H741">
        <v>0</v>
      </c>
      <c r="I741">
        <v>210</v>
      </c>
      <c r="J741">
        <v>7</v>
      </c>
      <c r="K741">
        <v>17</v>
      </c>
      <c r="L741">
        <v>412</v>
      </c>
      <c r="M741">
        <v>0</v>
      </c>
      <c r="N741">
        <v>0</v>
      </c>
      <c r="O741">
        <v>0</v>
      </c>
      <c r="P741">
        <v>3</v>
      </c>
      <c r="Q741">
        <v>6</v>
      </c>
      <c r="R741">
        <v>5</v>
      </c>
      <c r="S741">
        <v>90</v>
      </c>
      <c r="T741">
        <v>20</v>
      </c>
      <c r="U741">
        <v>110</v>
      </c>
      <c r="V741">
        <v>3</v>
      </c>
      <c r="W741">
        <v>0</v>
      </c>
      <c r="X741">
        <v>0</v>
      </c>
      <c r="Y741">
        <v>10</v>
      </c>
      <c r="Z741">
        <v>4</v>
      </c>
      <c r="AA741">
        <v>17</v>
      </c>
      <c r="AB741" s="1" t="s">
        <v>1656</v>
      </c>
    </row>
    <row r="742" spans="1:28" x14ac:dyDescent="0.3">
      <c r="A742">
        <v>77260</v>
      </c>
      <c r="B742" s="1" t="s">
        <v>1273</v>
      </c>
      <c r="C742">
        <v>0</v>
      </c>
      <c r="D742">
        <v>1610612752</v>
      </c>
      <c r="E742" s="1" t="s">
        <v>1248</v>
      </c>
      <c r="F742">
        <v>270</v>
      </c>
      <c r="G742">
        <v>9</v>
      </c>
      <c r="H742">
        <v>0</v>
      </c>
      <c r="I742">
        <v>550</v>
      </c>
      <c r="J742">
        <v>14</v>
      </c>
      <c r="K742">
        <v>33</v>
      </c>
      <c r="L742">
        <v>424</v>
      </c>
      <c r="M742">
        <v>20</v>
      </c>
      <c r="N742">
        <v>80</v>
      </c>
      <c r="O742">
        <v>25</v>
      </c>
      <c r="P742">
        <v>3</v>
      </c>
      <c r="Q742">
        <v>8</v>
      </c>
      <c r="R742">
        <v>375</v>
      </c>
      <c r="S742">
        <v>30</v>
      </c>
      <c r="T742">
        <v>80</v>
      </c>
      <c r="U742">
        <v>110</v>
      </c>
      <c r="V742">
        <v>5</v>
      </c>
      <c r="W742">
        <v>10</v>
      </c>
      <c r="X742">
        <v>0</v>
      </c>
      <c r="Y742">
        <v>60</v>
      </c>
      <c r="Z742">
        <v>10</v>
      </c>
      <c r="AA742">
        <v>33</v>
      </c>
      <c r="AB742" s="1" t="s">
        <v>1657</v>
      </c>
    </row>
    <row r="743" spans="1:28" x14ac:dyDescent="0.3">
      <c r="A743">
        <v>76861</v>
      </c>
      <c r="B743" s="1" t="s">
        <v>1270</v>
      </c>
      <c r="C743">
        <v>0</v>
      </c>
      <c r="D743">
        <v>1610612752</v>
      </c>
      <c r="E743" s="1" t="s">
        <v>1248</v>
      </c>
      <c r="F743">
        <v>270</v>
      </c>
      <c r="G743">
        <v>19</v>
      </c>
      <c r="H743">
        <v>0</v>
      </c>
      <c r="I743">
        <v>940</v>
      </c>
      <c r="J743">
        <v>4</v>
      </c>
      <c r="K743">
        <v>17</v>
      </c>
      <c r="L743">
        <v>235</v>
      </c>
      <c r="M743">
        <v>0</v>
      </c>
      <c r="N743">
        <v>30</v>
      </c>
      <c r="O743">
        <v>0</v>
      </c>
      <c r="P743">
        <v>7</v>
      </c>
      <c r="Q743">
        <v>8</v>
      </c>
      <c r="R743">
        <v>875</v>
      </c>
      <c r="S743">
        <v>20</v>
      </c>
      <c r="T743">
        <v>120</v>
      </c>
      <c r="U743">
        <v>140</v>
      </c>
      <c r="V743">
        <v>2</v>
      </c>
      <c r="W743">
        <v>30</v>
      </c>
      <c r="X743">
        <v>20</v>
      </c>
      <c r="Y743">
        <v>50</v>
      </c>
      <c r="Z743">
        <v>26</v>
      </c>
      <c r="AA743">
        <v>15</v>
      </c>
      <c r="AB743" s="1" t="s">
        <v>1658</v>
      </c>
    </row>
    <row r="744" spans="1:28" x14ac:dyDescent="0.3">
      <c r="A744">
        <v>76861</v>
      </c>
      <c r="B744" s="1" t="s">
        <v>1271</v>
      </c>
      <c r="C744">
        <v>0</v>
      </c>
      <c r="D744">
        <v>1610612752</v>
      </c>
      <c r="E744" s="1" t="s">
        <v>1248</v>
      </c>
      <c r="F744">
        <v>280</v>
      </c>
      <c r="G744">
        <v>8</v>
      </c>
      <c r="H744">
        <v>0</v>
      </c>
      <c r="I744">
        <v>370</v>
      </c>
      <c r="J744">
        <v>4</v>
      </c>
      <c r="K744">
        <v>12</v>
      </c>
      <c r="L744">
        <v>333</v>
      </c>
      <c r="M744">
        <v>0</v>
      </c>
      <c r="N744">
        <v>0</v>
      </c>
      <c r="O744">
        <v>0</v>
      </c>
      <c r="P744">
        <v>3</v>
      </c>
      <c r="Q744">
        <v>3</v>
      </c>
      <c r="R744">
        <v>10</v>
      </c>
      <c r="S744">
        <v>20</v>
      </c>
      <c r="T744">
        <v>80</v>
      </c>
      <c r="U744">
        <v>100</v>
      </c>
      <c r="V744">
        <v>0</v>
      </c>
      <c r="W744">
        <v>0</v>
      </c>
      <c r="X744">
        <v>10</v>
      </c>
      <c r="Y744">
        <v>20</v>
      </c>
      <c r="Z744">
        <v>6</v>
      </c>
      <c r="AA744">
        <v>11</v>
      </c>
      <c r="AB744" s="1" t="s">
        <v>1658</v>
      </c>
    </row>
    <row r="745" spans="1:28" x14ac:dyDescent="0.3">
      <c r="A745">
        <v>1884</v>
      </c>
      <c r="B745" s="1" t="s">
        <v>1290</v>
      </c>
      <c r="C745">
        <v>0</v>
      </c>
      <c r="D745">
        <v>1610612752</v>
      </c>
      <c r="E745" s="1" t="s">
        <v>1248</v>
      </c>
      <c r="F745">
        <v>330</v>
      </c>
      <c r="G745">
        <v>29</v>
      </c>
      <c r="H745">
        <v>140</v>
      </c>
      <c r="I745">
        <v>5950</v>
      </c>
      <c r="J745">
        <v>68</v>
      </c>
      <c r="K745">
        <v>184</v>
      </c>
      <c r="L745">
        <v>37</v>
      </c>
      <c r="M745">
        <v>260</v>
      </c>
      <c r="N745">
        <v>850</v>
      </c>
      <c r="O745">
        <v>306</v>
      </c>
      <c r="P745">
        <v>16</v>
      </c>
      <c r="Q745">
        <v>24</v>
      </c>
      <c r="R745">
        <v>667</v>
      </c>
      <c r="S745">
        <v>130</v>
      </c>
      <c r="T745">
        <v>430</v>
      </c>
      <c r="U745">
        <v>560</v>
      </c>
      <c r="V745">
        <v>135</v>
      </c>
      <c r="W745">
        <v>340</v>
      </c>
      <c r="X745">
        <v>30</v>
      </c>
      <c r="Y745">
        <v>760</v>
      </c>
      <c r="Z745">
        <v>61</v>
      </c>
      <c r="AA745">
        <v>178</v>
      </c>
      <c r="AB745" s="1" t="s">
        <v>1659</v>
      </c>
    </row>
    <row r="746" spans="1:28" x14ac:dyDescent="0.3">
      <c r="A746">
        <v>467</v>
      </c>
      <c r="B746" s="1" t="s">
        <v>1292</v>
      </c>
      <c r="C746">
        <v>0</v>
      </c>
      <c r="D746">
        <v>1610612752</v>
      </c>
      <c r="E746" s="1" t="s">
        <v>1248</v>
      </c>
      <c r="F746">
        <v>400</v>
      </c>
      <c r="G746">
        <v>76</v>
      </c>
      <c r="H746">
        <v>480</v>
      </c>
      <c r="I746">
        <v>20430</v>
      </c>
      <c r="J746">
        <v>152</v>
      </c>
      <c r="K746">
        <v>409</v>
      </c>
      <c r="L746">
        <v>372</v>
      </c>
      <c r="M746">
        <v>1140</v>
      </c>
      <c r="N746">
        <v>3250</v>
      </c>
      <c r="O746">
        <v>351</v>
      </c>
      <c r="P746">
        <v>40</v>
      </c>
      <c r="Q746">
        <v>48</v>
      </c>
      <c r="R746">
        <v>833</v>
      </c>
      <c r="S746">
        <v>500</v>
      </c>
      <c r="T746">
        <v>2730</v>
      </c>
      <c r="U746">
        <v>3230</v>
      </c>
      <c r="V746">
        <v>249</v>
      </c>
      <c r="W746">
        <v>1250</v>
      </c>
      <c r="X746">
        <v>250</v>
      </c>
      <c r="Y746">
        <v>760</v>
      </c>
      <c r="Z746">
        <v>125</v>
      </c>
      <c r="AA746">
        <v>458</v>
      </c>
      <c r="AB746" s="1" t="s">
        <v>1660</v>
      </c>
    </row>
    <row r="747" spans="1:28" x14ac:dyDescent="0.3">
      <c r="A747">
        <v>1626170</v>
      </c>
      <c r="B747" s="1" t="s">
        <v>1279</v>
      </c>
      <c r="C747">
        <v>0</v>
      </c>
      <c r="D747">
        <v>1610612752</v>
      </c>
      <c r="E747" s="1" t="s">
        <v>1248</v>
      </c>
      <c r="F747">
        <v>230</v>
      </c>
      <c r="G747">
        <v>76</v>
      </c>
      <c r="H747">
        <v>60</v>
      </c>
      <c r="I747">
        <v>12650</v>
      </c>
      <c r="J747">
        <v>154</v>
      </c>
      <c r="K747">
        <v>391</v>
      </c>
      <c r="L747">
        <v>394</v>
      </c>
      <c r="M747">
        <v>220</v>
      </c>
      <c r="N747">
        <v>1000</v>
      </c>
      <c r="O747">
        <v>22</v>
      </c>
      <c r="P747">
        <v>96</v>
      </c>
      <c r="Q747">
        <v>123</v>
      </c>
      <c r="R747">
        <v>78</v>
      </c>
      <c r="S747">
        <v>230</v>
      </c>
      <c r="T747">
        <v>1200</v>
      </c>
      <c r="U747">
        <v>1430</v>
      </c>
      <c r="V747">
        <v>177</v>
      </c>
      <c r="W747">
        <v>500</v>
      </c>
      <c r="X747">
        <v>100</v>
      </c>
      <c r="Y747">
        <v>870</v>
      </c>
      <c r="Z747">
        <v>97</v>
      </c>
      <c r="AA747">
        <v>426</v>
      </c>
      <c r="AB747" s="1" t="s">
        <v>1661</v>
      </c>
    </row>
    <row r="748" spans="1:28" x14ac:dyDescent="0.3">
      <c r="A748">
        <v>213</v>
      </c>
      <c r="B748" s="1" t="s">
        <v>1300</v>
      </c>
      <c r="C748">
        <v>0</v>
      </c>
      <c r="D748">
        <v>1610612752</v>
      </c>
      <c r="E748" s="1" t="s">
        <v>1248</v>
      </c>
      <c r="F748">
        <v>370</v>
      </c>
      <c r="G748">
        <v>36</v>
      </c>
      <c r="H748">
        <v>310</v>
      </c>
      <c r="I748">
        <v>7490</v>
      </c>
      <c r="J748">
        <v>68</v>
      </c>
      <c r="K748">
        <v>159</v>
      </c>
      <c r="L748">
        <v>428</v>
      </c>
      <c r="M748">
        <v>0</v>
      </c>
      <c r="N748">
        <v>10</v>
      </c>
      <c r="O748">
        <v>0</v>
      </c>
      <c r="P748">
        <v>45</v>
      </c>
      <c r="Q748">
        <v>61</v>
      </c>
      <c r="R748">
        <v>738</v>
      </c>
      <c r="S748">
        <v>750</v>
      </c>
      <c r="T748">
        <v>970</v>
      </c>
      <c r="U748">
        <v>1720</v>
      </c>
      <c r="V748">
        <v>14</v>
      </c>
      <c r="W748">
        <v>200</v>
      </c>
      <c r="X748">
        <v>90</v>
      </c>
      <c r="Y748">
        <v>430</v>
      </c>
      <c r="Z748">
        <v>99</v>
      </c>
      <c r="AA748">
        <v>181</v>
      </c>
      <c r="AB748" s="1" t="s">
        <v>1662</v>
      </c>
    </row>
    <row r="749" spans="1:28" x14ac:dyDescent="0.3">
      <c r="A749">
        <v>990</v>
      </c>
      <c r="B749" s="1" t="s">
        <v>1295</v>
      </c>
      <c r="C749">
        <v>0</v>
      </c>
      <c r="D749">
        <v>1610612752</v>
      </c>
      <c r="E749" s="1" t="s">
        <v>1248</v>
      </c>
      <c r="F749">
        <v>300</v>
      </c>
      <c r="G749">
        <v>26</v>
      </c>
      <c r="H749">
        <v>40</v>
      </c>
      <c r="I749">
        <v>6120</v>
      </c>
      <c r="J749">
        <v>74</v>
      </c>
      <c r="K749">
        <v>174</v>
      </c>
      <c r="L749">
        <v>425</v>
      </c>
      <c r="M749">
        <v>10</v>
      </c>
      <c r="N749">
        <v>60</v>
      </c>
      <c r="O749">
        <v>167</v>
      </c>
      <c r="P749">
        <v>68</v>
      </c>
      <c r="Q749">
        <v>87</v>
      </c>
      <c r="R749">
        <v>782</v>
      </c>
      <c r="S749">
        <v>340</v>
      </c>
      <c r="T749">
        <v>800</v>
      </c>
      <c r="U749">
        <v>1140</v>
      </c>
      <c r="V749">
        <v>18</v>
      </c>
      <c r="W749">
        <v>150</v>
      </c>
      <c r="X749">
        <v>70</v>
      </c>
      <c r="Y749">
        <v>460</v>
      </c>
      <c r="Z749">
        <v>84</v>
      </c>
      <c r="AA749">
        <v>217</v>
      </c>
      <c r="AB749" s="1" t="s">
        <v>1663</v>
      </c>
    </row>
    <row r="750" spans="1:28" x14ac:dyDescent="0.3">
      <c r="A750">
        <v>990</v>
      </c>
      <c r="B750" s="1" t="s">
        <v>1300</v>
      </c>
      <c r="C750">
        <v>0</v>
      </c>
      <c r="D750">
        <v>1610612752</v>
      </c>
      <c r="E750" s="1" t="s">
        <v>1248</v>
      </c>
      <c r="F750">
        <v>310</v>
      </c>
      <c r="G750">
        <v>72</v>
      </c>
      <c r="H750">
        <v>350</v>
      </c>
      <c r="I750">
        <v>11190</v>
      </c>
      <c r="J750">
        <v>105</v>
      </c>
      <c r="K750">
        <v>281</v>
      </c>
      <c r="L750">
        <v>374</v>
      </c>
      <c r="M750">
        <v>10</v>
      </c>
      <c r="N750">
        <v>10</v>
      </c>
      <c r="O750">
        <v>10</v>
      </c>
      <c r="P750">
        <v>107</v>
      </c>
      <c r="Q750">
        <v>137</v>
      </c>
      <c r="R750">
        <v>781</v>
      </c>
      <c r="S750">
        <v>840</v>
      </c>
      <c r="T750">
        <v>1750</v>
      </c>
      <c r="U750">
        <v>2590</v>
      </c>
      <c r="V750">
        <v>67</v>
      </c>
      <c r="W750">
        <v>430</v>
      </c>
      <c r="X750">
        <v>140</v>
      </c>
      <c r="Y750">
        <v>800</v>
      </c>
      <c r="Z750">
        <v>145</v>
      </c>
      <c r="AA750">
        <v>318</v>
      </c>
      <c r="AB750" s="1" t="s">
        <v>1663</v>
      </c>
    </row>
    <row r="751" spans="1:28" x14ac:dyDescent="0.3">
      <c r="A751">
        <v>990</v>
      </c>
      <c r="B751" s="1" t="s">
        <v>1302</v>
      </c>
      <c r="C751">
        <v>0</v>
      </c>
      <c r="D751">
        <v>1610612752</v>
      </c>
      <c r="E751" s="1" t="s">
        <v>1248</v>
      </c>
      <c r="F751">
        <v>320</v>
      </c>
      <c r="G751">
        <v>65</v>
      </c>
      <c r="H751">
        <v>20</v>
      </c>
      <c r="I751">
        <v>8100</v>
      </c>
      <c r="J751">
        <v>74</v>
      </c>
      <c r="K751">
        <v>186</v>
      </c>
      <c r="L751">
        <v>398</v>
      </c>
      <c r="M751">
        <v>20</v>
      </c>
      <c r="N751">
        <v>80</v>
      </c>
      <c r="O751">
        <v>25</v>
      </c>
      <c r="P751">
        <v>42</v>
      </c>
      <c r="Q751">
        <v>52</v>
      </c>
      <c r="R751">
        <v>808</v>
      </c>
      <c r="S751">
        <v>470</v>
      </c>
      <c r="T751">
        <v>1280</v>
      </c>
      <c r="U751">
        <v>1750</v>
      </c>
      <c r="V751">
        <v>65</v>
      </c>
      <c r="W751">
        <v>260</v>
      </c>
      <c r="X751">
        <v>90</v>
      </c>
      <c r="Y751">
        <v>650</v>
      </c>
      <c r="Z751">
        <v>120</v>
      </c>
      <c r="AA751">
        <v>192</v>
      </c>
      <c r="AB751" s="1" t="s">
        <v>1663</v>
      </c>
    </row>
    <row r="752" spans="1:28" x14ac:dyDescent="0.3">
      <c r="A752">
        <v>990</v>
      </c>
      <c r="B752" s="1" t="s">
        <v>1303</v>
      </c>
      <c r="C752">
        <v>0</v>
      </c>
      <c r="D752">
        <v>1610612752</v>
      </c>
      <c r="E752" s="1" t="s">
        <v>1248</v>
      </c>
      <c r="F752">
        <v>330</v>
      </c>
      <c r="G752">
        <v>49</v>
      </c>
      <c r="H752">
        <v>30</v>
      </c>
      <c r="I752">
        <v>4940</v>
      </c>
      <c r="J752">
        <v>66</v>
      </c>
      <c r="K752">
        <v>180</v>
      </c>
      <c r="L752">
        <v>367</v>
      </c>
      <c r="M752">
        <v>20</v>
      </c>
      <c r="N752">
        <v>70</v>
      </c>
      <c r="O752">
        <v>286</v>
      </c>
      <c r="P752">
        <v>37</v>
      </c>
      <c r="Q752">
        <v>51</v>
      </c>
      <c r="R752">
        <v>725</v>
      </c>
      <c r="S752">
        <v>310</v>
      </c>
      <c r="T752">
        <v>720</v>
      </c>
      <c r="U752">
        <v>1030</v>
      </c>
      <c r="V752">
        <v>28</v>
      </c>
      <c r="W752">
        <v>160</v>
      </c>
      <c r="X752">
        <v>70</v>
      </c>
      <c r="Y752">
        <v>400</v>
      </c>
      <c r="Z752">
        <v>80</v>
      </c>
      <c r="AA752">
        <v>171</v>
      </c>
      <c r="AB752" s="1" t="s">
        <v>1663</v>
      </c>
    </row>
    <row r="753" spans="1:28" x14ac:dyDescent="0.3">
      <c r="A753">
        <v>990</v>
      </c>
      <c r="B753" s="1" t="s">
        <v>1304</v>
      </c>
      <c r="C753">
        <v>0</v>
      </c>
      <c r="D753">
        <v>1610612752</v>
      </c>
      <c r="E753" s="1" t="s">
        <v>1248</v>
      </c>
      <c r="F753">
        <v>340</v>
      </c>
      <c r="G753">
        <v>18</v>
      </c>
      <c r="H753">
        <v>0</v>
      </c>
      <c r="I753">
        <v>1600</v>
      </c>
      <c r="J753">
        <v>11</v>
      </c>
      <c r="K753">
        <v>41</v>
      </c>
      <c r="L753">
        <v>268</v>
      </c>
      <c r="M753">
        <v>0</v>
      </c>
      <c r="N753">
        <v>40</v>
      </c>
      <c r="O753">
        <v>0</v>
      </c>
      <c r="P753">
        <v>8</v>
      </c>
      <c r="Q753">
        <v>11</v>
      </c>
      <c r="R753">
        <v>727</v>
      </c>
      <c r="S753">
        <v>40</v>
      </c>
      <c r="T753">
        <v>270</v>
      </c>
      <c r="U753">
        <v>310</v>
      </c>
      <c r="V753">
        <v>10</v>
      </c>
      <c r="W753">
        <v>10</v>
      </c>
      <c r="X753">
        <v>10</v>
      </c>
      <c r="Y753">
        <v>170</v>
      </c>
      <c r="Z753">
        <v>24</v>
      </c>
      <c r="AA753">
        <v>30</v>
      </c>
      <c r="AB753" s="1" t="s">
        <v>1663</v>
      </c>
    </row>
    <row r="754" spans="1:28" x14ac:dyDescent="0.3">
      <c r="A754">
        <v>78128</v>
      </c>
      <c r="B754" s="1" t="s">
        <v>1318</v>
      </c>
      <c r="C754">
        <v>0</v>
      </c>
      <c r="D754">
        <v>1610612752</v>
      </c>
      <c r="E754" s="1" t="s">
        <v>1248</v>
      </c>
      <c r="F754">
        <v>230</v>
      </c>
      <c r="G754">
        <v>7</v>
      </c>
      <c r="I754">
        <v>720</v>
      </c>
      <c r="J754">
        <v>4</v>
      </c>
      <c r="K754">
        <v>22</v>
      </c>
      <c r="L754">
        <v>182</v>
      </c>
      <c r="P754">
        <v>2</v>
      </c>
      <c r="Q754">
        <v>5</v>
      </c>
      <c r="R754">
        <v>4</v>
      </c>
      <c r="U754">
        <v>220</v>
      </c>
      <c r="V754">
        <v>0</v>
      </c>
      <c r="Z754">
        <v>12</v>
      </c>
      <c r="AA754">
        <v>10</v>
      </c>
      <c r="AB754" s="1" t="s">
        <v>1664</v>
      </c>
    </row>
    <row r="755" spans="1:28" x14ac:dyDescent="0.3">
      <c r="A755">
        <v>78128</v>
      </c>
      <c r="B755" s="1" t="s">
        <v>1320</v>
      </c>
      <c r="C755">
        <v>0</v>
      </c>
      <c r="D755">
        <v>1610612752</v>
      </c>
      <c r="E755" s="1" t="s">
        <v>1248</v>
      </c>
      <c r="F755">
        <v>240</v>
      </c>
      <c r="G755">
        <v>1</v>
      </c>
      <c r="I755">
        <v>20</v>
      </c>
      <c r="J755">
        <v>0</v>
      </c>
      <c r="K755">
        <v>1</v>
      </c>
      <c r="L755">
        <v>0</v>
      </c>
      <c r="P755">
        <v>0</v>
      </c>
      <c r="Q755">
        <v>0</v>
      </c>
      <c r="U755">
        <v>10</v>
      </c>
      <c r="V755">
        <v>0</v>
      </c>
      <c r="Z755">
        <v>0</v>
      </c>
      <c r="AA755">
        <v>0</v>
      </c>
      <c r="AB755" s="1" t="s">
        <v>1664</v>
      </c>
    </row>
    <row r="756" spans="1:28" x14ac:dyDescent="0.3">
      <c r="A756">
        <v>1631211</v>
      </c>
      <c r="B756" s="1" t="s">
        <v>1327</v>
      </c>
      <c r="C756">
        <v>0</v>
      </c>
      <c r="D756">
        <v>1610612752</v>
      </c>
      <c r="E756" s="1" t="s">
        <v>1248</v>
      </c>
      <c r="F756">
        <v>190</v>
      </c>
      <c r="G756">
        <v>3</v>
      </c>
      <c r="H756">
        <v>0</v>
      </c>
      <c r="I756">
        <v>80</v>
      </c>
      <c r="J756">
        <v>1</v>
      </c>
      <c r="K756">
        <v>4</v>
      </c>
      <c r="L756">
        <v>25</v>
      </c>
      <c r="M756">
        <v>10</v>
      </c>
      <c r="N756">
        <v>40</v>
      </c>
      <c r="O756">
        <v>25</v>
      </c>
      <c r="P756">
        <v>0</v>
      </c>
      <c r="Q756">
        <v>0</v>
      </c>
      <c r="R756">
        <v>0</v>
      </c>
      <c r="S756">
        <v>0</v>
      </c>
      <c r="T756">
        <v>20</v>
      </c>
      <c r="U756">
        <v>20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3</v>
      </c>
      <c r="AB756" s="1" t="s">
        <v>1665</v>
      </c>
    </row>
    <row r="757" spans="1:28" x14ac:dyDescent="0.3">
      <c r="A757">
        <v>285</v>
      </c>
      <c r="B757" s="1" t="s">
        <v>1271</v>
      </c>
      <c r="C757">
        <v>0</v>
      </c>
      <c r="D757">
        <v>1610612752</v>
      </c>
      <c r="E757" s="1" t="s">
        <v>1248</v>
      </c>
      <c r="F757">
        <v>240</v>
      </c>
      <c r="G757">
        <v>22</v>
      </c>
      <c r="H757">
        <v>0</v>
      </c>
      <c r="I757">
        <v>1070</v>
      </c>
      <c r="J757">
        <v>10</v>
      </c>
      <c r="K757">
        <v>27</v>
      </c>
      <c r="L757">
        <v>37</v>
      </c>
      <c r="M757">
        <v>10</v>
      </c>
      <c r="N757">
        <v>30</v>
      </c>
      <c r="O757">
        <v>333</v>
      </c>
      <c r="P757">
        <v>5</v>
      </c>
      <c r="Q757">
        <v>6</v>
      </c>
      <c r="R757">
        <v>833</v>
      </c>
      <c r="S757">
        <v>10</v>
      </c>
      <c r="T757">
        <v>90</v>
      </c>
      <c r="U757">
        <v>100</v>
      </c>
      <c r="V757">
        <v>20</v>
      </c>
      <c r="W757">
        <v>90</v>
      </c>
      <c r="X757">
        <v>0</v>
      </c>
      <c r="Y757">
        <v>100</v>
      </c>
      <c r="Z757">
        <v>12</v>
      </c>
      <c r="AA757">
        <v>26</v>
      </c>
      <c r="AB757" s="1" t="s">
        <v>1666</v>
      </c>
    </row>
    <row r="758" spans="1:28" x14ac:dyDescent="0.3">
      <c r="A758">
        <v>76509</v>
      </c>
      <c r="B758" s="1" t="s">
        <v>1358</v>
      </c>
      <c r="C758">
        <v>0</v>
      </c>
      <c r="D758">
        <v>1610612752</v>
      </c>
      <c r="E758" s="1" t="s">
        <v>1248</v>
      </c>
      <c r="F758">
        <v>230</v>
      </c>
      <c r="G758">
        <v>47</v>
      </c>
      <c r="I758">
        <v>4010</v>
      </c>
      <c r="J758">
        <v>74</v>
      </c>
      <c r="K758">
        <v>157</v>
      </c>
      <c r="L758">
        <v>471</v>
      </c>
      <c r="P758">
        <v>22</v>
      </c>
      <c r="Q758">
        <v>40</v>
      </c>
      <c r="R758">
        <v>55</v>
      </c>
      <c r="S758">
        <v>150</v>
      </c>
      <c r="T758">
        <v>220</v>
      </c>
      <c r="U758">
        <v>370</v>
      </c>
      <c r="V758">
        <v>30</v>
      </c>
      <c r="W758">
        <v>30</v>
      </c>
      <c r="X758">
        <v>10</v>
      </c>
      <c r="Z758">
        <v>48</v>
      </c>
      <c r="AA758">
        <v>170</v>
      </c>
      <c r="AB758" s="1" t="s">
        <v>1667</v>
      </c>
    </row>
    <row r="759" spans="1:28" x14ac:dyDescent="0.3">
      <c r="A759">
        <v>78187</v>
      </c>
      <c r="B759" s="1" t="s">
        <v>1349</v>
      </c>
      <c r="C759">
        <v>0</v>
      </c>
      <c r="D759">
        <v>1610612752</v>
      </c>
      <c r="E759" s="1" t="s">
        <v>1248</v>
      </c>
      <c r="F759">
        <v>240</v>
      </c>
      <c r="G759">
        <v>11</v>
      </c>
      <c r="I759">
        <v>1040</v>
      </c>
      <c r="J759">
        <v>11</v>
      </c>
      <c r="K759">
        <v>45</v>
      </c>
      <c r="L759">
        <v>244</v>
      </c>
      <c r="P759">
        <v>6</v>
      </c>
      <c r="Q759">
        <v>10</v>
      </c>
      <c r="R759">
        <v>6</v>
      </c>
      <c r="U759">
        <v>260</v>
      </c>
      <c r="V759">
        <v>9</v>
      </c>
      <c r="Z759">
        <v>15</v>
      </c>
      <c r="AA759">
        <v>28</v>
      </c>
      <c r="AB759" s="1" t="s">
        <v>1668</v>
      </c>
    </row>
    <row r="760" spans="1:28" x14ac:dyDescent="0.3">
      <c r="A760">
        <v>77221</v>
      </c>
      <c r="B760" s="1" t="s">
        <v>1339</v>
      </c>
      <c r="C760">
        <v>0</v>
      </c>
      <c r="D760">
        <v>1610612752</v>
      </c>
      <c r="E760" s="1" t="s">
        <v>1248</v>
      </c>
      <c r="F760">
        <v>280</v>
      </c>
      <c r="G760">
        <v>27</v>
      </c>
      <c r="I760">
        <v>0</v>
      </c>
      <c r="J760">
        <v>71</v>
      </c>
      <c r="K760">
        <v>274</v>
      </c>
      <c r="L760">
        <v>259</v>
      </c>
      <c r="P760">
        <v>52</v>
      </c>
      <c r="Q760">
        <v>71</v>
      </c>
      <c r="R760">
        <v>732</v>
      </c>
      <c r="U760">
        <v>0</v>
      </c>
      <c r="V760">
        <v>25</v>
      </c>
      <c r="Z760">
        <v>57</v>
      </c>
      <c r="AA760">
        <v>194</v>
      </c>
      <c r="AB760" s="1" t="s">
        <v>1669</v>
      </c>
    </row>
    <row r="761" spans="1:28" x14ac:dyDescent="0.3">
      <c r="A761">
        <v>202</v>
      </c>
      <c r="B761" s="1" t="s">
        <v>1276</v>
      </c>
      <c r="C761">
        <v>0</v>
      </c>
      <c r="D761">
        <v>1610612752</v>
      </c>
      <c r="E761" s="1" t="s">
        <v>1248</v>
      </c>
      <c r="F761">
        <v>310</v>
      </c>
      <c r="G761">
        <v>47</v>
      </c>
      <c r="H761">
        <v>10</v>
      </c>
      <c r="I761">
        <v>5960</v>
      </c>
      <c r="J761">
        <v>88</v>
      </c>
      <c r="K761">
        <v>181</v>
      </c>
      <c r="L761">
        <v>486</v>
      </c>
      <c r="M761">
        <v>80</v>
      </c>
      <c r="N761">
        <v>240</v>
      </c>
      <c r="O761">
        <v>333</v>
      </c>
      <c r="P761">
        <v>48</v>
      </c>
      <c r="Q761">
        <v>58</v>
      </c>
      <c r="R761">
        <v>828</v>
      </c>
      <c r="S761">
        <v>120</v>
      </c>
      <c r="T761">
        <v>400</v>
      </c>
      <c r="U761">
        <v>520</v>
      </c>
      <c r="V761">
        <v>69</v>
      </c>
      <c r="W761">
        <v>390</v>
      </c>
      <c r="X761">
        <v>30</v>
      </c>
      <c r="Y761">
        <v>450</v>
      </c>
      <c r="Z761">
        <v>91</v>
      </c>
      <c r="AA761">
        <v>232</v>
      </c>
      <c r="AB761" s="1" t="s">
        <v>1670</v>
      </c>
    </row>
    <row r="762" spans="1:28" x14ac:dyDescent="0.3">
      <c r="A762">
        <v>2223</v>
      </c>
      <c r="B762" s="1" t="s">
        <v>1343</v>
      </c>
      <c r="C762">
        <v>0</v>
      </c>
      <c r="D762">
        <v>1610612752</v>
      </c>
      <c r="E762" s="1" t="s">
        <v>1248</v>
      </c>
      <c r="F762">
        <v>350</v>
      </c>
      <c r="G762">
        <v>32</v>
      </c>
      <c r="H762">
        <v>210</v>
      </c>
      <c r="I762">
        <v>5440</v>
      </c>
      <c r="J762">
        <v>57</v>
      </c>
      <c r="K762">
        <v>130</v>
      </c>
      <c r="L762">
        <v>438</v>
      </c>
      <c r="M762">
        <v>0</v>
      </c>
      <c r="N762">
        <v>0</v>
      </c>
      <c r="O762">
        <v>0</v>
      </c>
      <c r="P762">
        <v>14</v>
      </c>
      <c r="Q762">
        <v>20</v>
      </c>
      <c r="R762">
        <v>7</v>
      </c>
      <c r="S762">
        <v>530</v>
      </c>
      <c r="T762">
        <v>1150</v>
      </c>
      <c r="U762">
        <v>1680</v>
      </c>
      <c r="V762">
        <v>29</v>
      </c>
      <c r="W762">
        <v>140</v>
      </c>
      <c r="X762">
        <v>410</v>
      </c>
      <c r="Y762">
        <v>390</v>
      </c>
      <c r="Z762">
        <v>70</v>
      </c>
      <c r="AA762">
        <v>128</v>
      </c>
      <c r="AB762" s="1" t="s">
        <v>1671</v>
      </c>
    </row>
    <row r="763" spans="1:28" x14ac:dyDescent="0.3">
      <c r="A763">
        <v>470</v>
      </c>
      <c r="B763" s="1" t="s">
        <v>1273</v>
      </c>
      <c r="C763">
        <v>0</v>
      </c>
      <c r="D763">
        <v>1610612752</v>
      </c>
      <c r="E763" s="1" t="s">
        <v>1248</v>
      </c>
      <c r="F763">
        <v>310</v>
      </c>
      <c r="G763">
        <v>77</v>
      </c>
      <c r="H763">
        <v>450</v>
      </c>
      <c r="I763">
        <v>18860</v>
      </c>
      <c r="J763">
        <v>216</v>
      </c>
      <c r="K763">
        <v>494</v>
      </c>
      <c r="L763">
        <v>437</v>
      </c>
      <c r="M763">
        <v>390</v>
      </c>
      <c r="N763">
        <v>1230</v>
      </c>
      <c r="O763">
        <v>317</v>
      </c>
      <c r="P763">
        <v>133</v>
      </c>
      <c r="Q763">
        <v>162</v>
      </c>
      <c r="R763">
        <v>821</v>
      </c>
      <c r="S763">
        <v>260</v>
      </c>
      <c r="T763">
        <v>1660</v>
      </c>
      <c r="U763">
        <v>1920</v>
      </c>
      <c r="V763">
        <v>405</v>
      </c>
      <c r="W763">
        <v>1230</v>
      </c>
      <c r="X763">
        <v>90</v>
      </c>
      <c r="Y763">
        <v>1140</v>
      </c>
      <c r="Z763">
        <v>215</v>
      </c>
      <c r="AA763">
        <v>604</v>
      </c>
      <c r="AB763" s="1" t="s">
        <v>1672</v>
      </c>
    </row>
    <row r="764" spans="1:28" x14ac:dyDescent="0.3">
      <c r="A764">
        <v>470</v>
      </c>
      <c r="B764" s="1" t="s">
        <v>1274</v>
      </c>
      <c r="C764">
        <v>0</v>
      </c>
      <c r="D764">
        <v>1610612752</v>
      </c>
      <c r="E764" s="1" t="s">
        <v>1248</v>
      </c>
      <c r="F764">
        <v>320</v>
      </c>
      <c r="G764">
        <v>19</v>
      </c>
      <c r="H764">
        <v>190</v>
      </c>
      <c r="I764">
        <v>4990</v>
      </c>
      <c r="J764">
        <v>55</v>
      </c>
      <c r="K764">
        <v>127</v>
      </c>
      <c r="L764">
        <v>433</v>
      </c>
      <c r="M764">
        <v>190</v>
      </c>
      <c r="N764">
        <v>520</v>
      </c>
      <c r="O764">
        <v>365</v>
      </c>
      <c r="P764">
        <v>14</v>
      </c>
      <c r="Q764">
        <v>22</v>
      </c>
      <c r="R764">
        <v>636</v>
      </c>
      <c r="S764">
        <v>40</v>
      </c>
      <c r="T764">
        <v>350</v>
      </c>
      <c r="U764">
        <v>390</v>
      </c>
      <c r="V764">
        <v>100</v>
      </c>
      <c r="W764">
        <v>250</v>
      </c>
      <c r="X764">
        <v>50</v>
      </c>
      <c r="Y764">
        <v>290</v>
      </c>
      <c r="Z764">
        <v>44</v>
      </c>
      <c r="AA764">
        <v>143</v>
      </c>
      <c r="AB764" s="1" t="s">
        <v>1672</v>
      </c>
    </row>
    <row r="765" spans="1:28" x14ac:dyDescent="0.3">
      <c r="A765">
        <v>470</v>
      </c>
      <c r="B765" s="1" t="s">
        <v>1275</v>
      </c>
      <c r="C765">
        <v>0</v>
      </c>
      <c r="D765">
        <v>1610612752</v>
      </c>
      <c r="E765" s="1" t="s">
        <v>1248</v>
      </c>
      <c r="F765">
        <v>330</v>
      </c>
      <c r="G765">
        <v>3</v>
      </c>
      <c r="H765">
        <v>0</v>
      </c>
      <c r="I765">
        <v>470</v>
      </c>
      <c r="J765">
        <v>4</v>
      </c>
      <c r="K765">
        <v>13</v>
      </c>
      <c r="L765">
        <v>308</v>
      </c>
      <c r="M765">
        <v>30</v>
      </c>
      <c r="N765">
        <v>50</v>
      </c>
      <c r="O765">
        <v>6</v>
      </c>
      <c r="P765">
        <v>8</v>
      </c>
      <c r="Q765">
        <v>11</v>
      </c>
      <c r="R765">
        <v>727</v>
      </c>
      <c r="S765">
        <v>20</v>
      </c>
      <c r="T765">
        <v>70</v>
      </c>
      <c r="U765">
        <v>90</v>
      </c>
      <c r="V765">
        <v>8</v>
      </c>
      <c r="W765">
        <v>40</v>
      </c>
      <c r="X765">
        <v>0</v>
      </c>
      <c r="Y765">
        <v>40</v>
      </c>
      <c r="Z765">
        <v>8</v>
      </c>
      <c r="AA765">
        <v>19</v>
      </c>
      <c r="AB765" s="1" t="s">
        <v>1672</v>
      </c>
    </row>
    <row r="766" spans="1:28" x14ac:dyDescent="0.3">
      <c r="A766">
        <v>280</v>
      </c>
      <c r="B766" s="1" t="s">
        <v>1465</v>
      </c>
      <c r="C766">
        <v>0</v>
      </c>
      <c r="D766">
        <v>1610612752</v>
      </c>
      <c r="E766" s="1" t="s">
        <v>1248</v>
      </c>
      <c r="F766">
        <v>330</v>
      </c>
      <c r="G766">
        <v>18</v>
      </c>
      <c r="H766">
        <v>0</v>
      </c>
      <c r="I766">
        <v>1120</v>
      </c>
      <c r="J766">
        <v>12</v>
      </c>
      <c r="K766">
        <v>20</v>
      </c>
      <c r="L766">
        <v>6</v>
      </c>
      <c r="M766">
        <v>0</v>
      </c>
      <c r="N766">
        <v>0</v>
      </c>
      <c r="O766">
        <v>0</v>
      </c>
      <c r="P766">
        <v>15</v>
      </c>
      <c r="Q766">
        <v>25</v>
      </c>
      <c r="R766">
        <v>6</v>
      </c>
      <c r="S766">
        <v>160</v>
      </c>
      <c r="T766">
        <v>190</v>
      </c>
      <c r="U766">
        <v>350</v>
      </c>
      <c r="V766">
        <v>2</v>
      </c>
      <c r="W766">
        <v>20</v>
      </c>
      <c r="X766">
        <v>20</v>
      </c>
      <c r="Y766">
        <v>110</v>
      </c>
      <c r="Z766">
        <v>24</v>
      </c>
      <c r="AA766">
        <v>39</v>
      </c>
      <c r="AB766" s="1" t="s">
        <v>1673</v>
      </c>
    </row>
    <row r="767" spans="1:28" x14ac:dyDescent="0.3">
      <c r="A767">
        <v>280</v>
      </c>
      <c r="B767" s="1" t="s">
        <v>1330</v>
      </c>
      <c r="C767">
        <v>0</v>
      </c>
      <c r="D767">
        <v>1610612752</v>
      </c>
      <c r="E767" s="1" t="s">
        <v>1248</v>
      </c>
      <c r="F767">
        <v>340</v>
      </c>
      <c r="G767">
        <v>32</v>
      </c>
      <c r="H767">
        <v>80</v>
      </c>
      <c r="I767">
        <v>2480</v>
      </c>
      <c r="J767">
        <v>6</v>
      </c>
      <c r="K767">
        <v>26</v>
      </c>
      <c r="L767">
        <v>231</v>
      </c>
      <c r="M767">
        <v>0</v>
      </c>
      <c r="N767">
        <v>0</v>
      </c>
      <c r="O767">
        <v>0</v>
      </c>
      <c r="P767">
        <v>17</v>
      </c>
      <c r="Q767">
        <v>33</v>
      </c>
      <c r="R767">
        <v>515</v>
      </c>
      <c r="S767">
        <v>160</v>
      </c>
      <c r="T767">
        <v>340</v>
      </c>
      <c r="U767">
        <v>500</v>
      </c>
      <c r="V767">
        <v>3</v>
      </c>
      <c r="W767">
        <v>70</v>
      </c>
      <c r="X767">
        <v>80</v>
      </c>
      <c r="Y767">
        <v>120</v>
      </c>
      <c r="Z767">
        <v>73</v>
      </c>
      <c r="AA767">
        <v>29</v>
      </c>
      <c r="AB767" s="1" t="s">
        <v>1673</v>
      </c>
    </row>
    <row r="768" spans="1:28" x14ac:dyDescent="0.3">
      <c r="A768">
        <v>77218</v>
      </c>
      <c r="B768" s="1" t="s">
        <v>1378</v>
      </c>
      <c r="C768">
        <v>0</v>
      </c>
      <c r="D768">
        <v>1610612752</v>
      </c>
      <c r="E768" s="1" t="s">
        <v>1248</v>
      </c>
      <c r="F768">
        <v>230</v>
      </c>
      <c r="G768">
        <v>61</v>
      </c>
      <c r="J768">
        <v>111</v>
      </c>
      <c r="K768">
        <v>286</v>
      </c>
      <c r="L768">
        <v>388</v>
      </c>
      <c r="P768">
        <v>78</v>
      </c>
      <c r="Q768">
        <v>125</v>
      </c>
      <c r="R768">
        <v>624</v>
      </c>
      <c r="U768">
        <v>1530</v>
      </c>
      <c r="V768">
        <v>74</v>
      </c>
      <c r="Z768">
        <v>102</v>
      </c>
      <c r="AA768">
        <v>300</v>
      </c>
      <c r="AB768" s="1" t="s">
        <v>1674</v>
      </c>
    </row>
    <row r="769" spans="1:28" x14ac:dyDescent="0.3">
      <c r="A769">
        <v>77218</v>
      </c>
      <c r="B769" s="1" t="s">
        <v>1247</v>
      </c>
      <c r="C769">
        <v>0</v>
      </c>
      <c r="D769">
        <v>1610612752</v>
      </c>
      <c r="E769" s="1" t="s">
        <v>1248</v>
      </c>
      <c r="F769">
        <v>240</v>
      </c>
      <c r="G769">
        <v>52</v>
      </c>
      <c r="I769">
        <v>9550</v>
      </c>
      <c r="J769">
        <v>115</v>
      </c>
      <c r="K769">
        <v>307</v>
      </c>
      <c r="L769">
        <v>375</v>
      </c>
      <c r="P769">
        <v>92</v>
      </c>
      <c r="Q769">
        <v>134</v>
      </c>
      <c r="R769">
        <v>687</v>
      </c>
      <c r="U769">
        <v>1960</v>
      </c>
      <c r="V769">
        <v>88</v>
      </c>
      <c r="Z769">
        <v>107</v>
      </c>
      <c r="AA769">
        <v>322</v>
      </c>
      <c r="AB769" s="1" t="s">
        <v>1674</v>
      </c>
    </row>
    <row r="770" spans="1:28" x14ac:dyDescent="0.3">
      <c r="A770">
        <v>76847</v>
      </c>
      <c r="B770" s="1" t="s">
        <v>1394</v>
      </c>
      <c r="C770">
        <v>0</v>
      </c>
      <c r="D770">
        <v>1610612752</v>
      </c>
      <c r="E770" s="1" t="s">
        <v>1248</v>
      </c>
      <c r="F770">
        <v>250</v>
      </c>
      <c r="G770">
        <v>15</v>
      </c>
      <c r="H770">
        <v>0</v>
      </c>
      <c r="I770">
        <v>1660</v>
      </c>
      <c r="J770">
        <v>20</v>
      </c>
      <c r="K770">
        <v>54</v>
      </c>
      <c r="L770">
        <v>37</v>
      </c>
      <c r="M770">
        <v>0</v>
      </c>
      <c r="N770">
        <v>30</v>
      </c>
      <c r="O770">
        <v>0</v>
      </c>
      <c r="P770">
        <v>9</v>
      </c>
      <c r="Q770">
        <v>11</v>
      </c>
      <c r="R770">
        <v>818</v>
      </c>
      <c r="S770">
        <v>60</v>
      </c>
      <c r="T770">
        <v>110</v>
      </c>
      <c r="U770">
        <v>170</v>
      </c>
      <c r="V770">
        <v>27</v>
      </c>
      <c r="W770">
        <v>70</v>
      </c>
      <c r="X770">
        <v>10</v>
      </c>
      <c r="Y770">
        <v>220</v>
      </c>
      <c r="Z770">
        <v>17</v>
      </c>
      <c r="AA770">
        <v>49</v>
      </c>
      <c r="AB770" s="1" t="s">
        <v>1675</v>
      </c>
    </row>
    <row r="771" spans="1:28" x14ac:dyDescent="0.3">
      <c r="A771">
        <v>2201</v>
      </c>
      <c r="B771" s="1" t="s">
        <v>1300</v>
      </c>
      <c r="C771">
        <v>0</v>
      </c>
      <c r="D771">
        <v>1610612752</v>
      </c>
      <c r="E771" s="1" t="s">
        <v>1248</v>
      </c>
      <c r="F771">
        <v>230</v>
      </c>
      <c r="G771">
        <v>72</v>
      </c>
      <c r="H771">
        <v>690</v>
      </c>
      <c r="I771">
        <v>18660</v>
      </c>
      <c r="J771">
        <v>336</v>
      </c>
      <c r="K771">
        <v>597</v>
      </c>
      <c r="L771">
        <v>563</v>
      </c>
      <c r="M771">
        <v>0</v>
      </c>
      <c r="N771">
        <v>0</v>
      </c>
      <c r="O771">
        <v>0</v>
      </c>
      <c r="P771">
        <v>307</v>
      </c>
      <c r="Q771">
        <v>486</v>
      </c>
      <c r="R771">
        <v>632</v>
      </c>
      <c r="S771">
        <v>1450</v>
      </c>
      <c r="T771">
        <v>2870</v>
      </c>
      <c r="U771">
        <v>4320</v>
      </c>
      <c r="V771">
        <v>19</v>
      </c>
      <c r="W771">
        <v>280</v>
      </c>
      <c r="X771">
        <v>560</v>
      </c>
      <c r="Y771">
        <v>1790</v>
      </c>
      <c r="Z771">
        <v>239</v>
      </c>
      <c r="AA771">
        <v>979</v>
      </c>
      <c r="AB771" s="1" t="s">
        <v>1676</v>
      </c>
    </row>
    <row r="772" spans="1:28" x14ac:dyDescent="0.3">
      <c r="A772">
        <v>2201</v>
      </c>
      <c r="B772" s="1" t="s">
        <v>1302</v>
      </c>
      <c r="C772">
        <v>0</v>
      </c>
      <c r="D772">
        <v>1610612752</v>
      </c>
      <c r="E772" s="1" t="s">
        <v>1248</v>
      </c>
      <c r="F772">
        <v>240</v>
      </c>
      <c r="G772">
        <v>81</v>
      </c>
      <c r="H772">
        <v>810</v>
      </c>
      <c r="I772">
        <v>28490</v>
      </c>
      <c r="J772">
        <v>585</v>
      </c>
      <c r="K772">
        <v>1016</v>
      </c>
      <c r="L772">
        <v>576</v>
      </c>
      <c r="M772">
        <v>10</v>
      </c>
      <c r="N772">
        <v>10</v>
      </c>
      <c r="O772">
        <v>10</v>
      </c>
      <c r="P772">
        <v>405</v>
      </c>
      <c r="Q772">
        <v>659</v>
      </c>
      <c r="R772">
        <v>615</v>
      </c>
      <c r="S772">
        <v>1950</v>
      </c>
      <c r="T772">
        <v>3760</v>
      </c>
      <c r="U772">
        <v>5710</v>
      </c>
      <c r="V772">
        <v>68</v>
      </c>
      <c r="W772">
        <v>340</v>
      </c>
      <c r="X772">
        <v>400</v>
      </c>
      <c r="Y772">
        <v>2950</v>
      </c>
      <c r="Z772">
        <v>265</v>
      </c>
      <c r="AA772">
        <v>1576</v>
      </c>
      <c r="AB772" s="1" t="s">
        <v>1676</v>
      </c>
    </row>
    <row r="773" spans="1:28" x14ac:dyDescent="0.3">
      <c r="A773">
        <v>2201</v>
      </c>
      <c r="B773" s="1" t="s">
        <v>1303</v>
      </c>
      <c r="C773">
        <v>0</v>
      </c>
      <c r="D773">
        <v>1610612752</v>
      </c>
      <c r="E773" s="1" t="s">
        <v>1248</v>
      </c>
      <c r="F773">
        <v>250</v>
      </c>
      <c r="G773">
        <v>59</v>
      </c>
      <c r="H773">
        <v>580</v>
      </c>
      <c r="I773">
        <v>15300</v>
      </c>
      <c r="J773">
        <v>297</v>
      </c>
      <c r="K773">
        <v>544</v>
      </c>
      <c r="L773">
        <v>546</v>
      </c>
      <c r="M773">
        <v>0</v>
      </c>
      <c r="N773">
        <v>0</v>
      </c>
      <c r="O773">
        <v>0</v>
      </c>
      <c r="P773">
        <v>187</v>
      </c>
      <c r="Q773">
        <v>300</v>
      </c>
      <c r="R773">
        <v>623</v>
      </c>
      <c r="S773">
        <v>1110</v>
      </c>
      <c r="T773">
        <v>1640</v>
      </c>
      <c r="U773">
        <v>2750</v>
      </c>
      <c r="V773">
        <v>32</v>
      </c>
      <c r="W773">
        <v>140</v>
      </c>
      <c r="X773">
        <v>290</v>
      </c>
      <c r="Y773">
        <v>1260</v>
      </c>
      <c r="Z773">
        <v>157</v>
      </c>
      <c r="AA773">
        <v>781</v>
      </c>
      <c r="AB773" s="1" t="s">
        <v>1676</v>
      </c>
    </row>
    <row r="774" spans="1:28" x14ac:dyDescent="0.3">
      <c r="A774">
        <v>2201</v>
      </c>
      <c r="B774" s="1" t="s">
        <v>1304</v>
      </c>
      <c r="C774">
        <v>0</v>
      </c>
      <c r="D774">
        <v>1610612752</v>
      </c>
      <c r="E774" s="1" t="s">
        <v>1248</v>
      </c>
      <c r="F774">
        <v>260</v>
      </c>
      <c r="G774">
        <v>3</v>
      </c>
      <c r="H774">
        <v>0</v>
      </c>
      <c r="I774">
        <v>120</v>
      </c>
      <c r="J774">
        <v>2</v>
      </c>
      <c r="K774">
        <v>2</v>
      </c>
      <c r="L774">
        <v>10</v>
      </c>
      <c r="M774">
        <v>0</v>
      </c>
      <c r="N774">
        <v>0</v>
      </c>
      <c r="O774">
        <v>0</v>
      </c>
      <c r="P774">
        <v>1</v>
      </c>
      <c r="Q774">
        <v>3</v>
      </c>
      <c r="R774">
        <v>333</v>
      </c>
      <c r="S774">
        <v>0</v>
      </c>
      <c r="T774">
        <v>40</v>
      </c>
      <c r="U774">
        <v>40</v>
      </c>
      <c r="V774">
        <v>0</v>
      </c>
      <c r="W774">
        <v>0</v>
      </c>
      <c r="X774">
        <v>0</v>
      </c>
      <c r="Y774">
        <v>20</v>
      </c>
      <c r="Z774">
        <v>5</v>
      </c>
      <c r="AA774">
        <v>5</v>
      </c>
      <c r="AB774" s="1" t="s">
        <v>1676</v>
      </c>
    </row>
    <row r="775" spans="1:28" x14ac:dyDescent="0.3">
      <c r="A775">
        <v>2201</v>
      </c>
      <c r="B775" s="1" t="s">
        <v>1305</v>
      </c>
      <c r="C775">
        <v>0</v>
      </c>
      <c r="D775">
        <v>1610612752</v>
      </c>
      <c r="E775" s="1" t="s">
        <v>1248</v>
      </c>
      <c r="F775">
        <v>270</v>
      </c>
      <c r="G775">
        <v>7</v>
      </c>
      <c r="H775">
        <v>0</v>
      </c>
      <c r="I775">
        <v>620</v>
      </c>
      <c r="J775">
        <v>8</v>
      </c>
      <c r="K775">
        <v>21</v>
      </c>
      <c r="L775">
        <v>381</v>
      </c>
      <c r="M775">
        <v>0</v>
      </c>
      <c r="N775">
        <v>0</v>
      </c>
      <c r="O775">
        <v>0</v>
      </c>
      <c r="P775">
        <v>10</v>
      </c>
      <c r="Q775">
        <v>17</v>
      </c>
      <c r="R775">
        <v>588</v>
      </c>
      <c r="S775">
        <v>40</v>
      </c>
      <c r="T775">
        <v>90</v>
      </c>
      <c r="U775">
        <v>130</v>
      </c>
      <c r="V775">
        <v>0</v>
      </c>
      <c r="W775">
        <v>0</v>
      </c>
      <c r="X775">
        <v>10</v>
      </c>
      <c r="Y775">
        <v>130</v>
      </c>
      <c r="Z775">
        <v>13</v>
      </c>
      <c r="AA775">
        <v>26</v>
      </c>
      <c r="AB775" s="1" t="s">
        <v>1676</v>
      </c>
    </row>
    <row r="776" spans="1:28" x14ac:dyDescent="0.3">
      <c r="A776">
        <v>317</v>
      </c>
      <c r="B776" s="1" t="s">
        <v>1271</v>
      </c>
      <c r="C776">
        <v>0</v>
      </c>
      <c r="D776">
        <v>1610612752</v>
      </c>
      <c r="E776" s="1" t="s">
        <v>1248</v>
      </c>
      <c r="F776">
        <v>250</v>
      </c>
      <c r="G776">
        <v>61</v>
      </c>
      <c r="H776">
        <v>100</v>
      </c>
      <c r="I776">
        <v>11730</v>
      </c>
      <c r="J776">
        <v>180</v>
      </c>
      <c r="K776">
        <v>410</v>
      </c>
      <c r="L776">
        <v>439</v>
      </c>
      <c r="M776">
        <v>270</v>
      </c>
      <c r="N776">
        <v>930</v>
      </c>
      <c r="O776">
        <v>29</v>
      </c>
      <c r="P776">
        <v>79</v>
      </c>
      <c r="Q776">
        <v>105</v>
      </c>
      <c r="R776">
        <v>752</v>
      </c>
      <c r="S776">
        <v>300</v>
      </c>
      <c r="T776">
        <v>1010</v>
      </c>
      <c r="U776">
        <v>1310</v>
      </c>
      <c r="V776">
        <v>204</v>
      </c>
      <c r="W776">
        <v>590</v>
      </c>
      <c r="X776">
        <v>170</v>
      </c>
      <c r="Y776">
        <v>740</v>
      </c>
      <c r="Z776">
        <v>137</v>
      </c>
      <c r="AA776">
        <v>466</v>
      </c>
      <c r="AB776" s="1" t="s">
        <v>1677</v>
      </c>
    </row>
    <row r="777" spans="1:28" x14ac:dyDescent="0.3">
      <c r="A777">
        <v>317</v>
      </c>
      <c r="B777" s="1" t="s">
        <v>1272</v>
      </c>
      <c r="C777">
        <v>0</v>
      </c>
      <c r="D777">
        <v>1610612752</v>
      </c>
      <c r="E777" s="1" t="s">
        <v>1248</v>
      </c>
      <c r="F777">
        <v>260</v>
      </c>
      <c r="G777">
        <v>82</v>
      </c>
      <c r="H777">
        <v>0</v>
      </c>
      <c r="I777">
        <v>21180</v>
      </c>
      <c r="J777">
        <v>405</v>
      </c>
      <c r="K777">
        <v>902</v>
      </c>
      <c r="L777">
        <v>449</v>
      </c>
      <c r="M777">
        <v>940</v>
      </c>
      <c r="N777">
        <v>2700</v>
      </c>
      <c r="O777">
        <v>348</v>
      </c>
      <c r="P777">
        <v>235</v>
      </c>
      <c r="Q777">
        <v>302</v>
      </c>
      <c r="R777">
        <v>778</v>
      </c>
      <c r="S777">
        <v>450</v>
      </c>
      <c r="T777">
        <v>1460</v>
      </c>
      <c r="U777">
        <v>1910</v>
      </c>
      <c r="V777">
        <v>276</v>
      </c>
      <c r="W777">
        <v>1030</v>
      </c>
      <c r="X777">
        <v>180</v>
      </c>
      <c r="Y777">
        <v>1500</v>
      </c>
      <c r="Z777">
        <v>231</v>
      </c>
      <c r="AA777">
        <v>1139</v>
      </c>
      <c r="AB777" s="1" t="s">
        <v>1677</v>
      </c>
    </row>
    <row r="778" spans="1:28" x14ac:dyDescent="0.3">
      <c r="A778">
        <v>317</v>
      </c>
      <c r="B778" s="1" t="s">
        <v>1273</v>
      </c>
      <c r="C778">
        <v>0</v>
      </c>
      <c r="D778">
        <v>1610612752</v>
      </c>
      <c r="E778" s="1" t="s">
        <v>1248</v>
      </c>
      <c r="F778">
        <v>270</v>
      </c>
      <c r="G778">
        <v>80</v>
      </c>
      <c r="H778">
        <v>510</v>
      </c>
      <c r="I778">
        <v>24770</v>
      </c>
      <c r="J778">
        <v>513</v>
      </c>
      <c r="K778">
        <v>1199</v>
      </c>
      <c r="L778">
        <v>428</v>
      </c>
      <c r="M778">
        <v>1080</v>
      </c>
      <c r="N778">
        <v>3360</v>
      </c>
      <c r="O778">
        <v>321</v>
      </c>
      <c r="P778">
        <v>263</v>
      </c>
      <c r="Q778">
        <v>331</v>
      </c>
      <c r="R778">
        <v>795</v>
      </c>
      <c r="S778">
        <v>540</v>
      </c>
      <c r="T778">
        <v>1500</v>
      </c>
      <c r="U778">
        <v>2040</v>
      </c>
      <c r="V778">
        <v>404</v>
      </c>
      <c r="W778">
        <v>910</v>
      </c>
      <c r="X778">
        <v>120</v>
      </c>
      <c r="Y778">
        <v>1730</v>
      </c>
      <c r="Z778">
        <v>234</v>
      </c>
      <c r="AA778">
        <v>1397</v>
      </c>
      <c r="AB778" s="1" t="s">
        <v>1677</v>
      </c>
    </row>
    <row r="779" spans="1:28" x14ac:dyDescent="0.3">
      <c r="A779">
        <v>317</v>
      </c>
      <c r="B779" s="1" t="s">
        <v>1274</v>
      </c>
      <c r="C779">
        <v>0</v>
      </c>
      <c r="D779">
        <v>1610612752</v>
      </c>
      <c r="E779" s="1" t="s">
        <v>1248</v>
      </c>
      <c r="F779">
        <v>280</v>
      </c>
      <c r="G779">
        <v>59</v>
      </c>
      <c r="H779">
        <v>540</v>
      </c>
      <c r="I779">
        <v>20570</v>
      </c>
      <c r="J779">
        <v>410</v>
      </c>
      <c r="K779">
        <v>977</v>
      </c>
      <c r="L779">
        <v>42</v>
      </c>
      <c r="M779">
        <v>1130</v>
      </c>
      <c r="N779">
        <v>3370</v>
      </c>
      <c r="O779">
        <v>335</v>
      </c>
      <c r="P779">
        <v>187</v>
      </c>
      <c r="Q779">
        <v>248</v>
      </c>
      <c r="R779">
        <v>754</v>
      </c>
      <c r="S779">
        <v>370</v>
      </c>
      <c r="T779">
        <v>1480</v>
      </c>
      <c r="U779">
        <v>1850</v>
      </c>
      <c r="V779">
        <v>348</v>
      </c>
      <c r="W779">
        <v>950</v>
      </c>
      <c r="X779">
        <v>60</v>
      </c>
      <c r="Y779">
        <v>1840</v>
      </c>
      <c r="Z779">
        <v>191</v>
      </c>
      <c r="AA779">
        <v>1120</v>
      </c>
      <c r="AB779" s="1" t="s">
        <v>1677</v>
      </c>
    </row>
    <row r="780" spans="1:28" x14ac:dyDescent="0.3">
      <c r="A780">
        <v>317</v>
      </c>
      <c r="B780" s="1" t="s">
        <v>1275</v>
      </c>
      <c r="C780">
        <v>0</v>
      </c>
      <c r="D780">
        <v>1610612752</v>
      </c>
      <c r="E780" s="1" t="s">
        <v>1248</v>
      </c>
      <c r="F780">
        <v>290</v>
      </c>
      <c r="G780">
        <v>80</v>
      </c>
      <c r="H780">
        <v>780</v>
      </c>
      <c r="I780">
        <v>27250</v>
      </c>
      <c r="J780">
        <v>419</v>
      </c>
      <c r="K780">
        <v>1062</v>
      </c>
      <c r="L780">
        <v>395</v>
      </c>
      <c r="M780">
        <v>2170</v>
      </c>
      <c r="N780">
        <v>6110</v>
      </c>
      <c r="O780">
        <v>355</v>
      </c>
      <c r="P780">
        <v>168</v>
      </c>
      <c r="Q780">
        <v>228</v>
      </c>
      <c r="R780">
        <v>737</v>
      </c>
      <c r="S780">
        <v>340</v>
      </c>
      <c r="T780">
        <v>1850</v>
      </c>
      <c r="U780">
        <v>2190</v>
      </c>
      <c r="V780">
        <v>411</v>
      </c>
      <c r="W780">
        <v>920</v>
      </c>
      <c r="X780">
        <v>40</v>
      </c>
      <c r="Y780">
        <v>1600</v>
      </c>
      <c r="Z780">
        <v>257</v>
      </c>
      <c r="AA780">
        <v>1223</v>
      </c>
      <c r="AB780" s="1" t="s">
        <v>1677</v>
      </c>
    </row>
    <row r="781" spans="1:28" x14ac:dyDescent="0.3">
      <c r="A781">
        <v>317</v>
      </c>
      <c r="B781" s="1" t="s">
        <v>1276</v>
      </c>
      <c r="C781">
        <v>0</v>
      </c>
      <c r="D781">
        <v>1610612752</v>
      </c>
      <c r="E781" s="1" t="s">
        <v>1248</v>
      </c>
      <c r="F781">
        <v>300</v>
      </c>
      <c r="G781">
        <v>81</v>
      </c>
      <c r="H781">
        <v>710</v>
      </c>
      <c r="I781">
        <v>24910</v>
      </c>
      <c r="J781">
        <v>375</v>
      </c>
      <c r="K781">
        <v>846</v>
      </c>
      <c r="L781">
        <v>443</v>
      </c>
      <c r="M781">
        <v>1430</v>
      </c>
      <c r="N781">
        <v>3960</v>
      </c>
      <c r="O781">
        <v>361</v>
      </c>
      <c r="P781">
        <v>131</v>
      </c>
      <c r="Q781">
        <v>174</v>
      </c>
      <c r="R781">
        <v>753</v>
      </c>
      <c r="S781">
        <v>310</v>
      </c>
      <c r="T781">
        <v>2060</v>
      </c>
      <c r="U781">
        <v>2370</v>
      </c>
      <c r="V781">
        <v>315</v>
      </c>
      <c r="W781">
        <v>1030</v>
      </c>
      <c r="X781">
        <v>110</v>
      </c>
      <c r="Y781">
        <v>1560</v>
      </c>
      <c r="Z781">
        <v>226</v>
      </c>
      <c r="AA781">
        <v>1024</v>
      </c>
      <c r="AB781" s="1" t="s">
        <v>1677</v>
      </c>
    </row>
    <row r="782" spans="1:28" x14ac:dyDescent="0.3">
      <c r="A782">
        <v>317</v>
      </c>
      <c r="B782" s="1" t="s">
        <v>1277</v>
      </c>
      <c r="C782">
        <v>0</v>
      </c>
      <c r="D782">
        <v>1610612752</v>
      </c>
      <c r="E782" s="1" t="s">
        <v>1248</v>
      </c>
      <c r="F782">
        <v>310</v>
      </c>
      <c r="G782">
        <v>77</v>
      </c>
      <c r="H782">
        <v>10</v>
      </c>
      <c r="I782">
        <v>20460</v>
      </c>
      <c r="J782">
        <v>369</v>
      </c>
      <c r="K782">
        <v>856</v>
      </c>
      <c r="L782">
        <v>431</v>
      </c>
      <c r="M782">
        <v>1500</v>
      </c>
      <c r="N782">
        <v>4070</v>
      </c>
      <c r="O782">
        <v>369</v>
      </c>
      <c r="P782">
        <v>173</v>
      </c>
      <c r="Q782">
        <v>225</v>
      </c>
      <c r="R782">
        <v>769</v>
      </c>
      <c r="S782">
        <v>360</v>
      </c>
      <c r="T782">
        <v>1690</v>
      </c>
      <c r="U782">
        <v>2050</v>
      </c>
      <c r="V782">
        <v>217</v>
      </c>
      <c r="W782">
        <v>900</v>
      </c>
      <c r="X782">
        <v>110</v>
      </c>
      <c r="Y782">
        <v>1580</v>
      </c>
      <c r="Z782">
        <v>196</v>
      </c>
      <c r="AA782">
        <v>1061</v>
      </c>
      <c r="AB782" s="1" t="s">
        <v>1677</v>
      </c>
    </row>
    <row r="783" spans="1:28" x14ac:dyDescent="0.3">
      <c r="A783">
        <v>317</v>
      </c>
      <c r="B783" s="1" t="s">
        <v>1278</v>
      </c>
      <c r="C783">
        <v>0</v>
      </c>
      <c r="D783">
        <v>1610612752</v>
      </c>
      <c r="E783" s="1" t="s">
        <v>1248</v>
      </c>
      <c r="F783">
        <v>320</v>
      </c>
      <c r="G783">
        <v>82</v>
      </c>
      <c r="H783">
        <v>100</v>
      </c>
      <c r="I783">
        <v>21880</v>
      </c>
      <c r="J783">
        <v>372</v>
      </c>
      <c r="K783">
        <v>947</v>
      </c>
      <c r="L783">
        <v>393</v>
      </c>
      <c r="M783">
        <v>1300</v>
      </c>
      <c r="N783">
        <v>3980</v>
      </c>
      <c r="O783">
        <v>327</v>
      </c>
      <c r="P783">
        <v>185</v>
      </c>
      <c r="Q783">
        <v>235</v>
      </c>
      <c r="R783">
        <v>787</v>
      </c>
      <c r="S783">
        <v>480</v>
      </c>
      <c r="T783">
        <v>1820</v>
      </c>
      <c r="U783">
        <v>2300</v>
      </c>
      <c r="V783">
        <v>219</v>
      </c>
      <c r="W783">
        <v>780</v>
      </c>
      <c r="X783">
        <v>50</v>
      </c>
      <c r="Y783">
        <v>1430</v>
      </c>
      <c r="Z783">
        <v>205</v>
      </c>
      <c r="AA783">
        <v>1059</v>
      </c>
      <c r="AB783" s="1" t="s">
        <v>1677</v>
      </c>
    </row>
    <row r="784" spans="1:28" x14ac:dyDescent="0.3">
      <c r="A784">
        <v>1629629</v>
      </c>
      <c r="B784" s="1" t="s">
        <v>1308</v>
      </c>
      <c r="C784">
        <v>0</v>
      </c>
      <c r="D784">
        <v>1610612752</v>
      </c>
      <c r="E784" s="1" t="s">
        <v>1248</v>
      </c>
      <c r="F784">
        <v>220</v>
      </c>
      <c r="G784">
        <v>15</v>
      </c>
      <c r="H784">
        <v>0</v>
      </c>
      <c r="I784">
        <v>2160</v>
      </c>
      <c r="J784">
        <v>27</v>
      </c>
      <c r="K784">
        <v>65</v>
      </c>
      <c r="L784">
        <v>415</v>
      </c>
      <c r="M784">
        <v>80</v>
      </c>
      <c r="N784">
        <v>310</v>
      </c>
      <c r="O784">
        <v>258</v>
      </c>
      <c r="P784">
        <v>29</v>
      </c>
      <c r="Q784">
        <v>32</v>
      </c>
      <c r="R784">
        <v>906</v>
      </c>
      <c r="S784">
        <v>50</v>
      </c>
      <c r="T784">
        <v>160</v>
      </c>
      <c r="U784">
        <v>210</v>
      </c>
      <c r="V784">
        <v>10</v>
      </c>
      <c r="W784">
        <v>120</v>
      </c>
      <c r="X784">
        <v>40</v>
      </c>
      <c r="Y784">
        <v>130</v>
      </c>
      <c r="Z784">
        <v>15</v>
      </c>
      <c r="AA784">
        <v>91</v>
      </c>
      <c r="AB784" s="1" t="s">
        <v>1678</v>
      </c>
    </row>
    <row r="785" spans="1:28" x14ac:dyDescent="0.3">
      <c r="A785">
        <v>1629629</v>
      </c>
      <c r="B785" s="1" t="s">
        <v>1327</v>
      </c>
      <c r="C785">
        <v>0</v>
      </c>
      <c r="D785">
        <v>1610612752</v>
      </c>
      <c r="E785" s="1" t="s">
        <v>1248</v>
      </c>
      <c r="F785">
        <v>230</v>
      </c>
      <c r="G785">
        <v>20</v>
      </c>
      <c r="H785">
        <v>80</v>
      </c>
      <c r="I785">
        <v>4380</v>
      </c>
      <c r="J785">
        <v>61</v>
      </c>
      <c r="K785">
        <v>136</v>
      </c>
      <c r="L785">
        <v>449</v>
      </c>
      <c r="M785">
        <v>170</v>
      </c>
      <c r="N785">
        <v>560</v>
      </c>
      <c r="O785">
        <v>304</v>
      </c>
      <c r="P785">
        <v>29</v>
      </c>
      <c r="Q785">
        <v>33</v>
      </c>
      <c r="R785">
        <v>879</v>
      </c>
      <c r="S785">
        <v>70</v>
      </c>
      <c r="T785">
        <v>240</v>
      </c>
      <c r="U785">
        <v>310</v>
      </c>
      <c r="V785">
        <v>20</v>
      </c>
      <c r="W785">
        <v>150</v>
      </c>
      <c r="X785">
        <v>80</v>
      </c>
      <c r="Y785">
        <v>150</v>
      </c>
      <c r="Z785">
        <v>32</v>
      </c>
      <c r="AA785">
        <v>168</v>
      </c>
      <c r="AB785" s="1" t="s">
        <v>1678</v>
      </c>
    </row>
    <row r="786" spans="1:28" x14ac:dyDescent="0.3">
      <c r="A786">
        <v>77210</v>
      </c>
      <c r="B786" s="1" t="s">
        <v>1318</v>
      </c>
      <c r="C786">
        <v>0</v>
      </c>
      <c r="D786">
        <v>1610612752</v>
      </c>
      <c r="E786" s="1" t="s">
        <v>1248</v>
      </c>
      <c r="F786">
        <v>230</v>
      </c>
      <c r="G786">
        <v>9</v>
      </c>
      <c r="I786">
        <v>910</v>
      </c>
      <c r="J786">
        <v>18</v>
      </c>
      <c r="K786">
        <v>49</v>
      </c>
      <c r="L786">
        <v>367</v>
      </c>
      <c r="P786">
        <v>8</v>
      </c>
      <c r="Q786">
        <v>12</v>
      </c>
      <c r="R786">
        <v>667</v>
      </c>
      <c r="U786">
        <v>340</v>
      </c>
      <c r="V786">
        <v>2</v>
      </c>
      <c r="Z786">
        <v>15</v>
      </c>
      <c r="AA786">
        <v>44</v>
      </c>
      <c r="AB786" s="1" t="s">
        <v>1679</v>
      </c>
    </row>
    <row r="787" spans="1:28" x14ac:dyDescent="0.3">
      <c r="A787">
        <v>77210</v>
      </c>
      <c r="B787" s="1" t="s">
        <v>1323</v>
      </c>
      <c r="C787">
        <v>0</v>
      </c>
      <c r="D787">
        <v>1610612752</v>
      </c>
      <c r="E787" s="1" t="s">
        <v>1248</v>
      </c>
      <c r="F787">
        <v>280</v>
      </c>
      <c r="G787">
        <v>76</v>
      </c>
      <c r="I787">
        <v>21950</v>
      </c>
      <c r="J787">
        <v>403</v>
      </c>
      <c r="K787">
        <v>1028</v>
      </c>
      <c r="L787">
        <v>392</v>
      </c>
      <c r="P787">
        <v>96</v>
      </c>
      <c r="Q787">
        <v>168</v>
      </c>
      <c r="R787">
        <v>571</v>
      </c>
      <c r="U787">
        <v>4820</v>
      </c>
      <c r="V787">
        <v>156</v>
      </c>
      <c r="Z787">
        <v>258</v>
      </c>
      <c r="AA787">
        <v>902</v>
      </c>
      <c r="AB787" s="1" t="s">
        <v>1679</v>
      </c>
    </row>
    <row r="788" spans="1:28" x14ac:dyDescent="0.3">
      <c r="A788">
        <v>97</v>
      </c>
      <c r="B788" s="1" t="s">
        <v>1275</v>
      </c>
      <c r="C788">
        <v>0</v>
      </c>
      <c r="D788">
        <v>1610612752</v>
      </c>
      <c r="E788" s="1" t="s">
        <v>1248</v>
      </c>
      <c r="F788">
        <v>300</v>
      </c>
      <c r="G788">
        <v>2</v>
      </c>
      <c r="H788">
        <v>0</v>
      </c>
      <c r="I788">
        <v>80</v>
      </c>
      <c r="J788">
        <v>1</v>
      </c>
      <c r="K788">
        <v>4</v>
      </c>
      <c r="L788">
        <v>25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30</v>
      </c>
      <c r="T788">
        <v>20</v>
      </c>
      <c r="U788">
        <v>50</v>
      </c>
      <c r="V788">
        <v>2</v>
      </c>
      <c r="W788">
        <v>0</v>
      </c>
      <c r="X788">
        <v>0</v>
      </c>
      <c r="Y788">
        <v>0</v>
      </c>
      <c r="Z788">
        <v>2</v>
      </c>
      <c r="AA788">
        <v>2</v>
      </c>
      <c r="AB788" s="1" t="s">
        <v>1680</v>
      </c>
    </row>
    <row r="789" spans="1:28" x14ac:dyDescent="0.3">
      <c r="A789">
        <v>97</v>
      </c>
      <c r="B789" s="1" t="s">
        <v>1276</v>
      </c>
      <c r="C789">
        <v>0</v>
      </c>
      <c r="D789">
        <v>1610612752</v>
      </c>
      <c r="E789" s="1" t="s">
        <v>1248</v>
      </c>
      <c r="F789">
        <v>310</v>
      </c>
      <c r="G789">
        <v>6</v>
      </c>
      <c r="H789">
        <v>0</v>
      </c>
      <c r="I789">
        <v>570</v>
      </c>
      <c r="J789">
        <v>7</v>
      </c>
      <c r="K789">
        <v>15</v>
      </c>
      <c r="L789">
        <v>467</v>
      </c>
      <c r="M789">
        <v>0</v>
      </c>
      <c r="N789">
        <v>0</v>
      </c>
      <c r="O789">
        <v>0</v>
      </c>
      <c r="P789">
        <v>4</v>
      </c>
      <c r="Q789">
        <v>6</v>
      </c>
      <c r="R789">
        <v>667</v>
      </c>
      <c r="S789">
        <v>50</v>
      </c>
      <c r="T789">
        <v>80</v>
      </c>
      <c r="U789">
        <v>130</v>
      </c>
      <c r="V789">
        <v>2</v>
      </c>
      <c r="W789">
        <v>40</v>
      </c>
      <c r="X789">
        <v>10</v>
      </c>
      <c r="Y789">
        <v>10</v>
      </c>
      <c r="Z789">
        <v>4</v>
      </c>
      <c r="AA789">
        <v>18</v>
      </c>
      <c r="AB789" s="1" t="s">
        <v>1680</v>
      </c>
    </row>
    <row r="790" spans="1:28" x14ac:dyDescent="0.3">
      <c r="A790">
        <v>187</v>
      </c>
      <c r="B790" s="1" t="s">
        <v>1278</v>
      </c>
      <c r="C790">
        <v>0</v>
      </c>
      <c r="D790">
        <v>1610612752</v>
      </c>
      <c r="E790" s="1" t="s">
        <v>1248</v>
      </c>
      <c r="F790">
        <v>370</v>
      </c>
      <c r="G790">
        <v>30</v>
      </c>
      <c r="H790">
        <v>10</v>
      </c>
      <c r="I790">
        <v>5290</v>
      </c>
      <c r="J790">
        <v>103</v>
      </c>
      <c r="K790">
        <v>216</v>
      </c>
      <c r="L790">
        <v>477</v>
      </c>
      <c r="M790">
        <v>0</v>
      </c>
      <c r="N790">
        <v>0</v>
      </c>
      <c r="O790">
        <v>0</v>
      </c>
      <c r="P790">
        <v>28</v>
      </c>
      <c r="Q790">
        <v>40</v>
      </c>
      <c r="R790">
        <v>7</v>
      </c>
      <c r="S790">
        <v>420</v>
      </c>
      <c r="T790">
        <v>930</v>
      </c>
      <c r="U790">
        <v>1350</v>
      </c>
      <c r="V790">
        <v>26</v>
      </c>
      <c r="W790">
        <v>160</v>
      </c>
      <c r="X790">
        <v>50</v>
      </c>
      <c r="Y790">
        <v>340</v>
      </c>
      <c r="Z790">
        <v>79</v>
      </c>
      <c r="AA790">
        <v>234</v>
      </c>
      <c r="AB790" s="1" t="s">
        <v>1681</v>
      </c>
    </row>
    <row r="791" spans="1:28" x14ac:dyDescent="0.3">
      <c r="A791">
        <v>202366</v>
      </c>
      <c r="B791" s="1" t="s">
        <v>1290</v>
      </c>
      <c r="C791">
        <v>0</v>
      </c>
      <c r="D791">
        <v>1610612752</v>
      </c>
      <c r="E791" s="1" t="s">
        <v>1248</v>
      </c>
      <c r="F791">
        <v>250</v>
      </c>
      <c r="G791">
        <v>21</v>
      </c>
      <c r="H791">
        <v>0</v>
      </c>
      <c r="I791">
        <v>1080</v>
      </c>
      <c r="J791">
        <v>17</v>
      </c>
      <c r="K791">
        <v>33</v>
      </c>
      <c r="L791">
        <v>515</v>
      </c>
      <c r="M791">
        <v>0</v>
      </c>
      <c r="N791">
        <v>0</v>
      </c>
      <c r="O791">
        <v>0</v>
      </c>
      <c r="P791">
        <v>8</v>
      </c>
      <c r="Q791">
        <v>10</v>
      </c>
      <c r="R791">
        <v>8</v>
      </c>
      <c r="S791">
        <v>140</v>
      </c>
      <c r="T791">
        <v>130</v>
      </c>
      <c r="U791">
        <v>270</v>
      </c>
      <c r="V791">
        <v>4</v>
      </c>
      <c r="W791">
        <v>10</v>
      </c>
      <c r="X791">
        <v>60</v>
      </c>
      <c r="Y791">
        <v>20</v>
      </c>
      <c r="Z791">
        <v>15</v>
      </c>
      <c r="AA791">
        <v>42</v>
      </c>
      <c r="AB791" s="1" t="s">
        <v>1682</v>
      </c>
    </row>
    <row r="792" spans="1:28" x14ac:dyDescent="0.3">
      <c r="A792">
        <v>76836</v>
      </c>
      <c r="B792" s="1" t="s">
        <v>1339</v>
      </c>
      <c r="C792">
        <v>0</v>
      </c>
      <c r="D792">
        <v>1610612752</v>
      </c>
      <c r="E792" s="1" t="s">
        <v>1248</v>
      </c>
      <c r="F792">
        <v>260</v>
      </c>
      <c r="G792">
        <v>57</v>
      </c>
      <c r="J792">
        <v>149</v>
      </c>
      <c r="K792">
        <v>494</v>
      </c>
      <c r="L792">
        <v>302</v>
      </c>
      <c r="P792">
        <v>36</v>
      </c>
      <c r="Q792">
        <v>55</v>
      </c>
      <c r="R792">
        <v>655</v>
      </c>
      <c r="V792">
        <v>24</v>
      </c>
      <c r="Z792">
        <v>71</v>
      </c>
      <c r="AA792">
        <v>334</v>
      </c>
      <c r="AB792" s="1" t="s">
        <v>1683</v>
      </c>
    </row>
    <row r="793" spans="1:28" x14ac:dyDescent="0.3">
      <c r="A793">
        <v>76836</v>
      </c>
      <c r="B793" s="1" t="s">
        <v>1297</v>
      </c>
      <c r="C793">
        <v>0</v>
      </c>
      <c r="D793">
        <v>1610612752</v>
      </c>
      <c r="E793" s="1" t="s">
        <v>1248</v>
      </c>
      <c r="F793">
        <v>270</v>
      </c>
      <c r="G793">
        <v>27</v>
      </c>
      <c r="J793">
        <v>59</v>
      </c>
      <c r="K793">
        <v>228</v>
      </c>
      <c r="L793">
        <v>259</v>
      </c>
      <c r="P793">
        <v>13</v>
      </c>
      <c r="Q793">
        <v>21</v>
      </c>
      <c r="R793">
        <v>619</v>
      </c>
      <c r="V793">
        <v>12</v>
      </c>
      <c r="Z793">
        <v>36</v>
      </c>
      <c r="AA793">
        <v>131</v>
      </c>
      <c r="AB793" s="1" t="s">
        <v>1683</v>
      </c>
    </row>
    <row r="794" spans="1:28" x14ac:dyDescent="0.3">
      <c r="A794">
        <v>76483</v>
      </c>
      <c r="B794" s="1" t="s">
        <v>1406</v>
      </c>
      <c r="C794">
        <v>0</v>
      </c>
      <c r="D794">
        <v>1610612752</v>
      </c>
      <c r="E794" s="1" t="s">
        <v>1248</v>
      </c>
      <c r="F794">
        <v>280</v>
      </c>
      <c r="G794">
        <v>63</v>
      </c>
      <c r="H794">
        <v>630</v>
      </c>
      <c r="I794">
        <v>20690</v>
      </c>
      <c r="J794">
        <v>410</v>
      </c>
      <c r="K794">
        <v>797</v>
      </c>
      <c r="L794">
        <v>514</v>
      </c>
      <c r="M794">
        <v>0</v>
      </c>
      <c r="N794">
        <v>40</v>
      </c>
      <c r="O794">
        <v>0</v>
      </c>
      <c r="P794">
        <v>177</v>
      </c>
      <c r="Q794">
        <v>227</v>
      </c>
      <c r="R794">
        <v>78</v>
      </c>
      <c r="S794">
        <v>1390</v>
      </c>
      <c r="T794">
        <v>3790</v>
      </c>
      <c r="U794">
        <v>5180</v>
      </c>
      <c r="V794">
        <v>109</v>
      </c>
      <c r="W794">
        <v>500</v>
      </c>
      <c r="X794">
        <v>170</v>
      </c>
      <c r="Y794">
        <v>1660</v>
      </c>
      <c r="Z794">
        <v>247</v>
      </c>
      <c r="AA794">
        <v>997</v>
      </c>
      <c r="AB794" s="1" t="s">
        <v>1684</v>
      </c>
    </row>
    <row r="795" spans="1:28" x14ac:dyDescent="0.3">
      <c r="A795">
        <v>76483</v>
      </c>
      <c r="B795" s="1" t="s">
        <v>1392</v>
      </c>
      <c r="C795">
        <v>0</v>
      </c>
      <c r="D795">
        <v>1610612752</v>
      </c>
      <c r="E795" s="1" t="s">
        <v>1248</v>
      </c>
      <c r="F795">
        <v>290</v>
      </c>
      <c r="G795">
        <v>31</v>
      </c>
      <c r="H795">
        <v>300</v>
      </c>
      <c r="I795">
        <v>10070</v>
      </c>
      <c r="J795">
        <v>195</v>
      </c>
      <c r="K795">
        <v>408</v>
      </c>
      <c r="L795">
        <v>478</v>
      </c>
      <c r="M795">
        <v>0</v>
      </c>
      <c r="N795">
        <v>20</v>
      </c>
      <c r="O795">
        <v>0</v>
      </c>
      <c r="P795">
        <v>97</v>
      </c>
      <c r="Q795">
        <v>139</v>
      </c>
      <c r="R795">
        <v>698</v>
      </c>
      <c r="S795">
        <v>920</v>
      </c>
      <c r="T795">
        <v>1880</v>
      </c>
      <c r="U795">
        <v>2800</v>
      </c>
      <c r="V795">
        <v>47</v>
      </c>
      <c r="W795">
        <v>270</v>
      </c>
      <c r="X795">
        <v>120</v>
      </c>
      <c r="Y795">
        <v>870</v>
      </c>
      <c r="Z795">
        <v>136</v>
      </c>
      <c r="AA795">
        <v>487</v>
      </c>
      <c r="AB795" s="1" t="s">
        <v>1684</v>
      </c>
    </row>
    <row r="796" spans="1:28" x14ac:dyDescent="0.3">
      <c r="A796">
        <v>76483</v>
      </c>
      <c r="B796" s="1" t="s">
        <v>1394</v>
      </c>
      <c r="C796">
        <v>0</v>
      </c>
      <c r="D796">
        <v>1610612752</v>
      </c>
      <c r="E796" s="1" t="s">
        <v>1248</v>
      </c>
      <c r="F796">
        <v>300</v>
      </c>
      <c r="G796">
        <v>49</v>
      </c>
      <c r="H796">
        <v>110</v>
      </c>
      <c r="I796">
        <v>10560</v>
      </c>
      <c r="J796">
        <v>172</v>
      </c>
      <c r="K796">
        <v>382</v>
      </c>
      <c r="L796">
        <v>45</v>
      </c>
      <c r="M796">
        <v>0</v>
      </c>
      <c r="N796">
        <v>0</v>
      </c>
      <c r="O796">
        <v>0</v>
      </c>
      <c r="P796">
        <v>79</v>
      </c>
      <c r="Q796">
        <v>110</v>
      </c>
      <c r="R796">
        <v>718</v>
      </c>
      <c r="S796">
        <v>1230</v>
      </c>
      <c r="T796">
        <v>1890</v>
      </c>
      <c r="U796">
        <v>3120</v>
      </c>
      <c r="V796">
        <v>38</v>
      </c>
      <c r="W796">
        <v>260</v>
      </c>
      <c r="X796">
        <v>70</v>
      </c>
      <c r="Y796">
        <v>850</v>
      </c>
      <c r="Z796">
        <v>145</v>
      </c>
      <c r="AA796">
        <v>423</v>
      </c>
      <c r="AB796" s="1" t="s">
        <v>1684</v>
      </c>
    </row>
    <row r="797" spans="1:28" x14ac:dyDescent="0.3">
      <c r="A797">
        <v>76483</v>
      </c>
      <c r="B797" s="1" t="s">
        <v>1253</v>
      </c>
      <c r="C797">
        <v>0</v>
      </c>
      <c r="D797">
        <v>1610612752</v>
      </c>
      <c r="E797" s="1" t="s">
        <v>1248</v>
      </c>
      <c r="F797">
        <v>310</v>
      </c>
      <c r="G797">
        <v>62</v>
      </c>
      <c r="H797">
        <v>90</v>
      </c>
      <c r="I797">
        <v>9460</v>
      </c>
      <c r="J797">
        <v>140</v>
      </c>
      <c r="K797">
        <v>307</v>
      </c>
      <c r="L797">
        <v>456</v>
      </c>
      <c r="M797">
        <v>0</v>
      </c>
      <c r="N797">
        <v>10</v>
      </c>
      <c r="O797">
        <v>0</v>
      </c>
      <c r="P797">
        <v>59</v>
      </c>
      <c r="Q797">
        <v>80</v>
      </c>
      <c r="R797">
        <v>738</v>
      </c>
      <c r="S797">
        <v>820</v>
      </c>
      <c r="T797">
        <v>1530</v>
      </c>
      <c r="U797">
        <v>2350</v>
      </c>
      <c r="V797">
        <v>37</v>
      </c>
      <c r="W797">
        <v>200</v>
      </c>
      <c r="X797">
        <v>100</v>
      </c>
      <c r="Y797">
        <v>650</v>
      </c>
      <c r="Z797">
        <v>143</v>
      </c>
      <c r="AA797">
        <v>339</v>
      </c>
      <c r="AB797" s="1" t="s">
        <v>1684</v>
      </c>
    </row>
    <row r="798" spans="1:28" x14ac:dyDescent="0.3">
      <c r="A798">
        <v>78133</v>
      </c>
      <c r="B798" s="1" t="s">
        <v>1263</v>
      </c>
      <c r="C798">
        <v>0</v>
      </c>
      <c r="D798">
        <v>1610612752</v>
      </c>
      <c r="E798" s="1" t="s">
        <v>1248</v>
      </c>
      <c r="F798">
        <v>210</v>
      </c>
      <c r="G798">
        <v>82</v>
      </c>
      <c r="I798">
        <v>21040</v>
      </c>
      <c r="J798">
        <v>398</v>
      </c>
      <c r="K798">
        <v>836</v>
      </c>
      <c r="L798">
        <v>476</v>
      </c>
      <c r="P798">
        <v>159</v>
      </c>
      <c r="Q798">
        <v>225</v>
      </c>
      <c r="R798">
        <v>707</v>
      </c>
      <c r="S798">
        <v>2200</v>
      </c>
      <c r="T798">
        <v>4130</v>
      </c>
      <c r="U798">
        <v>6330</v>
      </c>
      <c r="V798">
        <v>149</v>
      </c>
      <c r="W798">
        <v>1250</v>
      </c>
      <c r="X798">
        <v>980</v>
      </c>
      <c r="Z798">
        <v>363</v>
      </c>
      <c r="AA798">
        <v>955</v>
      </c>
      <c r="AB798" s="1" t="s">
        <v>1685</v>
      </c>
    </row>
    <row r="799" spans="1:28" x14ac:dyDescent="0.3">
      <c r="A799">
        <v>78133</v>
      </c>
      <c r="B799" s="1" t="s">
        <v>1264</v>
      </c>
      <c r="C799">
        <v>0</v>
      </c>
      <c r="D799">
        <v>1610612752</v>
      </c>
      <c r="E799" s="1" t="s">
        <v>1248</v>
      </c>
      <c r="F799">
        <v>220</v>
      </c>
      <c r="G799">
        <v>82</v>
      </c>
      <c r="I799">
        <v>23190</v>
      </c>
      <c r="J799">
        <v>508</v>
      </c>
      <c r="K799">
        <v>988</v>
      </c>
      <c r="L799">
        <v>514</v>
      </c>
      <c r="P799">
        <v>203</v>
      </c>
      <c r="Q799">
        <v>276</v>
      </c>
      <c r="R799">
        <v>736</v>
      </c>
      <c r="S799">
        <v>2040</v>
      </c>
      <c r="T799">
        <v>3760</v>
      </c>
      <c r="U799">
        <v>5800</v>
      </c>
      <c r="V799">
        <v>195</v>
      </c>
      <c r="W799">
        <v>1090</v>
      </c>
      <c r="X799">
        <v>1120</v>
      </c>
      <c r="Y799">
        <v>2280</v>
      </c>
      <c r="Z799">
        <v>350</v>
      </c>
      <c r="AA799">
        <v>1219</v>
      </c>
      <c r="AB799" s="1" t="s">
        <v>1685</v>
      </c>
    </row>
    <row r="800" spans="1:28" x14ac:dyDescent="0.3">
      <c r="A800">
        <v>77903</v>
      </c>
      <c r="B800" s="1" t="s">
        <v>1390</v>
      </c>
      <c r="C800">
        <v>0</v>
      </c>
      <c r="D800">
        <v>1610612752</v>
      </c>
      <c r="E800" s="1" t="s">
        <v>1248</v>
      </c>
      <c r="F800">
        <v>240</v>
      </c>
      <c r="G800">
        <v>6</v>
      </c>
      <c r="I800">
        <v>630</v>
      </c>
      <c r="J800">
        <v>3</v>
      </c>
      <c r="K800">
        <v>21</v>
      </c>
      <c r="L800">
        <v>143</v>
      </c>
      <c r="P800">
        <v>3</v>
      </c>
      <c r="Q800">
        <v>8</v>
      </c>
      <c r="R800">
        <v>375</v>
      </c>
      <c r="U800">
        <v>80</v>
      </c>
      <c r="V800">
        <v>6</v>
      </c>
      <c r="Z800">
        <v>10</v>
      </c>
      <c r="AA800">
        <v>9</v>
      </c>
      <c r="AB800" s="1" t="s">
        <v>1686</v>
      </c>
    </row>
    <row r="801" spans="1:28" x14ac:dyDescent="0.3">
      <c r="A801">
        <v>77843</v>
      </c>
      <c r="B801" s="1" t="s">
        <v>1362</v>
      </c>
      <c r="C801">
        <v>0</v>
      </c>
      <c r="D801">
        <v>1610612752</v>
      </c>
      <c r="E801" s="1" t="s">
        <v>1248</v>
      </c>
      <c r="F801">
        <v>230</v>
      </c>
      <c r="G801">
        <v>37</v>
      </c>
      <c r="I801">
        <v>5030</v>
      </c>
      <c r="J801">
        <v>62</v>
      </c>
      <c r="K801">
        <v>169</v>
      </c>
      <c r="L801">
        <v>367</v>
      </c>
      <c r="P801">
        <v>30</v>
      </c>
      <c r="Q801">
        <v>45</v>
      </c>
      <c r="R801">
        <v>667</v>
      </c>
      <c r="U801">
        <v>1540</v>
      </c>
      <c r="V801">
        <v>31</v>
      </c>
      <c r="Z801">
        <v>80</v>
      </c>
      <c r="AA801">
        <v>154</v>
      </c>
      <c r="AB801" s="1" t="s">
        <v>1687</v>
      </c>
    </row>
    <row r="802" spans="1:28" x14ac:dyDescent="0.3">
      <c r="A802">
        <v>77843</v>
      </c>
      <c r="B802" s="1" t="s">
        <v>1315</v>
      </c>
      <c r="C802">
        <v>0</v>
      </c>
      <c r="D802">
        <v>1610612752</v>
      </c>
      <c r="E802" s="1" t="s">
        <v>1248</v>
      </c>
      <c r="F802">
        <v>240</v>
      </c>
      <c r="G802">
        <v>58</v>
      </c>
      <c r="I802">
        <v>7790</v>
      </c>
      <c r="J802">
        <v>121</v>
      </c>
      <c r="K802">
        <v>303</v>
      </c>
      <c r="L802">
        <v>399</v>
      </c>
      <c r="P802">
        <v>68</v>
      </c>
      <c r="Q802">
        <v>104</v>
      </c>
      <c r="R802">
        <v>654</v>
      </c>
      <c r="U802">
        <v>2230</v>
      </c>
      <c r="V802">
        <v>44</v>
      </c>
      <c r="Z802">
        <v>123</v>
      </c>
      <c r="AA802">
        <v>310</v>
      </c>
      <c r="AB802" s="1" t="s">
        <v>1687</v>
      </c>
    </row>
    <row r="803" spans="1:28" x14ac:dyDescent="0.3">
      <c r="A803">
        <v>78162</v>
      </c>
      <c r="B803" s="1" t="s">
        <v>1394</v>
      </c>
      <c r="C803">
        <v>0</v>
      </c>
      <c r="D803">
        <v>1610612752</v>
      </c>
      <c r="E803" s="1" t="s">
        <v>1248</v>
      </c>
      <c r="F803">
        <v>250</v>
      </c>
      <c r="G803">
        <v>2</v>
      </c>
      <c r="H803">
        <v>0</v>
      </c>
      <c r="I803">
        <v>100</v>
      </c>
      <c r="J803">
        <v>2</v>
      </c>
      <c r="K803">
        <v>3</v>
      </c>
      <c r="L803">
        <v>667</v>
      </c>
      <c r="M803">
        <v>0</v>
      </c>
      <c r="N803">
        <v>10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1</v>
      </c>
      <c r="W803">
        <v>0</v>
      </c>
      <c r="X803">
        <v>0</v>
      </c>
      <c r="Y803">
        <v>0</v>
      </c>
      <c r="Z803">
        <v>1</v>
      </c>
      <c r="AA803">
        <v>4</v>
      </c>
      <c r="AB803" s="1" t="s">
        <v>1688</v>
      </c>
    </row>
    <row r="804" spans="1:28" x14ac:dyDescent="0.3">
      <c r="A804">
        <v>201599</v>
      </c>
      <c r="B804" s="1" t="s">
        <v>1287</v>
      </c>
      <c r="C804">
        <v>0</v>
      </c>
      <c r="D804">
        <v>1610612752</v>
      </c>
      <c r="E804" s="1" t="s">
        <v>1248</v>
      </c>
      <c r="F804">
        <v>300</v>
      </c>
      <c r="G804">
        <v>19</v>
      </c>
      <c r="H804">
        <v>190</v>
      </c>
      <c r="I804">
        <v>4930</v>
      </c>
      <c r="J804">
        <v>78</v>
      </c>
      <c r="K804">
        <v>123</v>
      </c>
      <c r="L804">
        <v>634</v>
      </c>
      <c r="M804">
        <v>0</v>
      </c>
      <c r="N804">
        <v>0</v>
      </c>
      <c r="O804">
        <v>0</v>
      </c>
      <c r="P804">
        <v>51</v>
      </c>
      <c r="Q804">
        <v>66</v>
      </c>
      <c r="R804">
        <v>773</v>
      </c>
      <c r="S804">
        <v>640</v>
      </c>
      <c r="T804">
        <v>1520</v>
      </c>
      <c r="U804">
        <v>2160</v>
      </c>
      <c r="V804">
        <v>57</v>
      </c>
      <c r="W804">
        <v>90</v>
      </c>
      <c r="X804">
        <v>200</v>
      </c>
      <c r="Y804">
        <v>420</v>
      </c>
      <c r="Z804">
        <v>42</v>
      </c>
      <c r="AA804">
        <v>207</v>
      </c>
      <c r="AB804" s="1" t="s">
        <v>1689</v>
      </c>
    </row>
    <row r="805" spans="1:28" x14ac:dyDescent="0.3">
      <c r="A805">
        <v>76830</v>
      </c>
      <c r="B805" s="1" t="s">
        <v>1264</v>
      </c>
      <c r="C805">
        <v>0</v>
      </c>
      <c r="D805">
        <v>1610612752</v>
      </c>
      <c r="E805" s="1" t="s">
        <v>1248</v>
      </c>
      <c r="F805">
        <v>220</v>
      </c>
      <c r="G805">
        <v>72</v>
      </c>
      <c r="I805">
        <v>10170</v>
      </c>
      <c r="J805">
        <v>131</v>
      </c>
      <c r="K805">
        <v>339</v>
      </c>
      <c r="L805">
        <v>386</v>
      </c>
      <c r="P805">
        <v>83</v>
      </c>
      <c r="Q805">
        <v>121</v>
      </c>
      <c r="R805">
        <v>686</v>
      </c>
      <c r="S805">
        <v>920</v>
      </c>
      <c r="T805">
        <v>1580</v>
      </c>
      <c r="U805">
        <v>2500</v>
      </c>
      <c r="V805">
        <v>83</v>
      </c>
      <c r="W805">
        <v>560</v>
      </c>
      <c r="X805">
        <v>180</v>
      </c>
      <c r="Y805">
        <v>820</v>
      </c>
      <c r="Z805">
        <v>181</v>
      </c>
      <c r="AA805">
        <v>345</v>
      </c>
      <c r="AB805" s="1" t="s">
        <v>1690</v>
      </c>
    </row>
    <row r="806" spans="1:28" x14ac:dyDescent="0.3">
      <c r="A806">
        <v>76830</v>
      </c>
      <c r="B806" s="1" t="s">
        <v>1265</v>
      </c>
      <c r="C806">
        <v>0</v>
      </c>
      <c r="D806">
        <v>1610612752</v>
      </c>
      <c r="E806" s="1" t="s">
        <v>1248</v>
      </c>
      <c r="F806">
        <v>230</v>
      </c>
      <c r="G806">
        <v>75</v>
      </c>
      <c r="I806">
        <v>16020</v>
      </c>
      <c r="J806">
        <v>161</v>
      </c>
      <c r="K806">
        <v>326</v>
      </c>
      <c r="L806">
        <v>494</v>
      </c>
      <c r="P806">
        <v>55</v>
      </c>
      <c r="Q806">
        <v>97</v>
      </c>
      <c r="R806">
        <v>567</v>
      </c>
      <c r="S806">
        <v>1470</v>
      </c>
      <c r="T806">
        <v>2770</v>
      </c>
      <c r="U806">
        <v>4240</v>
      </c>
      <c r="V806">
        <v>106</v>
      </c>
      <c r="W806">
        <v>980</v>
      </c>
      <c r="X806">
        <v>180</v>
      </c>
      <c r="Y806">
        <v>950</v>
      </c>
      <c r="Z806">
        <v>226</v>
      </c>
      <c r="AA806">
        <v>377</v>
      </c>
      <c r="AB806" s="1" t="s">
        <v>1690</v>
      </c>
    </row>
    <row r="807" spans="1:28" x14ac:dyDescent="0.3">
      <c r="A807">
        <v>201621</v>
      </c>
      <c r="B807" s="1" t="s">
        <v>1304</v>
      </c>
      <c r="C807">
        <v>0</v>
      </c>
      <c r="D807">
        <v>1610612752</v>
      </c>
      <c r="E807" s="1" t="s">
        <v>1248</v>
      </c>
      <c r="F807">
        <v>230</v>
      </c>
      <c r="G807">
        <v>2</v>
      </c>
      <c r="H807">
        <v>0</v>
      </c>
      <c r="I807">
        <v>230</v>
      </c>
      <c r="J807">
        <v>3</v>
      </c>
      <c r="K807">
        <v>10</v>
      </c>
      <c r="L807">
        <v>3</v>
      </c>
      <c r="M807">
        <v>10</v>
      </c>
      <c r="N807">
        <v>40</v>
      </c>
      <c r="O807">
        <v>25</v>
      </c>
      <c r="P807">
        <v>2</v>
      </c>
      <c r="Q807">
        <v>2</v>
      </c>
      <c r="R807">
        <v>10</v>
      </c>
      <c r="S807">
        <v>10</v>
      </c>
      <c r="T807">
        <v>30</v>
      </c>
      <c r="U807">
        <v>40</v>
      </c>
      <c r="V807">
        <v>1</v>
      </c>
      <c r="W807">
        <v>10</v>
      </c>
      <c r="X807">
        <v>0</v>
      </c>
      <c r="Y807">
        <v>0</v>
      </c>
      <c r="Z807">
        <v>2</v>
      </c>
      <c r="AA807">
        <v>9</v>
      </c>
      <c r="AB807" s="1" t="s">
        <v>1691</v>
      </c>
    </row>
    <row r="808" spans="1:28" x14ac:dyDescent="0.3">
      <c r="A808">
        <v>76233</v>
      </c>
      <c r="B808" s="1" t="s">
        <v>1414</v>
      </c>
      <c r="C808">
        <v>0</v>
      </c>
      <c r="D808">
        <v>1610612752</v>
      </c>
      <c r="E808" s="1" t="s">
        <v>1248</v>
      </c>
      <c r="F808">
        <v>240</v>
      </c>
      <c r="G808">
        <v>45</v>
      </c>
      <c r="I808">
        <v>8740</v>
      </c>
      <c r="J808">
        <v>142</v>
      </c>
      <c r="K808">
        <v>341</v>
      </c>
      <c r="L808">
        <v>416</v>
      </c>
      <c r="P808">
        <v>76</v>
      </c>
      <c r="Q808">
        <v>104</v>
      </c>
      <c r="R808">
        <v>731</v>
      </c>
      <c r="U808">
        <v>1130</v>
      </c>
      <c r="V808">
        <v>137</v>
      </c>
      <c r="Z808">
        <v>138</v>
      </c>
      <c r="AA808">
        <v>360</v>
      </c>
      <c r="AB808" s="1" t="s">
        <v>1692</v>
      </c>
    </row>
    <row r="809" spans="1:28" x14ac:dyDescent="0.3">
      <c r="A809">
        <v>76233</v>
      </c>
      <c r="B809" s="1" t="s">
        <v>1415</v>
      </c>
      <c r="C809">
        <v>0</v>
      </c>
      <c r="D809">
        <v>1610612752</v>
      </c>
      <c r="E809" s="1" t="s">
        <v>1248</v>
      </c>
      <c r="F809">
        <v>250</v>
      </c>
      <c r="G809">
        <v>82</v>
      </c>
      <c r="I809">
        <v>24130</v>
      </c>
      <c r="J809">
        <v>407</v>
      </c>
      <c r="K809">
        <v>948</v>
      </c>
      <c r="L809">
        <v>429</v>
      </c>
      <c r="P809">
        <v>206</v>
      </c>
      <c r="Q809">
        <v>253</v>
      </c>
      <c r="R809">
        <v>814</v>
      </c>
      <c r="U809">
        <v>3500</v>
      </c>
      <c r="V809">
        <v>302</v>
      </c>
      <c r="Z809">
        <v>295</v>
      </c>
      <c r="AA809">
        <v>1020</v>
      </c>
      <c r="AB809" s="1" t="s">
        <v>1692</v>
      </c>
    </row>
    <row r="810" spans="1:28" x14ac:dyDescent="0.3">
      <c r="A810">
        <v>76233</v>
      </c>
      <c r="B810" s="1" t="s">
        <v>1416</v>
      </c>
      <c r="C810">
        <v>0</v>
      </c>
      <c r="D810">
        <v>1610612752</v>
      </c>
      <c r="E810" s="1" t="s">
        <v>1248</v>
      </c>
      <c r="F810">
        <v>260</v>
      </c>
      <c r="G810">
        <v>67</v>
      </c>
      <c r="I810">
        <v>20980</v>
      </c>
      <c r="J810">
        <v>413</v>
      </c>
      <c r="K810">
        <v>897</v>
      </c>
      <c r="L810">
        <v>46</v>
      </c>
      <c r="P810">
        <v>145</v>
      </c>
      <c r="Q810">
        <v>176</v>
      </c>
      <c r="R810">
        <v>824</v>
      </c>
      <c r="U810">
        <v>2390</v>
      </c>
      <c r="V810">
        <v>268</v>
      </c>
      <c r="Z810">
        <v>219</v>
      </c>
      <c r="AA810">
        <v>971</v>
      </c>
      <c r="AB810" s="1" t="s">
        <v>1692</v>
      </c>
    </row>
    <row r="811" spans="1:28" x14ac:dyDescent="0.3">
      <c r="A811">
        <v>76233</v>
      </c>
      <c r="B811" s="1" t="s">
        <v>1417</v>
      </c>
      <c r="C811">
        <v>0</v>
      </c>
      <c r="D811">
        <v>1610612752</v>
      </c>
      <c r="E811" s="1" t="s">
        <v>1248</v>
      </c>
      <c r="F811">
        <v>270</v>
      </c>
      <c r="G811">
        <v>78</v>
      </c>
      <c r="I811">
        <v>23000</v>
      </c>
      <c r="J811">
        <v>413</v>
      </c>
      <c r="K811">
        <v>912</v>
      </c>
      <c r="L811">
        <v>453</v>
      </c>
      <c r="P811">
        <v>144</v>
      </c>
      <c r="Q811">
        <v>175</v>
      </c>
      <c r="R811">
        <v>823</v>
      </c>
      <c r="U811">
        <v>2600</v>
      </c>
      <c r="V811">
        <v>280</v>
      </c>
      <c r="Z811">
        <v>245</v>
      </c>
      <c r="AA811">
        <v>970</v>
      </c>
      <c r="AB811" s="1" t="s">
        <v>1692</v>
      </c>
    </row>
    <row r="812" spans="1:28" x14ac:dyDescent="0.3">
      <c r="A812">
        <v>76233</v>
      </c>
      <c r="B812" s="1" t="s">
        <v>1354</v>
      </c>
      <c r="C812">
        <v>0</v>
      </c>
      <c r="D812">
        <v>1610612752</v>
      </c>
      <c r="E812" s="1" t="s">
        <v>1248</v>
      </c>
      <c r="F812">
        <v>280</v>
      </c>
      <c r="G812">
        <v>78</v>
      </c>
      <c r="I812">
        <v>27800</v>
      </c>
      <c r="J812">
        <v>504</v>
      </c>
      <c r="K812">
        <v>1085</v>
      </c>
      <c r="L812">
        <v>465</v>
      </c>
      <c r="P812">
        <v>169</v>
      </c>
      <c r="Q812">
        <v>199</v>
      </c>
      <c r="R812">
        <v>849</v>
      </c>
      <c r="U812">
        <v>2500</v>
      </c>
      <c r="V812">
        <v>315</v>
      </c>
      <c r="Z812">
        <v>254</v>
      </c>
      <c r="AA812">
        <v>1177</v>
      </c>
      <c r="AB812" s="1" t="s">
        <v>1692</v>
      </c>
    </row>
    <row r="813" spans="1:28" x14ac:dyDescent="0.3">
      <c r="A813">
        <v>76233</v>
      </c>
      <c r="B813" s="1" t="s">
        <v>1356</v>
      </c>
      <c r="C813">
        <v>0</v>
      </c>
      <c r="D813">
        <v>1610612752</v>
      </c>
      <c r="E813" s="1" t="s">
        <v>1248</v>
      </c>
      <c r="F813">
        <v>290</v>
      </c>
      <c r="G813">
        <v>82</v>
      </c>
      <c r="I813">
        <v>29980</v>
      </c>
      <c r="J813">
        <v>575</v>
      </c>
      <c r="K813">
        <v>1252</v>
      </c>
      <c r="L813">
        <v>459</v>
      </c>
      <c r="P813">
        <v>169</v>
      </c>
      <c r="Q813">
        <v>194</v>
      </c>
      <c r="R813">
        <v>871</v>
      </c>
      <c r="U813">
        <v>3010</v>
      </c>
      <c r="V813">
        <v>367</v>
      </c>
      <c r="Z813">
        <v>273</v>
      </c>
      <c r="AA813">
        <v>1319</v>
      </c>
      <c r="AB813" s="1" t="s">
        <v>1692</v>
      </c>
    </row>
    <row r="814" spans="1:28" x14ac:dyDescent="0.3">
      <c r="A814">
        <v>76233</v>
      </c>
      <c r="B814" s="1" t="s">
        <v>1357</v>
      </c>
      <c r="C814">
        <v>0</v>
      </c>
      <c r="D814">
        <v>1610612752</v>
      </c>
      <c r="E814" s="1" t="s">
        <v>1248</v>
      </c>
      <c r="F814">
        <v>300</v>
      </c>
      <c r="G814">
        <v>82</v>
      </c>
      <c r="I814">
        <v>28130</v>
      </c>
      <c r="J814">
        <v>502</v>
      </c>
      <c r="K814">
        <v>1112</v>
      </c>
      <c r="L814">
        <v>451</v>
      </c>
      <c r="P814">
        <v>146</v>
      </c>
      <c r="Q814">
        <v>167</v>
      </c>
      <c r="R814">
        <v>874</v>
      </c>
      <c r="S814">
        <v>590</v>
      </c>
      <c r="T814">
        <v>1940</v>
      </c>
      <c r="U814">
        <v>2530</v>
      </c>
      <c r="V814">
        <v>242</v>
      </c>
      <c r="W814">
        <v>420</v>
      </c>
      <c r="X814">
        <v>210</v>
      </c>
      <c r="Z814">
        <v>278</v>
      </c>
      <c r="AA814">
        <v>1150</v>
      </c>
      <c r="AB814" s="1" t="s">
        <v>1692</v>
      </c>
    </row>
    <row r="815" spans="1:28" x14ac:dyDescent="0.3">
      <c r="A815">
        <v>76233</v>
      </c>
      <c r="B815" s="1" t="s">
        <v>1358</v>
      </c>
      <c r="C815">
        <v>0</v>
      </c>
      <c r="D815">
        <v>1610612752</v>
      </c>
      <c r="E815" s="1" t="s">
        <v>1248</v>
      </c>
      <c r="F815">
        <v>310</v>
      </c>
      <c r="G815">
        <v>79</v>
      </c>
      <c r="I815">
        <v>27870</v>
      </c>
      <c r="J815">
        <v>452</v>
      </c>
      <c r="K815">
        <v>1036</v>
      </c>
      <c r="L815">
        <v>436</v>
      </c>
      <c r="P815">
        <v>144</v>
      </c>
      <c r="Q815">
        <v>165</v>
      </c>
      <c r="R815">
        <v>873</v>
      </c>
      <c r="S815">
        <v>650</v>
      </c>
      <c r="T815">
        <v>1860</v>
      </c>
      <c r="U815">
        <v>2510</v>
      </c>
      <c r="V815">
        <v>247</v>
      </c>
      <c r="W815">
        <v>740</v>
      </c>
      <c r="X815">
        <v>180</v>
      </c>
      <c r="Z815">
        <v>283</v>
      </c>
      <c r="AA815">
        <v>1048</v>
      </c>
      <c r="AB815" s="1" t="s">
        <v>1692</v>
      </c>
    </row>
    <row r="816" spans="1:28" x14ac:dyDescent="0.3">
      <c r="A816">
        <v>76233</v>
      </c>
      <c r="B816" s="1" t="s">
        <v>1261</v>
      </c>
      <c r="C816">
        <v>0</v>
      </c>
      <c r="D816">
        <v>1610612752</v>
      </c>
      <c r="E816" s="1" t="s">
        <v>1248</v>
      </c>
      <c r="F816">
        <v>320</v>
      </c>
      <c r="G816">
        <v>82</v>
      </c>
      <c r="I816">
        <v>27090</v>
      </c>
      <c r="J816">
        <v>392</v>
      </c>
      <c r="K816">
        <v>906</v>
      </c>
      <c r="L816">
        <v>433</v>
      </c>
      <c r="P816">
        <v>130</v>
      </c>
      <c r="Q816">
        <v>148</v>
      </c>
      <c r="R816">
        <v>878</v>
      </c>
      <c r="S816">
        <v>470</v>
      </c>
      <c r="T816">
        <v>1870</v>
      </c>
      <c r="U816">
        <v>2340</v>
      </c>
      <c r="V816">
        <v>247</v>
      </c>
      <c r="W816">
        <v>680</v>
      </c>
      <c r="X816">
        <v>180</v>
      </c>
      <c r="Z816">
        <v>256</v>
      </c>
      <c r="AA816">
        <v>914</v>
      </c>
      <c r="AB816" s="1" t="s">
        <v>1692</v>
      </c>
    </row>
    <row r="817" spans="1:28" x14ac:dyDescent="0.3">
      <c r="A817">
        <v>76233</v>
      </c>
      <c r="B817" s="1" t="s">
        <v>1263</v>
      </c>
      <c r="C817">
        <v>0</v>
      </c>
      <c r="D817">
        <v>1610612752</v>
      </c>
      <c r="E817" s="1" t="s">
        <v>1248</v>
      </c>
      <c r="F817">
        <v>330</v>
      </c>
      <c r="G817">
        <v>67</v>
      </c>
      <c r="I817">
        <v>10270</v>
      </c>
      <c r="J817">
        <v>127</v>
      </c>
      <c r="K817">
        <v>274</v>
      </c>
      <c r="L817">
        <v>464</v>
      </c>
      <c r="P817">
        <v>34</v>
      </c>
      <c r="Q817">
        <v>42</v>
      </c>
      <c r="R817">
        <v>81</v>
      </c>
      <c r="S817">
        <v>270</v>
      </c>
      <c r="T817">
        <v>760</v>
      </c>
      <c r="U817">
        <v>1030</v>
      </c>
      <c r="V817">
        <v>128</v>
      </c>
      <c r="W817">
        <v>250</v>
      </c>
      <c r="X817">
        <v>80</v>
      </c>
      <c r="Z817">
        <v>122</v>
      </c>
      <c r="AA817">
        <v>288</v>
      </c>
      <c r="AB817" s="1" t="s">
        <v>1692</v>
      </c>
    </row>
    <row r="818" spans="1:28" x14ac:dyDescent="0.3">
      <c r="A818">
        <v>76210</v>
      </c>
      <c r="B818" s="1" t="s">
        <v>1266</v>
      </c>
      <c r="C818">
        <v>0</v>
      </c>
      <c r="D818">
        <v>1610612752</v>
      </c>
      <c r="E818" s="1" t="s">
        <v>1248</v>
      </c>
      <c r="F818">
        <v>230</v>
      </c>
      <c r="G818">
        <v>59</v>
      </c>
      <c r="J818">
        <v>204</v>
      </c>
      <c r="K818">
        <v>600</v>
      </c>
      <c r="L818">
        <v>34</v>
      </c>
      <c r="P818">
        <v>204</v>
      </c>
      <c r="Q818">
        <v>267</v>
      </c>
      <c r="R818">
        <v>764</v>
      </c>
      <c r="V818">
        <v>95</v>
      </c>
      <c r="Z818">
        <v>203</v>
      </c>
      <c r="AA818">
        <v>612</v>
      </c>
      <c r="AB818" s="1" t="s">
        <v>1693</v>
      </c>
    </row>
    <row r="819" spans="1:28" x14ac:dyDescent="0.3">
      <c r="A819">
        <v>76210</v>
      </c>
      <c r="B819" s="1" t="s">
        <v>1378</v>
      </c>
      <c r="C819">
        <v>0</v>
      </c>
      <c r="D819">
        <v>1610612752</v>
      </c>
      <c r="E819" s="1" t="s">
        <v>1248</v>
      </c>
      <c r="F819">
        <v>240</v>
      </c>
      <c r="G819">
        <v>66</v>
      </c>
      <c r="J819">
        <v>352</v>
      </c>
      <c r="K819">
        <v>867</v>
      </c>
      <c r="L819">
        <v>406</v>
      </c>
      <c r="P819">
        <v>278</v>
      </c>
      <c r="Q819">
        <v>332</v>
      </c>
      <c r="R819">
        <v>837</v>
      </c>
      <c r="U819">
        <v>2490</v>
      </c>
      <c r="V819">
        <v>182</v>
      </c>
      <c r="Z819">
        <v>244</v>
      </c>
      <c r="AA819">
        <v>982</v>
      </c>
      <c r="AB819" s="1" t="s">
        <v>1693</v>
      </c>
    </row>
    <row r="820" spans="1:28" x14ac:dyDescent="0.3">
      <c r="A820">
        <v>76210</v>
      </c>
      <c r="B820" s="1" t="s">
        <v>1247</v>
      </c>
      <c r="C820">
        <v>0</v>
      </c>
      <c r="D820">
        <v>1610612752</v>
      </c>
      <c r="E820" s="1" t="s">
        <v>1248</v>
      </c>
      <c r="F820">
        <v>250</v>
      </c>
      <c r="G820">
        <v>42</v>
      </c>
      <c r="I820">
        <v>14400</v>
      </c>
      <c r="J820">
        <v>202</v>
      </c>
      <c r="K820">
        <v>522</v>
      </c>
      <c r="L820">
        <v>387</v>
      </c>
      <c r="P820">
        <v>96</v>
      </c>
      <c r="Q820">
        <v>115</v>
      </c>
      <c r="R820">
        <v>835</v>
      </c>
      <c r="U820">
        <v>2190</v>
      </c>
      <c r="V820">
        <v>90</v>
      </c>
      <c r="Z820">
        <v>121</v>
      </c>
      <c r="AA820">
        <v>500</v>
      </c>
      <c r="AB820" s="1" t="s">
        <v>1693</v>
      </c>
    </row>
    <row r="821" spans="1:28" x14ac:dyDescent="0.3">
      <c r="A821">
        <v>76210</v>
      </c>
      <c r="B821" s="1" t="s">
        <v>1390</v>
      </c>
      <c r="C821">
        <v>0</v>
      </c>
      <c r="D821">
        <v>1610612752</v>
      </c>
      <c r="E821" s="1" t="s">
        <v>1248</v>
      </c>
      <c r="F821">
        <v>260</v>
      </c>
      <c r="G821">
        <v>66</v>
      </c>
      <c r="I821">
        <v>22000</v>
      </c>
      <c r="J821">
        <v>254</v>
      </c>
      <c r="K821">
        <v>686</v>
      </c>
      <c r="L821">
        <v>37</v>
      </c>
      <c r="P821">
        <v>165</v>
      </c>
      <c r="Q821">
        <v>201</v>
      </c>
      <c r="R821">
        <v>821</v>
      </c>
      <c r="U821">
        <v>2330</v>
      </c>
      <c r="V821">
        <v>166</v>
      </c>
      <c r="Z821">
        <v>226</v>
      </c>
      <c r="AA821">
        <v>673</v>
      </c>
      <c r="AB821" s="1" t="s">
        <v>1693</v>
      </c>
    </row>
    <row r="822" spans="1:28" x14ac:dyDescent="0.3">
      <c r="A822">
        <v>76210</v>
      </c>
      <c r="B822" s="1" t="s">
        <v>1349</v>
      </c>
      <c r="C822">
        <v>0</v>
      </c>
      <c r="D822">
        <v>1610612752</v>
      </c>
      <c r="E822" s="1" t="s">
        <v>1248</v>
      </c>
      <c r="F822">
        <v>270</v>
      </c>
      <c r="G822">
        <v>52</v>
      </c>
      <c r="I822">
        <v>15220</v>
      </c>
      <c r="J822">
        <v>175</v>
      </c>
      <c r="K822">
        <v>525</v>
      </c>
      <c r="L822">
        <v>333</v>
      </c>
      <c r="P822">
        <v>70</v>
      </c>
      <c r="Q822">
        <v>81</v>
      </c>
      <c r="R822">
        <v>864</v>
      </c>
      <c r="U822">
        <v>1300</v>
      </c>
      <c r="V822">
        <v>77</v>
      </c>
      <c r="Z822">
        <v>128</v>
      </c>
      <c r="AA822">
        <v>420</v>
      </c>
      <c r="AB822" s="1" t="s">
        <v>1693</v>
      </c>
    </row>
    <row r="823" spans="1:28" x14ac:dyDescent="0.3">
      <c r="A823">
        <v>1626171</v>
      </c>
      <c r="B823" s="1" t="s">
        <v>1288</v>
      </c>
      <c r="C823">
        <v>0</v>
      </c>
      <c r="D823">
        <v>1610612752</v>
      </c>
      <c r="E823" s="1" t="s">
        <v>1248</v>
      </c>
      <c r="F823">
        <v>250</v>
      </c>
      <c r="G823">
        <v>66</v>
      </c>
      <c r="H823">
        <v>50</v>
      </c>
      <c r="I823">
        <v>13940</v>
      </c>
      <c r="J823">
        <v>265</v>
      </c>
      <c r="K823">
        <v>589</v>
      </c>
      <c r="L823">
        <v>45</v>
      </c>
      <c r="M823">
        <v>670</v>
      </c>
      <c r="N823">
        <v>1870</v>
      </c>
      <c r="O823">
        <v>358</v>
      </c>
      <c r="P823">
        <v>71</v>
      </c>
      <c r="Q823">
        <v>93</v>
      </c>
      <c r="R823">
        <v>763</v>
      </c>
      <c r="S823">
        <v>800</v>
      </c>
      <c r="T823">
        <v>2580</v>
      </c>
      <c r="U823">
        <v>3380</v>
      </c>
      <c r="V823">
        <v>98</v>
      </c>
      <c r="W823">
        <v>320</v>
      </c>
      <c r="X823">
        <v>180</v>
      </c>
      <c r="Y823">
        <v>730</v>
      </c>
      <c r="Z823">
        <v>110</v>
      </c>
      <c r="AA823">
        <v>668</v>
      </c>
      <c r="AB823" s="1" t="s">
        <v>1694</v>
      </c>
    </row>
    <row r="824" spans="1:28" x14ac:dyDescent="0.3">
      <c r="A824">
        <v>200780</v>
      </c>
      <c r="B824" s="1" t="s">
        <v>1292</v>
      </c>
      <c r="C824">
        <v>0</v>
      </c>
      <c r="D824">
        <v>1610612752</v>
      </c>
      <c r="E824" s="1" t="s">
        <v>1248</v>
      </c>
      <c r="F824">
        <v>280</v>
      </c>
      <c r="G824">
        <v>2</v>
      </c>
      <c r="H824">
        <v>10</v>
      </c>
      <c r="I824">
        <v>260</v>
      </c>
      <c r="J824">
        <v>0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10</v>
      </c>
      <c r="T824">
        <v>20</v>
      </c>
      <c r="U824">
        <v>30</v>
      </c>
      <c r="V824">
        <v>0</v>
      </c>
      <c r="W824">
        <v>0</v>
      </c>
      <c r="X824">
        <v>10</v>
      </c>
      <c r="Y824">
        <v>30</v>
      </c>
      <c r="Z824">
        <v>3</v>
      </c>
      <c r="AA824">
        <v>0</v>
      </c>
      <c r="AB824" s="1" t="s">
        <v>1695</v>
      </c>
    </row>
    <row r="825" spans="1:28" x14ac:dyDescent="0.3">
      <c r="A825">
        <v>76828</v>
      </c>
      <c r="B825" s="1" t="s">
        <v>1255</v>
      </c>
      <c r="C825">
        <v>0</v>
      </c>
      <c r="D825">
        <v>1610612752</v>
      </c>
      <c r="E825" s="1" t="s">
        <v>1248</v>
      </c>
      <c r="F825">
        <v>300</v>
      </c>
      <c r="G825">
        <v>73</v>
      </c>
      <c r="I825">
        <v>26700</v>
      </c>
      <c r="J825">
        <v>363</v>
      </c>
      <c r="K825">
        <v>791</v>
      </c>
      <c r="L825">
        <v>459</v>
      </c>
      <c r="P825">
        <v>170</v>
      </c>
      <c r="Q825">
        <v>219</v>
      </c>
      <c r="R825">
        <v>776</v>
      </c>
      <c r="U825">
        <v>5170</v>
      </c>
      <c r="V825">
        <v>298</v>
      </c>
      <c r="Z825">
        <v>295</v>
      </c>
      <c r="AA825">
        <v>896</v>
      </c>
      <c r="AB825" s="1" t="s">
        <v>1696</v>
      </c>
    </row>
    <row r="826" spans="1:28" x14ac:dyDescent="0.3">
      <c r="A826">
        <v>76828</v>
      </c>
      <c r="B826" s="1" t="s">
        <v>1257</v>
      </c>
      <c r="C826">
        <v>0</v>
      </c>
      <c r="D826">
        <v>1610612752</v>
      </c>
      <c r="E826" s="1" t="s">
        <v>1248</v>
      </c>
      <c r="F826">
        <v>310</v>
      </c>
      <c r="G826">
        <v>74</v>
      </c>
      <c r="I826">
        <v>21560</v>
      </c>
      <c r="J826">
        <v>258</v>
      </c>
      <c r="K826">
        <v>602</v>
      </c>
      <c r="L826">
        <v>429</v>
      </c>
      <c r="P826">
        <v>154</v>
      </c>
      <c r="Q826">
        <v>212</v>
      </c>
      <c r="R826">
        <v>726</v>
      </c>
      <c r="U826">
        <v>4690</v>
      </c>
      <c r="V826">
        <v>257</v>
      </c>
      <c r="Z826">
        <v>278</v>
      </c>
      <c r="AA826">
        <v>670</v>
      </c>
      <c r="AB826" s="1" t="s">
        <v>1696</v>
      </c>
    </row>
    <row r="827" spans="1:28" x14ac:dyDescent="0.3">
      <c r="A827">
        <v>76828</v>
      </c>
      <c r="B827" s="1" t="s">
        <v>1258</v>
      </c>
      <c r="C827">
        <v>0</v>
      </c>
      <c r="D827">
        <v>1610612752</v>
      </c>
      <c r="E827" s="1" t="s">
        <v>1248</v>
      </c>
      <c r="F827">
        <v>320</v>
      </c>
      <c r="G827">
        <v>77</v>
      </c>
      <c r="I827">
        <v>17270</v>
      </c>
      <c r="J827">
        <v>204</v>
      </c>
      <c r="K827">
        <v>455</v>
      </c>
      <c r="L827">
        <v>448</v>
      </c>
      <c r="P827">
        <v>133</v>
      </c>
      <c r="Q827">
        <v>180</v>
      </c>
      <c r="R827">
        <v>739</v>
      </c>
      <c r="U827">
        <v>3190</v>
      </c>
      <c r="V827">
        <v>220</v>
      </c>
      <c r="Z827">
        <v>269</v>
      </c>
      <c r="AA827">
        <v>541</v>
      </c>
      <c r="AB827" s="1" t="s">
        <v>1696</v>
      </c>
    </row>
    <row r="828" spans="1:28" x14ac:dyDescent="0.3">
      <c r="A828">
        <v>76828</v>
      </c>
      <c r="B828" s="1" t="s">
        <v>1412</v>
      </c>
      <c r="C828">
        <v>0</v>
      </c>
      <c r="D828">
        <v>1610612752</v>
      </c>
      <c r="E828" s="1" t="s">
        <v>1248</v>
      </c>
      <c r="F828">
        <v>330</v>
      </c>
      <c r="G828">
        <v>74</v>
      </c>
      <c r="I828">
        <v>11270</v>
      </c>
      <c r="J828">
        <v>122</v>
      </c>
      <c r="K828">
        <v>271</v>
      </c>
      <c r="L828">
        <v>45</v>
      </c>
      <c r="P828">
        <v>82</v>
      </c>
      <c r="Q828">
        <v>105</v>
      </c>
      <c r="R828">
        <v>781</v>
      </c>
      <c r="U828">
        <v>2890</v>
      </c>
      <c r="V828">
        <v>191</v>
      </c>
      <c r="Z828">
        <v>207</v>
      </c>
      <c r="AA828">
        <v>326</v>
      </c>
      <c r="AB828" s="1" t="s">
        <v>1696</v>
      </c>
    </row>
    <row r="829" spans="1:28" x14ac:dyDescent="0.3">
      <c r="A829">
        <v>2037</v>
      </c>
      <c r="B829" s="1" t="s">
        <v>1295</v>
      </c>
      <c r="C829">
        <v>0</v>
      </c>
      <c r="D829">
        <v>1610612752</v>
      </c>
      <c r="E829" s="1" t="s">
        <v>1248</v>
      </c>
      <c r="F829">
        <v>250</v>
      </c>
      <c r="G829">
        <v>70</v>
      </c>
      <c r="H829">
        <v>670</v>
      </c>
      <c r="I829">
        <v>26880</v>
      </c>
      <c r="J829">
        <v>437</v>
      </c>
      <c r="K829">
        <v>1097</v>
      </c>
      <c r="L829">
        <v>398</v>
      </c>
      <c r="M829">
        <v>1850</v>
      </c>
      <c r="N829">
        <v>5120</v>
      </c>
      <c r="O829">
        <v>361</v>
      </c>
      <c r="P829">
        <v>182</v>
      </c>
      <c r="Q829">
        <v>216</v>
      </c>
      <c r="R829">
        <v>843</v>
      </c>
      <c r="S829">
        <v>330</v>
      </c>
      <c r="T829">
        <v>1700</v>
      </c>
      <c r="U829">
        <v>2030</v>
      </c>
      <c r="V829">
        <v>302</v>
      </c>
      <c r="W829">
        <v>920</v>
      </c>
      <c r="X829">
        <v>190</v>
      </c>
      <c r="Y829">
        <v>1480</v>
      </c>
      <c r="Z829">
        <v>135</v>
      </c>
      <c r="AA829">
        <v>1241</v>
      </c>
      <c r="AB829" s="1" t="s">
        <v>1697</v>
      </c>
    </row>
    <row r="830" spans="1:28" x14ac:dyDescent="0.3">
      <c r="A830">
        <v>2037</v>
      </c>
      <c r="B830" s="1" t="s">
        <v>1300</v>
      </c>
      <c r="C830">
        <v>0</v>
      </c>
      <c r="D830">
        <v>1610612752</v>
      </c>
      <c r="E830" s="1" t="s">
        <v>1248</v>
      </c>
      <c r="F830">
        <v>260</v>
      </c>
      <c r="G830">
        <v>79</v>
      </c>
      <c r="H830">
        <v>270</v>
      </c>
      <c r="I830">
        <v>25550</v>
      </c>
      <c r="J830">
        <v>366</v>
      </c>
      <c r="K830">
        <v>879</v>
      </c>
      <c r="L830">
        <v>416</v>
      </c>
      <c r="M830">
        <v>1010</v>
      </c>
      <c r="N830">
        <v>2930</v>
      </c>
      <c r="O830">
        <v>345</v>
      </c>
      <c r="P830">
        <v>295</v>
      </c>
      <c r="Q830">
        <v>357</v>
      </c>
      <c r="R830">
        <v>826</v>
      </c>
      <c r="S830">
        <v>360</v>
      </c>
      <c r="T830">
        <v>2120</v>
      </c>
      <c r="U830">
        <v>2480</v>
      </c>
      <c r="V830">
        <v>301</v>
      </c>
      <c r="W830">
        <v>870</v>
      </c>
      <c r="X830">
        <v>150</v>
      </c>
      <c r="Y830">
        <v>1750</v>
      </c>
      <c r="Z830">
        <v>150</v>
      </c>
      <c r="AA830">
        <v>1128</v>
      </c>
      <c r="AB830" s="1" t="s">
        <v>1697</v>
      </c>
    </row>
    <row r="831" spans="1:28" x14ac:dyDescent="0.3">
      <c r="A831">
        <v>2037</v>
      </c>
      <c r="B831" s="1" t="s">
        <v>1302</v>
      </c>
      <c r="C831">
        <v>0</v>
      </c>
      <c r="D831">
        <v>1610612752</v>
      </c>
      <c r="E831" s="1" t="s">
        <v>1248</v>
      </c>
      <c r="F831">
        <v>270</v>
      </c>
      <c r="G831">
        <v>59</v>
      </c>
      <c r="H831">
        <v>360</v>
      </c>
      <c r="I831">
        <v>21980</v>
      </c>
      <c r="J831">
        <v>354</v>
      </c>
      <c r="K831">
        <v>886</v>
      </c>
      <c r="L831">
        <v>4</v>
      </c>
      <c r="M831">
        <v>1030</v>
      </c>
      <c r="N831">
        <v>3220</v>
      </c>
      <c r="O831">
        <v>32</v>
      </c>
      <c r="P831">
        <v>228</v>
      </c>
      <c r="Q831">
        <v>272</v>
      </c>
      <c r="R831">
        <v>838</v>
      </c>
      <c r="S831">
        <v>440</v>
      </c>
      <c r="T831">
        <v>1450</v>
      </c>
      <c r="U831">
        <v>1890</v>
      </c>
      <c r="V831">
        <v>259</v>
      </c>
      <c r="W831">
        <v>570</v>
      </c>
      <c r="X831">
        <v>80</v>
      </c>
      <c r="Y831">
        <v>1620</v>
      </c>
      <c r="Z831">
        <v>114</v>
      </c>
      <c r="AA831">
        <v>1039</v>
      </c>
      <c r="AB831" s="1" t="s">
        <v>1697</v>
      </c>
    </row>
    <row r="832" spans="1:28" x14ac:dyDescent="0.3">
      <c r="A832">
        <v>2037</v>
      </c>
      <c r="B832" s="1" t="s">
        <v>1303</v>
      </c>
      <c r="C832">
        <v>0</v>
      </c>
      <c r="D832">
        <v>1610612752</v>
      </c>
      <c r="E832" s="1" t="s">
        <v>1248</v>
      </c>
      <c r="F832">
        <v>280</v>
      </c>
      <c r="G832">
        <v>80</v>
      </c>
      <c r="H832">
        <v>800</v>
      </c>
      <c r="I832">
        <v>31900</v>
      </c>
      <c r="J832">
        <v>570</v>
      </c>
      <c r="K832">
        <v>1391</v>
      </c>
      <c r="L832">
        <v>41</v>
      </c>
      <c r="M832">
        <v>1760</v>
      </c>
      <c r="N832">
        <v>4940</v>
      </c>
      <c r="O832">
        <v>356</v>
      </c>
      <c r="P832">
        <v>329</v>
      </c>
      <c r="Q832">
        <v>381</v>
      </c>
      <c r="R832">
        <v>864</v>
      </c>
      <c r="S832">
        <v>370</v>
      </c>
      <c r="T832">
        <v>1700</v>
      </c>
      <c r="U832">
        <v>2070</v>
      </c>
      <c r="V832">
        <v>398</v>
      </c>
      <c r="W832">
        <v>810</v>
      </c>
      <c r="X832">
        <v>170</v>
      </c>
      <c r="Y832">
        <v>1920</v>
      </c>
      <c r="Z832">
        <v>144</v>
      </c>
      <c r="AA832">
        <v>1645</v>
      </c>
      <c r="AB832" s="1" t="s">
        <v>1697</v>
      </c>
    </row>
    <row r="833" spans="1:28" x14ac:dyDescent="0.3">
      <c r="A833">
        <v>2037</v>
      </c>
      <c r="B833" s="1" t="s">
        <v>1304</v>
      </c>
      <c r="C833">
        <v>0</v>
      </c>
      <c r="D833">
        <v>1610612752</v>
      </c>
      <c r="E833" s="1" t="s">
        <v>1248</v>
      </c>
      <c r="F833">
        <v>290</v>
      </c>
      <c r="G833">
        <v>11</v>
      </c>
      <c r="H833">
        <v>110</v>
      </c>
      <c r="I833">
        <v>3920</v>
      </c>
      <c r="J833">
        <v>73</v>
      </c>
      <c r="K833">
        <v>169</v>
      </c>
      <c r="L833">
        <v>432</v>
      </c>
      <c r="M833">
        <v>350</v>
      </c>
      <c r="N833">
        <v>770</v>
      </c>
      <c r="O833">
        <v>455</v>
      </c>
      <c r="P833">
        <v>35</v>
      </c>
      <c r="Q833">
        <v>46</v>
      </c>
      <c r="R833">
        <v>761</v>
      </c>
      <c r="S833">
        <v>20</v>
      </c>
      <c r="T833">
        <v>150</v>
      </c>
      <c r="U833">
        <v>170</v>
      </c>
      <c r="V833">
        <v>48</v>
      </c>
      <c r="W833">
        <v>90</v>
      </c>
      <c r="X833">
        <v>0</v>
      </c>
      <c r="Y833">
        <v>260</v>
      </c>
      <c r="Z833">
        <v>13</v>
      </c>
      <c r="AA833">
        <v>216</v>
      </c>
      <c r="AB833" s="1" t="s">
        <v>1697</v>
      </c>
    </row>
    <row r="834" spans="1:28" x14ac:dyDescent="0.3">
      <c r="A834">
        <v>76243</v>
      </c>
      <c r="B834" s="1" t="s">
        <v>1297</v>
      </c>
      <c r="C834">
        <v>0</v>
      </c>
      <c r="D834">
        <v>1610612752</v>
      </c>
      <c r="E834" s="1" t="s">
        <v>1248</v>
      </c>
      <c r="F834">
        <v>200</v>
      </c>
      <c r="G834">
        <v>47</v>
      </c>
      <c r="J834">
        <v>276</v>
      </c>
      <c r="K834">
        <v>854</v>
      </c>
      <c r="L834">
        <v>323</v>
      </c>
      <c r="P834">
        <v>119</v>
      </c>
      <c r="Q834">
        <v>183</v>
      </c>
      <c r="R834">
        <v>65</v>
      </c>
      <c r="V834">
        <v>61</v>
      </c>
      <c r="Z834">
        <v>102</v>
      </c>
      <c r="AA834">
        <v>671</v>
      </c>
      <c r="AB834" s="1" t="s">
        <v>1698</v>
      </c>
    </row>
    <row r="835" spans="1:28" x14ac:dyDescent="0.3">
      <c r="A835">
        <v>76243</v>
      </c>
      <c r="B835" s="1" t="s">
        <v>1299</v>
      </c>
      <c r="C835">
        <v>0</v>
      </c>
      <c r="D835">
        <v>1610612752</v>
      </c>
      <c r="E835" s="1" t="s">
        <v>1248</v>
      </c>
      <c r="F835">
        <v>210</v>
      </c>
      <c r="G835">
        <v>57</v>
      </c>
      <c r="J835">
        <v>299</v>
      </c>
      <c r="K835">
        <v>906</v>
      </c>
      <c r="L835">
        <v>33</v>
      </c>
      <c r="P835">
        <v>212</v>
      </c>
      <c r="Q835">
        <v>279</v>
      </c>
      <c r="R835">
        <v>76</v>
      </c>
      <c r="V835">
        <v>173</v>
      </c>
      <c r="Z835">
        <v>144</v>
      </c>
      <c r="AA835">
        <v>810</v>
      </c>
      <c r="AB835" s="1" t="s">
        <v>1698</v>
      </c>
    </row>
    <row r="836" spans="1:28" x14ac:dyDescent="0.3">
      <c r="A836">
        <v>76243</v>
      </c>
      <c r="B836" s="1" t="s">
        <v>1266</v>
      </c>
      <c r="C836">
        <v>0</v>
      </c>
      <c r="D836">
        <v>1610612752</v>
      </c>
      <c r="E836" s="1" t="s">
        <v>1248</v>
      </c>
      <c r="F836">
        <v>220</v>
      </c>
      <c r="G836">
        <v>67</v>
      </c>
      <c r="J836">
        <v>373</v>
      </c>
      <c r="K836">
        <v>1024</v>
      </c>
      <c r="L836">
        <v>364</v>
      </c>
      <c r="P836">
        <v>285</v>
      </c>
      <c r="Q836">
        <v>374</v>
      </c>
      <c r="R836">
        <v>762</v>
      </c>
      <c r="V836">
        <v>247</v>
      </c>
      <c r="Z836">
        <v>188</v>
      </c>
      <c r="AA836">
        <v>1031</v>
      </c>
      <c r="AB836" s="1" t="s">
        <v>1698</v>
      </c>
    </row>
    <row r="837" spans="1:28" x14ac:dyDescent="0.3">
      <c r="A837">
        <v>76243</v>
      </c>
      <c r="B837" s="1" t="s">
        <v>1390</v>
      </c>
      <c r="C837">
        <v>0</v>
      </c>
      <c r="D837">
        <v>1610612752</v>
      </c>
      <c r="E837" s="1" t="s">
        <v>1248</v>
      </c>
      <c r="F837">
        <v>250</v>
      </c>
      <c r="G837">
        <v>70</v>
      </c>
      <c r="I837">
        <v>23160</v>
      </c>
      <c r="J837">
        <v>323</v>
      </c>
      <c r="K837">
        <v>807</v>
      </c>
      <c r="L837">
        <v>4</v>
      </c>
      <c r="P837">
        <v>331</v>
      </c>
      <c r="Q837">
        <v>401</v>
      </c>
      <c r="R837">
        <v>825</v>
      </c>
      <c r="U837">
        <v>2330</v>
      </c>
      <c r="V837">
        <v>243</v>
      </c>
      <c r="Z837">
        <v>287</v>
      </c>
      <c r="AA837">
        <v>977</v>
      </c>
      <c r="AB837" s="1" t="s">
        <v>1698</v>
      </c>
    </row>
    <row r="838" spans="1:28" x14ac:dyDescent="0.3">
      <c r="A838">
        <v>76243</v>
      </c>
      <c r="B838" s="1" t="s">
        <v>1349</v>
      </c>
      <c r="C838">
        <v>0</v>
      </c>
      <c r="D838">
        <v>1610612752</v>
      </c>
      <c r="E838" s="1" t="s">
        <v>1248</v>
      </c>
      <c r="F838">
        <v>260</v>
      </c>
      <c r="G838">
        <v>72</v>
      </c>
      <c r="I838">
        <v>23730</v>
      </c>
      <c r="J838">
        <v>354</v>
      </c>
      <c r="K838">
        <v>884</v>
      </c>
      <c r="L838">
        <v>4</v>
      </c>
      <c r="P838">
        <v>354</v>
      </c>
      <c r="Q838">
        <v>429</v>
      </c>
      <c r="R838">
        <v>825</v>
      </c>
      <c r="U838">
        <v>2460</v>
      </c>
      <c r="V838">
        <v>209</v>
      </c>
      <c r="Z838">
        <v>259</v>
      </c>
      <c r="AA838">
        <v>1062</v>
      </c>
      <c r="AB838" s="1" t="s">
        <v>1698</v>
      </c>
    </row>
    <row r="839" spans="1:28" x14ac:dyDescent="0.3">
      <c r="A839">
        <v>76243</v>
      </c>
      <c r="B839" s="1" t="s">
        <v>1362</v>
      </c>
      <c r="C839">
        <v>0</v>
      </c>
      <c r="D839">
        <v>1610612752</v>
      </c>
      <c r="E839" s="1" t="s">
        <v>1248</v>
      </c>
      <c r="F839">
        <v>270</v>
      </c>
      <c r="G839">
        <v>71</v>
      </c>
      <c r="I839">
        <v>24790</v>
      </c>
      <c r="J839">
        <v>400</v>
      </c>
      <c r="K839">
        <v>1032</v>
      </c>
      <c r="L839">
        <v>388</v>
      </c>
      <c r="P839">
        <v>274</v>
      </c>
      <c r="Q839">
        <v>342</v>
      </c>
      <c r="R839">
        <v>801</v>
      </c>
      <c r="U839">
        <v>2950</v>
      </c>
      <c r="V839">
        <v>274</v>
      </c>
      <c r="Z839">
        <v>208</v>
      </c>
      <c r="AA839">
        <v>1074</v>
      </c>
      <c r="AB839" s="1" t="s">
        <v>1698</v>
      </c>
    </row>
    <row r="840" spans="1:28" x14ac:dyDescent="0.3">
      <c r="A840">
        <v>76243</v>
      </c>
      <c r="B840" s="1" t="s">
        <v>1315</v>
      </c>
      <c r="C840">
        <v>0</v>
      </c>
      <c r="D840">
        <v>1610612752</v>
      </c>
      <c r="E840" s="1" t="s">
        <v>1248</v>
      </c>
      <c r="F840">
        <v>280</v>
      </c>
      <c r="G840">
        <v>72</v>
      </c>
      <c r="I840">
        <v>23160</v>
      </c>
      <c r="J840">
        <v>396</v>
      </c>
      <c r="K840">
        <v>1064</v>
      </c>
      <c r="L840">
        <v>372</v>
      </c>
      <c r="P840">
        <v>320</v>
      </c>
      <c r="Q840">
        <v>382</v>
      </c>
      <c r="R840">
        <v>838</v>
      </c>
      <c r="U840">
        <v>2590</v>
      </c>
      <c r="V840">
        <v>298</v>
      </c>
      <c r="Z840">
        <v>215</v>
      </c>
      <c r="AA840">
        <v>1112</v>
      </c>
      <c r="AB840" s="1" t="s">
        <v>1698</v>
      </c>
    </row>
    <row r="841" spans="1:28" x14ac:dyDescent="0.3">
      <c r="A841">
        <v>76243</v>
      </c>
      <c r="B841" s="1" t="s">
        <v>1318</v>
      </c>
      <c r="C841">
        <v>0</v>
      </c>
      <c r="D841">
        <v>1610612752</v>
      </c>
      <c r="E841" s="1" t="s">
        <v>1248</v>
      </c>
      <c r="F841">
        <v>290</v>
      </c>
      <c r="G841">
        <v>72</v>
      </c>
      <c r="I841">
        <v>23450</v>
      </c>
      <c r="J841">
        <v>378</v>
      </c>
      <c r="K841">
        <v>993</v>
      </c>
      <c r="L841">
        <v>381</v>
      </c>
      <c r="P841">
        <v>245</v>
      </c>
      <c r="Q841">
        <v>303</v>
      </c>
      <c r="R841">
        <v>809</v>
      </c>
      <c r="U841">
        <v>2590</v>
      </c>
      <c r="V841">
        <v>256</v>
      </c>
      <c r="Z841">
        <v>195</v>
      </c>
      <c r="AA841">
        <v>1001</v>
      </c>
      <c r="AB841" s="1" t="s">
        <v>1698</v>
      </c>
    </row>
    <row r="842" spans="1:28" x14ac:dyDescent="0.3">
      <c r="A842">
        <v>76243</v>
      </c>
      <c r="B842" s="1" t="s">
        <v>1320</v>
      </c>
      <c r="C842">
        <v>0</v>
      </c>
      <c r="D842">
        <v>1610612752</v>
      </c>
      <c r="E842" s="1" t="s">
        <v>1248</v>
      </c>
      <c r="F842">
        <v>300</v>
      </c>
      <c r="G842">
        <v>71</v>
      </c>
      <c r="I842">
        <v>24750</v>
      </c>
      <c r="J842">
        <v>426</v>
      </c>
      <c r="K842">
        <v>1018</v>
      </c>
      <c r="L842">
        <v>418</v>
      </c>
      <c r="P842">
        <v>321</v>
      </c>
      <c r="Q842">
        <v>378</v>
      </c>
      <c r="R842">
        <v>849</v>
      </c>
      <c r="U842">
        <v>3300</v>
      </c>
      <c r="V842">
        <v>393</v>
      </c>
      <c r="Z842">
        <v>183</v>
      </c>
      <c r="AA842">
        <v>1173</v>
      </c>
      <c r="AB842" s="1" t="s">
        <v>1698</v>
      </c>
    </row>
    <row r="843" spans="1:28" x14ac:dyDescent="0.3">
      <c r="A843">
        <v>76243</v>
      </c>
      <c r="B843" s="1" t="s">
        <v>1250</v>
      </c>
      <c r="C843">
        <v>0</v>
      </c>
      <c r="D843">
        <v>1610612752</v>
      </c>
      <c r="E843" s="1" t="s">
        <v>1248</v>
      </c>
      <c r="F843">
        <v>310</v>
      </c>
      <c r="G843">
        <v>72</v>
      </c>
      <c r="I843">
        <v>19590</v>
      </c>
      <c r="J843">
        <v>287</v>
      </c>
      <c r="K843">
        <v>684</v>
      </c>
      <c r="L843">
        <v>42</v>
      </c>
      <c r="P843">
        <v>180</v>
      </c>
      <c r="Q843">
        <v>218</v>
      </c>
      <c r="R843">
        <v>826</v>
      </c>
      <c r="U843">
        <v>2510</v>
      </c>
      <c r="V843">
        <v>349</v>
      </c>
      <c r="Z843">
        <v>178</v>
      </c>
      <c r="AA843">
        <v>754</v>
      </c>
      <c r="AB843" s="1" t="s">
        <v>1698</v>
      </c>
    </row>
    <row r="844" spans="1:28" x14ac:dyDescent="0.3">
      <c r="A844">
        <v>76243</v>
      </c>
      <c r="B844" s="1" t="s">
        <v>1321</v>
      </c>
      <c r="C844">
        <v>0</v>
      </c>
      <c r="D844">
        <v>1610612752</v>
      </c>
      <c r="E844" s="1" t="s">
        <v>1248</v>
      </c>
      <c r="F844">
        <v>320</v>
      </c>
      <c r="G844">
        <v>54</v>
      </c>
      <c r="I844">
        <v>15140</v>
      </c>
      <c r="J844">
        <v>285</v>
      </c>
      <c r="K844">
        <v>659</v>
      </c>
      <c r="L844">
        <v>432</v>
      </c>
      <c r="P844">
        <v>129</v>
      </c>
      <c r="Q844">
        <v>154</v>
      </c>
      <c r="R844">
        <v>838</v>
      </c>
      <c r="U844">
        <v>1680</v>
      </c>
      <c r="V844">
        <v>270</v>
      </c>
      <c r="Z844">
        <v>127</v>
      </c>
      <c r="AA844">
        <v>699</v>
      </c>
      <c r="AB844" s="1" t="s">
        <v>1698</v>
      </c>
    </row>
    <row r="845" spans="1:28" x14ac:dyDescent="0.3">
      <c r="A845">
        <v>76243</v>
      </c>
      <c r="B845" s="1" t="s">
        <v>1322</v>
      </c>
      <c r="C845">
        <v>0</v>
      </c>
      <c r="D845">
        <v>1610612752</v>
      </c>
      <c r="E845" s="1" t="s">
        <v>1248</v>
      </c>
      <c r="F845">
        <v>330</v>
      </c>
      <c r="G845">
        <v>15</v>
      </c>
      <c r="I845">
        <v>2180</v>
      </c>
      <c r="J845">
        <v>37</v>
      </c>
      <c r="K845">
        <v>79</v>
      </c>
      <c r="L845">
        <v>468</v>
      </c>
      <c r="P845">
        <v>11</v>
      </c>
      <c r="Q845">
        <v>14</v>
      </c>
      <c r="R845">
        <v>786</v>
      </c>
      <c r="U845">
        <v>310</v>
      </c>
      <c r="V845">
        <v>48</v>
      </c>
      <c r="Z845">
        <v>29</v>
      </c>
      <c r="AA845">
        <v>85</v>
      </c>
      <c r="AB845" s="1" t="s">
        <v>1698</v>
      </c>
    </row>
    <row r="846" spans="1:28" x14ac:dyDescent="0.3">
      <c r="A846">
        <v>78238</v>
      </c>
      <c r="B846" s="1" t="s">
        <v>1412</v>
      </c>
      <c r="C846">
        <v>0</v>
      </c>
      <c r="D846">
        <v>1610612752</v>
      </c>
      <c r="E846" s="1" t="s">
        <v>1248</v>
      </c>
      <c r="F846">
        <v>240</v>
      </c>
      <c r="G846">
        <v>80</v>
      </c>
      <c r="I846">
        <v>18930</v>
      </c>
      <c r="J846">
        <v>373</v>
      </c>
      <c r="K846">
        <v>820</v>
      </c>
      <c r="L846">
        <v>455</v>
      </c>
      <c r="P846">
        <v>258</v>
      </c>
      <c r="Q846">
        <v>376</v>
      </c>
      <c r="R846">
        <v>686</v>
      </c>
      <c r="U846">
        <v>4920</v>
      </c>
      <c r="V846">
        <v>186</v>
      </c>
      <c r="Z846">
        <v>237</v>
      </c>
      <c r="AA846">
        <v>1004</v>
      </c>
      <c r="AB846" s="1" t="s">
        <v>1699</v>
      </c>
    </row>
    <row r="847" spans="1:28" x14ac:dyDescent="0.3">
      <c r="A847">
        <v>78238</v>
      </c>
      <c r="B847" s="1" t="s">
        <v>1360</v>
      </c>
      <c r="C847">
        <v>0</v>
      </c>
      <c r="D847">
        <v>1610612752</v>
      </c>
      <c r="E847" s="1" t="s">
        <v>1248</v>
      </c>
      <c r="F847">
        <v>250</v>
      </c>
      <c r="G847">
        <v>76</v>
      </c>
      <c r="I847">
        <v>18890</v>
      </c>
      <c r="J847">
        <v>380</v>
      </c>
      <c r="K847">
        <v>816</v>
      </c>
      <c r="L847">
        <v>466</v>
      </c>
      <c r="P847">
        <v>229</v>
      </c>
      <c r="Q847">
        <v>320</v>
      </c>
      <c r="R847">
        <v>716</v>
      </c>
      <c r="U847">
        <v>4720</v>
      </c>
      <c r="V847">
        <v>144</v>
      </c>
      <c r="Z847">
        <v>226</v>
      </c>
      <c r="AA847">
        <v>989</v>
      </c>
      <c r="AB847" s="1" t="s">
        <v>1699</v>
      </c>
    </row>
    <row r="848" spans="1:28" x14ac:dyDescent="0.3">
      <c r="A848">
        <v>78238</v>
      </c>
      <c r="B848" s="1" t="s">
        <v>1416</v>
      </c>
      <c r="C848">
        <v>0</v>
      </c>
      <c r="D848">
        <v>1610612752</v>
      </c>
      <c r="E848" s="1" t="s">
        <v>1248</v>
      </c>
      <c r="F848">
        <v>280</v>
      </c>
      <c r="G848">
        <v>82</v>
      </c>
      <c r="I848">
        <v>13750</v>
      </c>
      <c r="J848">
        <v>239</v>
      </c>
      <c r="K848">
        <v>557</v>
      </c>
      <c r="L848">
        <v>429</v>
      </c>
      <c r="P848">
        <v>161</v>
      </c>
      <c r="Q848">
        <v>225</v>
      </c>
      <c r="R848">
        <v>716</v>
      </c>
      <c r="U848">
        <v>3230</v>
      </c>
      <c r="V848">
        <v>139</v>
      </c>
      <c r="Z848">
        <v>194</v>
      </c>
      <c r="AA848">
        <v>639</v>
      </c>
      <c r="AB848" s="1" t="s">
        <v>1699</v>
      </c>
    </row>
    <row r="849" spans="1:28" x14ac:dyDescent="0.3">
      <c r="A849">
        <v>78238</v>
      </c>
      <c r="B849" s="1" t="s">
        <v>1417</v>
      </c>
      <c r="C849">
        <v>0</v>
      </c>
      <c r="D849">
        <v>1610612752</v>
      </c>
      <c r="E849" s="1" t="s">
        <v>1248</v>
      </c>
      <c r="F849">
        <v>290</v>
      </c>
      <c r="G849">
        <v>81</v>
      </c>
      <c r="I849">
        <v>15650</v>
      </c>
      <c r="J849">
        <v>295</v>
      </c>
      <c r="K849">
        <v>685</v>
      </c>
      <c r="L849">
        <v>431</v>
      </c>
      <c r="P849">
        <v>169</v>
      </c>
      <c r="Q849">
        <v>230</v>
      </c>
      <c r="R849">
        <v>735</v>
      </c>
      <c r="U849">
        <v>3520</v>
      </c>
      <c r="V849">
        <v>106</v>
      </c>
      <c r="Z849">
        <v>175</v>
      </c>
      <c r="AA849">
        <v>759</v>
      </c>
      <c r="AB849" s="1" t="s">
        <v>1699</v>
      </c>
    </row>
    <row r="850" spans="1:28" x14ac:dyDescent="0.3">
      <c r="A850">
        <v>78238</v>
      </c>
      <c r="B850" s="1" t="s">
        <v>1354</v>
      </c>
      <c r="C850">
        <v>0</v>
      </c>
      <c r="D850">
        <v>1610612752</v>
      </c>
      <c r="E850" s="1" t="s">
        <v>1248</v>
      </c>
      <c r="F850">
        <v>300</v>
      </c>
      <c r="G850">
        <v>14</v>
      </c>
      <c r="I850">
        <v>2250</v>
      </c>
      <c r="J850">
        <v>33</v>
      </c>
      <c r="K850">
        <v>88</v>
      </c>
      <c r="L850">
        <v>375</v>
      </c>
      <c r="P850">
        <v>29</v>
      </c>
      <c r="Q850">
        <v>35</v>
      </c>
      <c r="R850">
        <v>829</v>
      </c>
      <c r="U850">
        <v>350</v>
      </c>
      <c r="V850">
        <v>25</v>
      </c>
      <c r="Z850">
        <v>31</v>
      </c>
      <c r="AA850">
        <v>95</v>
      </c>
      <c r="AB850" s="1" t="s">
        <v>1699</v>
      </c>
    </row>
    <row r="851" spans="1:28" x14ac:dyDescent="0.3">
      <c r="A851">
        <v>78238</v>
      </c>
      <c r="B851" s="1" t="s">
        <v>1358</v>
      </c>
      <c r="C851">
        <v>0</v>
      </c>
      <c r="D851">
        <v>1610612752</v>
      </c>
      <c r="E851" s="1" t="s">
        <v>1248</v>
      </c>
      <c r="F851">
        <v>330</v>
      </c>
      <c r="G851">
        <v>7</v>
      </c>
      <c r="I851">
        <v>570</v>
      </c>
      <c r="J851">
        <v>5</v>
      </c>
      <c r="K851">
        <v>18</v>
      </c>
      <c r="L851">
        <v>278</v>
      </c>
      <c r="P851">
        <v>0</v>
      </c>
      <c r="Q851">
        <v>0</v>
      </c>
      <c r="S851">
        <v>60</v>
      </c>
      <c r="T851">
        <v>140</v>
      </c>
      <c r="U851">
        <v>200</v>
      </c>
      <c r="V851">
        <v>2</v>
      </c>
      <c r="W851">
        <v>30</v>
      </c>
      <c r="X851">
        <v>30</v>
      </c>
      <c r="Z851">
        <v>10</v>
      </c>
      <c r="AA851">
        <v>10</v>
      </c>
      <c r="AB851" s="1" t="s">
        <v>1699</v>
      </c>
    </row>
    <row r="852" spans="1:28" x14ac:dyDescent="0.3">
      <c r="A852">
        <v>2410</v>
      </c>
      <c r="B852" s="1" t="s">
        <v>1303</v>
      </c>
      <c r="C852">
        <v>0</v>
      </c>
      <c r="D852">
        <v>1610612752</v>
      </c>
      <c r="E852" s="1" t="s">
        <v>1248</v>
      </c>
      <c r="F852">
        <v>290</v>
      </c>
      <c r="G852">
        <v>70</v>
      </c>
      <c r="H852">
        <v>260</v>
      </c>
      <c r="I852">
        <v>17570</v>
      </c>
      <c r="J852">
        <v>182</v>
      </c>
      <c r="K852">
        <v>432</v>
      </c>
      <c r="L852">
        <v>421</v>
      </c>
      <c r="M852">
        <v>740</v>
      </c>
      <c r="N852">
        <v>1920</v>
      </c>
      <c r="O852">
        <v>385</v>
      </c>
      <c r="P852">
        <v>94</v>
      </c>
      <c r="Q852">
        <v>126</v>
      </c>
      <c r="R852">
        <v>746</v>
      </c>
      <c r="S852">
        <v>300</v>
      </c>
      <c r="T852">
        <v>1400</v>
      </c>
      <c r="U852">
        <v>1700</v>
      </c>
      <c r="V852">
        <v>166</v>
      </c>
      <c r="W852">
        <v>480</v>
      </c>
      <c r="X852">
        <v>180</v>
      </c>
      <c r="Y852">
        <v>780</v>
      </c>
      <c r="Z852">
        <v>140</v>
      </c>
      <c r="AA852">
        <v>532</v>
      </c>
      <c r="AB852" s="1" t="s">
        <v>1700</v>
      </c>
    </row>
    <row r="853" spans="1:28" x14ac:dyDescent="0.3">
      <c r="A853">
        <v>76822</v>
      </c>
      <c r="B853" s="1" t="s">
        <v>1265</v>
      </c>
      <c r="C853">
        <v>0</v>
      </c>
      <c r="D853">
        <v>1610612752</v>
      </c>
      <c r="E853" s="1" t="s">
        <v>1248</v>
      </c>
      <c r="F853">
        <v>230</v>
      </c>
      <c r="G853">
        <v>75</v>
      </c>
      <c r="I853">
        <v>11710</v>
      </c>
      <c r="J853">
        <v>263</v>
      </c>
      <c r="K853">
        <v>486</v>
      </c>
      <c r="L853">
        <v>541</v>
      </c>
      <c r="P853">
        <v>57</v>
      </c>
      <c r="Q853">
        <v>63</v>
      </c>
      <c r="R853">
        <v>905</v>
      </c>
      <c r="S853">
        <v>280</v>
      </c>
      <c r="T853">
        <v>540</v>
      </c>
      <c r="U853">
        <v>820</v>
      </c>
      <c r="V853">
        <v>136</v>
      </c>
      <c r="W853">
        <v>370</v>
      </c>
      <c r="X853">
        <v>60</v>
      </c>
      <c r="Y853">
        <v>640</v>
      </c>
      <c r="Z853">
        <v>113</v>
      </c>
      <c r="AA853">
        <v>583</v>
      </c>
      <c r="AB853" s="1" t="s">
        <v>1701</v>
      </c>
    </row>
    <row r="854" spans="1:28" x14ac:dyDescent="0.3">
      <c r="A854">
        <v>76822</v>
      </c>
      <c r="B854" s="1" t="s">
        <v>1359</v>
      </c>
      <c r="C854">
        <v>0</v>
      </c>
      <c r="D854">
        <v>1610612752</v>
      </c>
      <c r="E854" s="1" t="s">
        <v>1248</v>
      </c>
      <c r="F854">
        <v>240</v>
      </c>
      <c r="G854">
        <v>75</v>
      </c>
      <c r="I854">
        <v>8000</v>
      </c>
      <c r="J854">
        <v>188</v>
      </c>
      <c r="K854">
        <v>364</v>
      </c>
      <c r="L854">
        <v>516</v>
      </c>
      <c r="M854">
        <v>20</v>
      </c>
      <c r="N854">
        <v>100</v>
      </c>
      <c r="O854">
        <v>2</v>
      </c>
      <c r="P854">
        <v>63</v>
      </c>
      <c r="Q854">
        <v>73</v>
      </c>
      <c r="R854">
        <v>863</v>
      </c>
      <c r="S854">
        <v>210</v>
      </c>
      <c r="T854">
        <v>450</v>
      </c>
      <c r="U854">
        <v>660</v>
      </c>
      <c r="V854">
        <v>85</v>
      </c>
      <c r="W854">
        <v>350</v>
      </c>
      <c r="X854">
        <v>70</v>
      </c>
      <c r="Y854">
        <v>380</v>
      </c>
      <c r="Z854">
        <v>79</v>
      </c>
      <c r="AA854">
        <v>441</v>
      </c>
      <c r="AB854" s="1" t="s">
        <v>1701</v>
      </c>
    </row>
    <row r="855" spans="1:28" x14ac:dyDescent="0.3">
      <c r="A855">
        <v>76822</v>
      </c>
      <c r="B855" s="1" t="s">
        <v>1282</v>
      </c>
      <c r="C855">
        <v>0</v>
      </c>
      <c r="D855">
        <v>1610612752</v>
      </c>
      <c r="E855" s="1" t="s">
        <v>1248</v>
      </c>
      <c r="F855">
        <v>250</v>
      </c>
      <c r="G855">
        <v>82</v>
      </c>
      <c r="I855">
        <v>15060</v>
      </c>
      <c r="J855">
        <v>285</v>
      </c>
      <c r="K855">
        <v>511</v>
      </c>
      <c r="L855">
        <v>558</v>
      </c>
      <c r="M855">
        <v>40</v>
      </c>
      <c r="N855">
        <v>110</v>
      </c>
      <c r="O855">
        <v>364</v>
      </c>
      <c r="P855">
        <v>98</v>
      </c>
      <c r="Q855">
        <v>110</v>
      </c>
      <c r="R855">
        <v>891</v>
      </c>
      <c r="S855">
        <v>270</v>
      </c>
      <c r="T855">
        <v>610</v>
      </c>
      <c r="U855">
        <v>880</v>
      </c>
      <c r="V855">
        <v>108</v>
      </c>
      <c r="W855">
        <v>720</v>
      </c>
      <c r="X855">
        <v>50</v>
      </c>
      <c r="Y855">
        <v>620</v>
      </c>
      <c r="Z855">
        <v>126</v>
      </c>
      <c r="AA855">
        <v>672</v>
      </c>
      <c r="AB855" s="1" t="s">
        <v>1701</v>
      </c>
    </row>
    <row r="856" spans="1:28" x14ac:dyDescent="0.3">
      <c r="A856">
        <v>76466</v>
      </c>
      <c r="B856" s="1" t="s">
        <v>1360</v>
      </c>
      <c r="C856">
        <v>0</v>
      </c>
      <c r="D856">
        <v>1610612752</v>
      </c>
      <c r="E856" s="1" t="s">
        <v>1248</v>
      </c>
      <c r="F856">
        <v>260</v>
      </c>
      <c r="G856">
        <v>19</v>
      </c>
      <c r="I856">
        <v>1920</v>
      </c>
      <c r="J856">
        <v>44</v>
      </c>
      <c r="K856">
        <v>116</v>
      </c>
      <c r="L856">
        <v>379</v>
      </c>
      <c r="P856">
        <v>24</v>
      </c>
      <c r="Q856">
        <v>38</v>
      </c>
      <c r="R856">
        <v>632</v>
      </c>
      <c r="U856">
        <v>480</v>
      </c>
      <c r="V856">
        <v>12</v>
      </c>
      <c r="Z856">
        <v>39</v>
      </c>
      <c r="AA856">
        <v>112</v>
      </c>
      <c r="AB856" s="1" t="s">
        <v>1702</v>
      </c>
    </row>
    <row r="857" spans="1:28" x14ac:dyDescent="0.3">
      <c r="A857">
        <v>76466</v>
      </c>
      <c r="B857" s="1" t="s">
        <v>1414</v>
      </c>
      <c r="C857">
        <v>0</v>
      </c>
      <c r="D857">
        <v>1610612752</v>
      </c>
      <c r="E857" s="1" t="s">
        <v>1248</v>
      </c>
      <c r="F857">
        <v>270</v>
      </c>
      <c r="G857">
        <v>31</v>
      </c>
      <c r="I857">
        <v>4260</v>
      </c>
      <c r="J857">
        <v>65</v>
      </c>
      <c r="K857">
        <v>177</v>
      </c>
      <c r="L857">
        <v>367</v>
      </c>
      <c r="P857">
        <v>37</v>
      </c>
      <c r="Q857">
        <v>59</v>
      </c>
      <c r="R857">
        <v>627</v>
      </c>
      <c r="U857">
        <v>830</v>
      </c>
      <c r="V857">
        <v>46</v>
      </c>
      <c r="Z857">
        <v>67</v>
      </c>
      <c r="AA857">
        <v>167</v>
      </c>
      <c r="AB857" s="1" t="s">
        <v>1702</v>
      </c>
    </row>
    <row r="858" spans="1:28" x14ac:dyDescent="0.3">
      <c r="A858">
        <v>203112</v>
      </c>
      <c r="B858" s="1" t="s">
        <v>1343</v>
      </c>
      <c r="C858">
        <v>0</v>
      </c>
      <c r="D858">
        <v>1610612752</v>
      </c>
      <c r="E858" s="1" t="s">
        <v>1248</v>
      </c>
      <c r="F858">
        <v>240</v>
      </c>
      <c r="G858">
        <v>68</v>
      </c>
      <c r="H858">
        <v>220</v>
      </c>
      <c r="I858">
        <v>12870</v>
      </c>
      <c r="J858">
        <v>152</v>
      </c>
      <c r="K858">
        <v>331</v>
      </c>
      <c r="L858">
        <v>459</v>
      </c>
      <c r="M858">
        <v>180</v>
      </c>
      <c r="N858">
        <v>600</v>
      </c>
      <c r="O858">
        <v>3</v>
      </c>
      <c r="P858">
        <v>76</v>
      </c>
      <c r="Q858">
        <v>97</v>
      </c>
      <c r="R858">
        <v>784</v>
      </c>
      <c r="S858">
        <v>790</v>
      </c>
      <c r="T858">
        <v>2220</v>
      </c>
      <c r="U858">
        <v>3010</v>
      </c>
      <c r="V858">
        <v>68</v>
      </c>
      <c r="W858">
        <v>270</v>
      </c>
      <c r="X858">
        <v>220</v>
      </c>
      <c r="Y858">
        <v>600</v>
      </c>
      <c r="Z858">
        <v>147</v>
      </c>
      <c r="AA858">
        <v>398</v>
      </c>
      <c r="AB858" s="1" t="s">
        <v>1703</v>
      </c>
    </row>
    <row r="859" spans="1:28" x14ac:dyDescent="0.3">
      <c r="A859">
        <v>200754</v>
      </c>
      <c r="B859" s="1" t="s">
        <v>1304</v>
      </c>
      <c r="C859">
        <v>0</v>
      </c>
      <c r="D859">
        <v>1610612752</v>
      </c>
      <c r="E859" s="1" t="s">
        <v>1248</v>
      </c>
      <c r="F859">
        <v>230</v>
      </c>
      <c r="G859">
        <v>1</v>
      </c>
      <c r="H859">
        <v>0</v>
      </c>
      <c r="I859">
        <v>60</v>
      </c>
      <c r="J859">
        <v>1</v>
      </c>
      <c r="K859">
        <v>2</v>
      </c>
      <c r="L859">
        <v>5</v>
      </c>
      <c r="M859">
        <v>0</v>
      </c>
      <c r="N859">
        <v>0</v>
      </c>
      <c r="O859">
        <v>0</v>
      </c>
      <c r="P859">
        <v>1</v>
      </c>
      <c r="Q859">
        <v>1</v>
      </c>
      <c r="R859">
        <v>10</v>
      </c>
      <c r="S859">
        <v>20</v>
      </c>
      <c r="T859">
        <v>30</v>
      </c>
      <c r="U859">
        <v>50</v>
      </c>
      <c r="V859">
        <v>0</v>
      </c>
      <c r="W859">
        <v>0</v>
      </c>
      <c r="X859">
        <v>10</v>
      </c>
      <c r="Y859">
        <v>10</v>
      </c>
      <c r="Z859">
        <v>0</v>
      </c>
      <c r="AA859">
        <v>3</v>
      </c>
      <c r="AB859" s="1" t="s">
        <v>1704</v>
      </c>
    </row>
    <row r="860" spans="1:28" x14ac:dyDescent="0.3">
      <c r="A860">
        <v>77757</v>
      </c>
      <c r="B860" s="1" t="s">
        <v>1394</v>
      </c>
      <c r="C860">
        <v>0</v>
      </c>
      <c r="D860">
        <v>1610612752</v>
      </c>
      <c r="E860" s="1" t="s">
        <v>1248</v>
      </c>
      <c r="F860">
        <v>290</v>
      </c>
      <c r="G860">
        <v>44</v>
      </c>
      <c r="H860">
        <v>90</v>
      </c>
      <c r="I860">
        <v>7760</v>
      </c>
      <c r="J860">
        <v>71</v>
      </c>
      <c r="K860">
        <v>174</v>
      </c>
      <c r="L860">
        <v>408</v>
      </c>
      <c r="M860">
        <v>0</v>
      </c>
      <c r="N860">
        <v>10</v>
      </c>
      <c r="O860">
        <v>0</v>
      </c>
      <c r="P860">
        <v>31</v>
      </c>
      <c r="Q860">
        <v>57</v>
      </c>
      <c r="R860">
        <v>544</v>
      </c>
      <c r="S860">
        <v>510</v>
      </c>
      <c r="T860">
        <v>1280</v>
      </c>
      <c r="U860">
        <v>1790</v>
      </c>
      <c r="V860">
        <v>19</v>
      </c>
      <c r="W860">
        <v>220</v>
      </c>
      <c r="X860">
        <v>710</v>
      </c>
      <c r="Y860">
        <v>480</v>
      </c>
      <c r="Z860">
        <v>95</v>
      </c>
      <c r="AA860">
        <v>173</v>
      </c>
      <c r="AB860" s="1" t="s">
        <v>1705</v>
      </c>
    </row>
    <row r="861" spans="1:28" x14ac:dyDescent="0.3">
      <c r="A861">
        <v>77161</v>
      </c>
      <c r="B861" s="1" t="s">
        <v>1360</v>
      </c>
      <c r="C861">
        <v>0</v>
      </c>
      <c r="D861">
        <v>1610612752</v>
      </c>
      <c r="E861" s="1" t="s">
        <v>1248</v>
      </c>
      <c r="F861">
        <v>240</v>
      </c>
      <c r="G861">
        <v>51</v>
      </c>
      <c r="I861">
        <v>5220</v>
      </c>
      <c r="J861">
        <v>59</v>
      </c>
      <c r="K861">
        <v>171</v>
      </c>
      <c r="L861">
        <v>345</v>
      </c>
      <c r="P861">
        <v>57</v>
      </c>
      <c r="Q861">
        <v>86</v>
      </c>
      <c r="R861">
        <v>663</v>
      </c>
      <c r="U861">
        <v>1670</v>
      </c>
      <c r="V861">
        <v>38</v>
      </c>
      <c r="Z861">
        <v>102</v>
      </c>
      <c r="AA861">
        <v>175</v>
      </c>
      <c r="AB861" s="1" t="s">
        <v>1706</v>
      </c>
    </row>
    <row r="862" spans="1:28" x14ac:dyDescent="0.3">
      <c r="A862">
        <v>77161</v>
      </c>
      <c r="B862" s="1" t="s">
        <v>1414</v>
      </c>
      <c r="C862">
        <v>0</v>
      </c>
      <c r="D862">
        <v>1610612752</v>
      </c>
      <c r="E862" s="1" t="s">
        <v>1248</v>
      </c>
      <c r="F862">
        <v>250</v>
      </c>
      <c r="G862">
        <v>43</v>
      </c>
      <c r="I862">
        <v>2860</v>
      </c>
      <c r="J862">
        <v>44</v>
      </c>
      <c r="K862">
        <v>106</v>
      </c>
      <c r="L862">
        <v>415</v>
      </c>
      <c r="P862">
        <v>23</v>
      </c>
      <c r="Q862">
        <v>48</v>
      </c>
      <c r="R862">
        <v>479</v>
      </c>
      <c r="U862">
        <v>750</v>
      </c>
      <c r="V862">
        <v>33</v>
      </c>
      <c r="Z862">
        <v>63</v>
      </c>
      <c r="AA862">
        <v>111</v>
      </c>
      <c r="AB862" s="1" t="s">
        <v>1706</v>
      </c>
    </row>
    <row r="863" spans="1:28" x14ac:dyDescent="0.3">
      <c r="A863">
        <v>201592</v>
      </c>
      <c r="B863" s="1" t="s">
        <v>1305</v>
      </c>
      <c r="C863">
        <v>0</v>
      </c>
      <c r="D863">
        <v>1610612752</v>
      </c>
      <c r="E863" s="1" t="s">
        <v>1248</v>
      </c>
      <c r="F863">
        <v>250</v>
      </c>
      <c r="G863">
        <v>11</v>
      </c>
      <c r="H863">
        <v>0</v>
      </c>
      <c r="I863">
        <v>1400</v>
      </c>
      <c r="J863">
        <v>19</v>
      </c>
      <c r="K863">
        <v>39</v>
      </c>
      <c r="L863">
        <v>487</v>
      </c>
      <c r="M863">
        <v>0</v>
      </c>
      <c r="N863">
        <v>80</v>
      </c>
      <c r="O863">
        <v>0</v>
      </c>
      <c r="P863">
        <v>7</v>
      </c>
      <c r="Q863">
        <v>11</v>
      </c>
      <c r="R863">
        <v>636</v>
      </c>
      <c r="S863">
        <v>120</v>
      </c>
      <c r="T863">
        <v>190</v>
      </c>
      <c r="U863">
        <v>310</v>
      </c>
      <c r="V863">
        <v>7</v>
      </c>
      <c r="W863">
        <v>50</v>
      </c>
      <c r="X863">
        <v>10</v>
      </c>
      <c r="Y863">
        <v>100</v>
      </c>
      <c r="Z863">
        <v>19</v>
      </c>
      <c r="AA863">
        <v>45</v>
      </c>
      <c r="AB863" s="1" t="s">
        <v>1707</v>
      </c>
    </row>
    <row r="864" spans="1:28" x14ac:dyDescent="0.3">
      <c r="A864">
        <v>76447</v>
      </c>
      <c r="B864" s="1" t="s">
        <v>1359</v>
      </c>
      <c r="C864">
        <v>0</v>
      </c>
      <c r="D864">
        <v>1610612752</v>
      </c>
      <c r="E864" s="1" t="s">
        <v>1248</v>
      </c>
      <c r="F864">
        <v>240</v>
      </c>
      <c r="G864">
        <v>75</v>
      </c>
      <c r="I864">
        <v>11420</v>
      </c>
      <c r="J864">
        <v>182</v>
      </c>
      <c r="K864">
        <v>368</v>
      </c>
      <c r="L864">
        <v>495</v>
      </c>
      <c r="M864">
        <v>0</v>
      </c>
      <c r="N864">
        <v>20</v>
      </c>
      <c r="O864">
        <v>0</v>
      </c>
      <c r="P864">
        <v>63</v>
      </c>
      <c r="Q864">
        <v>86</v>
      </c>
      <c r="R864">
        <v>733</v>
      </c>
      <c r="S864">
        <v>700</v>
      </c>
      <c r="T864">
        <v>860</v>
      </c>
      <c r="U864">
        <v>1560</v>
      </c>
      <c r="V864">
        <v>80</v>
      </c>
      <c r="W864">
        <v>610</v>
      </c>
      <c r="X864">
        <v>250</v>
      </c>
      <c r="Y864">
        <v>840</v>
      </c>
      <c r="Z864">
        <v>154</v>
      </c>
      <c r="AA864">
        <v>427</v>
      </c>
      <c r="AB864" s="1" t="s">
        <v>1708</v>
      </c>
    </row>
    <row r="865" spans="1:28" x14ac:dyDescent="0.3">
      <c r="A865">
        <v>76447</v>
      </c>
      <c r="B865" s="1" t="s">
        <v>1284</v>
      </c>
      <c r="C865">
        <v>0</v>
      </c>
      <c r="D865">
        <v>1610612752</v>
      </c>
      <c r="E865" s="1" t="s">
        <v>1248</v>
      </c>
      <c r="F865">
        <v>260</v>
      </c>
      <c r="G865">
        <v>18</v>
      </c>
      <c r="H865">
        <v>0</v>
      </c>
      <c r="I865">
        <v>1180</v>
      </c>
      <c r="J865">
        <v>16</v>
      </c>
      <c r="K865">
        <v>38</v>
      </c>
      <c r="L865">
        <v>421</v>
      </c>
      <c r="M865">
        <v>0</v>
      </c>
      <c r="N865">
        <v>0</v>
      </c>
      <c r="P865">
        <v>5</v>
      </c>
      <c r="Q865">
        <v>6</v>
      </c>
      <c r="R865">
        <v>833</v>
      </c>
      <c r="S865">
        <v>30</v>
      </c>
      <c r="T865">
        <v>20</v>
      </c>
      <c r="U865">
        <v>50</v>
      </c>
      <c r="V865">
        <v>9</v>
      </c>
      <c r="W865">
        <v>40</v>
      </c>
      <c r="X865">
        <v>20</v>
      </c>
      <c r="Y865">
        <v>40</v>
      </c>
      <c r="Z865">
        <v>19</v>
      </c>
      <c r="AA865">
        <v>37</v>
      </c>
      <c r="AB865" s="1" t="s">
        <v>1708</v>
      </c>
    </row>
    <row r="866" spans="1:28" x14ac:dyDescent="0.3">
      <c r="A866">
        <v>913</v>
      </c>
      <c r="B866" s="1" t="s">
        <v>1277</v>
      </c>
      <c r="C866">
        <v>0</v>
      </c>
      <c r="D866">
        <v>1610612752</v>
      </c>
      <c r="E866" s="1" t="s">
        <v>1248</v>
      </c>
      <c r="F866">
        <v>280</v>
      </c>
      <c r="G866">
        <v>76</v>
      </c>
      <c r="H866">
        <v>760</v>
      </c>
      <c r="I866">
        <v>26130</v>
      </c>
      <c r="J866">
        <v>376</v>
      </c>
      <c r="K866">
        <v>735</v>
      </c>
      <c r="L866">
        <v>512</v>
      </c>
      <c r="M866">
        <v>340</v>
      </c>
      <c r="N866">
        <v>1050</v>
      </c>
      <c r="O866">
        <v>324</v>
      </c>
      <c r="P866">
        <v>190</v>
      </c>
      <c r="Q866">
        <v>274</v>
      </c>
      <c r="R866">
        <v>693</v>
      </c>
      <c r="S866">
        <v>1650</v>
      </c>
      <c r="T866">
        <v>2280</v>
      </c>
      <c r="U866">
        <v>3930</v>
      </c>
      <c r="V866">
        <v>174</v>
      </c>
      <c r="W866">
        <v>640</v>
      </c>
      <c r="X866">
        <v>360</v>
      </c>
      <c r="Y866">
        <v>1360</v>
      </c>
      <c r="Z866">
        <v>249</v>
      </c>
      <c r="AA866">
        <v>976</v>
      </c>
      <c r="AB866" s="1" t="s">
        <v>1709</v>
      </c>
    </row>
    <row r="867" spans="1:28" x14ac:dyDescent="0.3">
      <c r="A867">
        <v>913</v>
      </c>
      <c r="B867" s="1" t="s">
        <v>1278</v>
      </c>
      <c r="C867">
        <v>0</v>
      </c>
      <c r="D867">
        <v>1610612752</v>
      </c>
      <c r="E867" s="1" t="s">
        <v>1248</v>
      </c>
      <c r="F867">
        <v>290</v>
      </c>
      <c r="G867">
        <v>70</v>
      </c>
      <c r="H867">
        <v>700</v>
      </c>
      <c r="I867">
        <v>24120</v>
      </c>
      <c r="J867">
        <v>429</v>
      </c>
      <c r="K867">
        <v>884</v>
      </c>
      <c r="L867">
        <v>485</v>
      </c>
      <c r="M867">
        <v>150</v>
      </c>
      <c r="N867">
        <v>630</v>
      </c>
      <c r="O867">
        <v>238</v>
      </c>
      <c r="P867">
        <v>214</v>
      </c>
      <c r="Q867">
        <v>283</v>
      </c>
      <c r="R867">
        <v>756</v>
      </c>
      <c r="S867">
        <v>1750</v>
      </c>
      <c r="T867">
        <v>2260</v>
      </c>
      <c r="U867">
        <v>4010</v>
      </c>
      <c r="V867">
        <v>150</v>
      </c>
      <c r="W867">
        <v>400</v>
      </c>
      <c r="X867">
        <v>130</v>
      </c>
      <c r="Y867">
        <v>1270</v>
      </c>
      <c r="Z867">
        <v>193</v>
      </c>
      <c r="AA867">
        <v>1087</v>
      </c>
      <c r="AB867" s="1" t="s">
        <v>1709</v>
      </c>
    </row>
    <row r="868" spans="1:28" x14ac:dyDescent="0.3">
      <c r="A868">
        <v>913</v>
      </c>
      <c r="B868" s="1" t="s">
        <v>1429</v>
      </c>
      <c r="C868">
        <v>0</v>
      </c>
      <c r="D868">
        <v>1610612752</v>
      </c>
      <c r="E868" s="1" t="s">
        <v>1248</v>
      </c>
      <c r="F868">
        <v>300</v>
      </c>
      <c r="G868">
        <v>49</v>
      </c>
      <c r="H868">
        <v>480</v>
      </c>
      <c r="I868">
        <v>16390</v>
      </c>
      <c r="J868">
        <v>210</v>
      </c>
      <c r="K868">
        <v>458</v>
      </c>
      <c r="L868">
        <v>459</v>
      </c>
      <c r="M868">
        <v>330</v>
      </c>
      <c r="N868">
        <v>920</v>
      </c>
      <c r="O868">
        <v>359</v>
      </c>
      <c r="P868">
        <v>134</v>
      </c>
      <c r="Q868">
        <v>164</v>
      </c>
      <c r="R868">
        <v>817</v>
      </c>
      <c r="S868">
        <v>910</v>
      </c>
      <c r="T868">
        <v>1930</v>
      </c>
      <c r="U868">
        <v>2840</v>
      </c>
      <c r="V868">
        <v>119</v>
      </c>
      <c r="W868">
        <v>340</v>
      </c>
      <c r="X868">
        <v>100</v>
      </c>
      <c r="Y868">
        <v>890</v>
      </c>
      <c r="Z868">
        <v>147</v>
      </c>
      <c r="AA868">
        <v>587</v>
      </c>
      <c r="AB868" s="1" t="s">
        <v>1709</v>
      </c>
    </row>
    <row r="869" spans="1:28" x14ac:dyDescent="0.3">
      <c r="A869">
        <v>913</v>
      </c>
      <c r="B869" s="1" t="s">
        <v>1464</v>
      </c>
      <c r="C869">
        <v>0</v>
      </c>
      <c r="D869">
        <v>1610612752</v>
      </c>
      <c r="E869" s="1" t="s">
        <v>1248</v>
      </c>
      <c r="F869">
        <v>310</v>
      </c>
      <c r="G869">
        <v>70</v>
      </c>
      <c r="H869">
        <v>680</v>
      </c>
      <c r="I869">
        <v>22810</v>
      </c>
      <c r="J869">
        <v>282</v>
      </c>
      <c r="K869">
        <v>652</v>
      </c>
      <c r="L869">
        <v>433</v>
      </c>
      <c r="M869">
        <v>580</v>
      </c>
      <c r="N869">
        <v>1740</v>
      </c>
      <c r="O869">
        <v>333</v>
      </c>
      <c r="P869">
        <v>128</v>
      </c>
      <c r="Q869">
        <v>167</v>
      </c>
      <c r="R869">
        <v>766</v>
      </c>
      <c r="S869">
        <v>870</v>
      </c>
      <c r="T869">
        <v>2930</v>
      </c>
      <c r="U869">
        <v>3800</v>
      </c>
      <c r="V869">
        <v>175</v>
      </c>
      <c r="W869">
        <v>420</v>
      </c>
      <c r="X869">
        <v>70</v>
      </c>
      <c r="Y869">
        <v>940</v>
      </c>
      <c r="Z869">
        <v>205</v>
      </c>
      <c r="AA869">
        <v>750</v>
      </c>
      <c r="AB869" s="1" t="s">
        <v>1709</v>
      </c>
    </row>
    <row r="870" spans="1:28" x14ac:dyDescent="0.3">
      <c r="A870">
        <v>913</v>
      </c>
      <c r="B870" s="1" t="s">
        <v>1465</v>
      </c>
      <c r="C870">
        <v>0</v>
      </c>
      <c r="D870">
        <v>1610612752</v>
      </c>
      <c r="E870" s="1" t="s">
        <v>1248</v>
      </c>
      <c r="F870">
        <v>320</v>
      </c>
      <c r="G870">
        <v>65</v>
      </c>
      <c r="H870">
        <v>650</v>
      </c>
      <c r="I870">
        <v>21080</v>
      </c>
      <c r="J870">
        <v>246</v>
      </c>
      <c r="K870">
        <v>598</v>
      </c>
      <c r="L870">
        <v>411</v>
      </c>
      <c r="M870">
        <v>510</v>
      </c>
      <c r="N870">
        <v>1630</v>
      </c>
      <c r="O870">
        <v>313</v>
      </c>
      <c r="P870">
        <v>102</v>
      </c>
      <c r="Q870">
        <v>128</v>
      </c>
      <c r="R870">
        <v>797</v>
      </c>
      <c r="S870">
        <v>900</v>
      </c>
      <c r="T870">
        <v>2730</v>
      </c>
      <c r="U870">
        <v>3630</v>
      </c>
      <c r="V870">
        <v>127</v>
      </c>
      <c r="W870">
        <v>390</v>
      </c>
      <c r="X870">
        <v>290</v>
      </c>
      <c r="Y870">
        <v>970</v>
      </c>
      <c r="Z870">
        <v>209</v>
      </c>
      <c r="AA870">
        <v>645</v>
      </c>
      <c r="AB870" s="1" t="s">
        <v>1709</v>
      </c>
    </row>
    <row r="871" spans="1:28" x14ac:dyDescent="0.3">
      <c r="A871">
        <v>201959</v>
      </c>
      <c r="B871" s="1" t="s">
        <v>1288</v>
      </c>
      <c r="C871">
        <v>0</v>
      </c>
      <c r="D871">
        <v>1610612752</v>
      </c>
      <c r="E871" s="1" t="s">
        <v>1248</v>
      </c>
      <c r="F871">
        <v>350</v>
      </c>
      <c r="G871">
        <v>62</v>
      </c>
      <c r="H871">
        <v>560</v>
      </c>
      <c r="I871">
        <v>10250</v>
      </c>
      <c r="J871">
        <v>167</v>
      </c>
      <c r="K871">
        <v>286</v>
      </c>
      <c r="L871">
        <v>584</v>
      </c>
      <c r="M871">
        <v>40</v>
      </c>
      <c r="N871">
        <v>140</v>
      </c>
      <c r="O871">
        <v>286</v>
      </c>
      <c r="P871">
        <v>41</v>
      </c>
      <c r="Q871">
        <v>56</v>
      </c>
      <c r="R871">
        <v>732</v>
      </c>
      <c r="S871">
        <v>1110</v>
      </c>
      <c r="T871">
        <v>1560</v>
      </c>
      <c r="U871">
        <v>2670</v>
      </c>
      <c r="V871">
        <v>52</v>
      </c>
      <c r="W871">
        <v>270</v>
      </c>
      <c r="X871">
        <v>300</v>
      </c>
      <c r="Y871">
        <v>470</v>
      </c>
      <c r="Z871">
        <v>122</v>
      </c>
      <c r="AA871">
        <v>379</v>
      </c>
      <c r="AB871" s="1" t="s">
        <v>1710</v>
      </c>
    </row>
    <row r="872" spans="1:28" x14ac:dyDescent="0.3">
      <c r="A872">
        <v>201959</v>
      </c>
      <c r="B872" s="1" t="s">
        <v>1289</v>
      </c>
      <c r="C872">
        <v>0</v>
      </c>
      <c r="D872">
        <v>1610612752</v>
      </c>
      <c r="E872" s="1" t="s">
        <v>1248</v>
      </c>
      <c r="F872">
        <v>360</v>
      </c>
      <c r="G872">
        <v>45</v>
      </c>
      <c r="H872">
        <v>30</v>
      </c>
      <c r="I872">
        <v>9360</v>
      </c>
      <c r="J872">
        <v>99</v>
      </c>
      <c r="K872">
        <v>158</v>
      </c>
      <c r="L872">
        <v>627</v>
      </c>
      <c r="M872">
        <v>30</v>
      </c>
      <c r="N872">
        <v>150</v>
      </c>
      <c r="O872">
        <v>2</v>
      </c>
      <c r="P872">
        <v>40</v>
      </c>
      <c r="Q872">
        <v>55</v>
      </c>
      <c r="R872">
        <v>727</v>
      </c>
      <c r="S872">
        <v>990</v>
      </c>
      <c r="T872">
        <v>1510</v>
      </c>
      <c r="U872">
        <v>2500</v>
      </c>
      <c r="V872">
        <v>36</v>
      </c>
      <c r="W872">
        <v>310</v>
      </c>
      <c r="X872">
        <v>490</v>
      </c>
      <c r="Y872">
        <v>220</v>
      </c>
      <c r="Z872">
        <v>99</v>
      </c>
      <c r="AA872">
        <v>241</v>
      </c>
      <c r="AB872" s="1" t="s">
        <v>1710</v>
      </c>
    </row>
    <row r="873" spans="1:28" x14ac:dyDescent="0.3">
      <c r="A873">
        <v>201959</v>
      </c>
      <c r="B873" s="1" t="s">
        <v>1308</v>
      </c>
      <c r="C873">
        <v>0</v>
      </c>
      <c r="D873">
        <v>1610612752</v>
      </c>
      <c r="E873" s="1" t="s">
        <v>1248</v>
      </c>
      <c r="F873">
        <v>370</v>
      </c>
      <c r="G873">
        <v>52</v>
      </c>
      <c r="H873">
        <v>40</v>
      </c>
      <c r="I873">
        <v>9460</v>
      </c>
      <c r="J873">
        <v>86</v>
      </c>
      <c r="K873">
        <v>166</v>
      </c>
      <c r="L873">
        <v>518</v>
      </c>
      <c r="M873">
        <v>150</v>
      </c>
      <c r="N873">
        <v>380</v>
      </c>
      <c r="O873">
        <v>395</v>
      </c>
      <c r="P873">
        <v>42</v>
      </c>
      <c r="Q873">
        <v>52</v>
      </c>
      <c r="R873">
        <v>808</v>
      </c>
      <c r="S873">
        <v>880</v>
      </c>
      <c r="T873">
        <v>1410</v>
      </c>
      <c r="U873">
        <v>2290</v>
      </c>
      <c r="V873">
        <v>32</v>
      </c>
      <c r="W873">
        <v>220</v>
      </c>
      <c r="X873">
        <v>400</v>
      </c>
      <c r="Y873">
        <v>270</v>
      </c>
      <c r="Z873">
        <v>137</v>
      </c>
      <c r="AA873">
        <v>229</v>
      </c>
      <c r="AB873" s="1" t="s">
        <v>1710</v>
      </c>
    </row>
    <row r="874" spans="1:28" x14ac:dyDescent="0.3">
      <c r="A874">
        <v>201959</v>
      </c>
      <c r="B874" s="1" t="s">
        <v>1369</v>
      </c>
      <c r="C874">
        <v>0</v>
      </c>
      <c r="D874">
        <v>1610612752</v>
      </c>
      <c r="E874" s="1" t="s">
        <v>1248</v>
      </c>
      <c r="F874">
        <v>390</v>
      </c>
      <c r="G874">
        <v>16</v>
      </c>
      <c r="H874">
        <v>10</v>
      </c>
      <c r="I874">
        <v>1650</v>
      </c>
      <c r="J874">
        <v>7</v>
      </c>
      <c r="K874">
        <v>23</v>
      </c>
      <c r="L874">
        <v>304</v>
      </c>
      <c r="M874">
        <v>0</v>
      </c>
      <c r="N874">
        <v>60</v>
      </c>
      <c r="O874">
        <v>0</v>
      </c>
      <c r="P874">
        <v>2</v>
      </c>
      <c r="Q874">
        <v>2</v>
      </c>
      <c r="R874">
        <v>10</v>
      </c>
      <c r="S874">
        <v>100</v>
      </c>
      <c r="T874">
        <v>180</v>
      </c>
      <c r="U874">
        <v>280</v>
      </c>
      <c r="V874">
        <v>9</v>
      </c>
      <c r="W874">
        <v>20</v>
      </c>
      <c r="X874">
        <v>60</v>
      </c>
      <c r="Y874">
        <v>50</v>
      </c>
      <c r="Z874">
        <v>28</v>
      </c>
      <c r="AA874">
        <v>16</v>
      </c>
      <c r="AB874" s="1" t="s">
        <v>1710</v>
      </c>
    </row>
    <row r="875" spans="1:28" x14ac:dyDescent="0.3">
      <c r="A875">
        <v>203142</v>
      </c>
      <c r="B875" s="1" t="s">
        <v>1292</v>
      </c>
      <c r="C875">
        <v>0</v>
      </c>
      <c r="D875">
        <v>1610612752</v>
      </c>
      <c r="E875" s="1" t="s">
        <v>1248</v>
      </c>
      <c r="F875">
        <v>290</v>
      </c>
      <c r="G875">
        <v>56</v>
      </c>
      <c r="H875">
        <v>130</v>
      </c>
      <c r="I875">
        <v>8620</v>
      </c>
      <c r="J875">
        <v>182</v>
      </c>
      <c r="K875">
        <v>380</v>
      </c>
      <c r="L875">
        <v>479</v>
      </c>
      <c r="M875">
        <v>590</v>
      </c>
      <c r="N875">
        <v>1400</v>
      </c>
      <c r="O875">
        <v>421</v>
      </c>
      <c r="P875">
        <v>63</v>
      </c>
      <c r="Q875">
        <v>83</v>
      </c>
      <c r="R875">
        <v>759</v>
      </c>
      <c r="S875">
        <v>340</v>
      </c>
      <c r="T875">
        <v>850</v>
      </c>
      <c r="U875">
        <v>1190</v>
      </c>
      <c r="V875">
        <v>27</v>
      </c>
      <c r="W875">
        <v>160</v>
      </c>
      <c r="X875">
        <v>120</v>
      </c>
      <c r="Y875">
        <v>500</v>
      </c>
      <c r="Z875">
        <v>104</v>
      </c>
      <c r="AA875">
        <v>486</v>
      </c>
      <c r="AB875" s="1" t="s">
        <v>1711</v>
      </c>
    </row>
    <row r="876" spans="1:28" x14ac:dyDescent="0.3">
      <c r="A876">
        <v>2035</v>
      </c>
      <c r="B876" s="1" t="s">
        <v>1293</v>
      </c>
      <c r="C876">
        <v>0</v>
      </c>
      <c r="D876">
        <v>1610612752</v>
      </c>
      <c r="E876" s="1" t="s">
        <v>1248</v>
      </c>
      <c r="F876">
        <v>240</v>
      </c>
      <c r="G876">
        <v>21</v>
      </c>
      <c r="H876">
        <v>10</v>
      </c>
      <c r="I876">
        <v>2870</v>
      </c>
      <c r="J876">
        <v>36</v>
      </c>
      <c r="K876">
        <v>97</v>
      </c>
      <c r="L876">
        <v>371</v>
      </c>
      <c r="M876">
        <v>130</v>
      </c>
      <c r="N876">
        <v>360</v>
      </c>
      <c r="O876">
        <v>361</v>
      </c>
      <c r="P876">
        <v>28</v>
      </c>
      <c r="Q876">
        <v>31</v>
      </c>
      <c r="R876">
        <v>903</v>
      </c>
      <c r="S876">
        <v>50</v>
      </c>
      <c r="T876">
        <v>340</v>
      </c>
      <c r="U876">
        <v>390</v>
      </c>
      <c r="V876">
        <v>11</v>
      </c>
      <c r="W876">
        <v>80</v>
      </c>
      <c r="X876">
        <v>70</v>
      </c>
      <c r="Y876">
        <v>160</v>
      </c>
      <c r="Z876">
        <v>32</v>
      </c>
      <c r="AA876">
        <v>113</v>
      </c>
      <c r="AB876" s="1" t="s">
        <v>1712</v>
      </c>
    </row>
    <row r="877" spans="1:28" x14ac:dyDescent="0.3">
      <c r="A877">
        <v>76806</v>
      </c>
      <c r="B877" s="1" t="s">
        <v>1356</v>
      </c>
      <c r="C877">
        <v>0</v>
      </c>
      <c r="D877">
        <v>1610612752</v>
      </c>
      <c r="E877" s="1" t="s">
        <v>1248</v>
      </c>
      <c r="F877">
        <v>230</v>
      </c>
      <c r="G877">
        <v>52</v>
      </c>
      <c r="I877">
        <v>5160</v>
      </c>
      <c r="J877">
        <v>79</v>
      </c>
      <c r="K877">
        <v>175</v>
      </c>
      <c r="L877">
        <v>451</v>
      </c>
      <c r="P877">
        <v>23</v>
      </c>
      <c r="Q877">
        <v>33</v>
      </c>
      <c r="R877">
        <v>697</v>
      </c>
      <c r="U877">
        <v>1500</v>
      </c>
      <c r="V877">
        <v>25</v>
      </c>
      <c r="Z877">
        <v>72</v>
      </c>
      <c r="AA877">
        <v>181</v>
      </c>
      <c r="AB877" s="1" t="s">
        <v>1713</v>
      </c>
    </row>
    <row r="878" spans="1:28" x14ac:dyDescent="0.3">
      <c r="A878">
        <v>76806</v>
      </c>
      <c r="B878" s="1" t="s">
        <v>1357</v>
      </c>
      <c r="C878">
        <v>0</v>
      </c>
      <c r="D878">
        <v>1610612752</v>
      </c>
      <c r="E878" s="1" t="s">
        <v>1248</v>
      </c>
      <c r="F878">
        <v>240</v>
      </c>
      <c r="G878">
        <v>70</v>
      </c>
      <c r="I878">
        <v>14230</v>
      </c>
      <c r="J878">
        <v>208</v>
      </c>
      <c r="K878">
        <v>434</v>
      </c>
      <c r="L878">
        <v>479</v>
      </c>
      <c r="P878">
        <v>92</v>
      </c>
      <c r="Q878">
        <v>121</v>
      </c>
      <c r="R878">
        <v>76</v>
      </c>
      <c r="S878">
        <v>1100</v>
      </c>
      <c r="T878">
        <v>2330</v>
      </c>
      <c r="U878">
        <v>3430</v>
      </c>
      <c r="V878">
        <v>77</v>
      </c>
      <c r="W878">
        <v>230</v>
      </c>
      <c r="X878">
        <v>420</v>
      </c>
      <c r="Z878">
        <v>159</v>
      </c>
      <c r="AA878">
        <v>508</v>
      </c>
      <c r="AB878" s="1" t="s">
        <v>1713</v>
      </c>
    </row>
    <row r="879" spans="1:28" x14ac:dyDescent="0.3">
      <c r="A879">
        <v>76806</v>
      </c>
      <c r="B879" s="1" t="s">
        <v>1358</v>
      </c>
      <c r="C879">
        <v>0</v>
      </c>
      <c r="D879">
        <v>1610612752</v>
      </c>
      <c r="E879" s="1" t="s">
        <v>1248</v>
      </c>
      <c r="F879">
        <v>250</v>
      </c>
      <c r="G879">
        <v>80</v>
      </c>
      <c r="I879">
        <v>27970</v>
      </c>
      <c r="J879">
        <v>343</v>
      </c>
      <c r="K879">
        <v>726</v>
      </c>
      <c r="L879">
        <v>472</v>
      </c>
      <c r="P879">
        <v>135</v>
      </c>
      <c r="Q879">
        <v>195</v>
      </c>
      <c r="R879">
        <v>692</v>
      </c>
      <c r="S879">
        <v>2140</v>
      </c>
      <c r="T879">
        <v>4750</v>
      </c>
      <c r="U879">
        <v>6890</v>
      </c>
      <c r="V879">
        <v>163</v>
      </c>
      <c r="W879">
        <v>380</v>
      </c>
      <c r="X879">
        <v>1180</v>
      </c>
      <c r="Z879">
        <v>263</v>
      </c>
      <c r="AA879">
        <v>821</v>
      </c>
      <c r="AB879" s="1" t="s">
        <v>1713</v>
      </c>
    </row>
    <row r="880" spans="1:28" x14ac:dyDescent="0.3">
      <c r="A880">
        <v>76806</v>
      </c>
      <c r="B880" s="1" t="s">
        <v>1261</v>
      </c>
      <c r="C880">
        <v>0</v>
      </c>
      <c r="D880">
        <v>1610612752</v>
      </c>
      <c r="E880" s="1" t="s">
        <v>1248</v>
      </c>
      <c r="F880">
        <v>260</v>
      </c>
      <c r="G880">
        <v>82</v>
      </c>
      <c r="I880">
        <v>23320</v>
      </c>
      <c r="J880">
        <v>325</v>
      </c>
      <c r="K880">
        <v>687</v>
      </c>
      <c r="L880">
        <v>473</v>
      </c>
      <c r="P880">
        <v>114</v>
      </c>
      <c r="Q880">
        <v>160</v>
      </c>
      <c r="R880">
        <v>713</v>
      </c>
      <c r="S880">
        <v>1870</v>
      </c>
      <c r="T880">
        <v>3650</v>
      </c>
      <c r="U880">
        <v>5520</v>
      </c>
      <c r="V880">
        <v>115</v>
      </c>
      <c r="W880">
        <v>250</v>
      </c>
      <c r="X880">
        <v>620</v>
      </c>
      <c r="Z880">
        <v>194</v>
      </c>
      <c r="AA880">
        <v>764</v>
      </c>
      <c r="AB880" s="1" t="s">
        <v>1713</v>
      </c>
    </row>
    <row r="881" spans="1:28" x14ac:dyDescent="0.3">
      <c r="A881">
        <v>76806</v>
      </c>
      <c r="B881" s="1" t="s">
        <v>1263</v>
      </c>
      <c r="C881">
        <v>0</v>
      </c>
      <c r="D881">
        <v>1610612752</v>
      </c>
      <c r="E881" s="1" t="s">
        <v>1248</v>
      </c>
      <c r="F881">
        <v>270</v>
      </c>
      <c r="G881">
        <v>19</v>
      </c>
      <c r="I881">
        <v>6300</v>
      </c>
      <c r="J881">
        <v>86</v>
      </c>
      <c r="K881">
        <v>182</v>
      </c>
      <c r="L881">
        <v>473</v>
      </c>
      <c r="P881">
        <v>35</v>
      </c>
      <c r="Q881">
        <v>48</v>
      </c>
      <c r="R881">
        <v>729</v>
      </c>
      <c r="S881">
        <v>600</v>
      </c>
      <c r="T881">
        <v>1180</v>
      </c>
      <c r="U881">
        <v>1780</v>
      </c>
      <c r="V881">
        <v>26</v>
      </c>
      <c r="W881">
        <v>140</v>
      </c>
      <c r="X881">
        <v>280</v>
      </c>
      <c r="Z881">
        <v>54</v>
      </c>
      <c r="AA881">
        <v>207</v>
      </c>
      <c r="AB881" s="1" t="s">
        <v>1713</v>
      </c>
    </row>
    <row r="882" spans="1:28" x14ac:dyDescent="0.3">
      <c r="A882">
        <v>76434</v>
      </c>
      <c r="B882" s="1" t="s">
        <v>1362</v>
      </c>
      <c r="C882">
        <v>0</v>
      </c>
      <c r="D882">
        <v>1610612752</v>
      </c>
      <c r="E882" s="1" t="s">
        <v>1248</v>
      </c>
      <c r="F882">
        <v>260</v>
      </c>
      <c r="G882">
        <v>37</v>
      </c>
      <c r="I882">
        <v>4240</v>
      </c>
      <c r="J882">
        <v>42</v>
      </c>
      <c r="K882">
        <v>133</v>
      </c>
      <c r="L882">
        <v>316</v>
      </c>
      <c r="P882">
        <v>34</v>
      </c>
      <c r="Q882">
        <v>50</v>
      </c>
      <c r="R882">
        <v>68</v>
      </c>
      <c r="U882">
        <v>720</v>
      </c>
      <c r="V882">
        <v>33</v>
      </c>
      <c r="Z882">
        <v>39</v>
      </c>
      <c r="AA882">
        <v>118</v>
      </c>
      <c r="AB882" s="1" t="s">
        <v>1714</v>
      </c>
    </row>
    <row r="883" spans="1:28" x14ac:dyDescent="0.3">
      <c r="A883">
        <v>1746</v>
      </c>
      <c r="B883" s="1" t="s">
        <v>1464</v>
      </c>
      <c r="C883">
        <v>0</v>
      </c>
      <c r="D883">
        <v>1610612752</v>
      </c>
      <c r="E883" s="1" t="s">
        <v>1248</v>
      </c>
      <c r="F883">
        <v>240</v>
      </c>
      <c r="G883">
        <v>5</v>
      </c>
      <c r="H883">
        <v>0</v>
      </c>
      <c r="I883">
        <v>370</v>
      </c>
      <c r="J883">
        <v>3</v>
      </c>
      <c r="K883">
        <v>9</v>
      </c>
      <c r="L883">
        <v>333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30</v>
      </c>
      <c r="T883">
        <v>40</v>
      </c>
      <c r="U883">
        <v>70</v>
      </c>
      <c r="V883">
        <v>0</v>
      </c>
      <c r="W883">
        <v>10</v>
      </c>
      <c r="X883">
        <v>0</v>
      </c>
      <c r="Y883">
        <v>30</v>
      </c>
      <c r="Z883">
        <v>5</v>
      </c>
      <c r="AA883">
        <v>6</v>
      </c>
      <c r="AB883" s="1" t="s">
        <v>1715</v>
      </c>
    </row>
    <row r="884" spans="1:28" x14ac:dyDescent="0.3">
      <c r="A884">
        <v>76800</v>
      </c>
      <c r="B884" s="1" t="s">
        <v>1321</v>
      </c>
      <c r="C884">
        <v>0</v>
      </c>
      <c r="D884">
        <v>1610612752</v>
      </c>
      <c r="E884" s="1" t="s">
        <v>1248</v>
      </c>
      <c r="F884">
        <v>310</v>
      </c>
      <c r="G884">
        <v>69</v>
      </c>
      <c r="I884">
        <v>16040</v>
      </c>
      <c r="J884">
        <v>250</v>
      </c>
      <c r="K884">
        <v>650</v>
      </c>
      <c r="L884">
        <v>385</v>
      </c>
      <c r="P884">
        <v>155</v>
      </c>
      <c r="Q884">
        <v>202</v>
      </c>
      <c r="R884">
        <v>767</v>
      </c>
      <c r="U884">
        <v>1970</v>
      </c>
      <c r="V884">
        <v>240</v>
      </c>
      <c r="Z884">
        <v>148</v>
      </c>
      <c r="AA884">
        <v>655</v>
      </c>
      <c r="AB884" s="1" t="s">
        <v>1716</v>
      </c>
    </row>
    <row r="885" spans="1:28" x14ac:dyDescent="0.3">
      <c r="A885">
        <v>76800</v>
      </c>
      <c r="B885" s="1" t="s">
        <v>1322</v>
      </c>
      <c r="C885">
        <v>0</v>
      </c>
      <c r="D885">
        <v>1610612752</v>
      </c>
      <c r="E885" s="1" t="s">
        <v>1248</v>
      </c>
      <c r="F885">
        <v>320</v>
      </c>
      <c r="G885">
        <v>16</v>
      </c>
      <c r="I885">
        <v>2680</v>
      </c>
      <c r="J885">
        <v>31</v>
      </c>
      <c r="K885">
        <v>93</v>
      </c>
      <c r="L885">
        <v>333</v>
      </c>
      <c r="P885">
        <v>20</v>
      </c>
      <c r="Q885">
        <v>30</v>
      </c>
      <c r="R885">
        <v>667</v>
      </c>
      <c r="U885">
        <v>320</v>
      </c>
      <c r="V885">
        <v>39</v>
      </c>
      <c r="Z885">
        <v>37</v>
      </c>
      <c r="AA885">
        <v>82</v>
      </c>
      <c r="AB885" s="1" t="s">
        <v>1716</v>
      </c>
    </row>
    <row r="886" spans="1:28" x14ac:dyDescent="0.3">
      <c r="A886">
        <v>76428</v>
      </c>
      <c r="B886" s="1" t="s">
        <v>1255</v>
      </c>
      <c r="C886">
        <v>0</v>
      </c>
      <c r="D886">
        <v>1610612752</v>
      </c>
      <c r="E886" s="1" t="s">
        <v>1248</v>
      </c>
      <c r="F886">
        <v>320</v>
      </c>
      <c r="G886">
        <v>70</v>
      </c>
      <c r="I886">
        <v>15440</v>
      </c>
      <c r="J886">
        <v>254</v>
      </c>
      <c r="K886">
        <v>651</v>
      </c>
      <c r="L886">
        <v>39</v>
      </c>
      <c r="P886">
        <v>122</v>
      </c>
      <c r="Q886">
        <v>186</v>
      </c>
      <c r="R886">
        <v>656</v>
      </c>
      <c r="U886">
        <v>4690</v>
      </c>
      <c r="V886">
        <v>70</v>
      </c>
      <c r="Z886">
        <v>263</v>
      </c>
      <c r="AA886">
        <v>630</v>
      </c>
      <c r="AB886" s="1" t="s">
        <v>1717</v>
      </c>
    </row>
    <row r="887" spans="1:28" x14ac:dyDescent="0.3">
      <c r="A887">
        <v>76428</v>
      </c>
      <c r="B887" s="1" t="s">
        <v>1257</v>
      </c>
      <c r="C887">
        <v>0</v>
      </c>
      <c r="D887">
        <v>1610612752</v>
      </c>
      <c r="E887" s="1" t="s">
        <v>1248</v>
      </c>
      <c r="F887">
        <v>330</v>
      </c>
      <c r="G887">
        <v>46</v>
      </c>
      <c r="I887">
        <v>5510</v>
      </c>
      <c r="J887">
        <v>74</v>
      </c>
      <c r="K887">
        <v>189</v>
      </c>
      <c r="L887">
        <v>392</v>
      </c>
      <c r="P887">
        <v>44</v>
      </c>
      <c r="Q887">
        <v>65</v>
      </c>
      <c r="R887">
        <v>677</v>
      </c>
      <c r="U887">
        <v>1560</v>
      </c>
      <c r="V887">
        <v>21</v>
      </c>
      <c r="Z887">
        <v>124</v>
      </c>
      <c r="AA887">
        <v>192</v>
      </c>
      <c r="AB887" s="1" t="s">
        <v>1717</v>
      </c>
    </row>
    <row r="888" spans="1:28" x14ac:dyDescent="0.3">
      <c r="A888">
        <v>202697</v>
      </c>
      <c r="B888" s="1" t="s">
        <v>1290</v>
      </c>
      <c r="C888">
        <v>0</v>
      </c>
      <c r="D888">
        <v>1610612752</v>
      </c>
      <c r="E888" s="1" t="s">
        <v>1248</v>
      </c>
      <c r="F888">
        <v>220</v>
      </c>
      <c r="G888">
        <v>59</v>
      </c>
      <c r="H888">
        <v>350</v>
      </c>
      <c r="I888">
        <v>17050</v>
      </c>
      <c r="J888">
        <v>214</v>
      </c>
      <c r="K888">
        <v>534</v>
      </c>
      <c r="L888">
        <v>401</v>
      </c>
      <c r="M888">
        <v>480</v>
      </c>
      <c r="N888">
        <v>1570</v>
      </c>
      <c r="O888">
        <v>306</v>
      </c>
      <c r="P888">
        <v>87</v>
      </c>
      <c r="Q888">
        <v>109</v>
      </c>
      <c r="R888">
        <v>798</v>
      </c>
      <c r="S888">
        <v>420</v>
      </c>
      <c r="T888">
        <v>1440</v>
      </c>
      <c r="U888">
        <v>1860</v>
      </c>
      <c r="V888">
        <v>164</v>
      </c>
      <c r="W888">
        <v>1010</v>
      </c>
      <c r="X888">
        <v>80</v>
      </c>
      <c r="Y888">
        <v>1110</v>
      </c>
      <c r="Z888">
        <v>173</v>
      </c>
      <c r="AA888">
        <v>563</v>
      </c>
      <c r="AB888" s="1" t="s">
        <v>1718</v>
      </c>
    </row>
    <row r="889" spans="1:28" x14ac:dyDescent="0.3">
      <c r="A889">
        <v>202697</v>
      </c>
      <c r="B889" s="1" t="s">
        <v>1292</v>
      </c>
      <c r="C889">
        <v>0</v>
      </c>
      <c r="D889">
        <v>1610612752</v>
      </c>
      <c r="E889" s="1" t="s">
        <v>1248</v>
      </c>
      <c r="F889">
        <v>230</v>
      </c>
      <c r="G889">
        <v>45</v>
      </c>
      <c r="H889">
        <v>450</v>
      </c>
      <c r="I889">
        <v>9960</v>
      </c>
      <c r="J889">
        <v>109</v>
      </c>
      <c r="K889">
        <v>275</v>
      </c>
      <c r="L889">
        <v>396</v>
      </c>
      <c r="M889">
        <v>510</v>
      </c>
      <c r="N889">
        <v>1270</v>
      </c>
      <c r="O889">
        <v>402</v>
      </c>
      <c r="P889">
        <v>36</v>
      </c>
      <c r="Q889">
        <v>47</v>
      </c>
      <c r="R889">
        <v>766</v>
      </c>
      <c r="S889">
        <v>310</v>
      </c>
      <c r="T889">
        <v>1050</v>
      </c>
      <c r="U889">
        <v>1360</v>
      </c>
      <c r="V889">
        <v>75</v>
      </c>
      <c r="W889">
        <v>430</v>
      </c>
      <c r="X889">
        <v>70</v>
      </c>
      <c r="Y889">
        <v>370</v>
      </c>
      <c r="Z889">
        <v>99</v>
      </c>
      <c r="AA889">
        <v>305</v>
      </c>
      <c r="AB889" s="1" t="s">
        <v>1718</v>
      </c>
    </row>
    <row r="890" spans="1:28" x14ac:dyDescent="0.3">
      <c r="A890">
        <v>202697</v>
      </c>
      <c r="B890" s="1" t="s">
        <v>1337</v>
      </c>
      <c r="C890">
        <v>0</v>
      </c>
      <c r="D890">
        <v>1610612752</v>
      </c>
      <c r="E890" s="1" t="s">
        <v>1248</v>
      </c>
      <c r="F890">
        <v>240</v>
      </c>
      <c r="G890">
        <v>74</v>
      </c>
      <c r="H890">
        <v>580</v>
      </c>
      <c r="I890">
        <v>19620</v>
      </c>
      <c r="J890">
        <v>183</v>
      </c>
      <c r="K890">
        <v>484</v>
      </c>
      <c r="L890">
        <v>378</v>
      </c>
      <c r="M890">
        <v>760</v>
      </c>
      <c r="N890">
        <v>2280</v>
      </c>
      <c r="O890">
        <v>333</v>
      </c>
      <c r="P890">
        <v>53</v>
      </c>
      <c r="Q890">
        <v>71</v>
      </c>
      <c r="R890">
        <v>746</v>
      </c>
      <c r="S890">
        <v>810</v>
      </c>
      <c r="T890">
        <v>2270</v>
      </c>
      <c r="U890">
        <v>3080</v>
      </c>
      <c r="V890">
        <v>129</v>
      </c>
      <c r="W890">
        <v>920</v>
      </c>
      <c r="X890">
        <v>130</v>
      </c>
      <c r="Y890">
        <v>790</v>
      </c>
      <c r="Z890">
        <v>209</v>
      </c>
      <c r="AA890">
        <v>495</v>
      </c>
      <c r="AB890" s="1" t="s">
        <v>1718</v>
      </c>
    </row>
    <row r="891" spans="1:28" x14ac:dyDescent="0.3">
      <c r="A891">
        <v>202697</v>
      </c>
      <c r="B891" s="1" t="s">
        <v>1343</v>
      </c>
      <c r="C891">
        <v>0</v>
      </c>
      <c r="D891">
        <v>1610612752</v>
      </c>
      <c r="E891" s="1" t="s">
        <v>1248</v>
      </c>
      <c r="F891">
        <v>250</v>
      </c>
      <c r="G891">
        <v>24</v>
      </c>
      <c r="H891">
        <v>240</v>
      </c>
      <c r="I891">
        <v>6250</v>
      </c>
      <c r="J891">
        <v>88</v>
      </c>
      <c r="K891">
        <v>215</v>
      </c>
      <c r="L891">
        <v>409</v>
      </c>
      <c r="M891">
        <v>230</v>
      </c>
      <c r="N891">
        <v>660</v>
      </c>
      <c r="O891">
        <v>348</v>
      </c>
      <c r="P891">
        <v>25</v>
      </c>
      <c r="Q891">
        <v>37</v>
      </c>
      <c r="R891">
        <v>676</v>
      </c>
      <c r="S891">
        <v>220</v>
      </c>
      <c r="T891">
        <v>590</v>
      </c>
      <c r="U891">
        <v>810</v>
      </c>
      <c r="V891">
        <v>78</v>
      </c>
      <c r="W891">
        <v>300</v>
      </c>
      <c r="X891">
        <v>30</v>
      </c>
      <c r="Y891">
        <v>420</v>
      </c>
      <c r="Z891">
        <v>67</v>
      </c>
      <c r="AA891">
        <v>224</v>
      </c>
      <c r="AB891" s="1" t="s">
        <v>1718</v>
      </c>
    </row>
    <row r="892" spans="1:28" x14ac:dyDescent="0.3">
      <c r="A892">
        <v>1137</v>
      </c>
      <c r="B892" s="1" t="s">
        <v>1277</v>
      </c>
      <c r="C892">
        <v>0</v>
      </c>
      <c r="D892">
        <v>1610612752</v>
      </c>
      <c r="E892" s="1" t="s">
        <v>1248</v>
      </c>
      <c r="F892">
        <v>270</v>
      </c>
      <c r="G892">
        <v>3</v>
      </c>
      <c r="H892">
        <v>0</v>
      </c>
      <c r="I892">
        <v>90</v>
      </c>
      <c r="J892">
        <v>2</v>
      </c>
      <c r="K892">
        <v>6</v>
      </c>
      <c r="L892">
        <v>333</v>
      </c>
      <c r="M892">
        <v>20</v>
      </c>
      <c r="N892">
        <v>30</v>
      </c>
      <c r="O892">
        <v>667</v>
      </c>
      <c r="P892">
        <v>0</v>
      </c>
      <c r="Q892">
        <v>0</v>
      </c>
      <c r="R892">
        <v>0</v>
      </c>
      <c r="S892">
        <v>10</v>
      </c>
      <c r="T892">
        <v>0</v>
      </c>
      <c r="U892">
        <v>10</v>
      </c>
      <c r="V892">
        <v>1</v>
      </c>
      <c r="W892">
        <v>0</v>
      </c>
      <c r="X892">
        <v>0</v>
      </c>
      <c r="Y892">
        <v>0</v>
      </c>
      <c r="Z892">
        <v>2</v>
      </c>
      <c r="AA892">
        <v>6</v>
      </c>
      <c r="AB892" s="1" t="s">
        <v>1719</v>
      </c>
    </row>
    <row r="893" spans="1:28" x14ac:dyDescent="0.3">
      <c r="A893">
        <v>76788</v>
      </c>
      <c r="B893" s="1" t="s">
        <v>1357</v>
      </c>
      <c r="C893">
        <v>0</v>
      </c>
      <c r="D893">
        <v>1610612752</v>
      </c>
      <c r="E893" s="1" t="s">
        <v>1248</v>
      </c>
      <c r="F893">
        <v>270</v>
      </c>
      <c r="G893">
        <v>25</v>
      </c>
      <c r="I893">
        <v>2390</v>
      </c>
      <c r="J893">
        <v>32</v>
      </c>
      <c r="K893">
        <v>91</v>
      </c>
      <c r="L893">
        <v>352</v>
      </c>
      <c r="P893">
        <v>10</v>
      </c>
      <c r="Q893">
        <v>13</v>
      </c>
      <c r="R893">
        <v>769</v>
      </c>
      <c r="S893">
        <v>100</v>
      </c>
      <c r="T893">
        <v>160</v>
      </c>
      <c r="U893">
        <v>260</v>
      </c>
      <c r="V893">
        <v>14</v>
      </c>
      <c r="W893">
        <v>70</v>
      </c>
      <c r="X893">
        <v>10</v>
      </c>
      <c r="Z893">
        <v>41</v>
      </c>
      <c r="AA893">
        <v>74</v>
      </c>
      <c r="AB893" s="1" t="s">
        <v>1720</v>
      </c>
    </row>
    <row r="894" spans="1:28" x14ac:dyDescent="0.3">
      <c r="A894">
        <v>76422</v>
      </c>
      <c r="B894" s="1" t="s">
        <v>1299</v>
      </c>
      <c r="C894">
        <v>0</v>
      </c>
      <c r="D894">
        <v>1610612752</v>
      </c>
      <c r="E894" s="1" t="s">
        <v>1248</v>
      </c>
      <c r="F894">
        <v>230</v>
      </c>
      <c r="G894">
        <v>15</v>
      </c>
      <c r="J894">
        <v>35</v>
      </c>
      <c r="K894">
        <v>113</v>
      </c>
      <c r="L894">
        <v>31</v>
      </c>
      <c r="P894">
        <v>13</v>
      </c>
      <c r="Q894">
        <v>19</v>
      </c>
      <c r="R894">
        <v>684</v>
      </c>
      <c r="V894">
        <v>9</v>
      </c>
      <c r="Z894">
        <v>25</v>
      </c>
      <c r="AA894">
        <v>83</v>
      </c>
      <c r="AB894" s="1" t="s">
        <v>1721</v>
      </c>
    </row>
    <row r="895" spans="1:28" x14ac:dyDescent="0.3">
      <c r="A895">
        <v>78223</v>
      </c>
      <c r="B895" s="1" t="s">
        <v>1320</v>
      </c>
      <c r="C895">
        <v>0</v>
      </c>
      <c r="D895">
        <v>1610612752</v>
      </c>
      <c r="E895" s="1" t="s">
        <v>1248</v>
      </c>
      <c r="F895">
        <v>250</v>
      </c>
      <c r="G895">
        <v>72</v>
      </c>
      <c r="I895">
        <v>16610</v>
      </c>
      <c r="J895">
        <v>318</v>
      </c>
      <c r="K895">
        <v>838</v>
      </c>
      <c r="L895">
        <v>379</v>
      </c>
      <c r="P895">
        <v>165</v>
      </c>
      <c r="Q895">
        <v>257</v>
      </c>
      <c r="R895">
        <v>642</v>
      </c>
      <c r="U895">
        <v>4610</v>
      </c>
      <c r="V895">
        <v>69</v>
      </c>
      <c r="Z895">
        <v>232</v>
      </c>
      <c r="AA895">
        <v>801</v>
      </c>
      <c r="AB895" s="1" t="s">
        <v>1722</v>
      </c>
    </row>
    <row r="896" spans="1:28" x14ac:dyDescent="0.3">
      <c r="A896">
        <v>78223</v>
      </c>
      <c r="B896" s="1" t="s">
        <v>1250</v>
      </c>
      <c r="C896">
        <v>0</v>
      </c>
      <c r="D896">
        <v>1610612752</v>
      </c>
      <c r="E896" s="1" t="s">
        <v>1248</v>
      </c>
      <c r="F896">
        <v>260</v>
      </c>
      <c r="G896">
        <v>67</v>
      </c>
      <c r="I896">
        <v>8420</v>
      </c>
      <c r="J896">
        <v>129</v>
      </c>
      <c r="K896">
        <v>406</v>
      </c>
      <c r="L896">
        <v>318</v>
      </c>
      <c r="P896">
        <v>78</v>
      </c>
      <c r="Q896">
        <v>138</v>
      </c>
      <c r="R896">
        <v>565</v>
      </c>
      <c r="U896">
        <v>2440</v>
      </c>
      <c r="V896">
        <v>67</v>
      </c>
      <c r="Z896">
        <v>158</v>
      </c>
      <c r="AA896">
        <v>336</v>
      </c>
      <c r="AB896" s="1" t="s">
        <v>1722</v>
      </c>
    </row>
    <row r="897" spans="1:28" x14ac:dyDescent="0.3">
      <c r="A897">
        <v>203147</v>
      </c>
      <c r="B897" s="1" t="s">
        <v>1337</v>
      </c>
      <c r="C897">
        <v>0</v>
      </c>
      <c r="D897">
        <v>1610612752</v>
      </c>
      <c r="E897" s="1" t="s">
        <v>1248</v>
      </c>
      <c r="F897">
        <v>260</v>
      </c>
      <c r="G897">
        <v>2</v>
      </c>
      <c r="H897">
        <v>0</v>
      </c>
      <c r="I897">
        <v>20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 s="1" t="s">
        <v>1723</v>
      </c>
    </row>
    <row r="898" spans="1:28" x14ac:dyDescent="0.3">
      <c r="A898">
        <v>202360</v>
      </c>
      <c r="B898" s="1" t="s">
        <v>1312</v>
      </c>
      <c r="C898">
        <v>0</v>
      </c>
      <c r="D898">
        <v>1610612752</v>
      </c>
      <c r="E898" s="1" t="s">
        <v>1248</v>
      </c>
      <c r="F898">
        <v>240</v>
      </c>
      <c r="G898">
        <v>5</v>
      </c>
      <c r="H898">
        <v>0</v>
      </c>
      <c r="I898">
        <v>240</v>
      </c>
      <c r="J898">
        <v>3</v>
      </c>
      <c r="K898">
        <v>7</v>
      </c>
      <c r="L898">
        <v>429</v>
      </c>
      <c r="M898">
        <v>10</v>
      </c>
      <c r="N898">
        <v>40</v>
      </c>
      <c r="O898">
        <v>25</v>
      </c>
      <c r="P898">
        <v>1</v>
      </c>
      <c r="Q898">
        <v>2</v>
      </c>
      <c r="R898">
        <v>5</v>
      </c>
      <c r="S898">
        <v>0</v>
      </c>
      <c r="T898">
        <v>10</v>
      </c>
      <c r="U898">
        <v>10</v>
      </c>
      <c r="V898">
        <v>3</v>
      </c>
      <c r="W898">
        <v>10</v>
      </c>
      <c r="X898">
        <v>0</v>
      </c>
      <c r="Y898">
        <v>70</v>
      </c>
      <c r="Z898">
        <v>0</v>
      </c>
      <c r="AA898">
        <v>8</v>
      </c>
      <c r="AB898" s="1" t="s">
        <v>1724</v>
      </c>
    </row>
    <row r="899" spans="1:28" x14ac:dyDescent="0.3">
      <c r="A899">
        <v>201943</v>
      </c>
      <c r="B899" s="1" t="s">
        <v>1281</v>
      </c>
      <c r="C899">
        <v>0</v>
      </c>
      <c r="D899">
        <v>1610612752</v>
      </c>
      <c r="E899" s="1" t="s">
        <v>1248</v>
      </c>
      <c r="F899">
        <v>270</v>
      </c>
      <c r="G899">
        <v>58</v>
      </c>
      <c r="H899">
        <v>110</v>
      </c>
      <c r="I899">
        <v>14280</v>
      </c>
      <c r="J899">
        <v>163</v>
      </c>
      <c r="K899">
        <v>429</v>
      </c>
      <c r="L899">
        <v>38</v>
      </c>
      <c r="M899">
        <v>680</v>
      </c>
      <c r="N899">
        <v>2000</v>
      </c>
      <c r="O899">
        <v>34</v>
      </c>
      <c r="P899">
        <v>102</v>
      </c>
      <c r="Q899">
        <v>135</v>
      </c>
      <c r="R899">
        <v>756</v>
      </c>
      <c r="S899">
        <v>210</v>
      </c>
      <c r="T899">
        <v>1310</v>
      </c>
      <c r="U899">
        <v>1520</v>
      </c>
      <c r="V899">
        <v>287</v>
      </c>
      <c r="W899">
        <v>550</v>
      </c>
      <c r="X899">
        <v>40</v>
      </c>
      <c r="Y899">
        <v>1060</v>
      </c>
      <c r="Z899">
        <v>84</v>
      </c>
      <c r="AA899">
        <v>496</v>
      </c>
      <c r="AB899" s="1" t="s">
        <v>1725</v>
      </c>
    </row>
    <row r="900" spans="1:28" x14ac:dyDescent="0.3">
      <c r="A900">
        <v>1628656</v>
      </c>
      <c r="B900" s="1" t="s">
        <v>1287</v>
      </c>
      <c r="C900">
        <v>0</v>
      </c>
      <c r="D900">
        <v>1610612752</v>
      </c>
      <c r="E900" s="1" t="s">
        <v>1248</v>
      </c>
      <c r="F900">
        <v>240</v>
      </c>
      <c r="G900">
        <v>4</v>
      </c>
      <c r="H900">
        <v>0</v>
      </c>
      <c r="I900">
        <v>630</v>
      </c>
      <c r="J900">
        <v>11</v>
      </c>
      <c r="K900">
        <v>27</v>
      </c>
      <c r="L900">
        <v>407</v>
      </c>
      <c r="M900">
        <v>0</v>
      </c>
      <c r="N900">
        <v>80</v>
      </c>
      <c r="O900">
        <v>0</v>
      </c>
      <c r="P900">
        <v>4</v>
      </c>
      <c r="Q900">
        <v>4</v>
      </c>
      <c r="R900">
        <v>10</v>
      </c>
      <c r="S900">
        <v>0</v>
      </c>
      <c r="T900">
        <v>30</v>
      </c>
      <c r="U900">
        <v>30</v>
      </c>
      <c r="V900">
        <v>7</v>
      </c>
      <c r="W900">
        <v>10</v>
      </c>
      <c r="X900">
        <v>10</v>
      </c>
      <c r="Y900">
        <v>20</v>
      </c>
      <c r="Z900">
        <v>3</v>
      </c>
      <c r="AA900">
        <v>26</v>
      </c>
      <c r="AB900" s="1" t="s">
        <v>1726</v>
      </c>
    </row>
    <row r="901" spans="1:28" x14ac:dyDescent="0.3">
      <c r="A901">
        <v>200776</v>
      </c>
      <c r="B901" s="1" t="s">
        <v>1302</v>
      </c>
      <c r="C901">
        <v>0</v>
      </c>
      <c r="D901">
        <v>1610612752</v>
      </c>
      <c r="E901" s="1" t="s">
        <v>1248</v>
      </c>
      <c r="F901">
        <v>220</v>
      </c>
      <c r="G901">
        <v>52</v>
      </c>
      <c r="H901">
        <v>90</v>
      </c>
      <c r="I901">
        <v>7770</v>
      </c>
      <c r="J901">
        <v>87</v>
      </c>
      <c r="K901">
        <v>228</v>
      </c>
      <c r="L901">
        <v>382</v>
      </c>
      <c r="M901">
        <v>130</v>
      </c>
      <c r="N901">
        <v>470</v>
      </c>
      <c r="O901">
        <v>277</v>
      </c>
      <c r="P901">
        <v>48</v>
      </c>
      <c r="Q901">
        <v>82</v>
      </c>
      <c r="R901">
        <v>585</v>
      </c>
      <c r="S901">
        <v>280</v>
      </c>
      <c r="T901">
        <v>760</v>
      </c>
      <c r="U901">
        <v>1040</v>
      </c>
      <c r="V901">
        <v>83</v>
      </c>
      <c r="W901">
        <v>320</v>
      </c>
      <c r="X901">
        <v>30</v>
      </c>
      <c r="Y901">
        <v>570</v>
      </c>
      <c r="Z901">
        <v>75</v>
      </c>
      <c r="AA901">
        <v>235</v>
      </c>
      <c r="AB901" s="1" t="s">
        <v>1727</v>
      </c>
    </row>
    <row r="902" spans="1:28" x14ac:dyDescent="0.3">
      <c r="A902">
        <v>200776</v>
      </c>
      <c r="B902" s="1" t="s">
        <v>1303</v>
      </c>
      <c r="C902">
        <v>0</v>
      </c>
      <c r="D902">
        <v>1610612752</v>
      </c>
      <c r="E902" s="1" t="s">
        <v>1248</v>
      </c>
      <c r="F902">
        <v>230</v>
      </c>
      <c r="G902">
        <v>46</v>
      </c>
      <c r="H902">
        <v>80</v>
      </c>
      <c r="I902">
        <v>6340</v>
      </c>
      <c r="J902">
        <v>57</v>
      </c>
      <c r="K902">
        <v>175</v>
      </c>
      <c r="L902">
        <v>326</v>
      </c>
      <c r="M902">
        <v>80</v>
      </c>
      <c r="N902">
        <v>320</v>
      </c>
      <c r="O902">
        <v>25</v>
      </c>
      <c r="P902">
        <v>23</v>
      </c>
      <c r="Q902">
        <v>38</v>
      </c>
      <c r="R902">
        <v>605</v>
      </c>
      <c r="S902">
        <v>190</v>
      </c>
      <c r="T902">
        <v>560</v>
      </c>
      <c r="U902">
        <v>750</v>
      </c>
      <c r="V902">
        <v>89</v>
      </c>
      <c r="W902">
        <v>240</v>
      </c>
      <c r="X902">
        <v>80</v>
      </c>
      <c r="Y902">
        <v>560</v>
      </c>
      <c r="Z902">
        <v>56</v>
      </c>
      <c r="AA902">
        <v>145</v>
      </c>
      <c r="AB902" s="1" t="s">
        <v>1727</v>
      </c>
    </row>
    <row r="903" spans="1:28" x14ac:dyDescent="0.3">
      <c r="A903">
        <v>200776</v>
      </c>
      <c r="B903" s="1" t="s">
        <v>1304</v>
      </c>
      <c r="C903">
        <v>0</v>
      </c>
      <c r="D903">
        <v>1610612752</v>
      </c>
      <c r="E903" s="1" t="s">
        <v>1248</v>
      </c>
      <c r="F903">
        <v>240</v>
      </c>
      <c r="G903">
        <v>9</v>
      </c>
      <c r="H903">
        <v>0</v>
      </c>
      <c r="I903">
        <v>750</v>
      </c>
      <c r="J903">
        <v>8</v>
      </c>
      <c r="K903">
        <v>23</v>
      </c>
      <c r="L903">
        <v>348</v>
      </c>
      <c r="M903">
        <v>0</v>
      </c>
      <c r="N903">
        <v>30</v>
      </c>
      <c r="O903">
        <v>0</v>
      </c>
      <c r="P903">
        <v>4</v>
      </c>
      <c r="Q903">
        <v>9</v>
      </c>
      <c r="R903">
        <v>444</v>
      </c>
      <c r="S903">
        <v>20</v>
      </c>
      <c r="T903">
        <v>60</v>
      </c>
      <c r="U903">
        <v>80</v>
      </c>
      <c r="V903">
        <v>10</v>
      </c>
      <c r="W903">
        <v>20</v>
      </c>
      <c r="X903">
        <v>0</v>
      </c>
      <c r="Y903">
        <v>50</v>
      </c>
      <c r="Z903">
        <v>7</v>
      </c>
      <c r="AA903">
        <v>20</v>
      </c>
      <c r="AB903" s="1" t="s">
        <v>1727</v>
      </c>
    </row>
    <row r="904" spans="1:28" x14ac:dyDescent="0.3">
      <c r="A904">
        <v>203098</v>
      </c>
      <c r="B904" s="1" t="s">
        <v>1287</v>
      </c>
      <c r="C904">
        <v>0</v>
      </c>
      <c r="D904">
        <v>1610612752</v>
      </c>
      <c r="E904" s="1" t="s">
        <v>1248</v>
      </c>
      <c r="F904">
        <v>280</v>
      </c>
      <c r="G904">
        <v>22</v>
      </c>
      <c r="H904">
        <v>0</v>
      </c>
      <c r="I904">
        <v>3190</v>
      </c>
      <c r="J904">
        <v>40</v>
      </c>
      <c r="K904">
        <v>103</v>
      </c>
      <c r="L904">
        <v>388</v>
      </c>
      <c r="M904">
        <v>200</v>
      </c>
      <c r="N904">
        <v>560</v>
      </c>
      <c r="O904">
        <v>357</v>
      </c>
      <c r="P904">
        <v>15</v>
      </c>
      <c r="Q904">
        <v>18</v>
      </c>
      <c r="R904">
        <v>833</v>
      </c>
      <c r="S904">
        <v>60</v>
      </c>
      <c r="T904">
        <v>300</v>
      </c>
      <c r="U904">
        <v>360</v>
      </c>
      <c r="V904">
        <v>21</v>
      </c>
      <c r="W904">
        <v>0</v>
      </c>
      <c r="X904">
        <v>20</v>
      </c>
      <c r="Y904">
        <v>90</v>
      </c>
      <c r="Z904">
        <v>10</v>
      </c>
      <c r="AA904">
        <v>115</v>
      </c>
      <c r="AB904" s="1" t="s">
        <v>1728</v>
      </c>
    </row>
    <row r="905" spans="1:28" x14ac:dyDescent="0.3">
      <c r="A905">
        <v>76783</v>
      </c>
      <c r="B905" s="1" t="s">
        <v>1322</v>
      </c>
      <c r="C905">
        <v>0</v>
      </c>
      <c r="D905">
        <v>1610612752</v>
      </c>
      <c r="E905" s="1" t="s">
        <v>1248</v>
      </c>
      <c r="F905">
        <v>280</v>
      </c>
      <c r="G905">
        <v>71</v>
      </c>
      <c r="I905">
        <v>22380</v>
      </c>
      <c r="J905">
        <v>415</v>
      </c>
      <c r="K905">
        <v>943</v>
      </c>
      <c r="L905">
        <v>44</v>
      </c>
      <c r="P905">
        <v>275</v>
      </c>
      <c r="Q905">
        <v>358</v>
      </c>
      <c r="R905">
        <v>768</v>
      </c>
      <c r="U905">
        <v>2770</v>
      </c>
      <c r="V905">
        <v>220</v>
      </c>
      <c r="Z905">
        <v>240</v>
      </c>
      <c r="AA905">
        <v>1105</v>
      </c>
      <c r="AB905" s="1" t="s">
        <v>1729</v>
      </c>
    </row>
    <row r="906" spans="1:28" x14ac:dyDescent="0.3">
      <c r="A906">
        <v>76411</v>
      </c>
      <c r="B906" s="1" t="s">
        <v>1392</v>
      </c>
      <c r="C906">
        <v>0</v>
      </c>
      <c r="D906">
        <v>1610612752</v>
      </c>
      <c r="E906" s="1" t="s">
        <v>1248</v>
      </c>
      <c r="F906">
        <v>240</v>
      </c>
      <c r="G906">
        <v>45</v>
      </c>
      <c r="H906">
        <v>10</v>
      </c>
      <c r="I906">
        <v>4690</v>
      </c>
      <c r="J906">
        <v>75</v>
      </c>
      <c r="K906">
        <v>184</v>
      </c>
      <c r="L906">
        <v>408</v>
      </c>
      <c r="M906">
        <v>30</v>
      </c>
      <c r="N906">
        <v>150</v>
      </c>
      <c r="O906">
        <v>2</v>
      </c>
      <c r="P906">
        <v>12</v>
      </c>
      <c r="Q906">
        <v>20</v>
      </c>
      <c r="R906">
        <v>6</v>
      </c>
      <c r="S906">
        <v>60</v>
      </c>
      <c r="T906">
        <v>400</v>
      </c>
      <c r="U906">
        <v>460</v>
      </c>
      <c r="V906">
        <v>82</v>
      </c>
      <c r="W906">
        <v>200</v>
      </c>
      <c r="X906">
        <v>30</v>
      </c>
      <c r="Y906">
        <v>490</v>
      </c>
      <c r="Z906">
        <v>65</v>
      </c>
      <c r="AA906">
        <v>165</v>
      </c>
      <c r="AB906" s="1" t="s">
        <v>1730</v>
      </c>
    </row>
    <row r="907" spans="1:28" x14ac:dyDescent="0.3">
      <c r="A907">
        <v>77966</v>
      </c>
      <c r="B907" s="1" t="s">
        <v>1415</v>
      </c>
      <c r="C907">
        <v>0</v>
      </c>
      <c r="D907">
        <v>1610612752</v>
      </c>
      <c r="E907" s="1" t="s">
        <v>1248</v>
      </c>
      <c r="F907">
        <v>230</v>
      </c>
      <c r="G907">
        <v>54</v>
      </c>
      <c r="I907">
        <v>3970</v>
      </c>
      <c r="J907">
        <v>49</v>
      </c>
      <c r="K907">
        <v>144</v>
      </c>
      <c r="L907">
        <v>34</v>
      </c>
      <c r="P907">
        <v>28</v>
      </c>
      <c r="Q907">
        <v>42</v>
      </c>
      <c r="R907">
        <v>667</v>
      </c>
      <c r="U907">
        <v>570</v>
      </c>
      <c r="V907">
        <v>46</v>
      </c>
      <c r="Z907">
        <v>93</v>
      </c>
      <c r="AA907">
        <v>126</v>
      </c>
      <c r="AB907" s="1" t="s">
        <v>1731</v>
      </c>
    </row>
    <row r="908" spans="1:28" x14ac:dyDescent="0.3">
      <c r="A908">
        <v>77966</v>
      </c>
      <c r="B908" s="1" t="s">
        <v>1416</v>
      </c>
      <c r="C908">
        <v>0</v>
      </c>
      <c r="D908">
        <v>1610612752</v>
      </c>
      <c r="E908" s="1" t="s">
        <v>1248</v>
      </c>
      <c r="F908">
        <v>240</v>
      </c>
      <c r="G908">
        <v>81</v>
      </c>
      <c r="I908">
        <v>16770</v>
      </c>
      <c r="J908">
        <v>255</v>
      </c>
      <c r="K908">
        <v>549</v>
      </c>
      <c r="L908">
        <v>464</v>
      </c>
      <c r="P908">
        <v>114</v>
      </c>
      <c r="Q908">
        <v>165</v>
      </c>
      <c r="R908">
        <v>691</v>
      </c>
      <c r="U908">
        <v>1940</v>
      </c>
      <c r="V908">
        <v>201</v>
      </c>
      <c r="Z908">
        <v>192</v>
      </c>
      <c r="AA908">
        <v>624</v>
      </c>
      <c r="AB908" s="1" t="s">
        <v>1731</v>
      </c>
    </row>
    <row r="909" spans="1:28" x14ac:dyDescent="0.3">
      <c r="A909">
        <v>77966</v>
      </c>
      <c r="B909" s="1" t="s">
        <v>1417</v>
      </c>
      <c r="C909">
        <v>0</v>
      </c>
      <c r="D909">
        <v>1610612752</v>
      </c>
      <c r="E909" s="1" t="s">
        <v>1248</v>
      </c>
      <c r="F909">
        <v>250</v>
      </c>
      <c r="G909">
        <v>82</v>
      </c>
      <c r="I909">
        <v>13200</v>
      </c>
      <c r="J909">
        <v>162</v>
      </c>
      <c r="K909">
        <v>388</v>
      </c>
      <c r="L909">
        <v>418</v>
      </c>
      <c r="P909">
        <v>67</v>
      </c>
      <c r="Q909">
        <v>108</v>
      </c>
      <c r="R909">
        <v>62</v>
      </c>
      <c r="U909">
        <v>1690</v>
      </c>
      <c r="V909">
        <v>121</v>
      </c>
      <c r="Z909">
        <v>151</v>
      </c>
      <c r="AA909">
        <v>391</v>
      </c>
      <c r="AB909" s="1" t="s">
        <v>1731</v>
      </c>
    </row>
    <row r="910" spans="1:28" x14ac:dyDescent="0.3">
      <c r="A910">
        <v>77966</v>
      </c>
      <c r="B910" s="1" t="s">
        <v>1354</v>
      </c>
      <c r="C910">
        <v>0</v>
      </c>
      <c r="D910">
        <v>1610612752</v>
      </c>
      <c r="E910" s="1" t="s">
        <v>1248</v>
      </c>
      <c r="F910">
        <v>260</v>
      </c>
      <c r="G910">
        <v>4</v>
      </c>
      <c r="I910">
        <v>330</v>
      </c>
      <c r="J910">
        <v>4</v>
      </c>
      <c r="K910">
        <v>11</v>
      </c>
      <c r="L910">
        <v>364</v>
      </c>
      <c r="P910">
        <v>0</v>
      </c>
      <c r="Q910">
        <v>1</v>
      </c>
      <c r="R910">
        <v>0</v>
      </c>
      <c r="U910">
        <v>10</v>
      </c>
      <c r="V910">
        <v>2</v>
      </c>
      <c r="Z910">
        <v>2</v>
      </c>
      <c r="AA910">
        <v>8</v>
      </c>
      <c r="AB910" s="1" t="s">
        <v>1731</v>
      </c>
    </row>
    <row r="911" spans="1:28" x14ac:dyDescent="0.3">
      <c r="A911">
        <v>77894</v>
      </c>
      <c r="B911" s="1" t="s">
        <v>1354</v>
      </c>
      <c r="C911">
        <v>0</v>
      </c>
      <c r="D911">
        <v>1610612752</v>
      </c>
      <c r="E911" s="1" t="s">
        <v>1248</v>
      </c>
      <c r="F911">
        <v>260</v>
      </c>
      <c r="G911">
        <v>62</v>
      </c>
      <c r="I911">
        <v>6180</v>
      </c>
      <c r="J911">
        <v>92</v>
      </c>
      <c r="K911">
        <v>215</v>
      </c>
      <c r="L911">
        <v>428</v>
      </c>
      <c r="P911">
        <v>49</v>
      </c>
      <c r="Q911">
        <v>84</v>
      </c>
      <c r="R911">
        <v>583</v>
      </c>
      <c r="U911">
        <v>1870</v>
      </c>
      <c r="V911">
        <v>18</v>
      </c>
      <c r="Z911">
        <v>104</v>
      </c>
      <c r="AA911">
        <v>233</v>
      </c>
      <c r="AB911" s="1" t="s">
        <v>1732</v>
      </c>
    </row>
    <row r="912" spans="1:28" x14ac:dyDescent="0.3">
      <c r="A912">
        <v>77894</v>
      </c>
      <c r="B912" s="1" t="s">
        <v>1356</v>
      </c>
      <c r="C912">
        <v>0</v>
      </c>
      <c r="D912">
        <v>1610612752</v>
      </c>
      <c r="E912" s="1" t="s">
        <v>1248</v>
      </c>
      <c r="F912">
        <v>270</v>
      </c>
      <c r="G912">
        <v>1</v>
      </c>
      <c r="I912">
        <v>20</v>
      </c>
      <c r="J912">
        <v>0</v>
      </c>
      <c r="K912">
        <v>0</v>
      </c>
      <c r="P912">
        <v>0</v>
      </c>
      <c r="Q912">
        <v>0</v>
      </c>
      <c r="U912">
        <v>10</v>
      </c>
      <c r="V912">
        <v>0</v>
      </c>
      <c r="Z912">
        <v>2</v>
      </c>
      <c r="AA912">
        <v>0</v>
      </c>
      <c r="AB912" s="1" t="s">
        <v>1732</v>
      </c>
    </row>
    <row r="913" spans="1:28" x14ac:dyDescent="0.3">
      <c r="A913">
        <v>203658</v>
      </c>
      <c r="B913" s="1" t="s">
        <v>1289</v>
      </c>
      <c r="C913">
        <v>0</v>
      </c>
      <c r="D913">
        <v>1610612752</v>
      </c>
      <c r="E913" s="1" t="s">
        <v>1248</v>
      </c>
      <c r="F913">
        <v>280</v>
      </c>
      <c r="G913">
        <v>9</v>
      </c>
      <c r="H913">
        <v>0</v>
      </c>
      <c r="I913">
        <v>520</v>
      </c>
      <c r="J913">
        <v>5</v>
      </c>
      <c r="K913">
        <v>7</v>
      </c>
      <c r="L913">
        <v>714</v>
      </c>
      <c r="M913">
        <v>0</v>
      </c>
      <c r="N913">
        <v>0</v>
      </c>
      <c r="O913">
        <v>0</v>
      </c>
      <c r="P913">
        <v>1</v>
      </c>
      <c r="Q913">
        <v>2</v>
      </c>
      <c r="R913">
        <v>5</v>
      </c>
      <c r="S913">
        <v>20</v>
      </c>
      <c r="T913">
        <v>90</v>
      </c>
      <c r="U913">
        <v>110</v>
      </c>
      <c r="V913">
        <v>1</v>
      </c>
      <c r="W913">
        <v>10</v>
      </c>
      <c r="X913">
        <v>60</v>
      </c>
      <c r="Y913">
        <v>0</v>
      </c>
      <c r="Z913">
        <v>4</v>
      </c>
      <c r="AA913">
        <v>11</v>
      </c>
      <c r="AB913" s="1" t="s">
        <v>1733</v>
      </c>
    </row>
    <row r="914" spans="1:28" x14ac:dyDescent="0.3">
      <c r="A914">
        <v>2407</v>
      </c>
      <c r="B914" s="1" t="s">
        <v>1302</v>
      </c>
      <c r="C914">
        <v>0</v>
      </c>
      <c r="D914">
        <v>1610612752</v>
      </c>
      <c r="E914" s="1" t="s">
        <v>1248</v>
      </c>
      <c r="F914">
        <v>250</v>
      </c>
      <c r="G914">
        <v>55</v>
      </c>
      <c r="H914">
        <v>430</v>
      </c>
      <c r="I914">
        <v>13070</v>
      </c>
      <c r="J914">
        <v>95</v>
      </c>
      <c r="K914">
        <v>206</v>
      </c>
      <c r="L914">
        <v>461</v>
      </c>
      <c r="M914">
        <v>20</v>
      </c>
      <c r="N914">
        <v>200</v>
      </c>
      <c r="O914">
        <v>1</v>
      </c>
      <c r="P914">
        <v>31</v>
      </c>
      <c r="Q914">
        <v>68</v>
      </c>
      <c r="R914">
        <v>456</v>
      </c>
      <c r="S914">
        <v>1110</v>
      </c>
      <c r="T914">
        <v>1270</v>
      </c>
      <c r="U914">
        <v>2380</v>
      </c>
      <c r="V914">
        <v>67</v>
      </c>
      <c r="W914">
        <v>440</v>
      </c>
      <c r="X914">
        <v>300</v>
      </c>
      <c r="Y914">
        <v>610</v>
      </c>
      <c r="Z914">
        <v>150</v>
      </c>
      <c r="AA914">
        <v>223</v>
      </c>
      <c r="AB914" s="1" t="s">
        <v>1734</v>
      </c>
    </row>
    <row r="915" spans="1:28" x14ac:dyDescent="0.3">
      <c r="A915">
        <v>2407</v>
      </c>
      <c r="B915" s="1" t="s">
        <v>1303</v>
      </c>
      <c r="C915">
        <v>0</v>
      </c>
      <c r="D915">
        <v>1610612752</v>
      </c>
      <c r="E915" s="1" t="s">
        <v>1248</v>
      </c>
      <c r="F915">
        <v>260</v>
      </c>
      <c r="G915">
        <v>73</v>
      </c>
      <c r="H915">
        <v>190</v>
      </c>
      <c r="I915">
        <v>13250</v>
      </c>
      <c r="J915">
        <v>108</v>
      </c>
      <c r="K915">
        <v>270</v>
      </c>
      <c r="L915">
        <v>4</v>
      </c>
      <c r="M915">
        <v>40</v>
      </c>
      <c r="N915">
        <v>250</v>
      </c>
      <c r="O915">
        <v>16</v>
      </c>
      <c r="P915">
        <v>49</v>
      </c>
      <c r="Q915">
        <v>93</v>
      </c>
      <c r="R915">
        <v>527</v>
      </c>
      <c r="S915">
        <v>1180</v>
      </c>
      <c r="T915">
        <v>1250</v>
      </c>
      <c r="U915">
        <v>2430</v>
      </c>
      <c r="V915">
        <v>66</v>
      </c>
      <c r="W915">
        <v>360</v>
      </c>
      <c r="X915">
        <v>230</v>
      </c>
      <c r="Y915">
        <v>640</v>
      </c>
      <c r="Z915">
        <v>132</v>
      </c>
      <c r="AA915">
        <v>269</v>
      </c>
      <c r="AB915" s="1" t="s">
        <v>1734</v>
      </c>
    </row>
    <row r="916" spans="1:28" x14ac:dyDescent="0.3">
      <c r="A916">
        <v>2407</v>
      </c>
      <c r="B916" s="1" t="s">
        <v>1304</v>
      </c>
      <c r="C916">
        <v>0</v>
      </c>
      <c r="D916">
        <v>1610612752</v>
      </c>
      <c r="E916" s="1" t="s">
        <v>1248</v>
      </c>
      <c r="F916">
        <v>270</v>
      </c>
      <c r="G916">
        <v>56</v>
      </c>
      <c r="H916">
        <v>360</v>
      </c>
      <c r="I916">
        <v>13100</v>
      </c>
      <c r="J916">
        <v>120</v>
      </c>
      <c r="K916">
        <v>273</v>
      </c>
      <c r="L916">
        <v>44</v>
      </c>
      <c r="M916">
        <v>10</v>
      </c>
      <c r="N916">
        <v>120</v>
      </c>
      <c r="O916">
        <v>83</v>
      </c>
      <c r="P916">
        <v>55</v>
      </c>
      <c r="Q916">
        <v>90</v>
      </c>
      <c r="R916">
        <v>611</v>
      </c>
      <c r="S916">
        <v>1280</v>
      </c>
      <c r="T916">
        <v>1030</v>
      </c>
      <c r="U916">
        <v>2310</v>
      </c>
      <c r="V916">
        <v>80</v>
      </c>
      <c r="W916">
        <v>470</v>
      </c>
      <c r="X916">
        <v>330</v>
      </c>
      <c r="Y916">
        <v>650</v>
      </c>
      <c r="Z916">
        <v>153</v>
      </c>
      <c r="AA916">
        <v>296</v>
      </c>
      <c r="AB916" s="1" t="s">
        <v>1734</v>
      </c>
    </row>
    <row r="917" spans="1:28" x14ac:dyDescent="0.3">
      <c r="A917">
        <v>2407</v>
      </c>
      <c r="B917" s="1" t="s">
        <v>1305</v>
      </c>
      <c r="C917">
        <v>0</v>
      </c>
      <c r="D917">
        <v>1610612752</v>
      </c>
      <c r="E917" s="1" t="s">
        <v>1248</v>
      </c>
      <c r="F917">
        <v>280</v>
      </c>
      <c r="G917">
        <v>52</v>
      </c>
      <c r="H917">
        <v>370</v>
      </c>
      <c r="I917">
        <v>14620</v>
      </c>
      <c r="J917">
        <v>102</v>
      </c>
      <c r="K917">
        <v>230</v>
      </c>
      <c r="L917">
        <v>443</v>
      </c>
      <c r="M917">
        <v>200</v>
      </c>
      <c r="N917">
        <v>620</v>
      </c>
      <c r="O917">
        <v>323</v>
      </c>
      <c r="P917">
        <v>60</v>
      </c>
      <c r="Q917">
        <v>93</v>
      </c>
      <c r="R917">
        <v>645</v>
      </c>
      <c r="S917">
        <v>990</v>
      </c>
      <c r="T917">
        <v>1240</v>
      </c>
      <c r="U917">
        <v>2230</v>
      </c>
      <c r="V917">
        <v>83</v>
      </c>
      <c r="W917">
        <v>530</v>
      </c>
      <c r="X917">
        <v>580</v>
      </c>
      <c r="Y917">
        <v>620</v>
      </c>
      <c r="Z917">
        <v>157</v>
      </c>
      <c r="AA917">
        <v>284</v>
      </c>
      <c r="AB917" s="1" t="s">
        <v>1734</v>
      </c>
    </row>
    <row r="918" spans="1:28" x14ac:dyDescent="0.3">
      <c r="A918">
        <v>2407</v>
      </c>
      <c r="B918" s="1" t="s">
        <v>1312</v>
      </c>
      <c r="C918">
        <v>0</v>
      </c>
      <c r="D918">
        <v>1610612752</v>
      </c>
      <c r="E918" s="1" t="s">
        <v>1248</v>
      </c>
      <c r="F918">
        <v>290</v>
      </c>
      <c r="G918">
        <v>24</v>
      </c>
      <c r="H918">
        <v>90</v>
      </c>
      <c r="I918">
        <v>4630</v>
      </c>
      <c r="J918">
        <v>19</v>
      </c>
      <c r="K918">
        <v>50</v>
      </c>
      <c r="L918">
        <v>38</v>
      </c>
      <c r="M918">
        <v>10</v>
      </c>
      <c r="N918">
        <v>30</v>
      </c>
      <c r="O918">
        <v>333</v>
      </c>
      <c r="P918">
        <v>8</v>
      </c>
      <c r="Q918">
        <v>19</v>
      </c>
      <c r="R918">
        <v>421</v>
      </c>
      <c r="S918">
        <v>420</v>
      </c>
      <c r="T918">
        <v>390</v>
      </c>
      <c r="U918">
        <v>810</v>
      </c>
      <c r="V918">
        <v>25</v>
      </c>
      <c r="W918">
        <v>240</v>
      </c>
      <c r="X918">
        <v>140</v>
      </c>
      <c r="Y918">
        <v>170</v>
      </c>
      <c r="Z918">
        <v>54</v>
      </c>
      <c r="AA918">
        <v>47</v>
      </c>
      <c r="AB918" s="1" t="s">
        <v>1734</v>
      </c>
    </row>
    <row r="919" spans="1:28" x14ac:dyDescent="0.3">
      <c r="A919">
        <v>2407</v>
      </c>
      <c r="B919" s="1" t="s">
        <v>1290</v>
      </c>
      <c r="C919">
        <v>0</v>
      </c>
      <c r="D919">
        <v>1610612752</v>
      </c>
      <c r="E919" s="1" t="s">
        <v>1248</v>
      </c>
      <c r="F919">
        <v>300</v>
      </c>
      <c r="G919">
        <v>39</v>
      </c>
      <c r="H919">
        <v>40</v>
      </c>
      <c r="I919">
        <v>7290</v>
      </c>
      <c r="J919">
        <v>59</v>
      </c>
      <c r="K919">
        <v>144</v>
      </c>
      <c r="L919">
        <v>41</v>
      </c>
      <c r="M919">
        <v>30</v>
      </c>
      <c r="N919">
        <v>160</v>
      </c>
      <c r="O919">
        <v>188</v>
      </c>
      <c r="P919">
        <v>49</v>
      </c>
      <c r="Q919">
        <v>72</v>
      </c>
      <c r="R919">
        <v>681</v>
      </c>
      <c r="S919">
        <v>690</v>
      </c>
      <c r="T919">
        <v>830</v>
      </c>
      <c r="U919">
        <v>1520</v>
      </c>
      <c r="V919">
        <v>26</v>
      </c>
      <c r="W919">
        <v>290</v>
      </c>
      <c r="X919">
        <v>250</v>
      </c>
      <c r="Y919">
        <v>290</v>
      </c>
      <c r="Z919">
        <v>89</v>
      </c>
      <c r="AA919">
        <v>170</v>
      </c>
      <c r="AB919" s="1" t="s">
        <v>1734</v>
      </c>
    </row>
    <row r="920" spans="1:28" x14ac:dyDescent="0.3">
      <c r="A920">
        <v>204038</v>
      </c>
      <c r="B920" s="1" t="s">
        <v>1343</v>
      </c>
      <c r="C920">
        <v>0</v>
      </c>
      <c r="D920">
        <v>1610612752</v>
      </c>
      <c r="E920" s="1" t="s">
        <v>1248</v>
      </c>
      <c r="F920">
        <v>230</v>
      </c>
      <c r="G920">
        <v>45</v>
      </c>
      <c r="H920">
        <v>410</v>
      </c>
      <c r="I920">
        <v>14570</v>
      </c>
      <c r="J920">
        <v>204</v>
      </c>
      <c r="K920">
        <v>511</v>
      </c>
      <c r="L920">
        <v>399</v>
      </c>
      <c r="M920">
        <v>620</v>
      </c>
      <c r="N920">
        <v>1760</v>
      </c>
      <c r="O920">
        <v>352</v>
      </c>
      <c r="P920">
        <v>63</v>
      </c>
      <c r="Q920">
        <v>78</v>
      </c>
      <c r="R920">
        <v>808</v>
      </c>
      <c r="S920">
        <v>370</v>
      </c>
      <c r="T920">
        <v>1530</v>
      </c>
      <c r="U920">
        <v>1900</v>
      </c>
      <c r="V920">
        <v>150</v>
      </c>
      <c r="W920">
        <v>520</v>
      </c>
      <c r="X920">
        <v>120</v>
      </c>
      <c r="Y920">
        <v>610</v>
      </c>
      <c r="Z920">
        <v>129</v>
      </c>
      <c r="AA920">
        <v>533</v>
      </c>
      <c r="AB920" s="1" t="s">
        <v>1735</v>
      </c>
    </row>
    <row r="921" spans="1:28" x14ac:dyDescent="0.3">
      <c r="A921">
        <v>204038</v>
      </c>
      <c r="B921" s="1" t="s">
        <v>1279</v>
      </c>
      <c r="C921">
        <v>0</v>
      </c>
      <c r="D921">
        <v>1610612752</v>
      </c>
      <c r="E921" s="1" t="s">
        <v>1248</v>
      </c>
      <c r="F921">
        <v>240</v>
      </c>
      <c r="G921">
        <v>82</v>
      </c>
      <c r="H921">
        <v>70</v>
      </c>
      <c r="I921">
        <v>20330</v>
      </c>
      <c r="J921">
        <v>231</v>
      </c>
      <c r="K921">
        <v>588</v>
      </c>
      <c r="L921">
        <v>393</v>
      </c>
      <c r="M921">
        <v>770</v>
      </c>
      <c r="N921">
        <v>2240</v>
      </c>
      <c r="O921">
        <v>344</v>
      </c>
      <c r="P921">
        <v>86</v>
      </c>
      <c r="Q921">
        <v>114</v>
      </c>
      <c r="R921">
        <v>754</v>
      </c>
      <c r="S921">
        <v>430</v>
      </c>
      <c r="T921">
        <v>2450</v>
      </c>
      <c r="U921">
        <v>2880</v>
      </c>
      <c r="V921">
        <v>207</v>
      </c>
      <c r="W921">
        <v>770</v>
      </c>
      <c r="X921">
        <v>220</v>
      </c>
      <c r="Y921">
        <v>610</v>
      </c>
      <c r="Z921">
        <v>177</v>
      </c>
      <c r="AA921">
        <v>625</v>
      </c>
      <c r="AB921" s="1" t="s">
        <v>1735</v>
      </c>
    </row>
    <row r="922" spans="1:28" x14ac:dyDescent="0.3">
      <c r="A922">
        <v>76408</v>
      </c>
      <c r="B922" s="1" t="s">
        <v>1339</v>
      </c>
      <c r="C922">
        <v>0</v>
      </c>
      <c r="D922">
        <v>1610612752</v>
      </c>
      <c r="E922" s="1" t="s">
        <v>1248</v>
      </c>
      <c r="F922">
        <v>290</v>
      </c>
      <c r="G922">
        <v>54</v>
      </c>
      <c r="J922">
        <v>93</v>
      </c>
      <c r="K922">
        <v>356</v>
      </c>
      <c r="L922">
        <v>261</v>
      </c>
      <c r="P922">
        <v>52</v>
      </c>
      <c r="Q922">
        <v>91</v>
      </c>
      <c r="R922">
        <v>571</v>
      </c>
      <c r="V922">
        <v>22</v>
      </c>
      <c r="Z922">
        <v>113</v>
      </c>
      <c r="AA922">
        <v>238</v>
      </c>
      <c r="AB922" s="1" t="s">
        <v>1736</v>
      </c>
    </row>
    <row r="923" spans="1:28" x14ac:dyDescent="0.3">
      <c r="A923">
        <v>76228</v>
      </c>
      <c r="B923" s="1" t="s">
        <v>1284</v>
      </c>
      <c r="C923">
        <v>0</v>
      </c>
      <c r="D923">
        <v>1610612752</v>
      </c>
      <c r="E923" s="1" t="s">
        <v>1248</v>
      </c>
      <c r="F923">
        <v>220</v>
      </c>
      <c r="G923">
        <v>39</v>
      </c>
      <c r="H923">
        <v>0</v>
      </c>
      <c r="I923">
        <v>3310</v>
      </c>
      <c r="J923">
        <v>54</v>
      </c>
      <c r="K923">
        <v>103</v>
      </c>
      <c r="L923">
        <v>524</v>
      </c>
      <c r="M923">
        <v>0</v>
      </c>
      <c r="N923">
        <v>10</v>
      </c>
      <c r="O923">
        <v>0</v>
      </c>
      <c r="P923">
        <v>29</v>
      </c>
      <c r="Q923">
        <v>48</v>
      </c>
      <c r="R923">
        <v>604</v>
      </c>
      <c r="S923">
        <v>310</v>
      </c>
      <c r="T923">
        <v>340</v>
      </c>
      <c r="U923">
        <v>650</v>
      </c>
      <c r="V923">
        <v>11</v>
      </c>
      <c r="W923">
        <v>120</v>
      </c>
      <c r="X923">
        <v>50</v>
      </c>
      <c r="Y923">
        <v>280</v>
      </c>
      <c r="Z923">
        <v>37</v>
      </c>
      <c r="AA923">
        <v>137</v>
      </c>
      <c r="AB923" s="1" t="s">
        <v>1737</v>
      </c>
    </row>
    <row r="924" spans="1:28" x14ac:dyDescent="0.3">
      <c r="A924">
        <v>2405</v>
      </c>
      <c r="B924" s="1" t="s">
        <v>1312</v>
      </c>
      <c r="C924">
        <v>0</v>
      </c>
      <c r="D924">
        <v>1610612752</v>
      </c>
      <c r="E924" s="1" t="s">
        <v>1248</v>
      </c>
      <c r="F924">
        <v>280</v>
      </c>
      <c r="G924">
        <v>78</v>
      </c>
      <c r="H924">
        <v>780</v>
      </c>
      <c r="I924">
        <v>28700</v>
      </c>
      <c r="J924">
        <v>744</v>
      </c>
      <c r="K924">
        <v>1482</v>
      </c>
      <c r="L924">
        <v>502</v>
      </c>
      <c r="M924">
        <v>100</v>
      </c>
      <c r="N924">
        <v>230</v>
      </c>
      <c r="O924">
        <v>435</v>
      </c>
      <c r="P924">
        <v>473</v>
      </c>
      <c r="Q924">
        <v>597</v>
      </c>
      <c r="R924">
        <v>792</v>
      </c>
      <c r="S924">
        <v>1980</v>
      </c>
      <c r="T924">
        <v>4380</v>
      </c>
      <c r="U924">
        <v>6360</v>
      </c>
      <c r="V924">
        <v>202</v>
      </c>
      <c r="W924">
        <v>710</v>
      </c>
      <c r="X924">
        <v>1500</v>
      </c>
      <c r="Y924">
        <v>2500</v>
      </c>
      <c r="Z924">
        <v>274</v>
      </c>
      <c r="AA924">
        <v>1971</v>
      </c>
      <c r="AB924" s="1" t="s">
        <v>1738</v>
      </c>
    </row>
    <row r="925" spans="1:28" x14ac:dyDescent="0.3">
      <c r="A925">
        <v>2405</v>
      </c>
      <c r="B925" s="1" t="s">
        <v>1290</v>
      </c>
      <c r="C925">
        <v>0</v>
      </c>
      <c r="D925">
        <v>1610612752</v>
      </c>
      <c r="E925" s="1" t="s">
        <v>1248</v>
      </c>
      <c r="F925">
        <v>290</v>
      </c>
      <c r="G925">
        <v>47</v>
      </c>
      <c r="H925">
        <v>470</v>
      </c>
      <c r="I925">
        <v>15430</v>
      </c>
      <c r="J925">
        <v>316</v>
      </c>
      <c r="K925">
        <v>654</v>
      </c>
      <c r="L925">
        <v>483</v>
      </c>
      <c r="M925">
        <v>50</v>
      </c>
      <c r="N925">
        <v>210</v>
      </c>
      <c r="O925">
        <v>238</v>
      </c>
      <c r="P925">
        <v>186</v>
      </c>
      <c r="Q925">
        <v>243</v>
      </c>
      <c r="R925">
        <v>765</v>
      </c>
      <c r="S925">
        <v>1060</v>
      </c>
      <c r="T925">
        <v>2610</v>
      </c>
      <c r="U925">
        <v>3670</v>
      </c>
      <c r="V925">
        <v>52</v>
      </c>
      <c r="W925">
        <v>380</v>
      </c>
      <c r="X925">
        <v>450</v>
      </c>
      <c r="Y925">
        <v>1120</v>
      </c>
      <c r="Z925">
        <v>138</v>
      </c>
      <c r="AA925">
        <v>823</v>
      </c>
      <c r="AB925" s="1" t="s">
        <v>1738</v>
      </c>
    </row>
    <row r="926" spans="1:28" x14ac:dyDescent="0.3">
      <c r="A926">
        <v>2405</v>
      </c>
      <c r="B926" s="1" t="s">
        <v>1292</v>
      </c>
      <c r="C926">
        <v>0</v>
      </c>
      <c r="D926">
        <v>1610612752</v>
      </c>
      <c r="E926" s="1" t="s">
        <v>1248</v>
      </c>
      <c r="F926">
        <v>300</v>
      </c>
      <c r="G926">
        <v>29</v>
      </c>
      <c r="H926">
        <v>0</v>
      </c>
      <c r="I926">
        <v>6820</v>
      </c>
      <c r="J926">
        <v>154</v>
      </c>
      <c r="K926">
        <v>267</v>
      </c>
      <c r="L926">
        <v>577</v>
      </c>
      <c r="M926">
        <v>0</v>
      </c>
      <c r="N926">
        <v>0</v>
      </c>
      <c r="O926">
        <v>0</v>
      </c>
      <c r="P926">
        <v>105</v>
      </c>
      <c r="Q926">
        <v>130</v>
      </c>
      <c r="R926">
        <v>808</v>
      </c>
      <c r="S926">
        <v>600</v>
      </c>
      <c r="T926">
        <v>850</v>
      </c>
      <c r="U926">
        <v>1450</v>
      </c>
      <c r="V926">
        <v>13</v>
      </c>
      <c r="W926">
        <v>100</v>
      </c>
      <c r="X926">
        <v>210</v>
      </c>
      <c r="Y926">
        <v>500</v>
      </c>
      <c r="Z926">
        <v>89</v>
      </c>
      <c r="AA926">
        <v>413</v>
      </c>
      <c r="AB926" s="1" t="s">
        <v>1738</v>
      </c>
    </row>
    <row r="927" spans="1:28" x14ac:dyDescent="0.3">
      <c r="A927">
        <v>2405</v>
      </c>
      <c r="B927" s="1" t="s">
        <v>1337</v>
      </c>
      <c r="C927">
        <v>0</v>
      </c>
      <c r="D927">
        <v>1610612752</v>
      </c>
      <c r="E927" s="1" t="s">
        <v>1248</v>
      </c>
      <c r="F927">
        <v>310</v>
      </c>
      <c r="G927">
        <v>65</v>
      </c>
      <c r="H927">
        <v>210</v>
      </c>
      <c r="I927">
        <v>14660</v>
      </c>
      <c r="J927">
        <v>311</v>
      </c>
      <c r="K927">
        <v>558</v>
      </c>
      <c r="L927">
        <v>557</v>
      </c>
      <c r="M927">
        <v>0</v>
      </c>
      <c r="N927">
        <v>0</v>
      </c>
      <c r="O927">
        <v>0</v>
      </c>
      <c r="P927">
        <v>150</v>
      </c>
      <c r="Q927">
        <v>203</v>
      </c>
      <c r="R927">
        <v>739</v>
      </c>
      <c r="S927">
        <v>1120</v>
      </c>
      <c r="T927">
        <v>2080</v>
      </c>
      <c r="U927">
        <v>3200</v>
      </c>
      <c r="V927">
        <v>34</v>
      </c>
      <c r="W927">
        <v>230</v>
      </c>
      <c r="X927">
        <v>370</v>
      </c>
      <c r="Y927">
        <v>910</v>
      </c>
      <c r="Z927">
        <v>159</v>
      </c>
      <c r="AA927">
        <v>772</v>
      </c>
      <c r="AB927" s="1" t="s">
        <v>1738</v>
      </c>
    </row>
    <row r="928" spans="1:28" x14ac:dyDescent="0.3">
      <c r="A928">
        <v>2405</v>
      </c>
      <c r="B928" s="1" t="s">
        <v>1343</v>
      </c>
      <c r="C928">
        <v>0</v>
      </c>
      <c r="D928">
        <v>1610612752</v>
      </c>
      <c r="E928" s="1" t="s">
        <v>1248</v>
      </c>
      <c r="F928">
        <v>320</v>
      </c>
      <c r="G928">
        <v>36</v>
      </c>
      <c r="H928">
        <v>140</v>
      </c>
      <c r="I928">
        <v>8650</v>
      </c>
      <c r="J928">
        <v>169</v>
      </c>
      <c r="K928">
        <v>311</v>
      </c>
      <c r="L928">
        <v>543</v>
      </c>
      <c r="M928">
        <v>0</v>
      </c>
      <c r="N928">
        <v>30</v>
      </c>
      <c r="O928">
        <v>0</v>
      </c>
      <c r="P928">
        <v>94</v>
      </c>
      <c r="Q928">
        <v>127</v>
      </c>
      <c r="R928">
        <v>74</v>
      </c>
      <c r="S928">
        <v>830</v>
      </c>
      <c r="T928">
        <v>1620</v>
      </c>
      <c r="U928">
        <v>2450</v>
      </c>
      <c r="V928">
        <v>37</v>
      </c>
      <c r="W928">
        <v>200</v>
      </c>
      <c r="X928">
        <v>340</v>
      </c>
      <c r="Y928">
        <v>630</v>
      </c>
      <c r="Z928">
        <v>111</v>
      </c>
      <c r="AA928">
        <v>432</v>
      </c>
      <c r="AB928" s="1" t="s">
        <v>1738</v>
      </c>
    </row>
    <row r="929" spans="1:28" x14ac:dyDescent="0.3">
      <c r="A929">
        <v>76404</v>
      </c>
      <c r="B929" s="1" t="s">
        <v>1378</v>
      </c>
      <c r="C929">
        <v>0</v>
      </c>
      <c r="D929">
        <v>1610612752</v>
      </c>
      <c r="E929" s="1" t="s">
        <v>1248</v>
      </c>
      <c r="F929">
        <v>280</v>
      </c>
      <c r="G929">
        <v>65</v>
      </c>
      <c r="J929">
        <v>211</v>
      </c>
      <c r="K929">
        <v>656</v>
      </c>
      <c r="L929">
        <v>322</v>
      </c>
      <c r="P929">
        <v>140</v>
      </c>
      <c r="Q929">
        <v>263</v>
      </c>
      <c r="R929">
        <v>532</v>
      </c>
      <c r="U929">
        <v>4910</v>
      </c>
      <c r="V929">
        <v>162</v>
      </c>
      <c r="Z929">
        <v>269</v>
      </c>
      <c r="AA929">
        <v>562</v>
      </c>
      <c r="AB929" s="1" t="s">
        <v>1739</v>
      </c>
    </row>
    <row r="930" spans="1:28" x14ac:dyDescent="0.3">
      <c r="A930">
        <v>76404</v>
      </c>
      <c r="B930" s="1" t="s">
        <v>1247</v>
      </c>
      <c r="C930">
        <v>0</v>
      </c>
      <c r="D930">
        <v>1610612752</v>
      </c>
      <c r="E930" s="1" t="s">
        <v>1248</v>
      </c>
      <c r="F930">
        <v>290</v>
      </c>
      <c r="G930">
        <v>62</v>
      </c>
      <c r="I930">
        <v>21010</v>
      </c>
      <c r="J930">
        <v>244</v>
      </c>
      <c r="K930">
        <v>729</v>
      </c>
      <c r="L930">
        <v>335</v>
      </c>
      <c r="P930">
        <v>170</v>
      </c>
      <c r="Q930">
        <v>256</v>
      </c>
      <c r="R930">
        <v>664</v>
      </c>
      <c r="U930">
        <v>7310</v>
      </c>
      <c r="V930">
        <v>209</v>
      </c>
      <c r="Z930">
        <v>227</v>
      </c>
      <c r="AA930">
        <v>658</v>
      </c>
      <c r="AB930" s="1" t="s">
        <v>1739</v>
      </c>
    </row>
    <row r="931" spans="1:28" x14ac:dyDescent="0.3">
      <c r="A931">
        <v>76404</v>
      </c>
      <c r="B931" s="1" t="s">
        <v>1390</v>
      </c>
      <c r="C931">
        <v>0</v>
      </c>
      <c r="D931">
        <v>1610612752</v>
      </c>
      <c r="E931" s="1" t="s">
        <v>1248</v>
      </c>
      <c r="F931">
        <v>300</v>
      </c>
      <c r="G931">
        <v>70</v>
      </c>
      <c r="I931">
        <v>24960</v>
      </c>
      <c r="J931">
        <v>272</v>
      </c>
      <c r="K931">
        <v>794</v>
      </c>
      <c r="L931">
        <v>343</v>
      </c>
      <c r="P931">
        <v>200</v>
      </c>
      <c r="Q931">
        <v>343</v>
      </c>
      <c r="R931">
        <v>583</v>
      </c>
      <c r="U931">
        <v>7610</v>
      </c>
      <c r="V931">
        <v>231</v>
      </c>
      <c r="Z931">
        <v>274</v>
      </c>
      <c r="AA931">
        <v>744</v>
      </c>
      <c r="AB931" s="1" t="s">
        <v>1739</v>
      </c>
    </row>
    <row r="932" spans="1:28" x14ac:dyDescent="0.3">
      <c r="A932">
        <v>76404</v>
      </c>
      <c r="B932" s="1" t="s">
        <v>1349</v>
      </c>
      <c r="C932">
        <v>0</v>
      </c>
      <c r="D932">
        <v>1610612752</v>
      </c>
      <c r="E932" s="1" t="s">
        <v>1248</v>
      </c>
      <c r="F932">
        <v>310</v>
      </c>
      <c r="G932">
        <v>72</v>
      </c>
      <c r="I932">
        <v>21790</v>
      </c>
      <c r="J932">
        <v>257</v>
      </c>
      <c r="K932">
        <v>699</v>
      </c>
      <c r="L932">
        <v>368</v>
      </c>
      <c r="P932">
        <v>174</v>
      </c>
      <c r="Q932">
        <v>277</v>
      </c>
      <c r="R932">
        <v>628</v>
      </c>
      <c r="U932">
        <v>5280</v>
      </c>
      <c r="V932">
        <v>176</v>
      </c>
      <c r="Z932">
        <v>215</v>
      </c>
      <c r="AA932">
        <v>688</v>
      </c>
      <c r="AB932" s="1" t="s">
        <v>1739</v>
      </c>
    </row>
    <row r="933" spans="1:28" x14ac:dyDescent="0.3">
      <c r="A933">
        <v>76404</v>
      </c>
      <c r="B933" s="1" t="s">
        <v>1362</v>
      </c>
      <c r="C933">
        <v>0</v>
      </c>
      <c r="D933">
        <v>1610612752</v>
      </c>
      <c r="E933" s="1" t="s">
        <v>1248</v>
      </c>
      <c r="F933">
        <v>320</v>
      </c>
      <c r="G933">
        <v>72</v>
      </c>
      <c r="I933">
        <v>23900</v>
      </c>
      <c r="J933">
        <v>360</v>
      </c>
      <c r="K933">
        <v>932</v>
      </c>
      <c r="L933">
        <v>386</v>
      </c>
      <c r="P933">
        <v>224</v>
      </c>
      <c r="Q933">
        <v>328</v>
      </c>
      <c r="R933">
        <v>683</v>
      </c>
      <c r="U933">
        <v>6120</v>
      </c>
      <c r="V933">
        <v>198</v>
      </c>
      <c r="Z933">
        <v>221</v>
      </c>
      <c r="AA933">
        <v>944</v>
      </c>
      <c r="AB933" s="1" t="s">
        <v>1739</v>
      </c>
    </row>
    <row r="934" spans="1:28" x14ac:dyDescent="0.3">
      <c r="A934">
        <v>76404</v>
      </c>
      <c r="B934" s="1" t="s">
        <v>1315</v>
      </c>
      <c r="C934">
        <v>0</v>
      </c>
      <c r="D934">
        <v>1610612752</v>
      </c>
      <c r="E934" s="1" t="s">
        <v>1248</v>
      </c>
      <c r="F934">
        <v>330</v>
      </c>
      <c r="G934">
        <v>64</v>
      </c>
      <c r="I934">
        <v>15370</v>
      </c>
      <c r="J934">
        <v>213</v>
      </c>
      <c r="K934">
        <v>541</v>
      </c>
      <c r="L934">
        <v>394</v>
      </c>
      <c r="P934">
        <v>135</v>
      </c>
      <c r="Q934">
        <v>191</v>
      </c>
      <c r="R934">
        <v>707</v>
      </c>
      <c r="U934">
        <v>3860</v>
      </c>
      <c r="V934">
        <v>151</v>
      </c>
      <c r="Z934">
        <v>189</v>
      </c>
      <c r="AA934">
        <v>561</v>
      </c>
      <c r="AB934" s="1" t="s">
        <v>1739</v>
      </c>
    </row>
    <row r="935" spans="1:28" x14ac:dyDescent="0.3">
      <c r="A935">
        <v>76404</v>
      </c>
      <c r="B935" s="1" t="s">
        <v>1318</v>
      </c>
      <c r="C935">
        <v>0</v>
      </c>
      <c r="D935">
        <v>1610612752</v>
      </c>
      <c r="E935" s="1" t="s">
        <v>1248</v>
      </c>
      <c r="F935">
        <v>340</v>
      </c>
      <c r="G935">
        <v>71</v>
      </c>
      <c r="I935">
        <v>22310</v>
      </c>
      <c r="J935">
        <v>308</v>
      </c>
      <c r="K935">
        <v>818</v>
      </c>
      <c r="L935">
        <v>377</v>
      </c>
      <c r="P935">
        <v>146</v>
      </c>
      <c r="Q935">
        <v>217</v>
      </c>
      <c r="R935">
        <v>673</v>
      </c>
      <c r="U935">
        <v>5570</v>
      </c>
      <c r="V935">
        <v>164</v>
      </c>
      <c r="Z935">
        <v>243</v>
      </c>
      <c r="AA935">
        <v>762</v>
      </c>
      <c r="AB935" s="1" t="s">
        <v>1739</v>
      </c>
    </row>
    <row r="936" spans="1:28" x14ac:dyDescent="0.3">
      <c r="A936">
        <v>201568</v>
      </c>
      <c r="B936" s="1" t="s">
        <v>1304</v>
      </c>
      <c r="C936">
        <v>0</v>
      </c>
      <c r="D936">
        <v>1610612752</v>
      </c>
      <c r="E936" s="1" t="s">
        <v>1248</v>
      </c>
      <c r="F936">
        <v>200</v>
      </c>
      <c r="G936">
        <v>28</v>
      </c>
      <c r="H936">
        <v>20</v>
      </c>
      <c r="I936">
        <v>4120</v>
      </c>
      <c r="J936">
        <v>56</v>
      </c>
      <c r="K936">
        <v>125</v>
      </c>
      <c r="L936">
        <v>448</v>
      </c>
      <c r="M936">
        <v>320</v>
      </c>
      <c r="N936">
        <v>720</v>
      </c>
      <c r="O936">
        <v>444</v>
      </c>
      <c r="P936">
        <v>26</v>
      </c>
      <c r="Q936">
        <v>27</v>
      </c>
      <c r="R936">
        <v>963</v>
      </c>
      <c r="S936">
        <v>130</v>
      </c>
      <c r="T936">
        <v>420</v>
      </c>
      <c r="U936">
        <v>550</v>
      </c>
      <c r="V936">
        <v>15</v>
      </c>
      <c r="W936">
        <v>140</v>
      </c>
      <c r="X936">
        <v>40</v>
      </c>
      <c r="Y936">
        <v>150</v>
      </c>
      <c r="Z936">
        <v>48</v>
      </c>
      <c r="AA936">
        <v>170</v>
      </c>
      <c r="AB936" s="1" t="s">
        <v>1740</v>
      </c>
    </row>
    <row r="937" spans="1:28" x14ac:dyDescent="0.3">
      <c r="A937">
        <v>201568</v>
      </c>
      <c r="B937" s="1" t="s">
        <v>1305</v>
      </c>
      <c r="C937">
        <v>0</v>
      </c>
      <c r="D937">
        <v>1610612752</v>
      </c>
      <c r="E937" s="1" t="s">
        <v>1248</v>
      </c>
      <c r="F937">
        <v>210</v>
      </c>
      <c r="G937">
        <v>81</v>
      </c>
      <c r="H937">
        <v>740</v>
      </c>
      <c r="I937">
        <v>27470</v>
      </c>
      <c r="J937">
        <v>392</v>
      </c>
      <c r="K937">
        <v>927</v>
      </c>
      <c r="L937">
        <v>423</v>
      </c>
      <c r="M937">
        <v>1860</v>
      </c>
      <c r="N937">
        <v>4880</v>
      </c>
      <c r="O937">
        <v>381</v>
      </c>
      <c r="P937">
        <v>251</v>
      </c>
      <c r="Q937">
        <v>307</v>
      </c>
      <c r="R937">
        <v>818</v>
      </c>
      <c r="S937">
        <v>650</v>
      </c>
      <c r="T937">
        <v>3330</v>
      </c>
      <c r="U937">
        <v>3980</v>
      </c>
      <c r="V937">
        <v>135</v>
      </c>
      <c r="W937">
        <v>750</v>
      </c>
      <c r="X937">
        <v>580</v>
      </c>
      <c r="Y937">
        <v>1100</v>
      </c>
      <c r="Z937">
        <v>191</v>
      </c>
      <c r="AA937">
        <v>1221</v>
      </c>
      <c r="AB937" s="1" t="s">
        <v>1740</v>
      </c>
    </row>
    <row r="938" spans="1:28" x14ac:dyDescent="0.3">
      <c r="A938">
        <v>201568</v>
      </c>
      <c r="B938" s="1" t="s">
        <v>1312</v>
      </c>
      <c r="C938">
        <v>0</v>
      </c>
      <c r="D938">
        <v>1610612752</v>
      </c>
      <c r="E938" s="1" t="s">
        <v>1248</v>
      </c>
      <c r="F938">
        <v>220</v>
      </c>
      <c r="G938">
        <v>48</v>
      </c>
      <c r="H938">
        <v>480</v>
      </c>
      <c r="I938">
        <v>16710</v>
      </c>
      <c r="J938">
        <v>211</v>
      </c>
      <c r="K938">
        <v>509</v>
      </c>
      <c r="L938">
        <v>415</v>
      </c>
      <c r="M938">
        <v>830</v>
      </c>
      <c r="N938">
        <v>2390</v>
      </c>
      <c r="O938">
        <v>347</v>
      </c>
      <c r="P938">
        <v>259</v>
      </c>
      <c r="Q938">
        <v>290</v>
      </c>
      <c r="R938">
        <v>893</v>
      </c>
      <c r="S938">
        <v>480</v>
      </c>
      <c r="T938">
        <v>1810</v>
      </c>
      <c r="U938">
        <v>2290</v>
      </c>
      <c r="V938">
        <v>82</v>
      </c>
      <c r="W938">
        <v>380</v>
      </c>
      <c r="X938">
        <v>180</v>
      </c>
      <c r="Y938">
        <v>580</v>
      </c>
      <c r="Z938">
        <v>117</v>
      </c>
      <c r="AA938">
        <v>764</v>
      </c>
      <c r="AB938" s="1" t="s">
        <v>1740</v>
      </c>
    </row>
    <row r="939" spans="1:28" x14ac:dyDescent="0.3">
      <c r="A939">
        <v>1629610</v>
      </c>
      <c r="B939" s="1" t="s">
        <v>1369</v>
      </c>
      <c r="C939">
        <v>0</v>
      </c>
      <c r="D939">
        <v>1610612752</v>
      </c>
      <c r="E939" s="1" t="s">
        <v>1248</v>
      </c>
      <c r="F939">
        <v>260</v>
      </c>
      <c r="G939">
        <v>17</v>
      </c>
      <c r="H939">
        <v>0</v>
      </c>
      <c r="I939">
        <v>460</v>
      </c>
      <c r="J939">
        <v>6</v>
      </c>
      <c r="K939">
        <v>17</v>
      </c>
      <c r="L939">
        <v>353</v>
      </c>
      <c r="M939">
        <v>20</v>
      </c>
      <c r="N939">
        <v>100</v>
      </c>
      <c r="O939">
        <v>2</v>
      </c>
      <c r="P939">
        <v>0</v>
      </c>
      <c r="Q939">
        <v>2</v>
      </c>
      <c r="R939">
        <v>0</v>
      </c>
      <c r="S939">
        <v>0</v>
      </c>
      <c r="T939">
        <v>50</v>
      </c>
      <c r="U939">
        <v>50</v>
      </c>
      <c r="V939">
        <v>5</v>
      </c>
      <c r="W939">
        <v>0</v>
      </c>
      <c r="X939">
        <v>10</v>
      </c>
      <c r="Y939">
        <v>30</v>
      </c>
      <c r="Z939">
        <v>2</v>
      </c>
      <c r="AA939">
        <v>14</v>
      </c>
      <c r="AB939" s="1" t="s">
        <v>1741</v>
      </c>
    </row>
    <row r="940" spans="1:28" x14ac:dyDescent="0.3">
      <c r="A940">
        <v>76182</v>
      </c>
      <c r="B940" s="1" t="s">
        <v>1323</v>
      </c>
      <c r="C940">
        <v>0</v>
      </c>
      <c r="D940">
        <v>1610612752</v>
      </c>
      <c r="E940" s="1" t="s">
        <v>1248</v>
      </c>
      <c r="F940">
        <v>220</v>
      </c>
      <c r="G940">
        <v>36</v>
      </c>
      <c r="I940">
        <v>3630</v>
      </c>
      <c r="J940">
        <v>54</v>
      </c>
      <c r="K940">
        <v>142</v>
      </c>
      <c r="L940">
        <v>38</v>
      </c>
      <c r="P940">
        <v>9</v>
      </c>
      <c r="Q940">
        <v>17</v>
      </c>
      <c r="R940">
        <v>529</v>
      </c>
      <c r="U940">
        <v>360</v>
      </c>
      <c r="V940">
        <v>45</v>
      </c>
      <c r="Z940">
        <v>34</v>
      </c>
      <c r="AA940">
        <v>117</v>
      </c>
      <c r="AB940" s="1" t="s">
        <v>1742</v>
      </c>
    </row>
    <row r="941" spans="1:28" x14ac:dyDescent="0.3">
      <c r="A941">
        <v>1744</v>
      </c>
      <c r="B941" s="1" t="s">
        <v>1300</v>
      </c>
      <c r="C941">
        <v>0</v>
      </c>
      <c r="D941">
        <v>1610612752</v>
      </c>
      <c r="E941" s="1" t="s">
        <v>1248</v>
      </c>
      <c r="F941">
        <v>300</v>
      </c>
      <c r="G941">
        <v>45</v>
      </c>
      <c r="H941">
        <v>90</v>
      </c>
      <c r="I941">
        <v>4060</v>
      </c>
      <c r="J941">
        <v>56</v>
      </c>
      <c r="K941">
        <v>121</v>
      </c>
      <c r="L941">
        <v>463</v>
      </c>
      <c r="M941">
        <v>0</v>
      </c>
      <c r="N941">
        <v>0</v>
      </c>
      <c r="O941">
        <v>0</v>
      </c>
      <c r="P941">
        <v>25</v>
      </c>
      <c r="Q941">
        <v>40</v>
      </c>
      <c r="R941">
        <v>625</v>
      </c>
      <c r="S941">
        <v>390</v>
      </c>
      <c r="T941">
        <v>520</v>
      </c>
      <c r="U941">
        <v>910</v>
      </c>
      <c r="V941">
        <v>12</v>
      </c>
      <c r="W941">
        <v>30</v>
      </c>
      <c r="X941">
        <v>230</v>
      </c>
      <c r="Y941">
        <v>510</v>
      </c>
      <c r="Z941">
        <v>104</v>
      </c>
      <c r="AA941">
        <v>137</v>
      </c>
      <c r="AB941" s="1" t="s">
        <v>1743</v>
      </c>
    </row>
    <row r="942" spans="1:28" x14ac:dyDescent="0.3">
      <c r="A942">
        <v>1744</v>
      </c>
      <c r="B942" s="1" t="s">
        <v>1302</v>
      </c>
      <c r="C942">
        <v>0</v>
      </c>
      <c r="D942">
        <v>1610612752</v>
      </c>
      <c r="E942" s="1" t="s">
        <v>1248</v>
      </c>
      <c r="F942">
        <v>310</v>
      </c>
      <c r="G942">
        <v>41</v>
      </c>
      <c r="H942">
        <v>110</v>
      </c>
      <c r="I942">
        <v>2730</v>
      </c>
      <c r="J942">
        <v>33</v>
      </c>
      <c r="K942">
        <v>79</v>
      </c>
      <c r="L942">
        <v>418</v>
      </c>
      <c r="M942">
        <v>0</v>
      </c>
      <c r="N942">
        <v>0</v>
      </c>
      <c r="O942">
        <v>0</v>
      </c>
      <c r="P942">
        <v>10</v>
      </c>
      <c r="Q942">
        <v>18</v>
      </c>
      <c r="R942">
        <v>556</v>
      </c>
      <c r="S942">
        <v>210</v>
      </c>
      <c r="T942">
        <v>450</v>
      </c>
      <c r="U942">
        <v>660</v>
      </c>
      <c r="V942">
        <v>3</v>
      </c>
      <c r="W942">
        <v>60</v>
      </c>
      <c r="X942">
        <v>150</v>
      </c>
      <c r="Y942">
        <v>230</v>
      </c>
      <c r="Z942">
        <v>73</v>
      </c>
      <c r="AA942">
        <v>76</v>
      </c>
      <c r="AB942" s="1" t="s">
        <v>1743</v>
      </c>
    </row>
    <row r="943" spans="1:28" x14ac:dyDescent="0.3">
      <c r="A943">
        <v>1744</v>
      </c>
      <c r="B943" s="1" t="s">
        <v>1303</v>
      </c>
      <c r="C943">
        <v>0</v>
      </c>
      <c r="D943">
        <v>1610612752</v>
      </c>
      <c r="E943" s="1" t="s">
        <v>1248</v>
      </c>
      <c r="F943">
        <v>320</v>
      </c>
      <c r="G943">
        <v>2</v>
      </c>
      <c r="H943">
        <v>0</v>
      </c>
      <c r="I943">
        <v>50</v>
      </c>
      <c r="J943">
        <v>1</v>
      </c>
      <c r="K943">
        <v>1</v>
      </c>
      <c r="L943">
        <v>10</v>
      </c>
      <c r="M943">
        <v>0</v>
      </c>
      <c r="N943">
        <v>0</v>
      </c>
      <c r="O943">
        <v>0</v>
      </c>
      <c r="P943">
        <v>2</v>
      </c>
      <c r="Q943">
        <v>2</v>
      </c>
      <c r="R943">
        <v>10</v>
      </c>
      <c r="S943">
        <v>0</v>
      </c>
      <c r="T943">
        <v>30</v>
      </c>
      <c r="U943">
        <v>30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4</v>
      </c>
      <c r="AB943" s="1" t="s">
        <v>1743</v>
      </c>
    </row>
    <row r="944" spans="1:28" x14ac:dyDescent="0.3">
      <c r="A944">
        <v>1744</v>
      </c>
      <c r="B944" s="1" t="s">
        <v>1304</v>
      </c>
      <c r="C944">
        <v>0</v>
      </c>
      <c r="D944">
        <v>1610612752</v>
      </c>
      <c r="E944" s="1" t="s">
        <v>1248</v>
      </c>
      <c r="F944">
        <v>330</v>
      </c>
      <c r="G944">
        <v>2</v>
      </c>
      <c r="H944">
        <v>0</v>
      </c>
      <c r="I944">
        <v>100</v>
      </c>
      <c r="J944">
        <v>3</v>
      </c>
      <c r="K944">
        <v>8</v>
      </c>
      <c r="L944">
        <v>375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10</v>
      </c>
      <c r="T944">
        <v>20</v>
      </c>
      <c r="U944">
        <v>30</v>
      </c>
      <c r="V944">
        <v>0</v>
      </c>
      <c r="W944">
        <v>10</v>
      </c>
      <c r="X944">
        <v>10</v>
      </c>
      <c r="Y944">
        <v>10</v>
      </c>
      <c r="Z944">
        <v>2</v>
      </c>
      <c r="AA944">
        <v>6</v>
      </c>
      <c r="AB944" s="1" t="s">
        <v>1743</v>
      </c>
    </row>
    <row r="945" spans="1:28" x14ac:dyDescent="0.3">
      <c r="A945">
        <v>76773</v>
      </c>
      <c r="B945" s="1" t="s">
        <v>1299</v>
      </c>
      <c r="C945">
        <v>0</v>
      </c>
      <c r="D945">
        <v>1610612752</v>
      </c>
      <c r="E945" s="1" t="s">
        <v>1248</v>
      </c>
      <c r="F945">
        <v>220</v>
      </c>
      <c r="G945">
        <v>52</v>
      </c>
      <c r="J945">
        <v>157</v>
      </c>
      <c r="K945">
        <v>479</v>
      </c>
      <c r="L945">
        <v>328</v>
      </c>
      <c r="P945">
        <v>120</v>
      </c>
      <c r="Q945">
        <v>169</v>
      </c>
      <c r="R945">
        <v>71</v>
      </c>
      <c r="V945">
        <v>63</v>
      </c>
      <c r="Z945">
        <v>127</v>
      </c>
      <c r="AA945">
        <v>434</v>
      </c>
      <c r="AB945" s="1" t="s">
        <v>1744</v>
      </c>
    </row>
    <row r="946" spans="1:28" x14ac:dyDescent="0.3">
      <c r="A946">
        <v>76773</v>
      </c>
      <c r="B946" s="1" t="s">
        <v>1266</v>
      </c>
      <c r="C946">
        <v>0</v>
      </c>
      <c r="D946">
        <v>1610612752</v>
      </c>
      <c r="E946" s="1" t="s">
        <v>1248</v>
      </c>
      <c r="F946">
        <v>230</v>
      </c>
      <c r="G946">
        <v>68</v>
      </c>
      <c r="J946">
        <v>263</v>
      </c>
      <c r="K946">
        <v>664</v>
      </c>
      <c r="L946">
        <v>396</v>
      </c>
      <c r="P946">
        <v>277</v>
      </c>
      <c r="Q946">
        <v>366</v>
      </c>
      <c r="R946">
        <v>757</v>
      </c>
      <c r="V946">
        <v>56</v>
      </c>
      <c r="Z946">
        <v>215</v>
      </c>
      <c r="AA946">
        <v>803</v>
      </c>
      <c r="AB946" s="1" t="s">
        <v>1744</v>
      </c>
    </row>
    <row r="947" spans="1:28" x14ac:dyDescent="0.3">
      <c r="A947">
        <v>76773</v>
      </c>
      <c r="B947" s="1" t="s">
        <v>1378</v>
      </c>
      <c r="C947">
        <v>0</v>
      </c>
      <c r="D947">
        <v>1610612752</v>
      </c>
      <c r="E947" s="1" t="s">
        <v>1248</v>
      </c>
      <c r="F947">
        <v>240</v>
      </c>
      <c r="G947">
        <v>66</v>
      </c>
      <c r="J947">
        <v>293</v>
      </c>
      <c r="K947">
        <v>705</v>
      </c>
      <c r="L947">
        <v>416</v>
      </c>
      <c r="P947">
        <v>259</v>
      </c>
      <c r="Q947">
        <v>354</v>
      </c>
      <c r="R947">
        <v>732</v>
      </c>
      <c r="U947">
        <v>8000</v>
      </c>
      <c r="V947">
        <v>180</v>
      </c>
      <c r="Z947">
        <v>244</v>
      </c>
      <c r="AA947">
        <v>845</v>
      </c>
      <c r="AB947" s="1" t="s">
        <v>1744</v>
      </c>
    </row>
    <row r="948" spans="1:28" x14ac:dyDescent="0.3">
      <c r="A948">
        <v>76773</v>
      </c>
      <c r="B948" s="1" t="s">
        <v>1247</v>
      </c>
      <c r="C948">
        <v>0</v>
      </c>
      <c r="D948">
        <v>1610612752</v>
      </c>
      <c r="E948" s="1" t="s">
        <v>1248</v>
      </c>
      <c r="F948">
        <v>250</v>
      </c>
      <c r="G948">
        <v>66</v>
      </c>
      <c r="I948">
        <v>19310</v>
      </c>
      <c r="J948">
        <v>233</v>
      </c>
      <c r="K948">
        <v>527</v>
      </c>
      <c r="L948">
        <v>442</v>
      </c>
      <c r="P948">
        <v>275</v>
      </c>
      <c r="Q948">
        <v>341</v>
      </c>
      <c r="R948">
        <v>806</v>
      </c>
      <c r="U948">
        <v>6610</v>
      </c>
      <c r="V948">
        <v>115</v>
      </c>
      <c r="Z948">
        <v>223</v>
      </c>
      <c r="AA948">
        <v>741</v>
      </c>
      <c r="AB948" s="1" t="s">
        <v>1744</v>
      </c>
    </row>
    <row r="949" spans="1:28" x14ac:dyDescent="0.3">
      <c r="A949">
        <v>76773</v>
      </c>
      <c r="B949" s="1" t="s">
        <v>1390</v>
      </c>
      <c r="C949">
        <v>0</v>
      </c>
      <c r="D949">
        <v>1610612752</v>
      </c>
      <c r="E949" s="1" t="s">
        <v>1248</v>
      </c>
      <c r="F949">
        <v>260</v>
      </c>
      <c r="G949">
        <v>70</v>
      </c>
      <c r="I949">
        <v>23330</v>
      </c>
      <c r="J949">
        <v>282</v>
      </c>
      <c r="K949">
        <v>635</v>
      </c>
      <c r="L949">
        <v>444</v>
      </c>
      <c r="P949">
        <v>301</v>
      </c>
      <c r="Q949">
        <v>430</v>
      </c>
      <c r="R949">
        <v>7</v>
      </c>
      <c r="U949">
        <v>9160</v>
      </c>
      <c r="V949">
        <v>126</v>
      </c>
      <c r="Z949">
        <v>224</v>
      </c>
      <c r="AA949">
        <v>865</v>
      </c>
      <c r="AB949" s="1" t="s">
        <v>1744</v>
      </c>
    </row>
    <row r="950" spans="1:28" x14ac:dyDescent="0.3">
      <c r="A950">
        <v>76773</v>
      </c>
      <c r="B950" s="1" t="s">
        <v>1349</v>
      </c>
      <c r="C950">
        <v>0</v>
      </c>
      <c r="D950">
        <v>1610612752</v>
      </c>
      <c r="E950" s="1" t="s">
        <v>1248</v>
      </c>
      <c r="F950">
        <v>270</v>
      </c>
      <c r="G950">
        <v>72</v>
      </c>
      <c r="I950">
        <v>26900</v>
      </c>
      <c r="J950">
        <v>258</v>
      </c>
      <c r="K950">
        <v>639</v>
      </c>
      <c r="L950">
        <v>404</v>
      </c>
      <c r="P950">
        <v>433</v>
      </c>
      <c r="Q950">
        <v>552</v>
      </c>
      <c r="R950">
        <v>784</v>
      </c>
      <c r="U950">
        <v>10980</v>
      </c>
      <c r="V950">
        <v>153</v>
      </c>
      <c r="Z950">
        <v>208</v>
      </c>
      <c r="AA950">
        <v>949</v>
      </c>
      <c r="AB950" s="1" t="s">
        <v>1744</v>
      </c>
    </row>
    <row r="951" spans="1:28" x14ac:dyDescent="0.3">
      <c r="A951">
        <v>76773</v>
      </c>
      <c r="B951" s="1" t="s">
        <v>1362</v>
      </c>
      <c r="C951">
        <v>0</v>
      </c>
      <c r="D951">
        <v>1610612752</v>
      </c>
      <c r="E951" s="1" t="s">
        <v>1248</v>
      </c>
      <c r="F951">
        <v>280</v>
      </c>
      <c r="G951">
        <v>72</v>
      </c>
      <c r="I951">
        <v>25480</v>
      </c>
      <c r="J951">
        <v>330</v>
      </c>
      <c r="K951">
        <v>859</v>
      </c>
      <c r="L951">
        <v>384</v>
      </c>
      <c r="P951">
        <v>393</v>
      </c>
      <c r="Q951">
        <v>483</v>
      </c>
      <c r="R951">
        <v>814</v>
      </c>
      <c r="U951">
        <v>9950</v>
      </c>
      <c r="V951">
        <v>176</v>
      </c>
      <c r="Z951">
        <v>206</v>
      </c>
      <c r="AA951">
        <v>1053</v>
      </c>
      <c r="AB951" s="1" t="s">
        <v>1744</v>
      </c>
    </row>
    <row r="952" spans="1:28" x14ac:dyDescent="0.3">
      <c r="A952">
        <v>76773</v>
      </c>
      <c r="B952" s="1" t="s">
        <v>1315</v>
      </c>
      <c r="C952">
        <v>0</v>
      </c>
      <c r="D952">
        <v>1610612752</v>
      </c>
      <c r="E952" s="1" t="s">
        <v>1248</v>
      </c>
      <c r="F952">
        <v>290</v>
      </c>
      <c r="G952">
        <v>72</v>
      </c>
      <c r="I952">
        <v>23780</v>
      </c>
      <c r="J952">
        <v>322</v>
      </c>
      <c r="K952">
        <v>834</v>
      </c>
      <c r="L952">
        <v>386</v>
      </c>
      <c r="P952">
        <v>358</v>
      </c>
      <c r="Q952">
        <v>455</v>
      </c>
      <c r="R952">
        <v>787</v>
      </c>
      <c r="U952">
        <v>7400</v>
      </c>
      <c r="V952">
        <v>168</v>
      </c>
      <c r="Z952">
        <v>220</v>
      </c>
      <c r="AA952">
        <v>1002</v>
      </c>
      <c r="AB952" s="1" t="s">
        <v>1744</v>
      </c>
    </row>
    <row r="953" spans="1:28" x14ac:dyDescent="0.3">
      <c r="A953">
        <v>76773</v>
      </c>
      <c r="B953" s="1" t="s">
        <v>1318</v>
      </c>
      <c r="C953">
        <v>0</v>
      </c>
      <c r="D953">
        <v>1610612752</v>
      </c>
      <c r="E953" s="1" t="s">
        <v>1248</v>
      </c>
      <c r="F953">
        <v>300</v>
      </c>
      <c r="G953">
        <v>72</v>
      </c>
      <c r="I953">
        <v>19430</v>
      </c>
      <c r="J953">
        <v>332</v>
      </c>
      <c r="K953">
        <v>817</v>
      </c>
      <c r="L953">
        <v>406</v>
      </c>
      <c r="P953">
        <v>415</v>
      </c>
      <c r="Q953">
        <v>519</v>
      </c>
      <c r="R953">
        <v>8</v>
      </c>
      <c r="U953">
        <v>7250</v>
      </c>
      <c r="V953">
        <v>85</v>
      </c>
      <c r="Z953">
        <v>202</v>
      </c>
      <c r="AA953">
        <v>1079</v>
      </c>
      <c r="AB953" s="1" t="s">
        <v>1744</v>
      </c>
    </row>
    <row r="954" spans="1:28" x14ac:dyDescent="0.3">
      <c r="A954">
        <v>76403</v>
      </c>
      <c r="B954" s="1" t="s">
        <v>1412</v>
      </c>
      <c r="C954">
        <v>0</v>
      </c>
      <c r="D954">
        <v>1610612752</v>
      </c>
      <c r="E954" s="1" t="s">
        <v>1248</v>
      </c>
      <c r="F954">
        <v>230</v>
      </c>
      <c r="G954">
        <v>70</v>
      </c>
      <c r="I954">
        <v>8770</v>
      </c>
      <c r="J954">
        <v>161</v>
      </c>
      <c r="K954">
        <v>391</v>
      </c>
      <c r="L954">
        <v>412</v>
      </c>
      <c r="P954">
        <v>54</v>
      </c>
      <c r="Q954">
        <v>78</v>
      </c>
      <c r="R954">
        <v>692</v>
      </c>
      <c r="U954">
        <v>1830</v>
      </c>
      <c r="V954">
        <v>67</v>
      </c>
      <c r="Z954">
        <v>113</v>
      </c>
      <c r="AA954">
        <v>376</v>
      </c>
      <c r="AB954" s="1" t="s">
        <v>1745</v>
      </c>
    </row>
    <row r="955" spans="1:28" x14ac:dyDescent="0.3">
      <c r="A955">
        <v>76162</v>
      </c>
      <c r="B955" s="1" t="s">
        <v>1356</v>
      </c>
      <c r="C955">
        <v>0</v>
      </c>
      <c r="D955">
        <v>1610612752</v>
      </c>
      <c r="E955" s="1" t="s">
        <v>1248</v>
      </c>
      <c r="F955">
        <v>230</v>
      </c>
      <c r="G955">
        <v>55</v>
      </c>
      <c r="I955">
        <v>4750</v>
      </c>
      <c r="J955">
        <v>78</v>
      </c>
      <c r="K955">
        <v>205</v>
      </c>
      <c r="L955">
        <v>38</v>
      </c>
      <c r="P955">
        <v>73</v>
      </c>
      <c r="Q955">
        <v>86</v>
      </c>
      <c r="R955">
        <v>849</v>
      </c>
      <c r="U955">
        <v>820</v>
      </c>
      <c r="V955">
        <v>64</v>
      </c>
      <c r="Z955">
        <v>67</v>
      </c>
      <c r="AA955">
        <v>229</v>
      </c>
      <c r="AB955" s="1" t="s">
        <v>1746</v>
      </c>
    </row>
    <row r="956" spans="1:28" x14ac:dyDescent="0.3">
      <c r="A956">
        <v>76162</v>
      </c>
      <c r="B956" s="1" t="s">
        <v>1357</v>
      </c>
      <c r="C956">
        <v>0</v>
      </c>
      <c r="D956">
        <v>1610612752</v>
      </c>
      <c r="E956" s="1" t="s">
        <v>1248</v>
      </c>
      <c r="F956">
        <v>240</v>
      </c>
      <c r="G956">
        <v>66</v>
      </c>
      <c r="I956">
        <v>9860</v>
      </c>
      <c r="J956">
        <v>210</v>
      </c>
      <c r="K956">
        <v>465</v>
      </c>
      <c r="L956">
        <v>452</v>
      </c>
      <c r="P956">
        <v>73</v>
      </c>
      <c r="Q956">
        <v>88</v>
      </c>
      <c r="R956">
        <v>83</v>
      </c>
      <c r="S956">
        <v>480</v>
      </c>
      <c r="T956">
        <v>850</v>
      </c>
      <c r="U956">
        <v>1330</v>
      </c>
      <c r="V956">
        <v>91</v>
      </c>
      <c r="W956">
        <v>650</v>
      </c>
      <c r="X956">
        <v>20</v>
      </c>
      <c r="Z956">
        <v>123</v>
      </c>
      <c r="AA956">
        <v>493</v>
      </c>
      <c r="AB956" s="1" t="s">
        <v>1746</v>
      </c>
    </row>
    <row r="957" spans="1:28" x14ac:dyDescent="0.3">
      <c r="A957">
        <v>76162</v>
      </c>
      <c r="B957" s="1" t="s">
        <v>1358</v>
      </c>
      <c r="C957">
        <v>0</v>
      </c>
      <c r="D957">
        <v>1610612752</v>
      </c>
      <c r="E957" s="1" t="s">
        <v>1248</v>
      </c>
      <c r="F957">
        <v>250</v>
      </c>
      <c r="G957">
        <v>47</v>
      </c>
      <c r="I957">
        <v>8760</v>
      </c>
      <c r="J957">
        <v>179</v>
      </c>
      <c r="K957">
        <v>400</v>
      </c>
      <c r="L957">
        <v>448</v>
      </c>
      <c r="P957">
        <v>69</v>
      </c>
      <c r="Q957">
        <v>96</v>
      </c>
      <c r="R957">
        <v>719</v>
      </c>
      <c r="S957">
        <v>290</v>
      </c>
      <c r="T957">
        <v>580</v>
      </c>
      <c r="U957">
        <v>870</v>
      </c>
      <c r="V957">
        <v>105</v>
      </c>
      <c r="W957">
        <v>290</v>
      </c>
      <c r="X957">
        <v>30</v>
      </c>
      <c r="Z957">
        <v>96</v>
      </c>
      <c r="AA957">
        <v>427</v>
      </c>
      <c r="AB957" s="1" t="s">
        <v>1746</v>
      </c>
    </row>
    <row r="958" spans="1:28" x14ac:dyDescent="0.3">
      <c r="A958">
        <v>1564</v>
      </c>
      <c r="B958" s="1" t="s">
        <v>1464</v>
      </c>
      <c r="C958">
        <v>0</v>
      </c>
      <c r="D958">
        <v>1610612752</v>
      </c>
      <c r="E958" s="1" t="s">
        <v>1248</v>
      </c>
      <c r="F958">
        <v>270</v>
      </c>
      <c r="G958">
        <v>2</v>
      </c>
      <c r="H958">
        <v>0</v>
      </c>
      <c r="I958">
        <v>50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3</v>
      </c>
      <c r="Q958">
        <v>4</v>
      </c>
      <c r="R958">
        <v>75</v>
      </c>
      <c r="S958">
        <v>10</v>
      </c>
      <c r="T958">
        <v>0</v>
      </c>
      <c r="U958">
        <v>10</v>
      </c>
      <c r="V958">
        <v>0</v>
      </c>
      <c r="W958">
        <v>0</v>
      </c>
      <c r="X958">
        <v>0</v>
      </c>
      <c r="Y958">
        <v>20</v>
      </c>
      <c r="Z958">
        <v>1</v>
      </c>
      <c r="AA958">
        <v>3</v>
      </c>
      <c r="AB958" s="1" t="s">
        <v>1747</v>
      </c>
    </row>
    <row r="959" spans="1:28" x14ac:dyDescent="0.3">
      <c r="A959">
        <v>77116</v>
      </c>
      <c r="B959" s="1" t="s">
        <v>1299</v>
      </c>
      <c r="C959">
        <v>0</v>
      </c>
      <c r="D959">
        <v>1610612752</v>
      </c>
      <c r="E959" s="1" t="s">
        <v>1248</v>
      </c>
      <c r="F959">
        <v>240</v>
      </c>
      <c r="G959">
        <v>11</v>
      </c>
      <c r="J959">
        <v>18</v>
      </c>
      <c r="K959">
        <v>48</v>
      </c>
      <c r="L959">
        <v>375</v>
      </c>
      <c r="P959">
        <v>6</v>
      </c>
      <c r="Q959">
        <v>12</v>
      </c>
      <c r="R959">
        <v>5</v>
      </c>
      <c r="V959">
        <v>5</v>
      </c>
      <c r="Z959">
        <v>20</v>
      </c>
      <c r="AA959">
        <v>42</v>
      </c>
      <c r="AB959" s="1" t="s">
        <v>1748</v>
      </c>
    </row>
    <row r="960" spans="1:28" x14ac:dyDescent="0.3">
      <c r="A960">
        <v>77116</v>
      </c>
      <c r="B960" s="1" t="s">
        <v>1266</v>
      </c>
      <c r="C960">
        <v>0</v>
      </c>
      <c r="D960">
        <v>1610612752</v>
      </c>
      <c r="E960" s="1" t="s">
        <v>1248</v>
      </c>
      <c r="F960">
        <v>250</v>
      </c>
      <c r="G960">
        <v>29</v>
      </c>
      <c r="J960">
        <v>19</v>
      </c>
      <c r="K960">
        <v>64</v>
      </c>
      <c r="L960">
        <v>297</v>
      </c>
      <c r="P960">
        <v>14</v>
      </c>
      <c r="Q960">
        <v>31</v>
      </c>
      <c r="R960">
        <v>452</v>
      </c>
      <c r="V960">
        <v>20</v>
      </c>
      <c r="Z960">
        <v>53</v>
      </c>
      <c r="AA960">
        <v>52</v>
      </c>
      <c r="AB960" s="1" t="s">
        <v>1748</v>
      </c>
    </row>
    <row r="961" spans="1:28" x14ac:dyDescent="0.3">
      <c r="A961">
        <v>76770</v>
      </c>
      <c r="B961" s="1" t="s">
        <v>1274</v>
      </c>
      <c r="C961">
        <v>0</v>
      </c>
      <c r="D961">
        <v>1610612752</v>
      </c>
      <c r="E961" s="1" t="s">
        <v>1248</v>
      </c>
      <c r="F961">
        <v>290</v>
      </c>
      <c r="G961">
        <v>18</v>
      </c>
      <c r="H961">
        <v>0</v>
      </c>
      <c r="I961">
        <v>780</v>
      </c>
      <c r="J961">
        <v>9</v>
      </c>
      <c r="K961">
        <v>20</v>
      </c>
      <c r="L961">
        <v>45</v>
      </c>
      <c r="M961">
        <v>20</v>
      </c>
      <c r="N961">
        <v>50</v>
      </c>
      <c r="O961">
        <v>4</v>
      </c>
      <c r="P961">
        <v>13</v>
      </c>
      <c r="Q961">
        <v>15</v>
      </c>
      <c r="R961">
        <v>867</v>
      </c>
      <c r="S961">
        <v>30</v>
      </c>
      <c r="T961">
        <v>100</v>
      </c>
      <c r="U961">
        <v>130</v>
      </c>
      <c r="V961">
        <v>30</v>
      </c>
      <c r="W961">
        <v>20</v>
      </c>
      <c r="X961">
        <v>0</v>
      </c>
      <c r="Y961">
        <v>50</v>
      </c>
      <c r="Z961">
        <v>12</v>
      </c>
      <c r="AA961">
        <v>33</v>
      </c>
      <c r="AB961" s="1" t="s">
        <v>1749</v>
      </c>
    </row>
    <row r="962" spans="1:28" x14ac:dyDescent="0.3">
      <c r="A962">
        <v>76402</v>
      </c>
      <c r="B962" s="1" t="s">
        <v>1264</v>
      </c>
      <c r="C962">
        <v>0</v>
      </c>
      <c r="D962">
        <v>1610612752</v>
      </c>
      <c r="E962" s="1" t="s">
        <v>1248</v>
      </c>
      <c r="F962">
        <v>280</v>
      </c>
      <c r="G962">
        <v>79</v>
      </c>
      <c r="I962">
        <v>20090</v>
      </c>
      <c r="J962">
        <v>215</v>
      </c>
      <c r="K962">
        <v>448</v>
      </c>
      <c r="L962">
        <v>48</v>
      </c>
      <c r="P962">
        <v>81</v>
      </c>
      <c r="Q962">
        <v>103</v>
      </c>
      <c r="R962">
        <v>786</v>
      </c>
      <c r="S962">
        <v>690</v>
      </c>
      <c r="T962">
        <v>1430</v>
      </c>
      <c r="U962">
        <v>2120</v>
      </c>
      <c r="V962">
        <v>283</v>
      </c>
      <c r="W962">
        <v>680</v>
      </c>
      <c r="X962">
        <v>170</v>
      </c>
      <c r="Y962">
        <v>1130</v>
      </c>
      <c r="Z962">
        <v>142</v>
      </c>
      <c r="AA962">
        <v>511</v>
      </c>
      <c r="AB962" s="1" t="s">
        <v>1750</v>
      </c>
    </row>
    <row r="963" spans="1:28" x14ac:dyDescent="0.3">
      <c r="A963">
        <v>76402</v>
      </c>
      <c r="B963" s="1" t="s">
        <v>1265</v>
      </c>
      <c r="C963">
        <v>0</v>
      </c>
      <c r="D963">
        <v>1610612752</v>
      </c>
      <c r="E963" s="1" t="s">
        <v>1248</v>
      </c>
      <c r="F963">
        <v>290</v>
      </c>
      <c r="G963">
        <v>79</v>
      </c>
      <c r="I963">
        <v>23900</v>
      </c>
      <c r="J963">
        <v>311</v>
      </c>
      <c r="K963">
        <v>657</v>
      </c>
      <c r="L963">
        <v>473</v>
      </c>
      <c r="P963">
        <v>130</v>
      </c>
      <c r="Q963">
        <v>171</v>
      </c>
      <c r="R963">
        <v>76</v>
      </c>
      <c r="S963">
        <v>650</v>
      </c>
      <c r="T963">
        <v>1600</v>
      </c>
      <c r="U963">
        <v>2250</v>
      </c>
      <c r="V963">
        <v>376</v>
      </c>
      <c r="W963">
        <v>730</v>
      </c>
      <c r="X963">
        <v>110</v>
      </c>
      <c r="Y963">
        <v>1420</v>
      </c>
      <c r="Z963">
        <v>147</v>
      </c>
      <c r="AA963">
        <v>752</v>
      </c>
      <c r="AB963" s="1" t="s">
        <v>1750</v>
      </c>
    </row>
    <row r="964" spans="1:28" x14ac:dyDescent="0.3">
      <c r="A964">
        <v>76402</v>
      </c>
      <c r="B964" s="1" t="s">
        <v>1359</v>
      </c>
      <c r="C964">
        <v>0</v>
      </c>
      <c r="D964">
        <v>1610612752</v>
      </c>
      <c r="E964" s="1" t="s">
        <v>1248</v>
      </c>
      <c r="F964">
        <v>300</v>
      </c>
      <c r="G964">
        <v>22</v>
      </c>
      <c r="I964">
        <v>2540</v>
      </c>
      <c r="J964">
        <v>30</v>
      </c>
      <c r="K964">
        <v>69</v>
      </c>
      <c r="L964">
        <v>435</v>
      </c>
      <c r="M964">
        <v>30</v>
      </c>
      <c r="N964">
        <v>80</v>
      </c>
      <c r="O964">
        <v>375</v>
      </c>
      <c r="P964">
        <v>12</v>
      </c>
      <c r="Q964">
        <v>15</v>
      </c>
      <c r="R964">
        <v>8</v>
      </c>
      <c r="S964">
        <v>100</v>
      </c>
      <c r="T964">
        <v>90</v>
      </c>
      <c r="U964">
        <v>190</v>
      </c>
      <c r="V964">
        <v>40</v>
      </c>
      <c r="W964">
        <v>130</v>
      </c>
      <c r="X964">
        <v>20</v>
      </c>
      <c r="Y964">
        <v>170</v>
      </c>
      <c r="Z964">
        <v>13</v>
      </c>
      <c r="AA964">
        <v>75</v>
      </c>
      <c r="AB964" s="1" t="s">
        <v>1750</v>
      </c>
    </row>
    <row r="965" spans="1:28" x14ac:dyDescent="0.3">
      <c r="A965">
        <v>76156</v>
      </c>
      <c r="B965" s="1" t="s">
        <v>1318</v>
      </c>
      <c r="C965">
        <v>0</v>
      </c>
      <c r="D965">
        <v>1610612752</v>
      </c>
      <c r="E965" s="1" t="s">
        <v>1248</v>
      </c>
      <c r="F965">
        <v>240</v>
      </c>
      <c r="G965">
        <v>6</v>
      </c>
      <c r="I965">
        <v>400</v>
      </c>
      <c r="J965">
        <v>3</v>
      </c>
      <c r="K965">
        <v>11</v>
      </c>
      <c r="L965">
        <v>273</v>
      </c>
      <c r="P965">
        <v>2</v>
      </c>
      <c r="Q965">
        <v>2</v>
      </c>
      <c r="R965">
        <v>10</v>
      </c>
      <c r="U965">
        <v>80</v>
      </c>
      <c r="V965">
        <v>1</v>
      </c>
      <c r="Z965">
        <v>4</v>
      </c>
      <c r="AA965">
        <v>8</v>
      </c>
      <c r="AB965" s="1" t="s">
        <v>1751</v>
      </c>
    </row>
    <row r="966" spans="1:28" x14ac:dyDescent="0.3">
      <c r="A966">
        <v>202711</v>
      </c>
      <c r="B966" s="1" t="s">
        <v>1369</v>
      </c>
      <c r="C966">
        <v>0</v>
      </c>
      <c r="D966">
        <v>1610612752</v>
      </c>
      <c r="E966" s="1" t="s">
        <v>1248</v>
      </c>
      <c r="F966">
        <v>350</v>
      </c>
      <c r="G966">
        <v>29</v>
      </c>
      <c r="H966">
        <v>0</v>
      </c>
      <c r="I966">
        <v>5570</v>
      </c>
      <c r="J966">
        <v>110</v>
      </c>
      <c r="K966">
        <v>256</v>
      </c>
      <c r="L966">
        <v>43</v>
      </c>
      <c r="M966">
        <v>470</v>
      </c>
      <c r="N966">
        <v>1270</v>
      </c>
      <c r="O966">
        <v>37</v>
      </c>
      <c r="P966">
        <v>36</v>
      </c>
      <c r="Q966">
        <v>45</v>
      </c>
      <c r="R966">
        <v>8</v>
      </c>
      <c r="S966">
        <v>90</v>
      </c>
      <c r="T966">
        <v>490</v>
      </c>
      <c r="U966">
        <v>580</v>
      </c>
      <c r="V966">
        <v>26</v>
      </c>
      <c r="W966">
        <v>70</v>
      </c>
      <c r="X966">
        <v>10</v>
      </c>
      <c r="Y966">
        <v>380</v>
      </c>
      <c r="Z966">
        <v>38</v>
      </c>
      <c r="AA966">
        <v>303</v>
      </c>
      <c r="AB966" s="1" t="s">
        <v>1752</v>
      </c>
    </row>
    <row r="967" spans="1:28" x14ac:dyDescent="0.3">
      <c r="A967">
        <v>77106</v>
      </c>
      <c r="B967" s="1" t="s">
        <v>1414</v>
      </c>
      <c r="C967">
        <v>0</v>
      </c>
      <c r="D967">
        <v>1610612752</v>
      </c>
      <c r="E967" s="1" t="s">
        <v>1248</v>
      </c>
      <c r="F967">
        <v>220</v>
      </c>
      <c r="G967">
        <v>75</v>
      </c>
      <c r="I967">
        <v>10930</v>
      </c>
      <c r="J967">
        <v>182</v>
      </c>
      <c r="K967">
        <v>455</v>
      </c>
      <c r="L967">
        <v>4</v>
      </c>
      <c r="P967">
        <v>99</v>
      </c>
      <c r="Q967">
        <v>168</v>
      </c>
      <c r="R967">
        <v>589</v>
      </c>
      <c r="U967">
        <v>3380</v>
      </c>
      <c r="V967">
        <v>55</v>
      </c>
      <c r="Z967">
        <v>212</v>
      </c>
      <c r="AA967">
        <v>463</v>
      </c>
      <c r="AB967" s="1" t="s">
        <v>1753</v>
      </c>
    </row>
    <row r="968" spans="1:28" x14ac:dyDescent="0.3">
      <c r="A968">
        <v>77106</v>
      </c>
      <c r="B968" s="1" t="s">
        <v>1415</v>
      </c>
      <c r="C968">
        <v>0</v>
      </c>
      <c r="D968">
        <v>1610612752</v>
      </c>
      <c r="E968" s="1" t="s">
        <v>1248</v>
      </c>
      <c r="F968">
        <v>230</v>
      </c>
      <c r="G968">
        <v>47</v>
      </c>
      <c r="I968">
        <v>9240</v>
      </c>
      <c r="J968">
        <v>126</v>
      </c>
      <c r="K968">
        <v>294</v>
      </c>
      <c r="L968">
        <v>429</v>
      </c>
      <c r="P968">
        <v>80</v>
      </c>
      <c r="Q968">
        <v>119</v>
      </c>
      <c r="R968">
        <v>672</v>
      </c>
      <c r="U968">
        <v>2460</v>
      </c>
      <c r="V968">
        <v>43</v>
      </c>
      <c r="Z968">
        <v>168</v>
      </c>
      <c r="AA968">
        <v>332</v>
      </c>
      <c r="AB968" s="1" t="s">
        <v>1753</v>
      </c>
    </row>
    <row r="969" spans="1:28" x14ac:dyDescent="0.3">
      <c r="A969">
        <v>77106</v>
      </c>
      <c r="B969" s="1" t="s">
        <v>1417</v>
      </c>
      <c r="C969">
        <v>0</v>
      </c>
      <c r="D969">
        <v>1610612752</v>
      </c>
      <c r="E969" s="1" t="s">
        <v>1248</v>
      </c>
      <c r="F969">
        <v>250</v>
      </c>
      <c r="G969">
        <v>71</v>
      </c>
      <c r="I969">
        <v>7710</v>
      </c>
      <c r="J969">
        <v>118</v>
      </c>
      <c r="K969">
        <v>263</v>
      </c>
      <c r="L969">
        <v>449</v>
      </c>
      <c r="P969">
        <v>95</v>
      </c>
      <c r="Q969">
        <v>133</v>
      </c>
      <c r="R969">
        <v>714</v>
      </c>
      <c r="U969">
        <v>2380</v>
      </c>
      <c r="V969">
        <v>31</v>
      </c>
      <c r="Z969">
        <v>169</v>
      </c>
      <c r="AA969">
        <v>331</v>
      </c>
      <c r="AB969" s="1" t="s">
        <v>1753</v>
      </c>
    </row>
    <row r="970" spans="1:28" x14ac:dyDescent="0.3">
      <c r="A970">
        <v>77106</v>
      </c>
      <c r="B970" s="1" t="s">
        <v>1354</v>
      </c>
      <c r="C970">
        <v>0</v>
      </c>
      <c r="D970">
        <v>1610612752</v>
      </c>
      <c r="E970" s="1" t="s">
        <v>1248</v>
      </c>
      <c r="F970">
        <v>260</v>
      </c>
      <c r="G970">
        <v>80</v>
      </c>
      <c r="I970">
        <v>12730</v>
      </c>
      <c r="J970">
        <v>205</v>
      </c>
      <c r="K970">
        <v>466</v>
      </c>
      <c r="L970">
        <v>44</v>
      </c>
      <c r="P970">
        <v>167</v>
      </c>
      <c r="Q970">
        <v>228</v>
      </c>
      <c r="R970">
        <v>732</v>
      </c>
      <c r="U970">
        <v>3260</v>
      </c>
      <c r="V970">
        <v>72</v>
      </c>
      <c r="Z970">
        <v>224</v>
      </c>
      <c r="AA970">
        <v>577</v>
      </c>
      <c r="AB970" s="1" t="s">
        <v>1753</v>
      </c>
    </row>
    <row r="971" spans="1:28" x14ac:dyDescent="0.3">
      <c r="A971">
        <v>77106</v>
      </c>
      <c r="B971" s="1" t="s">
        <v>1356</v>
      </c>
      <c r="C971">
        <v>0</v>
      </c>
      <c r="D971">
        <v>1610612752</v>
      </c>
      <c r="E971" s="1" t="s">
        <v>1248</v>
      </c>
      <c r="F971">
        <v>270</v>
      </c>
      <c r="G971">
        <v>80</v>
      </c>
      <c r="I971">
        <v>13930</v>
      </c>
      <c r="J971">
        <v>245</v>
      </c>
      <c r="K971">
        <v>553</v>
      </c>
      <c r="L971">
        <v>443</v>
      </c>
      <c r="P971">
        <v>154</v>
      </c>
      <c r="Q971">
        <v>195</v>
      </c>
      <c r="R971">
        <v>79</v>
      </c>
      <c r="U971">
        <v>3440</v>
      </c>
      <c r="V971">
        <v>94</v>
      </c>
      <c r="Z971">
        <v>218</v>
      </c>
      <c r="AA971">
        <v>644</v>
      </c>
      <c r="AB971" s="1" t="s">
        <v>1753</v>
      </c>
    </row>
    <row r="972" spans="1:28" x14ac:dyDescent="0.3">
      <c r="A972">
        <v>77106</v>
      </c>
      <c r="B972" s="1" t="s">
        <v>1357</v>
      </c>
      <c r="C972">
        <v>0</v>
      </c>
      <c r="D972">
        <v>1610612752</v>
      </c>
      <c r="E972" s="1" t="s">
        <v>1248</v>
      </c>
      <c r="F972">
        <v>280</v>
      </c>
      <c r="G972">
        <v>82</v>
      </c>
      <c r="I972">
        <v>20500</v>
      </c>
      <c r="J972">
        <v>361</v>
      </c>
      <c r="K972">
        <v>757</v>
      </c>
      <c r="L972">
        <v>477</v>
      </c>
      <c r="P972">
        <v>191</v>
      </c>
      <c r="Q972">
        <v>246</v>
      </c>
      <c r="R972">
        <v>776</v>
      </c>
      <c r="S972">
        <v>1230</v>
      </c>
      <c r="T972">
        <v>3550</v>
      </c>
      <c r="U972">
        <v>4780</v>
      </c>
      <c r="V972">
        <v>134</v>
      </c>
      <c r="W972">
        <v>420</v>
      </c>
      <c r="X972">
        <v>670</v>
      </c>
      <c r="Z972">
        <v>277</v>
      </c>
      <c r="AA972">
        <v>913</v>
      </c>
      <c r="AB972" s="1" t="s">
        <v>1753</v>
      </c>
    </row>
    <row r="973" spans="1:28" x14ac:dyDescent="0.3">
      <c r="A973">
        <v>77106</v>
      </c>
      <c r="B973" s="1" t="s">
        <v>1358</v>
      </c>
      <c r="C973">
        <v>0</v>
      </c>
      <c r="D973">
        <v>1610612752</v>
      </c>
      <c r="E973" s="1" t="s">
        <v>1248</v>
      </c>
      <c r="F973">
        <v>290</v>
      </c>
      <c r="G973">
        <v>78</v>
      </c>
      <c r="I973">
        <v>22850</v>
      </c>
      <c r="J973">
        <v>324</v>
      </c>
      <c r="K973">
        <v>712</v>
      </c>
      <c r="L973">
        <v>455</v>
      </c>
      <c r="P973">
        <v>193</v>
      </c>
      <c r="Q973">
        <v>253</v>
      </c>
      <c r="R973">
        <v>763</v>
      </c>
      <c r="S973">
        <v>1370</v>
      </c>
      <c r="T973">
        <v>4630</v>
      </c>
      <c r="U973">
        <v>6000</v>
      </c>
      <c r="V973">
        <v>136</v>
      </c>
      <c r="W973">
        <v>840</v>
      </c>
      <c r="X973">
        <v>530</v>
      </c>
      <c r="Z973">
        <v>330</v>
      </c>
      <c r="AA973">
        <v>841</v>
      </c>
      <c r="AB973" s="1" t="s">
        <v>1753</v>
      </c>
    </row>
    <row r="974" spans="1:28" x14ac:dyDescent="0.3">
      <c r="A974">
        <v>77106</v>
      </c>
      <c r="B974" s="1" t="s">
        <v>1261</v>
      </c>
      <c r="C974">
        <v>0</v>
      </c>
      <c r="D974">
        <v>1610612752</v>
      </c>
      <c r="E974" s="1" t="s">
        <v>1248</v>
      </c>
      <c r="F974">
        <v>300</v>
      </c>
      <c r="G974">
        <v>80</v>
      </c>
      <c r="I974">
        <v>14610</v>
      </c>
      <c r="J974">
        <v>185</v>
      </c>
      <c r="K974">
        <v>387</v>
      </c>
      <c r="L974">
        <v>478</v>
      </c>
      <c r="P974">
        <v>110</v>
      </c>
      <c r="Q974">
        <v>150</v>
      </c>
      <c r="R974">
        <v>733</v>
      </c>
      <c r="S974">
        <v>800</v>
      </c>
      <c r="T974">
        <v>2630</v>
      </c>
      <c r="U974">
        <v>3430</v>
      </c>
      <c r="V974">
        <v>105</v>
      </c>
      <c r="W974">
        <v>410</v>
      </c>
      <c r="X974">
        <v>200</v>
      </c>
      <c r="Z974">
        <v>275</v>
      </c>
      <c r="AA974">
        <v>480</v>
      </c>
      <c r="AB974" s="1" t="s">
        <v>1753</v>
      </c>
    </row>
    <row r="975" spans="1:28" x14ac:dyDescent="0.3">
      <c r="A975">
        <v>77106</v>
      </c>
      <c r="B975" s="1" t="s">
        <v>1263</v>
      </c>
      <c r="C975">
        <v>0</v>
      </c>
      <c r="D975">
        <v>1610612752</v>
      </c>
      <c r="E975" s="1" t="s">
        <v>1248</v>
      </c>
      <c r="F975">
        <v>310</v>
      </c>
      <c r="G975">
        <v>76</v>
      </c>
      <c r="I975">
        <v>10330</v>
      </c>
      <c r="J975">
        <v>102</v>
      </c>
      <c r="K975">
        <v>232</v>
      </c>
      <c r="L975">
        <v>44</v>
      </c>
      <c r="P975">
        <v>51</v>
      </c>
      <c r="Q975">
        <v>71</v>
      </c>
      <c r="R975">
        <v>718</v>
      </c>
      <c r="S975">
        <v>750</v>
      </c>
      <c r="T975">
        <v>1540</v>
      </c>
      <c r="U975">
        <v>2290</v>
      </c>
      <c r="V975">
        <v>85</v>
      </c>
      <c r="W975">
        <v>330</v>
      </c>
      <c r="X975">
        <v>180</v>
      </c>
      <c r="Z975">
        <v>184</v>
      </c>
      <c r="AA975">
        <v>255</v>
      </c>
      <c r="AB975" s="1" t="s">
        <v>1753</v>
      </c>
    </row>
    <row r="976" spans="1:28" x14ac:dyDescent="0.3">
      <c r="A976">
        <v>77106</v>
      </c>
      <c r="B976" s="1" t="s">
        <v>1264</v>
      </c>
      <c r="C976">
        <v>0</v>
      </c>
      <c r="D976">
        <v>1610612752</v>
      </c>
      <c r="E976" s="1" t="s">
        <v>1248</v>
      </c>
      <c r="F976">
        <v>320</v>
      </c>
      <c r="G976">
        <v>63</v>
      </c>
      <c r="I976">
        <v>6540</v>
      </c>
      <c r="J976">
        <v>55</v>
      </c>
      <c r="K976">
        <v>115</v>
      </c>
      <c r="L976">
        <v>478</v>
      </c>
      <c r="P976">
        <v>43</v>
      </c>
      <c r="Q976">
        <v>56</v>
      </c>
      <c r="R976">
        <v>768</v>
      </c>
      <c r="S976">
        <v>290</v>
      </c>
      <c r="T976">
        <v>810</v>
      </c>
      <c r="U976">
        <v>1100</v>
      </c>
      <c r="V976">
        <v>46</v>
      </c>
      <c r="W976">
        <v>310</v>
      </c>
      <c r="X976">
        <v>150</v>
      </c>
      <c r="Y976">
        <v>470</v>
      </c>
      <c r="Z976">
        <v>106</v>
      </c>
      <c r="AA976">
        <v>153</v>
      </c>
      <c r="AB976" s="1" t="s">
        <v>1753</v>
      </c>
    </row>
    <row r="977" spans="1:28" x14ac:dyDescent="0.3">
      <c r="A977">
        <v>2429</v>
      </c>
      <c r="B977" s="1" t="s">
        <v>1290</v>
      </c>
      <c r="C977">
        <v>0</v>
      </c>
      <c r="D977">
        <v>1610612752</v>
      </c>
      <c r="E977" s="1" t="s">
        <v>1248</v>
      </c>
      <c r="F977">
        <v>340</v>
      </c>
      <c r="G977">
        <v>2</v>
      </c>
      <c r="H977">
        <v>0</v>
      </c>
      <c r="I977">
        <v>130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2</v>
      </c>
      <c r="R977">
        <v>0</v>
      </c>
      <c r="S977">
        <v>10</v>
      </c>
      <c r="T977">
        <v>40</v>
      </c>
      <c r="U977">
        <v>50</v>
      </c>
      <c r="V977">
        <v>0</v>
      </c>
      <c r="W977">
        <v>10</v>
      </c>
      <c r="X977">
        <v>10</v>
      </c>
      <c r="Y977">
        <v>10</v>
      </c>
      <c r="Z977">
        <v>4</v>
      </c>
      <c r="AA977">
        <v>0</v>
      </c>
      <c r="AB977" s="1" t="s">
        <v>1754</v>
      </c>
    </row>
    <row r="978" spans="1:28" x14ac:dyDescent="0.3">
      <c r="A978">
        <v>201947</v>
      </c>
      <c r="B978" s="1" t="s">
        <v>1337</v>
      </c>
      <c r="C978">
        <v>0</v>
      </c>
      <c r="D978">
        <v>1610612752</v>
      </c>
      <c r="E978" s="1" t="s">
        <v>1248</v>
      </c>
      <c r="F978">
        <v>260</v>
      </c>
      <c r="G978">
        <v>9</v>
      </c>
      <c r="H978">
        <v>0</v>
      </c>
      <c r="I978">
        <v>700</v>
      </c>
      <c r="J978">
        <v>7</v>
      </c>
      <c r="K978">
        <v>21</v>
      </c>
      <c r="L978">
        <v>333</v>
      </c>
      <c r="M978">
        <v>10</v>
      </c>
      <c r="N978">
        <v>60</v>
      </c>
      <c r="O978">
        <v>167</v>
      </c>
      <c r="P978">
        <v>8</v>
      </c>
      <c r="Q978">
        <v>10</v>
      </c>
      <c r="R978">
        <v>8</v>
      </c>
      <c r="S978">
        <v>20</v>
      </c>
      <c r="T978">
        <v>140</v>
      </c>
      <c r="U978">
        <v>160</v>
      </c>
      <c r="V978">
        <v>2</v>
      </c>
      <c r="W978">
        <v>10</v>
      </c>
      <c r="X978">
        <v>60</v>
      </c>
      <c r="Y978">
        <v>10</v>
      </c>
      <c r="Z978">
        <v>6</v>
      </c>
      <c r="AA978">
        <v>23</v>
      </c>
      <c r="AB978" s="1" t="s">
        <v>1755</v>
      </c>
    </row>
    <row r="979" spans="1:28" x14ac:dyDescent="0.3">
      <c r="A979">
        <v>41</v>
      </c>
      <c r="B979" s="1" t="s">
        <v>1274</v>
      </c>
      <c r="C979">
        <v>0</v>
      </c>
      <c r="D979">
        <v>1610612752</v>
      </c>
      <c r="E979" s="1" t="s">
        <v>1248</v>
      </c>
      <c r="F979">
        <v>260</v>
      </c>
      <c r="G979">
        <v>73</v>
      </c>
      <c r="H979">
        <v>380</v>
      </c>
      <c r="I979">
        <v>14020</v>
      </c>
      <c r="J979">
        <v>162</v>
      </c>
      <c r="K979">
        <v>288</v>
      </c>
      <c r="L979">
        <v>563</v>
      </c>
      <c r="M979">
        <v>0</v>
      </c>
      <c r="N979">
        <v>0</v>
      </c>
      <c r="O979">
        <v>0</v>
      </c>
      <c r="P979">
        <v>50</v>
      </c>
      <c r="Q979">
        <v>105</v>
      </c>
      <c r="R979">
        <v>476</v>
      </c>
      <c r="S979">
        <v>1500</v>
      </c>
      <c r="T979">
        <v>1940</v>
      </c>
      <c r="U979">
        <v>3440</v>
      </c>
      <c r="V979">
        <v>88</v>
      </c>
      <c r="W979">
        <v>760</v>
      </c>
      <c r="X979">
        <v>130</v>
      </c>
      <c r="Y979">
        <v>890</v>
      </c>
      <c r="Z979">
        <v>175</v>
      </c>
      <c r="AA979">
        <v>374</v>
      </c>
      <c r="AB979" s="1" t="s">
        <v>1756</v>
      </c>
    </row>
    <row r="980" spans="1:28" x14ac:dyDescent="0.3">
      <c r="A980">
        <v>41</v>
      </c>
      <c r="B980" s="1" t="s">
        <v>1275</v>
      </c>
      <c r="C980">
        <v>0</v>
      </c>
      <c r="D980">
        <v>1610612752</v>
      </c>
      <c r="E980" s="1" t="s">
        <v>1248</v>
      </c>
      <c r="F980">
        <v>270</v>
      </c>
      <c r="G980">
        <v>58</v>
      </c>
      <c r="H980">
        <v>230</v>
      </c>
      <c r="I980">
        <v>11260</v>
      </c>
      <c r="J980">
        <v>88</v>
      </c>
      <c r="K980">
        <v>193</v>
      </c>
      <c r="L980">
        <v>456</v>
      </c>
      <c r="M980">
        <v>10</v>
      </c>
      <c r="N980">
        <v>50</v>
      </c>
      <c r="O980">
        <v>2</v>
      </c>
      <c r="P980">
        <v>44</v>
      </c>
      <c r="Q980">
        <v>67</v>
      </c>
      <c r="R980">
        <v>657</v>
      </c>
      <c r="S980">
        <v>1130</v>
      </c>
      <c r="T980">
        <v>1490</v>
      </c>
      <c r="U980">
        <v>2620</v>
      </c>
      <c r="V980">
        <v>80</v>
      </c>
      <c r="W980">
        <v>480</v>
      </c>
      <c r="X980">
        <v>230</v>
      </c>
      <c r="Y980">
        <v>790</v>
      </c>
      <c r="Z980">
        <v>159</v>
      </c>
      <c r="AA980">
        <v>221</v>
      </c>
      <c r="AB980" s="1" t="s">
        <v>1756</v>
      </c>
    </row>
    <row r="981" spans="1:28" x14ac:dyDescent="0.3">
      <c r="A981">
        <v>349</v>
      </c>
      <c r="B981" s="1" t="s">
        <v>1253</v>
      </c>
      <c r="C981">
        <v>0</v>
      </c>
      <c r="D981">
        <v>1610612752</v>
      </c>
      <c r="E981" s="1" t="s">
        <v>1248</v>
      </c>
      <c r="F981">
        <v>230</v>
      </c>
      <c r="G981">
        <v>82</v>
      </c>
      <c r="H981">
        <v>800</v>
      </c>
      <c r="I981">
        <v>32490</v>
      </c>
      <c r="J981">
        <v>438</v>
      </c>
      <c r="K981">
        <v>1013</v>
      </c>
      <c r="L981">
        <v>432</v>
      </c>
      <c r="M981">
        <v>320</v>
      </c>
      <c r="N981">
        <v>1260</v>
      </c>
      <c r="O981">
        <v>254</v>
      </c>
      <c r="P981">
        <v>206</v>
      </c>
      <c r="Q981">
        <v>266</v>
      </c>
      <c r="R981">
        <v>774</v>
      </c>
      <c r="S981">
        <v>1200</v>
      </c>
      <c r="T981">
        <v>2760</v>
      </c>
      <c r="U981">
        <v>3960</v>
      </c>
      <c r="V981">
        <v>868</v>
      </c>
      <c r="W981">
        <v>2050</v>
      </c>
      <c r="X981">
        <v>60</v>
      </c>
      <c r="Y981">
        <v>2580</v>
      </c>
      <c r="Z981">
        <v>244</v>
      </c>
      <c r="AA981">
        <v>1114</v>
      </c>
      <c r="AB981" s="1" t="s">
        <v>1757</v>
      </c>
    </row>
    <row r="982" spans="1:28" x14ac:dyDescent="0.3">
      <c r="A982">
        <v>349</v>
      </c>
      <c r="B982" s="1" t="s">
        <v>1268</v>
      </c>
      <c r="C982">
        <v>0</v>
      </c>
      <c r="D982">
        <v>1610612752</v>
      </c>
      <c r="E982" s="1" t="s">
        <v>1248</v>
      </c>
      <c r="F982">
        <v>240</v>
      </c>
      <c r="G982">
        <v>72</v>
      </c>
      <c r="H982">
        <v>720</v>
      </c>
      <c r="I982">
        <v>24770</v>
      </c>
      <c r="J982">
        <v>479</v>
      </c>
      <c r="K982">
        <v>1025</v>
      </c>
      <c r="L982">
        <v>467</v>
      </c>
      <c r="M982">
        <v>810</v>
      </c>
      <c r="N982">
        <v>2400</v>
      </c>
      <c r="O982">
        <v>338</v>
      </c>
      <c r="P982">
        <v>180</v>
      </c>
      <c r="Q982">
        <v>258</v>
      </c>
      <c r="R982">
        <v>698</v>
      </c>
      <c r="S982">
        <v>1060</v>
      </c>
      <c r="T982">
        <v>2350</v>
      </c>
      <c r="U982">
        <v>3410</v>
      </c>
      <c r="V982">
        <v>619</v>
      </c>
      <c r="W982">
        <v>1390</v>
      </c>
      <c r="X982">
        <v>70</v>
      </c>
      <c r="Y982">
        <v>2260</v>
      </c>
      <c r="Z982">
        <v>163</v>
      </c>
      <c r="AA982">
        <v>1219</v>
      </c>
      <c r="AB982" s="1" t="s">
        <v>1757</v>
      </c>
    </row>
    <row r="983" spans="1:28" x14ac:dyDescent="0.3">
      <c r="A983">
        <v>349</v>
      </c>
      <c r="B983" s="1" t="s">
        <v>1270</v>
      </c>
      <c r="C983">
        <v>0</v>
      </c>
      <c r="D983">
        <v>1610612752</v>
      </c>
      <c r="E983" s="1" t="s">
        <v>1248</v>
      </c>
      <c r="F983">
        <v>250</v>
      </c>
      <c r="G983">
        <v>82</v>
      </c>
      <c r="H983">
        <v>690</v>
      </c>
      <c r="I983">
        <v>24280</v>
      </c>
      <c r="J983">
        <v>327</v>
      </c>
      <c r="K983">
        <v>749</v>
      </c>
      <c r="L983">
        <v>437</v>
      </c>
      <c r="M983">
        <v>350</v>
      </c>
      <c r="N983">
        <v>1310</v>
      </c>
      <c r="O983">
        <v>267</v>
      </c>
      <c r="P983">
        <v>120</v>
      </c>
      <c r="Q983">
        <v>165</v>
      </c>
      <c r="R983">
        <v>727</v>
      </c>
      <c r="S983">
        <v>1060</v>
      </c>
      <c r="T983">
        <v>2120</v>
      </c>
      <c r="U983">
        <v>3180</v>
      </c>
      <c r="V983">
        <v>604</v>
      </c>
      <c r="W983">
        <v>1090</v>
      </c>
      <c r="X983">
        <v>40</v>
      </c>
      <c r="Y983">
        <v>2110</v>
      </c>
      <c r="Z983">
        <v>121</v>
      </c>
      <c r="AA983">
        <v>809</v>
      </c>
      <c r="AB983" s="1" t="s">
        <v>1757</v>
      </c>
    </row>
    <row r="984" spans="1:28" x14ac:dyDescent="0.3">
      <c r="A984">
        <v>349</v>
      </c>
      <c r="B984" s="1" t="s">
        <v>1271</v>
      </c>
      <c r="C984">
        <v>0</v>
      </c>
      <c r="D984">
        <v>1610612752</v>
      </c>
      <c r="E984" s="1" t="s">
        <v>1248</v>
      </c>
      <c r="F984">
        <v>260</v>
      </c>
      <c r="G984">
        <v>72</v>
      </c>
      <c r="H984">
        <v>210</v>
      </c>
      <c r="I984">
        <v>15950</v>
      </c>
      <c r="J984">
        <v>250</v>
      </c>
      <c r="K984">
        <v>508</v>
      </c>
      <c r="L984">
        <v>492</v>
      </c>
      <c r="M984">
        <v>130</v>
      </c>
      <c r="N984">
        <v>510</v>
      </c>
      <c r="O984">
        <v>255</v>
      </c>
      <c r="P984">
        <v>117</v>
      </c>
      <c r="Q984">
        <v>160</v>
      </c>
      <c r="R984">
        <v>731</v>
      </c>
      <c r="S984">
        <v>620</v>
      </c>
      <c r="T984">
        <v>1350</v>
      </c>
      <c r="U984">
        <v>1970</v>
      </c>
      <c r="V984">
        <v>452</v>
      </c>
      <c r="W984">
        <v>600</v>
      </c>
      <c r="X984">
        <v>90</v>
      </c>
      <c r="Y984">
        <v>1350</v>
      </c>
      <c r="Z984">
        <v>81</v>
      </c>
      <c r="AA984">
        <v>630</v>
      </c>
      <c r="AB984" s="1" t="s">
        <v>1757</v>
      </c>
    </row>
    <row r="985" spans="1:28" x14ac:dyDescent="0.3">
      <c r="A985">
        <v>349</v>
      </c>
      <c r="B985" s="1" t="s">
        <v>1272</v>
      </c>
      <c r="C985">
        <v>0</v>
      </c>
      <c r="D985">
        <v>1610612752</v>
      </c>
      <c r="E985" s="1" t="s">
        <v>1248</v>
      </c>
      <c r="F985">
        <v>270</v>
      </c>
      <c r="G985">
        <v>81</v>
      </c>
      <c r="H985">
        <v>810</v>
      </c>
      <c r="I985">
        <v>24610</v>
      </c>
      <c r="J985">
        <v>367</v>
      </c>
      <c r="K985">
        <v>747</v>
      </c>
      <c r="L985">
        <v>491</v>
      </c>
      <c r="M985">
        <v>110</v>
      </c>
      <c r="N985">
        <v>430</v>
      </c>
      <c r="O985">
        <v>256</v>
      </c>
      <c r="P985">
        <v>171</v>
      </c>
      <c r="Q985">
        <v>222</v>
      </c>
      <c r="R985">
        <v>77</v>
      </c>
      <c r="S985">
        <v>950</v>
      </c>
      <c r="T985">
        <v>2100</v>
      </c>
      <c r="U985">
        <v>3050</v>
      </c>
      <c r="V985">
        <v>694</v>
      </c>
      <c r="W985">
        <v>1120</v>
      </c>
      <c r="X985">
        <v>130</v>
      </c>
      <c r="Y985">
        <v>2110</v>
      </c>
      <c r="Z985">
        <v>153</v>
      </c>
      <c r="AA985">
        <v>916</v>
      </c>
      <c r="AB985" s="1" t="s">
        <v>1757</v>
      </c>
    </row>
    <row r="986" spans="1:28" x14ac:dyDescent="0.3">
      <c r="A986">
        <v>349</v>
      </c>
      <c r="B986" s="1" t="s">
        <v>1465</v>
      </c>
      <c r="C986">
        <v>0</v>
      </c>
      <c r="D986">
        <v>1610612752</v>
      </c>
      <c r="E986" s="1" t="s">
        <v>1248</v>
      </c>
      <c r="F986">
        <v>360</v>
      </c>
      <c r="G986">
        <v>29</v>
      </c>
      <c r="H986">
        <v>280</v>
      </c>
      <c r="I986">
        <v>7860</v>
      </c>
      <c r="J986">
        <v>74</v>
      </c>
      <c r="K986">
        <v>180</v>
      </c>
      <c r="L986">
        <v>411</v>
      </c>
      <c r="M986">
        <v>130</v>
      </c>
      <c r="N986">
        <v>420</v>
      </c>
      <c r="O986">
        <v>31</v>
      </c>
      <c r="P986">
        <v>9</v>
      </c>
      <c r="Q986">
        <v>17</v>
      </c>
      <c r="R986">
        <v>529</v>
      </c>
      <c r="S986">
        <v>210</v>
      </c>
      <c r="T986">
        <v>990</v>
      </c>
      <c r="U986">
        <v>1200</v>
      </c>
      <c r="V986">
        <v>163</v>
      </c>
      <c r="W986">
        <v>210</v>
      </c>
      <c r="X986">
        <v>0</v>
      </c>
      <c r="Y986">
        <v>580</v>
      </c>
      <c r="Z986">
        <v>56</v>
      </c>
      <c r="AA986">
        <v>170</v>
      </c>
      <c r="AB986" s="1" t="s">
        <v>1757</v>
      </c>
    </row>
    <row r="987" spans="1:28" x14ac:dyDescent="0.3">
      <c r="A987">
        <v>349</v>
      </c>
      <c r="B987" s="1" t="s">
        <v>1330</v>
      </c>
      <c r="C987">
        <v>0</v>
      </c>
      <c r="D987">
        <v>1610612752</v>
      </c>
      <c r="E987" s="1" t="s">
        <v>1248</v>
      </c>
      <c r="F987">
        <v>370</v>
      </c>
      <c r="G987">
        <v>82</v>
      </c>
      <c r="H987">
        <v>820</v>
      </c>
      <c r="I987">
        <v>23670</v>
      </c>
      <c r="J987">
        <v>260</v>
      </c>
      <c r="K987">
        <v>592</v>
      </c>
      <c r="L987">
        <v>439</v>
      </c>
      <c r="M987">
        <v>790</v>
      </c>
      <c r="N987">
        <v>1950</v>
      </c>
      <c r="O987">
        <v>405</v>
      </c>
      <c r="P987">
        <v>87</v>
      </c>
      <c r="Q987">
        <v>110</v>
      </c>
      <c r="R987">
        <v>791</v>
      </c>
      <c r="S987">
        <v>560</v>
      </c>
      <c r="T987">
        <v>2530</v>
      </c>
      <c r="U987">
        <v>3090</v>
      </c>
      <c r="V987">
        <v>605</v>
      </c>
      <c r="W987">
        <v>740</v>
      </c>
      <c r="X987">
        <v>10</v>
      </c>
      <c r="Y987">
        <v>1500</v>
      </c>
      <c r="Z987">
        <v>162</v>
      </c>
      <c r="AA987">
        <v>686</v>
      </c>
      <c r="AB987" s="1" t="s">
        <v>1757</v>
      </c>
    </row>
    <row r="988" spans="1:28" x14ac:dyDescent="0.3">
      <c r="A988">
        <v>101112</v>
      </c>
      <c r="B988" s="1" t="s">
        <v>1300</v>
      </c>
      <c r="C988">
        <v>0</v>
      </c>
      <c r="D988">
        <v>1610612752</v>
      </c>
      <c r="E988" s="1" t="s">
        <v>1248</v>
      </c>
      <c r="F988">
        <v>230</v>
      </c>
      <c r="G988">
        <v>65</v>
      </c>
      <c r="H988">
        <v>140</v>
      </c>
      <c r="I988">
        <v>15720</v>
      </c>
      <c r="J988">
        <v>305</v>
      </c>
      <c r="K988">
        <v>640</v>
      </c>
      <c r="L988">
        <v>477</v>
      </c>
      <c r="M988">
        <v>30</v>
      </c>
      <c r="N988">
        <v>90</v>
      </c>
      <c r="O988">
        <v>333</v>
      </c>
      <c r="P988">
        <v>189</v>
      </c>
      <c r="Q988">
        <v>229</v>
      </c>
      <c r="R988">
        <v>825</v>
      </c>
      <c r="S988">
        <v>1380</v>
      </c>
      <c r="T988">
        <v>2360</v>
      </c>
      <c r="U988">
        <v>3740</v>
      </c>
      <c r="V988">
        <v>53</v>
      </c>
      <c r="W988">
        <v>300</v>
      </c>
      <c r="X988">
        <v>470</v>
      </c>
      <c r="Y988">
        <v>970</v>
      </c>
      <c r="Z988">
        <v>200</v>
      </c>
      <c r="AA988">
        <v>802</v>
      </c>
      <c r="AB988" s="1" t="s">
        <v>1758</v>
      </c>
    </row>
    <row r="989" spans="1:28" x14ac:dyDescent="0.3">
      <c r="A989">
        <v>101112</v>
      </c>
      <c r="B989" s="1" t="s">
        <v>1302</v>
      </c>
      <c r="C989">
        <v>0</v>
      </c>
      <c r="D989">
        <v>1610612752</v>
      </c>
      <c r="E989" s="1" t="s">
        <v>1248</v>
      </c>
      <c r="F989">
        <v>240</v>
      </c>
      <c r="G989">
        <v>72</v>
      </c>
      <c r="H989">
        <v>590</v>
      </c>
      <c r="I989">
        <v>18990</v>
      </c>
      <c r="J989">
        <v>298</v>
      </c>
      <c r="K989">
        <v>689</v>
      </c>
      <c r="L989">
        <v>433</v>
      </c>
      <c r="M989">
        <v>30</v>
      </c>
      <c r="N989">
        <v>180</v>
      </c>
      <c r="O989">
        <v>167</v>
      </c>
      <c r="P989">
        <v>85</v>
      </c>
      <c r="Q989">
        <v>108</v>
      </c>
      <c r="R989">
        <v>787</v>
      </c>
      <c r="S989">
        <v>910</v>
      </c>
      <c r="T989">
        <v>3040</v>
      </c>
      <c r="U989">
        <v>3950</v>
      </c>
      <c r="V989">
        <v>67</v>
      </c>
      <c r="W989">
        <v>360</v>
      </c>
      <c r="X989">
        <v>420</v>
      </c>
      <c r="Y989">
        <v>1000</v>
      </c>
      <c r="Z989">
        <v>216</v>
      </c>
      <c r="AA989">
        <v>684</v>
      </c>
      <c r="AB989" s="1" t="s">
        <v>1758</v>
      </c>
    </row>
    <row r="990" spans="1:28" x14ac:dyDescent="0.3">
      <c r="A990">
        <v>57</v>
      </c>
      <c r="B990" s="1" t="s">
        <v>1275</v>
      </c>
      <c r="C990">
        <v>0</v>
      </c>
      <c r="D990">
        <v>1610612752</v>
      </c>
      <c r="E990" s="1" t="s">
        <v>1248</v>
      </c>
      <c r="F990">
        <v>250</v>
      </c>
      <c r="G990">
        <v>12</v>
      </c>
      <c r="H990">
        <v>0</v>
      </c>
      <c r="I990">
        <v>790</v>
      </c>
      <c r="J990">
        <v>5</v>
      </c>
      <c r="K990">
        <v>22</v>
      </c>
      <c r="L990">
        <v>227</v>
      </c>
      <c r="M990">
        <v>10</v>
      </c>
      <c r="N990">
        <v>70</v>
      </c>
      <c r="O990">
        <v>143</v>
      </c>
      <c r="P990">
        <v>4</v>
      </c>
      <c r="Q990">
        <v>5</v>
      </c>
      <c r="R990">
        <v>8</v>
      </c>
      <c r="S990">
        <v>30</v>
      </c>
      <c r="T990">
        <v>100</v>
      </c>
      <c r="U990">
        <v>130</v>
      </c>
      <c r="V990">
        <v>8</v>
      </c>
      <c r="W990">
        <v>20</v>
      </c>
      <c r="X990">
        <v>10</v>
      </c>
      <c r="Y990">
        <v>130</v>
      </c>
      <c r="Z990">
        <v>18</v>
      </c>
      <c r="AA990">
        <v>15</v>
      </c>
      <c r="AB990" s="1" t="s">
        <v>1759</v>
      </c>
    </row>
    <row r="991" spans="1:28" x14ac:dyDescent="0.3">
      <c r="A991">
        <v>57</v>
      </c>
      <c r="B991" s="1" t="s">
        <v>1276</v>
      </c>
      <c r="C991">
        <v>0</v>
      </c>
      <c r="D991">
        <v>1610612752</v>
      </c>
      <c r="E991" s="1" t="s">
        <v>1248</v>
      </c>
      <c r="F991">
        <v>260</v>
      </c>
      <c r="G991">
        <v>23</v>
      </c>
      <c r="H991">
        <v>0</v>
      </c>
      <c r="I991">
        <v>2180</v>
      </c>
      <c r="J991">
        <v>35</v>
      </c>
      <c r="K991">
        <v>73</v>
      </c>
      <c r="L991">
        <v>479</v>
      </c>
      <c r="M991">
        <v>100</v>
      </c>
      <c r="N991">
        <v>190</v>
      </c>
      <c r="O991">
        <v>526</v>
      </c>
      <c r="P991">
        <v>13</v>
      </c>
      <c r="Q991">
        <v>22</v>
      </c>
      <c r="R991">
        <v>591</v>
      </c>
      <c r="S991">
        <v>80</v>
      </c>
      <c r="T991">
        <v>260</v>
      </c>
      <c r="U991">
        <v>340</v>
      </c>
      <c r="V991">
        <v>25</v>
      </c>
      <c r="W991">
        <v>120</v>
      </c>
      <c r="X991">
        <v>30</v>
      </c>
      <c r="Y991">
        <v>190</v>
      </c>
      <c r="Z991">
        <v>41</v>
      </c>
      <c r="AA991">
        <v>93</v>
      </c>
      <c r="AB991" s="1" t="s">
        <v>1759</v>
      </c>
    </row>
    <row r="992" spans="1:28" x14ac:dyDescent="0.3">
      <c r="A992">
        <v>1886</v>
      </c>
      <c r="B992" s="1" t="s">
        <v>1305</v>
      </c>
      <c r="C992">
        <v>0</v>
      </c>
      <c r="D992">
        <v>1610612752</v>
      </c>
      <c r="E992" s="1" t="s">
        <v>1248</v>
      </c>
      <c r="F992">
        <v>290</v>
      </c>
      <c r="G992">
        <v>25</v>
      </c>
      <c r="H992">
        <v>10</v>
      </c>
      <c r="I992">
        <v>2920</v>
      </c>
      <c r="J992">
        <v>40</v>
      </c>
      <c r="K992">
        <v>100</v>
      </c>
      <c r="L992">
        <v>4</v>
      </c>
      <c r="M992">
        <v>140</v>
      </c>
      <c r="N992">
        <v>390</v>
      </c>
      <c r="O992">
        <v>359</v>
      </c>
      <c r="P992">
        <v>24</v>
      </c>
      <c r="Q992">
        <v>26</v>
      </c>
      <c r="R992">
        <v>923</v>
      </c>
      <c r="S992">
        <v>150</v>
      </c>
      <c r="T992">
        <v>370</v>
      </c>
      <c r="U992">
        <v>520</v>
      </c>
      <c r="V992">
        <v>16</v>
      </c>
      <c r="W992">
        <v>20</v>
      </c>
      <c r="X992">
        <v>170</v>
      </c>
      <c r="Y992">
        <v>280</v>
      </c>
      <c r="Z992">
        <v>33</v>
      </c>
      <c r="AA992">
        <v>118</v>
      </c>
      <c r="AB992" s="1" t="s">
        <v>1760</v>
      </c>
    </row>
    <row r="993" spans="1:28" x14ac:dyDescent="0.3">
      <c r="A993">
        <v>76144</v>
      </c>
      <c r="B993" s="1" t="s">
        <v>1412</v>
      </c>
      <c r="C993">
        <v>0</v>
      </c>
      <c r="D993">
        <v>1610612752</v>
      </c>
      <c r="E993" s="1" t="s">
        <v>1248</v>
      </c>
      <c r="F993">
        <v>260</v>
      </c>
      <c r="G993">
        <v>72</v>
      </c>
      <c r="I993">
        <v>30840</v>
      </c>
      <c r="J993">
        <v>639</v>
      </c>
      <c r="K993">
        <v>1249</v>
      </c>
      <c r="L993">
        <v>512</v>
      </c>
      <c r="P993">
        <v>390</v>
      </c>
      <c r="Q993">
        <v>622</v>
      </c>
      <c r="R993">
        <v>627</v>
      </c>
      <c r="U993">
        <v>11520</v>
      </c>
      <c r="V993">
        <v>217</v>
      </c>
      <c r="Z993">
        <v>262</v>
      </c>
      <c r="AA993">
        <v>1668</v>
      </c>
      <c r="AB993" s="1" t="s">
        <v>1761</v>
      </c>
    </row>
    <row r="994" spans="1:28" x14ac:dyDescent="0.3">
      <c r="A994">
        <v>76144</v>
      </c>
      <c r="B994" s="1" t="s">
        <v>1360</v>
      </c>
      <c r="C994">
        <v>0</v>
      </c>
      <c r="D994">
        <v>1610612752</v>
      </c>
      <c r="E994" s="1" t="s">
        <v>1248</v>
      </c>
      <c r="F994">
        <v>270</v>
      </c>
      <c r="G994">
        <v>79</v>
      </c>
      <c r="I994">
        <v>30100</v>
      </c>
      <c r="J994">
        <v>565</v>
      </c>
      <c r="K994">
        <v>1084</v>
      </c>
      <c r="L994">
        <v>521</v>
      </c>
      <c r="P994">
        <v>369</v>
      </c>
      <c r="Q994">
        <v>580</v>
      </c>
      <c r="R994">
        <v>636</v>
      </c>
      <c r="U994">
        <v>10640</v>
      </c>
      <c r="V994">
        <v>206</v>
      </c>
      <c r="Z994">
        <v>275</v>
      </c>
      <c r="AA994">
        <v>1499</v>
      </c>
      <c r="AB994" s="1" t="s">
        <v>1761</v>
      </c>
    </row>
    <row r="995" spans="1:28" x14ac:dyDescent="0.3">
      <c r="A995">
        <v>76144</v>
      </c>
      <c r="B995" s="1" t="s">
        <v>1414</v>
      </c>
      <c r="C995">
        <v>0</v>
      </c>
      <c r="D995">
        <v>1610612752</v>
      </c>
      <c r="E995" s="1" t="s">
        <v>1248</v>
      </c>
      <c r="F995">
        <v>280</v>
      </c>
      <c r="G995">
        <v>82</v>
      </c>
      <c r="I995">
        <v>26950</v>
      </c>
      <c r="J995">
        <v>511</v>
      </c>
      <c r="K995">
        <v>944</v>
      </c>
      <c r="L995">
        <v>541</v>
      </c>
      <c r="P995">
        <v>350</v>
      </c>
      <c r="Q995">
        <v>529</v>
      </c>
      <c r="R995">
        <v>662</v>
      </c>
      <c r="U995">
        <v>9610</v>
      </c>
      <c r="V995">
        <v>164</v>
      </c>
      <c r="Z995">
        <v>259</v>
      </c>
      <c r="AA995">
        <v>1372</v>
      </c>
      <c r="AB995" s="1" t="s">
        <v>1761</v>
      </c>
    </row>
    <row r="996" spans="1:28" x14ac:dyDescent="0.3">
      <c r="A996">
        <v>76144</v>
      </c>
      <c r="B996" s="1" t="s">
        <v>1415</v>
      </c>
      <c r="C996">
        <v>0</v>
      </c>
      <c r="D996">
        <v>1610612752</v>
      </c>
      <c r="E996" s="1" t="s">
        <v>1248</v>
      </c>
      <c r="F996">
        <v>290</v>
      </c>
      <c r="G996">
        <v>35</v>
      </c>
      <c r="I996">
        <v>11360</v>
      </c>
      <c r="J996">
        <v>204</v>
      </c>
      <c r="K996">
        <v>402</v>
      </c>
      <c r="L996">
        <v>507</v>
      </c>
      <c r="P996">
        <v>125</v>
      </c>
      <c r="Q996">
        <v>202</v>
      </c>
      <c r="R996">
        <v>619</v>
      </c>
      <c r="U996">
        <v>3850</v>
      </c>
      <c r="V996">
        <v>77</v>
      </c>
      <c r="Z996">
        <v>123</v>
      </c>
      <c r="AA996">
        <v>533</v>
      </c>
      <c r="AB996" s="1" t="s">
        <v>1761</v>
      </c>
    </row>
    <row r="997" spans="1:28" x14ac:dyDescent="0.3">
      <c r="A997">
        <v>1630173</v>
      </c>
      <c r="B997" s="1" t="s">
        <v>1369</v>
      </c>
      <c r="C997">
        <v>0</v>
      </c>
      <c r="D997">
        <v>1610612752</v>
      </c>
      <c r="E997" s="1" t="s">
        <v>1248</v>
      </c>
      <c r="F997">
        <v>240</v>
      </c>
      <c r="G997">
        <v>49</v>
      </c>
      <c r="H997">
        <v>180</v>
      </c>
      <c r="I997">
        <v>11870</v>
      </c>
      <c r="J997">
        <v>157</v>
      </c>
      <c r="K997">
        <v>299</v>
      </c>
      <c r="L997">
        <v>525</v>
      </c>
      <c r="M997">
        <v>130</v>
      </c>
      <c r="N997">
        <v>500</v>
      </c>
      <c r="O997">
        <v>26</v>
      </c>
      <c r="P997">
        <v>45</v>
      </c>
      <c r="Q997">
        <v>70</v>
      </c>
      <c r="R997">
        <v>643</v>
      </c>
      <c r="S997">
        <v>1410</v>
      </c>
      <c r="T997">
        <v>2100</v>
      </c>
      <c r="U997">
        <v>3510</v>
      </c>
      <c r="V997">
        <v>53</v>
      </c>
      <c r="W997">
        <v>300</v>
      </c>
      <c r="X997">
        <v>560</v>
      </c>
      <c r="Y997">
        <v>540</v>
      </c>
      <c r="Z997">
        <v>103</v>
      </c>
      <c r="AA997">
        <v>372</v>
      </c>
      <c r="AB997" s="1" t="s">
        <v>1762</v>
      </c>
    </row>
    <row r="998" spans="1:28" x14ac:dyDescent="0.3">
      <c r="A998">
        <v>78259</v>
      </c>
      <c r="B998" s="1" t="s">
        <v>1323</v>
      </c>
      <c r="C998">
        <v>0</v>
      </c>
      <c r="D998">
        <v>1610612752</v>
      </c>
      <c r="E998" s="1" t="s">
        <v>1248</v>
      </c>
      <c r="F998">
        <v>240</v>
      </c>
      <c r="G998">
        <v>32</v>
      </c>
      <c r="I998">
        <v>4400</v>
      </c>
      <c r="J998">
        <v>59</v>
      </c>
      <c r="K998">
        <v>162</v>
      </c>
      <c r="L998">
        <v>364</v>
      </c>
      <c r="P998">
        <v>23</v>
      </c>
      <c r="Q998">
        <v>38</v>
      </c>
      <c r="R998">
        <v>605</v>
      </c>
      <c r="U998">
        <v>510</v>
      </c>
      <c r="V998">
        <v>60</v>
      </c>
      <c r="Z998">
        <v>55</v>
      </c>
      <c r="AA998">
        <v>141</v>
      </c>
      <c r="AB998" s="1" t="s">
        <v>1763</v>
      </c>
    </row>
    <row r="999" spans="1:28" x14ac:dyDescent="0.3">
      <c r="A999">
        <v>76142</v>
      </c>
      <c r="B999" s="1" t="s">
        <v>1357</v>
      </c>
      <c r="C999">
        <v>0</v>
      </c>
      <c r="D999">
        <v>1610612752</v>
      </c>
      <c r="E999" s="1" t="s">
        <v>1248</v>
      </c>
      <c r="F999">
        <v>230</v>
      </c>
      <c r="G999">
        <v>1</v>
      </c>
      <c r="I999">
        <v>40</v>
      </c>
      <c r="J999">
        <v>0</v>
      </c>
      <c r="K999">
        <v>1</v>
      </c>
      <c r="L999">
        <v>0</v>
      </c>
      <c r="P999">
        <v>0</v>
      </c>
      <c r="Q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Z999">
        <v>0</v>
      </c>
      <c r="AA999">
        <v>0</v>
      </c>
      <c r="AB999" s="1" t="s">
        <v>1764</v>
      </c>
    </row>
    <row r="1000" spans="1:28" x14ac:dyDescent="0.3">
      <c r="A1000">
        <v>76142</v>
      </c>
      <c r="B1000" s="1" t="s">
        <v>1358</v>
      </c>
      <c r="C1000">
        <v>0</v>
      </c>
      <c r="D1000">
        <v>1610612752</v>
      </c>
      <c r="E1000" s="1" t="s">
        <v>1248</v>
      </c>
      <c r="F1000">
        <v>240</v>
      </c>
      <c r="G1000">
        <v>52</v>
      </c>
      <c r="I1000">
        <v>4650</v>
      </c>
      <c r="J1000">
        <v>68</v>
      </c>
      <c r="K1000">
        <v>181</v>
      </c>
      <c r="L1000">
        <v>376</v>
      </c>
      <c r="P1000">
        <v>20</v>
      </c>
      <c r="Q1000">
        <v>36</v>
      </c>
      <c r="R1000">
        <v>556</v>
      </c>
      <c r="S1000">
        <v>480</v>
      </c>
      <c r="T1000">
        <v>570</v>
      </c>
      <c r="U1000">
        <v>1050</v>
      </c>
      <c r="V1000">
        <v>25</v>
      </c>
      <c r="W1000">
        <v>220</v>
      </c>
      <c r="X1000">
        <v>90</v>
      </c>
      <c r="Z1000">
        <v>54</v>
      </c>
      <c r="AA1000">
        <v>156</v>
      </c>
      <c r="AB1000" s="1" t="s">
        <v>1764</v>
      </c>
    </row>
    <row r="1001" spans="1:28" x14ac:dyDescent="0.3">
      <c r="A1001">
        <v>76142</v>
      </c>
      <c r="B1001" s="1" t="s">
        <v>1261</v>
      </c>
      <c r="C1001">
        <v>0</v>
      </c>
      <c r="D1001">
        <v>1610612752</v>
      </c>
      <c r="E1001" s="1" t="s">
        <v>1248</v>
      </c>
      <c r="F1001">
        <v>250</v>
      </c>
      <c r="G1001">
        <v>10</v>
      </c>
      <c r="I1001">
        <v>760</v>
      </c>
      <c r="J1001">
        <v>8</v>
      </c>
      <c r="K1001">
        <v>21</v>
      </c>
      <c r="L1001">
        <v>381</v>
      </c>
      <c r="P1001">
        <v>3</v>
      </c>
      <c r="Q1001">
        <v>7</v>
      </c>
      <c r="R1001">
        <v>429</v>
      </c>
      <c r="S1001">
        <v>40</v>
      </c>
      <c r="T1001">
        <v>100</v>
      </c>
      <c r="U1001">
        <v>140</v>
      </c>
      <c r="V1001">
        <v>3</v>
      </c>
      <c r="W1001">
        <v>60</v>
      </c>
      <c r="X1001">
        <v>10</v>
      </c>
      <c r="Z1001">
        <v>11</v>
      </c>
      <c r="AA1001">
        <v>19</v>
      </c>
      <c r="AB1001" s="1" t="s">
        <v>1764</v>
      </c>
    </row>
    <row r="1002" spans="1:28" x14ac:dyDescent="0.3">
      <c r="A1002">
        <v>1983</v>
      </c>
      <c r="B1002" s="1" t="s">
        <v>1295</v>
      </c>
      <c r="C1002">
        <v>0</v>
      </c>
      <c r="D1002">
        <v>1610612752</v>
      </c>
      <c r="E1002" s="1" t="s">
        <v>1248</v>
      </c>
      <c r="F1002">
        <v>290</v>
      </c>
      <c r="G1002">
        <v>21</v>
      </c>
      <c r="H1002">
        <v>0</v>
      </c>
      <c r="I1002">
        <v>2300</v>
      </c>
      <c r="J1002">
        <v>17</v>
      </c>
      <c r="K1002">
        <v>33</v>
      </c>
      <c r="L1002">
        <v>515</v>
      </c>
      <c r="M1002">
        <v>0</v>
      </c>
      <c r="N1002">
        <v>20</v>
      </c>
      <c r="O1002">
        <v>0</v>
      </c>
      <c r="P1002">
        <v>8</v>
      </c>
      <c r="Q1002">
        <v>13</v>
      </c>
      <c r="R1002">
        <v>615</v>
      </c>
      <c r="S1002">
        <v>30</v>
      </c>
      <c r="T1002">
        <v>200</v>
      </c>
      <c r="U1002">
        <v>230</v>
      </c>
      <c r="V1002">
        <v>24</v>
      </c>
      <c r="W1002">
        <v>70</v>
      </c>
      <c r="X1002">
        <v>10</v>
      </c>
      <c r="Y1002">
        <v>100</v>
      </c>
      <c r="Z1002">
        <v>26</v>
      </c>
      <c r="AA1002">
        <v>42</v>
      </c>
      <c r="AB1002" s="1" t="s">
        <v>1765</v>
      </c>
    </row>
    <row r="1003" spans="1:28" x14ac:dyDescent="0.3">
      <c r="A1003">
        <v>76758</v>
      </c>
      <c r="B1003" s="1" t="s">
        <v>1320</v>
      </c>
      <c r="C1003">
        <v>0</v>
      </c>
      <c r="D1003">
        <v>1610612752</v>
      </c>
      <c r="E1003" s="1" t="s">
        <v>1248</v>
      </c>
      <c r="F1003">
        <v>230</v>
      </c>
      <c r="G1003">
        <v>44</v>
      </c>
      <c r="I1003">
        <v>5690</v>
      </c>
      <c r="J1003">
        <v>74</v>
      </c>
      <c r="K1003">
        <v>226</v>
      </c>
      <c r="L1003">
        <v>327</v>
      </c>
      <c r="P1003">
        <v>27</v>
      </c>
      <c r="Q1003">
        <v>41</v>
      </c>
      <c r="R1003">
        <v>659</v>
      </c>
      <c r="U1003">
        <v>1060</v>
      </c>
      <c r="V1003">
        <v>47</v>
      </c>
      <c r="Z1003">
        <v>54</v>
      </c>
      <c r="AA1003">
        <v>175</v>
      </c>
      <c r="AB1003" s="1" t="s">
        <v>1766</v>
      </c>
    </row>
    <row r="1004" spans="1:28" x14ac:dyDescent="0.3">
      <c r="A1004">
        <v>76393</v>
      </c>
      <c r="B1004" s="1" t="s">
        <v>1362</v>
      </c>
      <c r="C1004">
        <v>0</v>
      </c>
      <c r="D1004">
        <v>1610612752</v>
      </c>
      <c r="E1004" s="1" t="s">
        <v>1248</v>
      </c>
      <c r="F1004">
        <v>240</v>
      </c>
      <c r="G1004">
        <v>6</v>
      </c>
      <c r="I1004">
        <v>480</v>
      </c>
      <c r="J1004">
        <v>5</v>
      </c>
      <c r="K1004">
        <v>18</v>
      </c>
      <c r="L1004">
        <v>278</v>
      </c>
      <c r="P1004">
        <v>10</v>
      </c>
      <c r="Q1004">
        <v>11</v>
      </c>
      <c r="R1004">
        <v>909</v>
      </c>
      <c r="U1004">
        <v>80</v>
      </c>
      <c r="V1004">
        <v>7</v>
      </c>
      <c r="Z1004">
        <v>3</v>
      </c>
      <c r="AA1004">
        <v>20</v>
      </c>
      <c r="AB1004" s="1" t="s">
        <v>1767</v>
      </c>
    </row>
    <row r="1005" spans="1:28" x14ac:dyDescent="0.3">
      <c r="A1005">
        <v>76143</v>
      </c>
      <c r="B1005" s="1" t="s">
        <v>1321</v>
      </c>
      <c r="C1005">
        <v>0</v>
      </c>
      <c r="D1005">
        <v>1610612752</v>
      </c>
      <c r="E1005" s="1" t="s">
        <v>1248</v>
      </c>
      <c r="F1005">
        <v>270</v>
      </c>
      <c r="G1005">
        <v>31</v>
      </c>
      <c r="I1005">
        <v>4490</v>
      </c>
      <c r="J1005">
        <v>70</v>
      </c>
      <c r="K1005">
        <v>185</v>
      </c>
      <c r="L1005">
        <v>378</v>
      </c>
      <c r="P1005">
        <v>28</v>
      </c>
      <c r="Q1005">
        <v>43</v>
      </c>
      <c r="R1005">
        <v>651</v>
      </c>
      <c r="U1005">
        <v>870</v>
      </c>
      <c r="V1005">
        <v>55</v>
      </c>
      <c r="Z1005">
        <v>59</v>
      </c>
      <c r="AA1005">
        <v>168</v>
      </c>
      <c r="AB1005" s="1" t="s">
        <v>1768</v>
      </c>
    </row>
    <row r="1006" spans="1:28" x14ac:dyDescent="0.3">
      <c r="A1006">
        <v>76143</v>
      </c>
      <c r="B1006" s="1" t="s">
        <v>1322</v>
      </c>
      <c r="C1006">
        <v>0</v>
      </c>
      <c r="D1006">
        <v>1610612752</v>
      </c>
      <c r="E1006" s="1" t="s">
        <v>1248</v>
      </c>
      <c r="F1006">
        <v>280</v>
      </c>
      <c r="G1006">
        <v>5</v>
      </c>
      <c r="I1006">
        <v>450</v>
      </c>
      <c r="J1006">
        <v>7</v>
      </c>
      <c r="K1006">
        <v>18</v>
      </c>
      <c r="L1006">
        <v>389</v>
      </c>
      <c r="P1006">
        <v>1</v>
      </c>
      <c r="Q1006">
        <v>3</v>
      </c>
      <c r="R1006">
        <v>333</v>
      </c>
      <c r="U1006">
        <v>70</v>
      </c>
      <c r="V1006">
        <v>1</v>
      </c>
      <c r="Z1006">
        <v>7</v>
      </c>
      <c r="AA1006">
        <v>15</v>
      </c>
      <c r="AB1006" s="1" t="s">
        <v>1768</v>
      </c>
    </row>
    <row r="1007" spans="1:28" x14ac:dyDescent="0.3">
      <c r="A1007">
        <v>77101</v>
      </c>
      <c r="B1007" s="1" t="s">
        <v>1358</v>
      </c>
      <c r="C1007">
        <v>0</v>
      </c>
      <c r="D1007">
        <v>1610612752</v>
      </c>
      <c r="E1007" s="1" t="s">
        <v>1248</v>
      </c>
      <c r="F1007">
        <v>220</v>
      </c>
      <c r="G1007">
        <v>5</v>
      </c>
      <c r="I1007">
        <v>270</v>
      </c>
      <c r="J1007">
        <v>4</v>
      </c>
      <c r="K1007">
        <v>10</v>
      </c>
      <c r="L1007">
        <v>4</v>
      </c>
      <c r="P1007">
        <v>0</v>
      </c>
      <c r="Q1007">
        <v>0</v>
      </c>
      <c r="R1007">
        <v>0</v>
      </c>
      <c r="S1007">
        <v>20</v>
      </c>
      <c r="T1007">
        <v>0</v>
      </c>
      <c r="U1007">
        <v>20</v>
      </c>
      <c r="V1007">
        <v>3</v>
      </c>
      <c r="W1007">
        <v>0</v>
      </c>
      <c r="X1007">
        <v>0</v>
      </c>
      <c r="Z1007">
        <v>5</v>
      </c>
      <c r="AA1007">
        <v>8</v>
      </c>
      <c r="AB1007" s="1" t="s">
        <v>1769</v>
      </c>
    </row>
    <row r="1008" spans="1:28" x14ac:dyDescent="0.3">
      <c r="A1008">
        <v>76757</v>
      </c>
      <c r="B1008" s="1" t="s">
        <v>1339</v>
      </c>
      <c r="C1008">
        <v>0</v>
      </c>
      <c r="D1008">
        <v>1610612752</v>
      </c>
      <c r="E1008" s="1" t="s">
        <v>1248</v>
      </c>
      <c r="F1008">
        <v>250</v>
      </c>
      <c r="G1008">
        <v>23</v>
      </c>
      <c r="J1008">
        <v>28</v>
      </c>
      <c r="K1008">
        <v>97</v>
      </c>
      <c r="L1008">
        <v>289</v>
      </c>
      <c r="P1008">
        <v>32</v>
      </c>
      <c r="Q1008">
        <v>56</v>
      </c>
      <c r="R1008">
        <v>571</v>
      </c>
      <c r="V1008">
        <v>14</v>
      </c>
      <c r="Z1008">
        <v>37</v>
      </c>
      <c r="AA1008">
        <v>88</v>
      </c>
      <c r="AB1008" s="1" t="s">
        <v>1770</v>
      </c>
    </row>
    <row r="1009" spans="1:28" x14ac:dyDescent="0.3">
      <c r="A1009">
        <v>164</v>
      </c>
      <c r="B1009" s="1" t="s">
        <v>1277</v>
      </c>
      <c r="C1009">
        <v>0</v>
      </c>
      <c r="D1009">
        <v>1610612752</v>
      </c>
      <c r="E1009" s="1" t="s">
        <v>1248</v>
      </c>
      <c r="F1009">
        <v>290</v>
      </c>
      <c r="G1009">
        <v>65</v>
      </c>
      <c r="H1009">
        <v>610</v>
      </c>
      <c r="I1009">
        <v>20760</v>
      </c>
      <c r="J1009">
        <v>211</v>
      </c>
      <c r="K1009">
        <v>510</v>
      </c>
      <c r="L1009">
        <v>414</v>
      </c>
      <c r="M1009">
        <v>700</v>
      </c>
      <c r="N1009">
        <v>1810</v>
      </c>
      <c r="O1009">
        <v>387</v>
      </c>
      <c r="P1009">
        <v>113</v>
      </c>
      <c r="Q1009">
        <v>149</v>
      </c>
      <c r="R1009">
        <v>758</v>
      </c>
      <c r="S1009">
        <v>220</v>
      </c>
      <c r="T1009">
        <v>1690</v>
      </c>
      <c r="U1009">
        <v>1910</v>
      </c>
      <c r="V1009">
        <v>398</v>
      </c>
      <c r="W1009">
        <v>780</v>
      </c>
      <c r="X1009">
        <v>110</v>
      </c>
      <c r="Y1009">
        <v>1800</v>
      </c>
      <c r="Z1009">
        <v>213</v>
      </c>
      <c r="AA1009">
        <v>605</v>
      </c>
      <c r="AB1009" s="1" t="s">
        <v>1771</v>
      </c>
    </row>
    <row r="1010" spans="1:28" x14ac:dyDescent="0.3">
      <c r="A1010">
        <v>164</v>
      </c>
      <c r="B1010" s="1" t="s">
        <v>1278</v>
      </c>
      <c r="C1010">
        <v>0</v>
      </c>
      <c r="D1010">
        <v>1610612752</v>
      </c>
      <c r="E1010" s="1" t="s">
        <v>1248</v>
      </c>
      <c r="F1010">
        <v>300</v>
      </c>
      <c r="G1010">
        <v>68</v>
      </c>
      <c r="H1010">
        <v>0</v>
      </c>
      <c r="I1010">
        <v>15990</v>
      </c>
      <c r="J1010">
        <v>149</v>
      </c>
      <c r="K1010">
        <v>354</v>
      </c>
      <c r="L1010">
        <v>421</v>
      </c>
      <c r="M1010">
        <v>270</v>
      </c>
      <c r="N1010">
        <v>870</v>
      </c>
      <c r="O1010">
        <v>31</v>
      </c>
      <c r="P1010">
        <v>104</v>
      </c>
      <c r="Q1010">
        <v>126</v>
      </c>
      <c r="R1010">
        <v>825</v>
      </c>
      <c r="S1010">
        <v>290</v>
      </c>
      <c r="T1010">
        <v>1330</v>
      </c>
      <c r="U1010">
        <v>1620</v>
      </c>
      <c r="V1010">
        <v>268</v>
      </c>
      <c r="W1010">
        <v>560</v>
      </c>
      <c r="X1010">
        <v>60</v>
      </c>
      <c r="Y1010">
        <v>1030</v>
      </c>
      <c r="Z1010">
        <v>179</v>
      </c>
      <c r="AA1010">
        <v>429</v>
      </c>
      <c r="AB1010" s="1" t="s">
        <v>1771</v>
      </c>
    </row>
    <row r="1011" spans="1:28" x14ac:dyDescent="0.3">
      <c r="A1011">
        <v>164</v>
      </c>
      <c r="B1011" s="1" t="s">
        <v>1429</v>
      </c>
      <c r="C1011">
        <v>0</v>
      </c>
      <c r="D1011">
        <v>1610612752</v>
      </c>
      <c r="E1011" s="1" t="s">
        <v>1248</v>
      </c>
      <c r="F1011">
        <v>310</v>
      </c>
      <c r="G1011">
        <v>48</v>
      </c>
      <c r="H1011">
        <v>0</v>
      </c>
      <c r="I1011">
        <v>12970</v>
      </c>
      <c r="J1011">
        <v>114</v>
      </c>
      <c r="K1011">
        <v>267</v>
      </c>
      <c r="L1011">
        <v>427</v>
      </c>
      <c r="M1011">
        <v>360</v>
      </c>
      <c r="N1011">
        <v>940</v>
      </c>
      <c r="O1011">
        <v>383</v>
      </c>
      <c r="P1011">
        <v>64</v>
      </c>
      <c r="Q1011">
        <v>78</v>
      </c>
      <c r="R1011">
        <v>821</v>
      </c>
      <c r="S1011">
        <v>180</v>
      </c>
      <c r="T1011">
        <v>1150</v>
      </c>
      <c r="U1011">
        <v>1330</v>
      </c>
      <c r="V1011">
        <v>193</v>
      </c>
      <c r="W1011">
        <v>440</v>
      </c>
      <c r="X1011">
        <v>10</v>
      </c>
      <c r="Y1011">
        <v>850</v>
      </c>
      <c r="Z1011">
        <v>156</v>
      </c>
      <c r="AA1011">
        <v>328</v>
      </c>
      <c r="AB1011" s="1" t="s">
        <v>1771</v>
      </c>
    </row>
    <row r="1012" spans="1:28" x14ac:dyDescent="0.3">
      <c r="A1012">
        <v>164</v>
      </c>
      <c r="B1012" s="1" t="s">
        <v>1464</v>
      </c>
      <c r="C1012">
        <v>0</v>
      </c>
      <c r="D1012">
        <v>1610612752</v>
      </c>
      <c r="E1012" s="1" t="s">
        <v>1248</v>
      </c>
      <c r="F1012">
        <v>320</v>
      </c>
      <c r="G1012">
        <v>71</v>
      </c>
      <c r="H1012">
        <v>20</v>
      </c>
      <c r="I1012">
        <v>16750</v>
      </c>
      <c r="J1012">
        <v>146</v>
      </c>
      <c r="K1012">
        <v>357</v>
      </c>
      <c r="L1012">
        <v>409</v>
      </c>
      <c r="M1012">
        <v>370</v>
      </c>
      <c r="N1012">
        <v>1040</v>
      </c>
      <c r="O1012">
        <v>356</v>
      </c>
      <c r="P1012">
        <v>47</v>
      </c>
      <c r="Q1012">
        <v>59</v>
      </c>
      <c r="R1012">
        <v>797</v>
      </c>
      <c r="S1012">
        <v>170</v>
      </c>
      <c r="T1012">
        <v>1300</v>
      </c>
      <c r="U1012">
        <v>1470</v>
      </c>
      <c r="V1012">
        <v>285</v>
      </c>
      <c r="W1012">
        <v>360</v>
      </c>
      <c r="X1012">
        <v>40</v>
      </c>
      <c r="Y1012">
        <v>1050</v>
      </c>
      <c r="Z1012">
        <v>240</v>
      </c>
      <c r="AA1012">
        <v>376</v>
      </c>
      <c r="AB1012" s="1" t="s">
        <v>1771</v>
      </c>
    </row>
    <row r="1013" spans="1:28" x14ac:dyDescent="0.3">
      <c r="A1013">
        <v>164</v>
      </c>
      <c r="B1013" s="1" t="s">
        <v>1465</v>
      </c>
      <c r="C1013">
        <v>0</v>
      </c>
      <c r="D1013">
        <v>1610612752</v>
      </c>
      <c r="E1013" s="1" t="s">
        <v>1248</v>
      </c>
      <c r="F1013">
        <v>330</v>
      </c>
      <c r="G1013">
        <v>51</v>
      </c>
      <c r="H1013">
        <v>50</v>
      </c>
      <c r="I1013">
        <v>13060</v>
      </c>
      <c r="J1013">
        <v>93</v>
      </c>
      <c r="K1013">
        <v>222</v>
      </c>
      <c r="L1013">
        <v>419</v>
      </c>
      <c r="M1013">
        <v>200</v>
      </c>
      <c r="N1013">
        <v>640</v>
      </c>
      <c r="O1013">
        <v>313</v>
      </c>
      <c r="P1013">
        <v>39</v>
      </c>
      <c r="Q1013">
        <v>46</v>
      </c>
      <c r="R1013">
        <v>848</v>
      </c>
      <c r="S1013">
        <v>140</v>
      </c>
      <c r="T1013">
        <v>1240</v>
      </c>
      <c r="U1013">
        <v>1380</v>
      </c>
      <c r="V1013">
        <v>236</v>
      </c>
      <c r="W1013">
        <v>370</v>
      </c>
      <c r="X1013">
        <v>70</v>
      </c>
      <c r="Y1013">
        <v>980</v>
      </c>
      <c r="Z1013">
        <v>160</v>
      </c>
      <c r="AA1013">
        <v>245</v>
      </c>
      <c r="AB1013" s="1" t="s">
        <v>1771</v>
      </c>
    </row>
    <row r="1014" spans="1:28" x14ac:dyDescent="0.3">
      <c r="A1014">
        <v>200811</v>
      </c>
      <c r="B1014" s="1" t="s">
        <v>1343</v>
      </c>
      <c r="C1014">
        <v>0</v>
      </c>
      <c r="D1014">
        <v>1610612752</v>
      </c>
      <c r="E1014" s="1" t="s">
        <v>1248</v>
      </c>
      <c r="F1014">
        <v>320</v>
      </c>
      <c r="G1014">
        <v>41</v>
      </c>
      <c r="H1014">
        <v>350</v>
      </c>
      <c r="I1014">
        <v>8580</v>
      </c>
      <c r="J1014">
        <v>105</v>
      </c>
      <c r="K1014">
        <v>243</v>
      </c>
      <c r="L1014">
        <v>432</v>
      </c>
      <c r="M1014">
        <v>0</v>
      </c>
      <c r="N1014">
        <v>10</v>
      </c>
      <c r="O1014">
        <v>0</v>
      </c>
      <c r="P1014">
        <v>38</v>
      </c>
      <c r="Q1014">
        <v>82</v>
      </c>
      <c r="R1014">
        <v>463</v>
      </c>
      <c r="S1014">
        <v>890</v>
      </c>
      <c r="T1014">
        <v>1590</v>
      </c>
      <c r="U1014">
        <v>2480</v>
      </c>
      <c r="V1014">
        <v>65</v>
      </c>
      <c r="W1014">
        <v>210</v>
      </c>
      <c r="X1014">
        <v>520</v>
      </c>
      <c r="Y1014">
        <v>570</v>
      </c>
      <c r="Z1014">
        <v>115</v>
      </c>
      <c r="AA1014">
        <v>248</v>
      </c>
      <c r="AB1014" s="1" t="s">
        <v>1772</v>
      </c>
    </row>
    <row r="1015" spans="1:28" x14ac:dyDescent="0.3">
      <c r="A1015">
        <v>200811</v>
      </c>
      <c r="B1015" s="1" t="s">
        <v>1279</v>
      </c>
      <c r="C1015">
        <v>0</v>
      </c>
      <c r="D1015">
        <v>1610612752</v>
      </c>
      <c r="E1015" s="1" t="s">
        <v>1248</v>
      </c>
      <c r="F1015">
        <v>330</v>
      </c>
      <c r="G1015">
        <v>29</v>
      </c>
      <c r="H1015">
        <v>0</v>
      </c>
      <c r="I1015">
        <v>2040</v>
      </c>
      <c r="J1015">
        <v>19</v>
      </c>
      <c r="K1015">
        <v>53</v>
      </c>
      <c r="L1015">
        <v>358</v>
      </c>
      <c r="M1015">
        <v>0</v>
      </c>
      <c r="N1015">
        <v>0</v>
      </c>
      <c r="O1015">
        <v>0</v>
      </c>
      <c r="P1015">
        <v>14</v>
      </c>
      <c r="Q1015">
        <v>27</v>
      </c>
      <c r="R1015">
        <v>519</v>
      </c>
      <c r="S1015">
        <v>230</v>
      </c>
      <c r="T1015">
        <v>260</v>
      </c>
      <c r="U1015">
        <v>490</v>
      </c>
      <c r="V1015">
        <v>12</v>
      </c>
      <c r="W1015">
        <v>60</v>
      </c>
      <c r="X1015">
        <v>70</v>
      </c>
      <c r="Y1015">
        <v>150</v>
      </c>
      <c r="Z1015">
        <v>44</v>
      </c>
      <c r="AA1015">
        <v>52</v>
      </c>
      <c r="AB1015" s="1" t="s">
        <v>1772</v>
      </c>
    </row>
    <row r="1016" spans="1:28" x14ac:dyDescent="0.3">
      <c r="A1016">
        <v>2047</v>
      </c>
      <c r="B1016" s="1" t="s">
        <v>1300</v>
      </c>
      <c r="C1016">
        <v>0</v>
      </c>
      <c r="D1016">
        <v>1610612752</v>
      </c>
      <c r="E1016" s="1" t="s">
        <v>1248</v>
      </c>
      <c r="F1016">
        <v>260</v>
      </c>
      <c r="G1016">
        <v>55</v>
      </c>
      <c r="H1016">
        <v>430</v>
      </c>
      <c r="I1016">
        <v>14420</v>
      </c>
      <c r="J1016">
        <v>163</v>
      </c>
      <c r="K1016">
        <v>459</v>
      </c>
      <c r="L1016">
        <v>355</v>
      </c>
      <c r="M1016">
        <v>640</v>
      </c>
      <c r="N1016">
        <v>1880</v>
      </c>
      <c r="O1016">
        <v>34</v>
      </c>
      <c r="P1016">
        <v>61</v>
      </c>
      <c r="Q1016">
        <v>91</v>
      </c>
      <c r="R1016">
        <v>67</v>
      </c>
      <c r="S1016">
        <v>650</v>
      </c>
      <c r="T1016">
        <v>1650</v>
      </c>
      <c r="U1016">
        <v>2300</v>
      </c>
      <c r="V1016">
        <v>88</v>
      </c>
      <c r="W1016">
        <v>390</v>
      </c>
      <c r="X1016">
        <v>60</v>
      </c>
      <c r="Y1016">
        <v>560</v>
      </c>
      <c r="Z1016">
        <v>134</v>
      </c>
      <c r="AA1016">
        <v>451</v>
      </c>
      <c r="AB1016" s="1" t="s">
        <v>1773</v>
      </c>
    </row>
    <row r="1017" spans="1:28" x14ac:dyDescent="0.3">
      <c r="A1017">
        <v>2047</v>
      </c>
      <c r="B1017" s="1" t="s">
        <v>1302</v>
      </c>
      <c r="C1017">
        <v>0</v>
      </c>
      <c r="D1017">
        <v>1610612752</v>
      </c>
      <c r="E1017" s="1" t="s">
        <v>1248</v>
      </c>
      <c r="F1017">
        <v>270</v>
      </c>
      <c r="G1017">
        <v>49</v>
      </c>
      <c r="H1017">
        <v>470</v>
      </c>
      <c r="I1017">
        <v>16210</v>
      </c>
      <c r="J1017">
        <v>228</v>
      </c>
      <c r="K1017">
        <v>545</v>
      </c>
      <c r="L1017">
        <v>418</v>
      </c>
      <c r="M1017">
        <v>970</v>
      </c>
      <c r="N1017">
        <v>2580</v>
      </c>
      <c r="O1017">
        <v>376</v>
      </c>
      <c r="P1017">
        <v>83</v>
      </c>
      <c r="Q1017">
        <v>120</v>
      </c>
      <c r="R1017">
        <v>692</v>
      </c>
      <c r="S1017">
        <v>650</v>
      </c>
      <c r="T1017">
        <v>2870</v>
      </c>
      <c r="U1017">
        <v>3520</v>
      </c>
      <c r="V1017">
        <v>108</v>
      </c>
      <c r="W1017">
        <v>360</v>
      </c>
      <c r="X1017">
        <v>70</v>
      </c>
      <c r="Y1017">
        <v>700</v>
      </c>
      <c r="Z1017">
        <v>133</v>
      </c>
      <c r="AA1017">
        <v>636</v>
      </c>
      <c r="AB1017" s="1" t="s">
        <v>1773</v>
      </c>
    </row>
    <row r="1018" spans="1:28" x14ac:dyDescent="0.3">
      <c r="A1018">
        <v>2047</v>
      </c>
      <c r="B1018" s="1" t="s">
        <v>1303</v>
      </c>
      <c r="C1018">
        <v>0</v>
      </c>
      <c r="D1018">
        <v>1610612752</v>
      </c>
      <c r="E1018" s="1" t="s">
        <v>1248</v>
      </c>
      <c r="F1018">
        <v>280</v>
      </c>
      <c r="G1018">
        <v>65</v>
      </c>
      <c r="H1018">
        <v>650</v>
      </c>
      <c r="I1018">
        <v>18410</v>
      </c>
      <c r="J1018">
        <v>199</v>
      </c>
      <c r="K1018">
        <v>555</v>
      </c>
      <c r="L1018">
        <v>359</v>
      </c>
      <c r="M1018">
        <v>690</v>
      </c>
      <c r="N1018">
        <v>2140</v>
      </c>
      <c r="O1018">
        <v>322</v>
      </c>
      <c r="P1018">
        <v>60</v>
      </c>
      <c r="Q1018">
        <v>88</v>
      </c>
      <c r="R1018">
        <v>682</v>
      </c>
      <c r="S1018">
        <v>560</v>
      </c>
      <c r="T1018">
        <v>2590</v>
      </c>
      <c r="U1018">
        <v>3150</v>
      </c>
      <c r="V1018">
        <v>116</v>
      </c>
      <c r="W1018">
        <v>440</v>
      </c>
      <c r="X1018">
        <v>150</v>
      </c>
      <c r="Y1018">
        <v>690</v>
      </c>
      <c r="Z1018">
        <v>153</v>
      </c>
      <c r="AA1018">
        <v>527</v>
      </c>
      <c r="AB1018" s="1" t="s">
        <v>1773</v>
      </c>
    </row>
    <row r="1019" spans="1:28" x14ac:dyDescent="0.3">
      <c r="A1019">
        <v>2047</v>
      </c>
      <c r="B1019" s="1" t="s">
        <v>1304</v>
      </c>
      <c r="C1019">
        <v>0</v>
      </c>
      <c r="D1019">
        <v>1610612752</v>
      </c>
      <c r="E1019" s="1" t="s">
        <v>1248</v>
      </c>
      <c r="F1019">
        <v>290</v>
      </c>
      <c r="G1019">
        <v>72</v>
      </c>
      <c r="H1019">
        <v>510</v>
      </c>
      <c r="I1019">
        <v>18940</v>
      </c>
      <c r="J1019">
        <v>262</v>
      </c>
      <c r="K1019">
        <v>667</v>
      </c>
      <c r="L1019">
        <v>393</v>
      </c>
      <c r="M1019">
        <v>1200</v>
      </c>
      <c r="N1019">
        <v>3290</v>
      </c>
      <c r="O1019">
        <v>365</v>
      </c>
      <c r="P1019">
        <v>89</v>
      </c>
      <c r="Q1019">
        <v>117</v>
      </c>
      <c r="R1019">
        <v>761</v>
      </c>
      <c r="S1019">
        <v>710</v>
      </c>
      <c r="T1019">
        <v>2480</v>
      </c>
      <c r="U1019">
        <v>3190</v>
      </c>
      <c r="V1019">
        <v>117</v>
      </c>
      <c r="W1019">
        <v>470</v>
      </c>
      <c r="X1019">
        <v>70</v>
      </c>
      <c r="Y1019">
        <v>740</v>
      </c>
      <c r="Z1019">
        <v>132</v>
      </c>
      <c r="AA1019">
        <v>733</v>
      </c>
      <c r="AB1019" s="1" t="s">
        <v>1773</v>
      </c>
    </row>
    <row r="1020" spans="1:28" x14ac:dyDescent="0.3">
      <c r="A1020">
        <v>2047</v>
      </c>
      <c r="B1020" s="1" t="s">
        <v>1292</v>
      </c>
      <c r="C1020">
        <v>0</v>
      </c>
      <c r="D1020">
        <v>1610612752</v>
      </c>
      <c r="E1020" s="1" t="s">
        <v>1248</v>
      </c>
      <c r="F1020">
        <v>330</v>
      </c>
      <c r="G1020">
        <v>1</v>
      </c>
      <c r="H1020">
        <v>0</v>
      </c>
      <c r="I1020">
        <v>290</v>
      </c>
      <c r="J1020">
        <v>1</v>
      </c>
      <c r="K1020">
        <v>11</v>
      </c>
      <c r="L1020">
        <v>91</v>
      </c>
      <c r="M1020">
        <v>10</v>
      </c>
      <c r="N1020">
        <v>40</v>
      </c>
      <c r="O1020">
        <v>25</v>
      </c>
      <c r="P1020">
        <v>2</v>
      </c>
      <c r="Q1020">
        <v>2</v>
      </c>
      <c r="R1020">
        <v>10</v>
      </c>
      <c r="S1020">
        <v>50</v>
      </c>
      <c r="T1020">
        <v>50</v>
      </c>
      <c r="U1020">
        <v>100</v>
      </c>
      <c r="V1020">
        <v>1</v>
      </c>
      <c r="W1020">
        <v>0</v>
      </c>
      <c r="X1020">
        <v>0</v>
      </c>
      <c r="Y1020">
        <v>20</v>
      </c>
      <c r="Z1020">
        <v>1</v>
      </c>
      <c r="AA1020">
        <v>5</v>
      </c>
      <c r="AB1020" s="1" t="s">
        <v>1773</v>
      </c>
    </row>
    <row r="1021" spans="1:28" x14ac:dyDescent="0.3">
      <c r="A1021">
        <v>2216</v>
      </c>
      <c r="B1021" s="1" t="s">
        <v>1303</v>
      </c>
      <c r="C1021">
        <v>0</v>
      </c>
      <c r="D1021">
        <v>1610612752</v>
      </c>
      <c r="E1021" s="1" t="s">
        <v>1248</v>
      </c>
      <c r="F1021">
        <v>260</v>
      </c>
      <c r="G1021">
        <v>69</v>
      </c>
      <c r="H1021">
        <v>680</v>
      </c>
      <c r="I1021">
        <v>22440</v>
      </c>
      <c r="J1021">
        <v>486</v>
      </c>
      <c r="K1021">
        <v>1058</v>
      </c>
      <c r="L1021">
        <v>459</v>
      </c>
      <c r="M1021">
        <v>220</v>
      </c>
      <c r="N1021">
        <v>800</v>
      </c>
      <c r="O1021">
        <v>275</v>
      </c>
      <c r="P1021">
        <v>223</v>
      </c>
      <c r="Q1021">
        <v>289</v>
      </c>
      <c r="R1021">
        <v>772</v>
      </c>
      <c r="S1021">
        <v>1840</v>
      </c>
      <c r="T1021">
        <v>5260</v>
      </c>
      <c r="U1021">
        <v>7100</v>
      </c>
      <c r="V1021">
        <v>140</v>
      </c>
      <c r="W1021">
        <v>590</v>
      </c>
      <c r="X1021">
        <v>160</v>
      </c>
      <c r="Y1021">
        <v>1860</v>
      </c>
      <c r="Z1021">
        <v>194</v>
      </c>
      <c r="AA1021">
        <v>1217</v>
      </c>
      <c r="AB1021" s="1" t="s">
        <v>1774</v>
      </c>
    </row>
    <row r="1022" spans="1:28" x14ac:dyDescent="0.3">
      <c r="A1022">
        <v>2216</v>
      </c>
      <c r="B1022" s="1" t="s">
        <v>1304</v>
      </c>
      <c r="C1022">
        <v>0</v>
      </c>
      <c r="D1022">
        <v>1610612752</v>
      </c>
      <c r="E1022" s="1" t="s">
        <v>1248</v>
      </c>
      <c r="F1022">
        <v>270</v>
      </c>
      <c r="G1022">
        <v>11</v>
      </c>
      <c r="H1022">
        <v>110</v>
      </c>
      <c r="I1022">
        <v>3880</v>
      </c>
      <c r="J1022">
        <v>82</v>
      </c>
      <c r="K1022">
        <v>189</v>
      </c>
      <c r="L1022">
        <v>434</v>
      </c>
      <c r="M1022">
        <v>70</v>
      </c>
      <c r="N1022">
        <v>240</v>
      </c>
      <c r="O1022">
        <v>292</v>
      </c>
      <c r="P1022">
        <v>55</v>
      </c>
      <c r="Q1022">
        <v>67</v>
      </c>
      <c r="R1022">
        <v>821</v>
      </c>
      <c r="S1022">
        <v>400</v>
      </c>
      <c r="T1022">
        <v>970</v>
      </c>
      <c r="U1022">
        <v>1370</v>
      </c>
      <c r="V1022">
        <v>15</v>
      </c>
      <c r="W1022">
        <v>130</v>
      </c>
      <c r="X1022">
        <v>30</v>
      </c>
      <c r="Y1022">
        <v>230</v>
      </c>
      <c r="Z1022">
        <v>28</v>
      </c>
      <c r="AA1022">
        <v>226</v>
      </c>
      <c r="AB1022" s="1" t="s">
        <v>1774</v>
      </c>
    </row>
    <row r="1023" spans="1:28" x14ac:dyDescent="0.3">
      <c r="A1023">
        <v>101127</v>
      </c>
      <c r="B1023" s="1" t="s">
        <v>1259</v>
      </c>
      <c r="C1023">
        <v>0</v>
      </c>
      <c r="D1023">
        <v>1610612752</v>
      </c>
      <c r="E1023" s="1" t="s">
        <v>1248</v>
      </c>
      <c r="F1023">
        <v>340</v>
      </c>
      <c r="G1023">
        <v>62</v>
      </c>
      <c r="H1023">
        <v>560</v>
      </c>
      <c r="I1023">
        <v>15480</v>
      </c>
      <c r="J1023">
        <v>189</v>
      </c>
      <c r="K1023">
        <v>443</v>
      </c>
      <c r="L1023">
        <v>427</v>
      </c>
      <c r="M1023">
        <v>250</v>
      </c>
      <c r="N1023">
        <v>860</v>
      </c>
      <c r="O1023">
        <v>291</v>
      </c>
      <c r="P1023">
        <v>63</v>
      </c>
      <c r="Q1023">
        <v>75</v>
      </c>
      <c r="R1023">
        <v>84</v>
      </c>
      <c r="S1023">
        <v>220</v>
      </c>
      <c r="T1023">
        <v>1690</v>
      </c>
      <c r="U1023">
        <v>1910</v>
      </c>
      <c r="V1023">
        <v>348</v>
      </c>
      <c r="W1023">
        <v>350</v>
      </c>
      <c r="X1023">
        <v>40</v>
      </c>
      <c r="Y1023">
        <v>1150</v>
      </c>
      <c r="Z1023">
        <v>98</v>
      </c>
      <c r="AA1023">
        <v>466</v>
      </c>
      <c r="AB1023" s="1" t="s">
        <v>1775</v>
      </c>
    </row>
    <row r="1024" spans="1:28" x14ac:dyDescent="0.3">
      <c r="A1024">
        <v>202683</v>
      </c>
      <c r="B1024" s="1" t="s">
        <v>1259</v>
      </c>
      <c r="C1024">
        <v>0</v>
      </c>
      <c r="D1024">
        <v>1610612752</v>
      </c>
      <c r="E1024" s="1" t="s">
        <v>1248</v>
      </c>
      <c r="F1024">
        <v>260</v>
      </c>
      <c r="G1024">
        <v>71</v>
      </c>
      <c r="H1024">
        <v>710</v>
      </c>
      <c r="I1024">
        <v>18300</v>
      </c>
      <c r="J1024">
        <v>422</v>
      </c>
      <c r="K1024">
        <v>713</v>
      </c>
      <c r="L1024">
        <v>592</v>
      </c>
      <c r="M1024">
        <v>0</v>
      </c>
      <c r="N1024">
        <v>20</v>
      </c>
      <c r="O1024">
        <v>0</v>
      </c>
      <c r="P1024">
        <v>156</v>
      </c>
      <c r="Q1024">
        <v>184</v>
      </c>
      <c r="R1024">
        <v>848</v>
      </c>
      <c r="S1024">
        <v>2730</v>
      </c>
      <c r="T1024">
        <v>5070</v>
      </c>
      <c r="U1024">
        <v>7800</v>
      </c>
      <c r="V1024">
        <v>105</v>
      </c>
      <c r="W1024">
        <v>360</v>
      </c>
      <c r="X1024">
        <v>370</v>
      </c>
      <c r="Y1024">
        <v>1220</v>
      </c>
      <c r="Z1024">
        <v>187</v>
      </c>
      <c r="AA1024">
        <v>1000</v>
      </c>
      <c r="AB1024" s="1" t="s">
        <v>1776</v>
      </c>
    </row>
    <row r="1025" spans="1:28" x14ac:dyDescent="0.3">
      <c r="A1025">
        <v>202683</v>
      </c>
      <c r="B1025" s="1" t="s">
        <v>1287</v>
      </c>
      <c r="C1025">
        <v>0</v>
      </c>
      <c r="D1025">
        <v>1610612752</v>
      </c>
      <c r="E1025" s="1" t="s">
        <v>1248</v>
      </c>
      <c r="F1025">
        <v>270</v>
      </c>
      <c r="G1025">
        <v>44</v>
      </c>
      <c r="H1025">
        <v>230</v>
      </c>
      <c r="I1025">
        <v>11280</v>
      </c>
      <c r="J1025">
        <v>251</v>
      </c>
      <c r="K1025">
        <v>468</v>
      </c>
      <c r="L1025">
        <v>536</v>
      </c>
      <c r="M1025">
        <v>70</v>
      </c>
      <c r="N1025">
        <v>220</v>
      </c>
      <c r="O1025">
        <v>318</v>
      </c>
      <c r="P1025">
        <v>105</v>
      </c>
      <c r="Q1025">
        <v>129</v>
      </c>
      <c r="R1025">
        <v>814</v>
      </c>
      <c r="S1025">
        <v>1710</v>
      </c>
      <c r="T1025">
        <v>2900</v>
      </c>
      <c r="U1025">
        <v>4610</v>
      </c>
      <c r="V1025">
        <v>84</v>
      </c>
      <c r="W1025">
        <v>180</v>
      </c>
      <c r="X1025">
        <v>170</v>
      </c>
      <c r="Y1025">
        <v>790</v>
      </c>
      <c r="Z1025">
        <v>106</v>
      </c>
      <c r="AA1025">
        <v>614</v>
      </c>
      <c r="AB1025" s="1" t="s">
        <v>1776</v>
      </c>
    </row>
    <row r="1026" spans="1:28" x14ac:dyDescent="0.3">
      <c r="A1026">
        <v>76385</v>
      </c>
      <c r="B1026" s="1" t="s">
        <v>1270</v>
      </c>
      <c r="C1026">
        <v>0</v>
      </c>
      <c r="D1026">
        <v>1610612752</v>
      </c>
      <c r="E1026" s="1" t="s">
        <v>1248</v>
      </c>
      <c r="F1026">
        <v>330</v>
      </c>
      <c r="G1026">
        <v>31</v>
      </c>
      <c r="H1026">
        <v>130</v>
      </c>
      <c r="I1026">
        <v>7530</v>
      </c>
      <c r="J1026">
        <v>92</v>
      </c>
      <c r="K1026">
        <v>159</v>
      </c>
      <c r="L1026">
        <v>579</v>
      </c>
      <c r="M1026">
        <v>30</v>
      </c>
      <c r="N1026">
        <v>70</v>
      </c>
      <c r="O1026">
        <v>429</v>
      </c>
      <c r="P1026">
        <v>57</v>
      </c>
      <c r="Q1026">
        <v>65</v>
      </c>
      <c r="R1026">
        <v>877</v>
      </c>
      <c r="S1026">
        <v>110</v>
      </c>
      <c r="T1026">
        <v>620</v>
      </c>
      <c r="U1026">
        <v>730</v>
      </c>
      <c r="V1026">
        <v>151</v>
      </c>
      <c r="W1026">
        <v>420</v>
      </c>
      <c r="X1026">
        <v>50</v>
      </c>
      <c r="Y1026">
        <v>360</v>
      </c>
      <c r="Z1026">
        <v>32</v>
      </c>
      <c r="AA1026">
        <v>244</v>
      </c>
      <c r="AB1026" s="1" t="s">
        <v>1777</v>
      </c>
    </row>
    <row r="1027" spans="1:28" x14ac:dyDescent="0.3">
      <c r="A1027">
        <v>76385</v>
      </c>
      <c r="B1027" s="1" t="s">
        <v>1271</v>
      </c>
      <c r="C1027">
        <v>0</v>
      </c>
      <c r="D1027">
        <v>1610612752</v>
      </c>
      <c r="E1027" s="1" t="s">
        <v>1248</v>
      </c>
      <c r="F1027">
        <v>340</v>
      </c>
      <c r="G1027">
        <v>76</v>
      </c>
      <c r="H1027">
        <v>640</v>
      </c>
      <c r="I1027">
        <v>21470</v>
      </c>
      <c r="J1027">
        <v>241</v>
      </c>
      <c r="K1027">
        <v>483</v>
      </c>
      <c r="L1027">
        <v>499</v>
      </c>
      <c r="M1027">
        <v>50</v>
      </c>
      <c r="N1027">
        <v>200</v>
      </c>
      <c r="O1027">
        <v>25</v>
      </c>
      <c r="P1027">
        <v>105</v>
      </c>
      <c r="Q1027">
        <v>129</v>
      </c>
      <c r="R1027">
        <v>814</v>
      </c>
      <c r="S1027">
        <v>220</v>
      </c>
      <c r="T1027">
        <v>1510</v>
      </c>
      <c r="U1027">
        <v>1730</v>
      </c>
      <c r="V1027">
        <v>435</v>
      </c>
      <c r="W1027">
        <v>1280</v>
      </c>
      <c r="X1027">
        <v>100</v>
      </c>
      <c r="Y1027">
        <v>1080</v>
      </c>
      <c r="Z1027">
        <v>138</v>
      </c>
      <c r="AA1027">
        <v>592</v>
      </c>
      <c r="AB1027" s="1" t="s">
        <v>1777</v>
      </c>
    </row>
    <row r="1028" spans="1:28" x14ac:dyDescent="0.3">
      <c r="A1028">
        <v>76206</v>
      </c>
      <c r="B1028" s="1" t="s">
        <v>1257</v>
      </c>
      <c r="C1028">
        <v>0</v>
      </c>
      <c r="D1028">
        <v>1610612752</v>
      </c>
      <c r="E1028" s="1" t="s">
        <v>1248</v>
      </c>
      <c r="F1028">
        <v>270</v>
      </c>
      <c r="G1028">
        <v>49</v>
      </c>
      <c r="I1028">
        <v>16520</v>
      </c>
      <c r="J1028">
        <v>329</v>
      </c>
      <c r="K1028">
        <v>762</v>
      </c>
      <c r="L1028">
        <v>432</v>
      </c>
      <c r="P1028">
        <v>198</v>
      </c>
      <c r="Q1028">
        <v>257</v>
      </c>
      <c r="R1028">
        <v>77</v>
      </c>
      <c r="U1028">
        <v>4180</v>
      </c>
      <c r="V1028">
        <v>63</v>
      </c>
      <c r="Z1028">
        <v>148</v>
      </c>
      <c r="AA1028">
        <v>856</v>
      </c>
      <c r="AB1028" s="1" t="s">
        <v>1778</v>
      </c>
    </row>
    <row r="1029" spans="1:28" x14ac:dyDescent="0.3">
      <c r="A1029">
        <v>76206</v>
      </c>
      <c r="B1029" s="1" t="s">
        <v>1258</v>
      </c>
      <c r="C1029">
        <v>0</v>
      </c>
      <c r="D1029">
        <v>1610612752</v>
      </c>
      <c r="E1029" s="1" t="s">
        <v>1248</v>
      </c>
      <c r="F1029">
        <v>280</v>
      </c>
      <c r="G1029">
        <v>80</v>
      </c>
      <c r="I1029">
        <v>21390</v>
      </c>
      <c r="J1029">
        <v>424</v>
      </c>
      <c r="K1029">
        <v>963</v>
      </c>
      <c r="L1029">
        <v>44</v>
      </c>
      <c r="P1029">
        <v>288</v>
      </c>
      <c r="Q1029">
        <v>375</v>
      </c>
      <c r="R1029">
        <v>768</v>
      </c>
      <c r="U1029">
        <v>6040</v>
      </c>
      <c r="V1029">
        <v>108</v>
      </c>
      <c r="Z1029">
        <v>183</v>
      </c>
      <c r="AA1029">
        <v>1136</v>
      </c>
      <c r="AB1029" s="1" t="s">
        <v>1778</v>
      </c>
    </row>
    <row r="1030" spans="1:28" x14ac:dyDescent="0.3">
      <c r="A1030">
        <v>202690</v>
      </c>
      <c r="B1030" s="1" t="s">
        <v>1279</v>
      </c>
      <c r="C1030">
        <v>0</v>
      </c>
      <c r="D1030">
        <v>1610612752</v>
      </c>
      <c r="E1030" s="1" t="s">
        <v>1248</v>
      </c>
      <c r="F1030">
        <v>270</v>
      </c>
      <c r="G1030">
        <v>2</v>
      </c>
      <c r="H1030">
        <v>0</v>
      </c>
      <c r="I1030">
        <v>50</v>
      </c>
      <c r="J1030">
        <v>1</v>
      </c>
      <c r="K1030">
        <v>1</v>
      </c>
      <c r="L1030">
        <v>10</v>
      </c>
      <c r="M1030">
        <v>10</v>
      </c>
      <c r="N1030">
        <v>10</v>
      </c>
      <c r="O1030">
        <v>10</v>
      </c>
      <c r="P1030">
        <v>4</v>
      </c>
      <c r="Q1030">
        <v>5</v>
      </c>
      <c r="R1030">
        <v>8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10</v>
      </c>
      <c r="Z1030">
        <v>1</v>
      </c>
      <c r="AA1030">
        <v>7</v>
      </c>
      <c r="AB1030" s="1" t="s">
        <v>1779</v>
      </c>
    </row>
    <row r="1031" spans="1:28" x14ac:dyDescent="0.3">
      <c r="A1031">
        <v>76382</v>
      </c>
      <c r="B1031" s="1" t="s">
        <v>1257</v>
      </c>
      <c r="C1031">
        <v>0</v>
      </c>
      <c r="D1031">
        <v>1610612752</v>
      </c>
      <c r="E1031" s="1" t="s">
        <v>1248</v>
      </c>
      <c r="F1031">
        <v>230</v>
      </c>
      <c r="G1031">
        <v>78</v>
      </c>
      <c r="I1031">
        <v>24890</v>
      </c>
      <c r="J1031">
        <v>531</v>
      </c>
      <c r="K1031">
        <v>1183</v>
      </c>
      <c r="L1031">
        <v>449</v>
      </c>
      <c r="P1031">
        <v>287</v>
      </c>
      <c r="Q1031">
        <v>401</v>
      </c>
      <c r="R1031">
        <v>716</v>
      </c>
      <c r="U1031">
        <v>7670</v>
      </c>
      <c r="V1031">
        <v>83</v>
      </c>
      <c r="Z1031">
        <v>212</v>
      </c>
      <c r="AA1031">
        <v>1349</v>
      </c>
      <c r="AB1031" s="1" t="s">
        <v>1780</v>
      </c>
    </row>
    <row r="1032" spans="1:28" x14ac:dyDescent="0.3">
      <c r="A1032">
        <v>76382</v>
      </c>
      <c r="B1032" s="1" t="s">
        <v>1258</v>
      </c>
      <c r="C1032">
        <v>0</v>
      </c>
      <c r="D1032">
        <v>1610612752</v>
      </c>
      <c r="E1032" s="1" t="s">
        <v>1248</v>
      </c>
      <c r="F1032">
        <v>240</v>
      </c>
      <c r="G1032">
        <v>43</v>
      </c>
      <c r="I1032">
        <v>6550</v>
      </c>
      <c r="J1032">
        <v>145</v>
      </c>
      <c r="K1032">
        <v>367</v>
      </c>
      <c r="L1032">
        <v>395</v>
      </c>
      <c r="P1032">
        <v>68</v>
      </c>
      <c r="Q1032">
        <v>100</v>
      </c>
      <c r="R1032">
        <v>68</v>
      </c>
      <c r="U1032">
        <v>1400</v>
      </c>
      <c r="V1032">
        <v>15</v>
      </c>
      <c r="Z1032">
        <v>73</v>
      </c>
      <c r="AA1032">
        <v>358</v>
      </c>
      <c r="AB1032" s="1" t="s">
        <v>1780</v>
      </c>
    </row>
    <row r="1033" spans="1:28" x14ac:dyDescent="0.3">
      <c r="A1033">
        <v>76382</v>
      </c>
      <c r="B1033" s="1" t="s">
        <v>1412</v>
      </c>
      <c r="C1033">
        <v>0</v>
      </c>
      <c r="D1033">
        <v>1610612752</v>
      </c>
      <c r="E1033" s="1" t="s">
        <v>1248</v>
      </c>
      <c r="F1033">
        <v>250</v>
      </c>
      <c r="G1033">
        <v>46</v>
      </c>
      <c r="I1033">
        <v>5450</v>
      </c>
      <c r="J1033">
        <v>100</v>
      </c>
      <c r="K1033">
        <v>238</v>
      </c>
      <c r="L1033">
        <v>42</v>
      </c>
      <c r="P1033">
        <v>46</v>
      </c>
      <c r="Q1033">
        <v>78</v>
      </c>
      <c r="R1033">
        <v>59</v>
      </c>
      <c r="U1033">
        <v>1270</v>
      </c>
      <c r="V1033">
        <v>26</v>
      </c>
      <c r="Z1033">
        <v>64</v>
      </c>
      <c r="AA1033">
        <v>246</v>
      </c>
      <c r="AB1033" s="1" t="s">
        <v>1780</v>
      </c>
    </row>
    <row r="1034" spans="1:28" x14ac:dyDescent="0.3">
      <c r="A1034">
        <v>77093</v>
      </c>
      <c r="B1034" s="1" t="s">
        <v>1322</v>
      </c>
      <c r="C1034">
        <v>0</v>
      </c>
      <c r="D1034">
        <v>1610612752</v>
      </c>
      <c r="E1034" s="1" t="s">
        <v>1248</v>
      </c>
      <c r="F1034">
        <v>220</v>
      </c>
      <c r="G1034">
        <v>62</v>
      </c>
      <c r="I1034">
        <v>9940</v>
      </c>
      <c r="J1034">
        <v>122</v>
      </c>
      <c r="K1034">
        <v>310</v>
      </c>
      <c r="L1034">
        <v>394</v>
      </c>
      <c r="P1034">
        <v>49</v>
      </c>
      <c r="Q1034">
        <v>96</v>
      </c>
      <c r="R1034">
        <v>51</v>
      </c>
      <c r="U1034">
        <v>2960</v>
      </c>
      <c r="V1034">
        <v>51</v>
      </c>
      <c r="Z1034">
        <v>143</v>
      </c>
      <c r="AA1034">
        <v>293</v>
      </c>
      <c r="AB1034" s="1" t="s">
        <v>1781</v>
      </c>
    </row>
    <row r="1035" spans="1:28" x14ac:dyDescent="0.3">
      <c r="A1035">
        <v>77093</v>
      </c>
      <c r="B1035" s="1" t="s">
        <v>1323</v>
      </c>
      <c r="C1035">
        <v>0</v>
      </c>
      <c r="D1035">
        <v>1610612752</v>
      </c>
      <c r="E1035" s="1" t="s">
        <v>1248</v>
      </c>
      <c r="F1035">
        <v>230</v>
      </c>
      <c r="G1035">
        <v>76</v>
      </c>
      <c r="I1035">
        <v>14810</v>
      </c>
      <c r="J1035">
        <v>186</v>
      </c>
      <c r="K1035">
        <v>482</v>
      </c>
      <c r="L1035">
        <v>386</v>
      </c>
      <c r="P1035">
        <v>80</v>
      </c>
      <c r="Q1035">
        <v>139</v>
      </c>
      <c r="R1035">
        <v>576</v>
      </c>
      <c r="U1035">
        <v>4700</v>
      </c>
      <c r="V1035">
        <v>82</v>
      </c>
      <c r="Z1035">
        <v>230</v>
      </c>
      <c r="AA1035">
        <v>452</v>
      </c>
      <c r="AB1035" s="1" t="s">
        <v>1781</v>
      </c>
    </row>
    <row r="1036" spans="1:28" x14ac:dyDescent="0.3">
      <c r="A1036">
        <v>393</v>
      </c>
      <c r="B1036" s="1" t="s">
        <v>1268</v>
      </c>
      <c r="C1036">
        <v>0</v>
      </c>
      <c r="D1036">
        <v>1610612752</v>
      </c>
      <c r="E1036" s="1" t="s">
        <v>1248</v>
      </c>
      <c r="F1036">
        <v>220</v>
      </c>
      <c r="G1036">
        <v>81</v>
      </c>
      <c r="H1036">
        <v>100</v>
      </c>
      <c r="I1036">
        <v>13580</v>
      </c>
      <c r="J1036">
        <v>265</v>
      </c>
      <c r="K1036">
        <v>567</v>
      </c>
      <c r="L1036">
        <v>467</v>
      </c>
      <c r="M1036">
        <v>190</v>
      </c>
      <c r="N1036">
        <v>590</v>
      </c>
      <c r="O1036">
        <v>322</v>
      </c>
      <c r="P1036">
        <v>172</v>
      </c>
      <c r="Q1036">
        <v>231</v>
      </c>
      <c r="R1036">
        <v>745</v>
      </c>
      <c r="S1036">
        <v>510</v>
      </c>
      <c r="T1036">
        <v>1090</v>
      </c>
      <c r="U1036">
        <v>1600</v>
      </c>
      <c r="V1036">
        <v>319</v>
      </c>
      <c r="W1036">
        <v>980</v>
      </c>
      <c r="X1036">
        <v>30</v>
      </c>
      <c r="Y1036">
        <v>1480</v>
      </c>
      <c r="Z1036">
        <v>142</v>
      </c>
      <c r="AA1036">
        <v>721</v>
      </c>
      <c r="AB1036" s="1" t="s">
        <v>1782</v>
      </c>
    </row>
    <row r="1037" spans="1:28" x14ac:dyDescent="0.3">
      <c r="A1037">
        <v>393</v>
      </c>
      <c r="B1037" s="1" t="s">
        <v>1270</v>
      </c>
      <c r="C1037">
        <v>0</v>
      </c>
      <c r="D1037">
        <v>1610612752</v>
      </c>
      <c r="E1037" s="1" t="s">
        <v>1248</v>
      </c>
      <c r="F1037">
        <v>230</v>
      </c>
      <c r="G1037">
        <v>51</v>
      </c>
      <c r="H1037">
        <v>0</v>
      </c>
      <c r="I1037">
        <v>10190</v>
      </c>
      <c r="J1037">
        <v>170</v>
      </c>
      <c r="K1037">
        <v>386</v>
      </c>
      <c r="L1037">
        <v>44</v>
      </c>
      <c r="M1037">
        <v>60</v>
      </c>
      <c r="N1037">
        <v>210</v>
      </c>
      <c r="O1037">
        <v>286</v>
      </c>
      <c r="P1037">
        <v>83</v>
      </c>
      <c r="Q1037">
        <v>130</v>
      </c>
      <c r="R1037">
        <v>638</v>
      </c>
      <c r="S1037">
        <v>430</v>
      </c>
      <c r="T1037">
        <v>830</v>
      </c>
      <c r="U1037">
        <v>1260</v>
      </c>
      <c r="V1037">
        <v>219</v>
      </c>
      <c r="W1037">
        <v>700</v>
      </c>
      <c r="X1037">
        <v>80</v>
      </c>
      <c r="Y1037">
        <v>850</v>
      </c>
      <c r="Z1037">
        <v>71</v>
      </c>
      <c r="AA1037">
        <v>429</v>
      </c>
      <c r="AB1037" s="1" t="s">
        <v>1782</v>
      </c>
    </row>
    <row r="1038" spans="1:28" x14ac:dyDescent="0.3">
      <c r="A1038">
        <v>78276</v>
      </c>
      <c r="B1038" s="1" t="s">
        <v>1339</v>
      </c>
      <c r="C1038">
        <v>0</v>
      </c>
      <c r="D1038">
        <v>1610612752</v>
      </c>
      <c r="E1038" s="1" t="s">
        <v>1248</v>
      </c>
      <c r="F1038">
        <v>270</v>
      </c>
      <c r="G1038">
        <v>60</v>
      </c>
      <c r="J1038">
        <v>172</v>
      </c>
      <c r="K1038">
        <v>641</v>
      </c>
      <c r="L1038">
        <v>268</v>
      </c>
      <c r="P1038">
        <v>133</v>
      </c>
      <c r="Q1038">
        <v>170</v>
      </c>
      <c r="R1038">
        <v>782</v>
      </c>
      <c r="V1038">
        <v>49</v>
      </c>
      <c r="Z1038">
        <v>127</v>
      </c>
      <c r="AA1038">
        <v>477</v>
      </c>
      <c r="AB1038" s="1" t="s">
        <v>1783</v>
      </c>
    </row>
    <row r="1039" spans="1:28" x14ac:dyDescent="0.3">
      <c r="A1039">
        <v>78276</v>
      </c>
      <c r="B1039" s="1" t="s">
        <v>1297</v>
      </c>
      <c r="C1039">
        <v>0</v>
      </c>
      <c r="D1039">
        <v>1610612752</v>
      </c>
      <c r="E1039" s="1" t="s">
        <v>1248</v>
      </c>
      <c r="F1039">
        <v>280</v>
      </c>
      <c r="G1039">
        <v>47</v>
      </c>
      <c r="J1039">
        <v>109</v>
      </c>
      <c r="K1039">
        <v>501</v>
      </c>
      <c r="L1039">
        <v>218</v>
      </c>
      <c r="P1039">
        <v>113</v>
      </c>
      <c r="Q1039">
        <v>135</v>
      </c>
      <c r="R1039">
        <v>837</v>
      </c>
      <c r="V1039">
        <v>57</v>
      </c>
      <c r="Z1039">
        <v>121</v>
      </c>
      <c r="AA1039">
        <v>331</v>
      </c>
      <c r="AB1039" s="1" t="s">
        <v>1783</v>
      </c>
    </row>
    <row r="1040" spans="1:28" x14ac:dyDescent="0.3">
      <c r="A1040">
        <v>1743</v>
      </c>
      <c r="B1040" s="1" t="s">
        <v>1293</v>
      </c>
      <c r="C1040">
        <v>0</v>
      </c>
      <c r="D1040">
        <v>1610612752</v>
      </c>
      <c r="E1040" s="1" t="s">
        <v>1248</v>
      </c>
      <c r="F1040">
        <v>240</v>
      </c>
      <c r="G1040">
        <v>1</v>
      </c>
      <c r="H1040">
        <v>0</v>
      </c>
      <c r="I1040">
        <v>40</v>
      </c>
      <c r="J1040">
        <v>1</v>
      </c>
      <c r="K1040">
        <v>1</v>
      </c>
      <c r="L1040">
        <v>10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1</v>
      </c>
      <c r="W1040">
        <v>0</v>
      </c>
      <c r="X1040">
        <v>0</v>
      </c>
      <c r="Y1040">
        <v>0</v>
      </c>
      <c r="Z1040">
        <v>2</v>
      </c>
      <c r="AA1040">
        <v>2</v>
      </c>
      <c r="AB1040" s="1" t="s">
        <v>1784</v>
      </c>
    </row>
    <row r="1041" spans="1:28" x14ac:dyDescent="0.3">
      <c r="A1041">
        <v>1743</v>
      </c>
      <c r="B1041" s="1" t="s">
        <v>1295</v>
      </c>
      <c r="C1041">
        <v>0</v>
      </c>
      <c r="D1041">
        <v>1610612752</v>
      </c>
      <c r="E1041" s="1" t="s">
        <v>1248</v>
      </c>
      <c r="F1041">
        <v>250</v>
      </c>
      <c r="G1041">
        <v>21</v>
      </c>
      <c r="H1041">
        <v>0</v>
      </c>
      <c r="I1041">
        <v>730</v>
      </c>
      <c r="J1041">
        <v>11</v>
      </c>
      <c r="K1041">
        <v>37</v>
      </c>
      <c r="L1041">
        <v>297</v>
      </c>
      <c r="M1041">
        <v>10</v>
      </c>
      <c r="N1041">
        <v>30</v>
      </c>
      <c r="O1041">
        <v>333</v>
      </c>
      <c r="P1041">
        <v>2</v>
      </c>
      <c r="Q1041">
        <v>2</v>
      </c>
      <c r="R1041">
        <v>10</v>
      </c>
      <c r="S1041">
        <v>60</v>
      </c>
      <c r="T1041">
        <v>70</v>
      </c>
      <c r="U1041">
        <v>130</v>
      </c>
      <c r="V1041">
        <v>2</v>
      </c>
      <c r="W1041">
        <v>20</v>
      </c>
      <c r="X1041">
        <v>20</v>
      </c>
      <c r="Y1041">
        <v>60</v>
      </c>
      <c r="Z1041">
        <v>16</v>
      </c>
      <c r="AA1041">
        <v>25</v>
      </c>
      <c r="AB1041" s="1" t="s">
        <v>1784</v>
      </c>
    </row>
    <row r="1042" spans="1:28" x14ac:dyDescent="0.3">
      <c r="A1042">
        <v>78280</v>
      </c>
      <c r="B1042" s="1" t="s">
        <v>1390</v>
      </c>
      <c r="C1042">
        <v>0</v>
      </c>
      <c r="D1042">
        <v>1610612752</v>
      </c>
      <c r="E1042" s="1" t="s">
        <v>1248</v>
      </c>
      <c r="F1042">
        <v>230</v>
      </c>
      <c r="G1042">
        <v>26</v>
      </c>
      <c r="I1042">
        <v>1870</v>
      </c>
      <c r="J1042">
        <v>13</v>
      </c>
      <c r="K1042">
        <v>61</v>
      </c>
      <c r="L1042">
        <v>213</v>
      </c>
      <c r="P1042">
        <v>19</v>
      </c>
      <c r="Q1042">
        <v>30</v>
      </c>
      <c r="R1042">
        <v>633</v>
      </c>
      <c r="U1042">
        <v>250</v>
      </c>
      <c r="V1042">
        <v>9</v>
      </c>
      <c r="Z1042">
        <v>36</v>
      </c>
      <c r="AA1042">
        <v>45</v>
      </c>
      <c r="AB1042" s="1" t="s">
        <v>1785</v>
      </c>
    </row>
    <row r="1043" spans="1:28" x14ac:dyDescent="0.3">
      <c r="A1043">
        <v>2552</v>
      </c>
      <c r="B1043" s="1" t="s">
        <v>1293</v>
      </c>
      <c r="C1043">
        <v>0</v>
      </c>
      <c r="D1043">
        <v>1610612752</v>
      </c>
      <c r="E1043" s="1" t="s">
        <v>1248</v>
      </c>
      <c r="F1043">
        <v>210</v>
      </c>
      <c r="G1043">
        <v>42</v>
      </c>
      <c r="H1043">
        <v>10</v>
      </c>
      <c r="I1043">
        <v>4950</v>
      </c>
      <c r="J1043">
        <v>69</v>
      </c>
      <c r="K1043">
        <v>140</v>
      </c>
      <c r="L1043">
        <v>493</v>
      </c>
      <c r="M1043">
        <v>0</v>
      </c>
      <c r="N1043">
        <v>10</v>
      </c>
      <c r="O1043">
        <v>0</v>
      </c>
      <c r="P1043">
        <v>42</v>
      </c>
      <c r="Q1043">
        <v>58</v>
      </c>
      <c r="R1043">
        <v>724</v>
      </c>
      <c r="S1043">
        <v>680</v>
      </c>
      <c r="T1043">
        <v>890</v>
      </c>
      <c r="U1043">
        <v>1570</v>
      </c>
      <c r="V1043">
        <v>14</v>
      </c>
      <c r="W1043">
        <v>180</v>
      </c>
      <c r="X1043">
        <v>120</v>
      </c>
      <c r="Y1043">
        <v>320</v>
      </c>
      <c r="Z1043">
        <v>57</v>
      </c>
      <c r="AA1043">
        <v>180</v>
      </c>
      <c r="AB1043" s="1" t="s">
        <v>1786</v>
      </c>
    </row>
    <row r="1044" spans="1:28" x14ac:dyDescent="0.3">
      <c r="A1044">
        <v>2552</v>
      </c>
      <c r="B1044" s="1" t="s">
        <v>1295</v>
      </c>
      <c r="C1044">
        <v>0</v>
      </c>
      <c r="D1044">
        <v>1610612752</v>
      </c>
      <c r="E1044" s="1" t="s">
        <v>1248</v>
      </c>
      <c r="F1044">
        <v>220</v>
      </c>
      <c r="G1044">
        <v>77</v>
      </c>
      <c r="H1044">
        <v>280</v>
      </c>
      <c r="I1044">
        <v>15090</v>
      </c>
      <c r="J1044">
        <v>237</v>
      </c>
      <c r="K1044">
        <v>446</v>
      </c>
      <c r="L1044">
        <v>531</v>
      </c>
      <c r="M1044">
        <v>0</v>
      </c>
      <c r="N1044">
        <v>10</v>
      </c>
      <c r="O1044">
        <v>0</v>
      </c>
      <c r="P1044">
        <v>176</v>
      </c>
      <c r="Q1044">
        <v>235</v>
      </c>
      <c r="R1044">
        <v>749</v>
      </c>
      <c r="S1044">
        <v>1690</v>
      </c>
      <c r="T1044">
        <v>2490</v>
      </c>
      <c r="U1044">
        <v>4180</v>
      </c>
      <c r="V1044">
        <v>44</v>
      </c>
      <c r="W1044">
        <v>270</v>
      </c>
      <c r="X1044">
        <v>280</v>
      </c>
      <c r="Y1044">
        <v>1080</v>
      </c>
      <c r="Z1044">
        <v>224</v>
      </c>
      <c r="AA1044">
        <v>650</v>
      </c>
      <c r="AB1044" s="1" t="s">
        <v>1786</v>
      </c>
    </row>
    <row r="1045" spans="1:28" x14ac:dyDescent="0.3">
      <c r="A1045">
        <v>78291</v>
      </c>
      <c r="B1045" s="1" t="s">
        <v>1297</v>
      </c>
      <c r="C1045">
        <v>0</v>
      </c>
      <c r="D1045">
        <v>1610612752</v>
      </c>
      <c r="E1045" s="1" t="s">
        <v>1248</v>
      </c>
      <c r="F1045">
        <v>220</v>
      </c>
      <c r="G1045">
        <v>24</v>
      </c>
      <c r="J1045">
        <v>90</v>
      </c>
      <c r="K1045">
        <v>360</v>
      </c>
      <c r="L1045">
        <v>25</v>
      </c>
      <c r="P1045">
        <v>62</v>
      </c>
      <c r="Q1045">
        <v>74</v>
      </c>
      <c r="R1045">
        <v>838</v>
      </c>
      <c r="V1045">
        <v>37</v>
      </c>
      <c r="Z1045">
        <v>33</v>
      </c>
      <c r="AA1045">
        <v>242</v>
      </c>
      <c r="AB1045" s="1" t="s">
        <v>1787</v>
      </c>
    </row>
    <row r="1046" spans="1:28" x14ac:dyDescent="0.3">
      <c r="A1046">
        <v>78291</v>
      </c>
      <c r="B1046" s="1" t="s">
        <v>1299</v>
      </c>
      <c r="C1046">
        <v>0</v>
      </c>
      <c r="D1046">
        <v>1610612752</v>
      </c>
      <c r="E1046" s="1" t="s">
        <v>1248</v>
      </c>
      <c r="F1046">
        <v>230</v>
      </c>
      <c r="G1046">
        <v>32</v>
      </c>
      <c r="I1046">
        <v>0</v>
      </c>
      <c r="J1046">
        <v>96</v>
      </c>
      <c r="K1046">
        <v>339</v>
      </c>
      <c r="L1046">
        <v>283</v>
      </c>
      <c r="P1046">
        <v>65</v>
      </c>
      <c r="Q1046">
        <v>77</v>
      </c>
      <c r="R1046">
        <v>844</v>
      </c>
      <c r="U1046">
        <v>0</v>
      </c>
      <c r="V1046">
        <v>71</v>
      </c>
      <c r="Z1046">
        <v>53</v>
      </c>
      <c r="AA1046">
        <v>257</v>
      </c>
      <c r="AB1046" s="1" t="s">
        <v>1787</v>
      </c>
    </row>
    <row r="1047" spans="1:28" x14ac:dyDescent="0.3">
      <c r="A1047">
        <v>1508</v>
      </c>
      <c r="B1047" s="1" t="s">
        <v>1295</v>
      </c>
      <c r="C1047">
        <v>0</v>
      </c>
      <c r="D1047">
        <v>1610612752</v>
      </c>
      <c r="E1047" s="1" t="s">
        <v>1248</v>
      </c>
      <c r="F1047">
        <v>280</v>
      </c>
      <c r="G1047">
        <v>27</v>
      </c>
      <c r="H1047">
        <v>0</v>
      </c>
      <c r="I1047">
        <v>4310</v>
      </c>
      <c r="J1047">
        <v>76</v>
      </c>
      <c r="K1047">
        <v>154</v>
      </c>
      <c r="L1047">
        <v>494</v>
      </c>
      <c r="M1047">
        <v>0</v>
      </c>
      <c r="N1047">
        <v>10</v>
      </c>
      <c r="O1047">
        <v>0</v>
      </c>
      <c r="P1047">
        <v>24</v>
      </c>
      <c r="Q1047">
        <v>43</v>
      </c>
      <c r="R1047">
        <v>558</v>
      </c>
      <c r="S1047">
        <v>260</v>
      </c>
      <c r="T1047">
        <v>670</v>
      </c>
      <c r="U1047">
        <v>930</v>
      </c>
      <c r="V1047">
        <v>14</v>
      </c>
      <c r="W1047">
        <v>110</v>
      </c>
      <c r="X1047">
        <v>80</v>
      </c>
      <c r="Y1047">
        <v>310</v>
      </c>
      <c r="Z1047">
        <v>57</v>
      </c>
      <c r="AA1047">
        <v>176</v>
      </c>
      <c r="AB1047" s="1" t="s">
        <v>1788</v>
      </c>
    </row>
    <row r="1048" spans="1:28" x14ac:dyDescent="0.3">
      <c r="A1048">
        <v>1508</v>
      </c>
      <c r="B1048" s="1" t="s">
        <v>1300</v>
      </c>
      <c r="C1048">
        <v>0</v>
      </c>
      <c r="D1048">
        <v>1610612752</v>
      </c>
      <c r="E1048" s="1" t="s">
        <v>1248</v>
      </c>
      <c r="F1048">
        <v>290</v>
      </c>
      <c r="G1048">
        <v>67</v>
      </c>
      <c r="H1048">
        <v>130</v>
      </c>
      <c r="I1048">
        <v>12100</v>
      </c>
      <c r="J1048">
        <v>182</v>
      </c>
      <c r="K1048">
        <v>389</v>
      </c>
      <c r="L1048">
        <v>468</v>
      </c>
      <c r="M1048">
        <v>0</v>
      </c>
      <c r="N1048">
        <v>10</v>
      </c>
      <c r="O1048">
        <v>0</v>
      </c>
      <c r="P1048">
        <v>58</v>
      </c>
      <c r="Q1048">
        <v>83</v>
      </c>
      <c r="R1048">
        <v>699</v>
      </c>
      <c r="S1048">
        <v>650</v>
      </c>
      <c r="T1048">
        <v>1640</v>
      </c>
      <c r="U1048">
        <v>2290</v>
      </c>
      <c r="V1048">
        <v>53</v>
      </c>
      <c r="W1048">
        <v>210</v>
      </c>
      <c r="X1048">
        <v>140</v>
      </c>
      <c r="Y1048">
        <v>1030</v>
      </c>
      <c r="Z1048">
        <v>177</v>
      </c>
      <c r="AA1048">
        <v>422</v>
      </c>
      <c r="AB1048" s="1" t="s">
        <v>1788</v>
      </c>
    </row>
    <row r="1049" spans="1:28" x14ac:dyDescent="0.3">
      <c r="A1049">
        <v>78303</v>
      </c>
      <c r="B1049" s="1" t="s">
        <v>1468</v>
      </c>
      <c r="C1049">
        <v>0</v>
      </c>
      <c r="D1049">
        <v>1610612752</v>
      </c>
      <c r="E1049" s="1" t="s">
        <v>1248</v>
      </c>
      <c r="F1049">
        <v>220</v>
      </c>
      <c r="G1049">
        <v>31</v>
      </c>
      <c r="H1049">
        <v>0</v>
      </c>
      <c r="I1049">
        <v>3210</v>
      </c>
      <c r="J1049">
        <v>37</v>
      </c>
      <c r="K1049">
        <v>102</v>
      </c>
      <c r="L1049">
        <v>363</v>
      </c>
      <c r="M1049">
        <v>0</v>
      </c>
      <c r="N1049">
        <v>0</v>
      </c>
      <c r="O1049">
        <v>0</v>
      </c>
      <c r="P1049">
        <v>21</v>
      </c>
      <c r="Q1049">
        <v>32</v>
      </c>
      <c r="R1049">
        <v>656</v>
      </c>
      <c r="S1049">
        <v>190</v>
      </c>
      <c r="T1049">
        <v>170</v>
      </c>
      <c r="U1049">
        <v>360</v>
      </c>
      <c r="V1049">
        <v>41</v>
      </c>
      <c r="W1049">
        <v>200</v>
      </c>
      <c r="X1049">
        <v>20</v>
      </c>
      <c r="Y1049">
        <v>300</v>
      </c>
      <c r="Z1049">
        <v>54</v>
      </c>
      <c r="AA1049">
        <v>95</v>
      </c>
      <c r="AB1049" s="1" t="s">
        <v>1789</v>
      </c>
    </row>
    <row r="1050" spans="1:28" x14ac:dyDescent="0.3">
      <c r="A1050">
        <v>703</v>
      </c>
      <c r="B1050" s="1" t="s">
        <v>1429</v>
      </c>
      <c r="C1050">
        <v>0</v>
      </c>
      <c r="D1050">
        <v>1610612752</v>
      </c>
      <c r="E1050" s="1" t="s">
        <v>1248</v>
      </c>
      <c r="F1050">
        <v>260</v>
      </c>
      <c r="G1050">
        <v>50</v>
      </c>
      <c r="H1050">
        <v>440</v>
      </c>
      <c r="I1050">
        <v>11820</v>
      </c>
      <c r="J1050">
        <v>170</v>
      </c>
      <c r="K1050">
        <v>368</v>
      </c>
      <c r="L1050">
        <v>462</v>
      </c>
      <c r="M1050">
        <v>0</v>
      </c>
      <c r="N1050">
        <v>10</v>
      </c>
      <c r="O1050">
        <v>0</v>
      </c>
      <c r="P1050">
        <v>66</v>
      </c>
      <c r="Q1050">
        <v>108</v>
      </c>
      <c r="R1050">
        <v>611</v>
      </c>
      <c r="S1050">
        <v>820</v>
      </c>
      <c r="T1050">
        <v>2040</v>
      </c>
      <c r="U1050">
        <v>2860</v>
      </c>
      <c r="V1050">
        <v>55</v>
      </c>
      <c r="W1050">
        <v>450</v>
      </c>
      <c r="X1050">
        <v>170</v>
      </c>
      <c r="Y1050">
        <v>730</v>
      </c>
      <c r="Z1050">
        <v>159</v>
      </c>
      <c r="AA1050">
        <v>406</v>
      </c>
      <c r="AB1050" s="1" t="s">
        <v>1790</v>
      </c>
    </row>
    <row r="1051" spans="1:28" x14ac:dyDescent="0.3">
      <c r="A1051">
        <v>703</v>
      </c>
      <c r="B1051" s="1" t="s">
        <v>1464</v>
      </c>
      <c r="C1051">
        <v>0</v>
      </c>
      <c r="D1051">
        <v>1610612752</v>
      </c>
      <c r="E1051" s="1" t="s">
        <v>1248</v>
      </c>
      <c r="F1051">
        <v>270</v>
      </c>
      <c r="G1051">
        <v>80</v>
      </c>
      <c r="H1051">
        <v>210</v>
      </c>
      <c r="I1051">
        <v>19710</v>
      </c>
      <c r="J1051">
        <v>270</v>
      </c>
      <c r="K1051">
        <v>535</v>
      </c>
      <c r="L1051">
        <v>505</v>
      </c>
      <c r="M1051">
        <v>10</v>
      </c>
      <c r="N1051">
        <v>30</v>
      </c>
      <c r="O1051">
        <v>333</v>
      </c>
      <c r="P1051">
        <v>100</v>
      </c>
      <c r="Q1051">
        <v>128</v>
      </c>
      <c r="R1051">
        <v>781</v>
      </c>
      <c r="S1051">
        <v>1440</v>
      </c>
      <c r="T1051">
        <v>3610</v>
      </c>
      <c r="U1051">
        <v>5050</v>
      </c>
      <c r="V1051">
        <v>82</v>
      </c>
      <c r="W1051">
        <v>510</v>
      </c>
      <c r="X1051">
        <v>420</v>
      </c>
      <c r="Y1051">
        <v>1050</v>
      </c>
      <c r="Z1051">
        <v>278</v>
      </c>
      <c r="AA1051">
        <v>641</v>
      </c>
      <c r="AB1051" s="1" t="s">
        <v>1790</v>
      </c>
    </row>
    <row r="1052" spans="1:28" x14ac:dyDescent="0.3">
      <c r="A1052">
        <v>703</v>
      </c>
      <c r="B1052" s="1" t="s">
        <v>1465</v>
      </c>
      <c r="C1052">
        <v>0</v>
      </c>
      <c r="D1052">
        <v>1610612752</v>
      </c>
      <c r="E1052" s="1" t="s">
        <v>1248</v>
      </c>
      <c r="F1052">
        <v>280</v>
      </c>
      <c r="G1052">
        <v>77</v>
      </c>
      <c r="H1052">
        <v>290</v>
      </c>
      <c r="I1052">
        <v>21280</v>
      </c>
      <c r="J1052">
        <v>314</v>
      </c>
      <c r="K1052">
        <v>614</v>
      </c>
      <c r="L1052">
        <v>511</v>
      </c>
      <c r="M1052">
        <v>10</v>
      </c>
      <c r="N1052">
        <v>30</v>
      </c>
      <c r="O1052">
        <v>333</v>
      </c>
      <c r="P1052">
        <v>171</v>
      </c>
      <c r="Q1052">
        <v>210</v>
      </c>
      <c r="R1052">
        <v>814</v>
      </c>
      <c r="S1052">
        <v>1720</v>
      </c>
      <c r="T1052">
        <v>3430</v>
      </c>
      <c r="U1052">
        <v>5150</v>
      </c>
      <c r="V1052">
        <v>63</v>
      </c>
      <c r="W1052">
        <v>610</v>
      </c>
      <c r="X1052">
        <v>690</v>
      </c>
      <c r="Y1052">
        <v>990</v>
      </c>
      <c r="Z1052">
        <v>287</v>
      </c>
      <c r="AA1052">
        <v>800</v>
      </c>
      <c r="AB1052" s="1" t="s">
        <v>1790</v>
      </c>
    </row>
    <row r="1053" spans="1:28" x14ac:dyDescent="0.3">
      <c r="A1053">
        <v>703</v>
      </c>
      <c r="B1053" s="1" t="s">
        <v>1330</v>
      </c>
      <c r="C1053">
        <v>0</v>
      </c>
      <c r="D1053">
        <v>1610612752</v>
      </c>
      <c r="E1053" s="1" t="s">
        <v>1248</v>
      </c>
      <c r="F1053">
        <v>290</v>
      </c>
      <c r="G1053">
        <v>82</v>
      </c>
      <c r="H1053">
        <v>820</v>
      </c>
      <c r="I1053">
        <v>27690</v>
      </c>
      <c r="J1053">
        <v>463</v>
      </c>
      <c r="K1053">
        <v>938</v>
      </c>
      <c r="L1053">
        <v>494</v>
      </c>
      <c r="M1053">
        <v>10</v>
      </c>
      <c r="N1053">
        <v>60</v>
      </c>
      <c r="O1053">
        <v>167</v>
      </c>
      <c r="P1053">
        <v>216</v>
      </c>
      <c r="Q1053">
        <v>265</v>
      </c>
      <c r="R1053">
        <v>815</v>
      </c>
      <c r="S1053">
        <v>2140</v>
      </c>
      <c r="T1053">
        <v>5330</v>
      </c>
      <c r="U1053">
        <v>7470</v>
      </c>
      <c r="V1053">
        <v>87</v>
      </c>
      <c r="W1053">
        <v>710</v>
      </c>
      <c r="X1053">
        <v>790</v>
      </c>
      <c r="Y1053">
        <v>1530</v>
      </c>
      <c r="Z1053">
        <v>341</v>
      </c>
      <c r="AA1053">
        <v>1143</v>
      </c>
      <c r="AB1053" s="1" t="s">
        <v>1790</v>
      </c>
    </row>
    <row r="1054" spans="1:28" x14ac:dyDescent="0.3">
      <c r="A1054">
        <v>703</v>
      </c>
      <c r="B1054" s="1" t="s">
        <v>1325</v>
      </c>
      <c r="C1054">
        <v>0</v>
      </c>
      <c r="D1054">
        <v>1610612752</v>
      </c>
      <c r="E1054" s="1" t="s">
        <v>1248</v>
      </c>
      <c r="F1054">
        <v>300</v>
      </c>
      <c r="G1054">
        <v>81</v>
      </c>
      <c r="H1054">
        <v>810</v>
      </c>
      <c r="I1054">
        <v>25750</v>
      </c>
      <c r="J1054">
        <v>497</v>
      </c>
      <c r="K1054">
        <v>1028</v>
      </c>
      <c r="L1054">
        <v>483</v>
      </c>
      <c r="M1054">
        <v>20</v>
      </c>
      <c r="N1054">
        <v>30</v>
      </c>
      <c r="O1054">
        <v>667</v>
      </c>
      <c r="P1054">
        <v>138</v>
      </c>
      <c r="Q1054">
        <v>184</v>
      </c>
      <c r="R1054">
        <v>75</v>
      </c>
      <c r="S1054">
        <v>1600</v>
      </c>
      <c r="T1054">
        <v>4770</v>
      </c>
      <c r="U1054">
        <v>6370</v>
      </c>
      <c r="V1054">
        <v>162</v>
      </c>
      <c r="W1054">
        <v>810</v>
      </c>
      <c r="X1054">
        <v>970</v>
      </c>
      <c r="Y1054">
        <v>1380</v>
      </c>
      <c r="Z1054">
        <v>344</v>
      </c>
      <c r="AA1054">
        <v>1134</v>
      </c>
      <c r="AB1054" s="1" t="s">
        <v>1790</v>
      </c>
    </row>
    <row r="1055" spans="1:28" x14ac:dyDescent="0.3">
      <c r="A1055">
        <v>703</v>
      </c>
      <c r="B1055" s="1" t="s">
        <v>1293</v>
      </c>
      <c r="C1055">
        <v>0</v>
      </c>
      <c r="D1055">
        <v>1610612752</v>
      </c>
      <c r="E1055" s="1" t="s">
        <v>1248</v>
      </c>
      <c r="F1055">
        <v>310</v>
      </c>
      <c r="G1055">
        <v>80</v>
      </c>
      <c r="H1055">
        <v>750</v>
      </c>
      <c r="I1055">
        <v>25490</v>
      </c>
      <c r="J1055">
        <v>392</v>
      </c>
      <c r="K1055">
        <v>829</v>
      </c>
      <c r="L1055">
        <v>473</v>
      </c>
      <c r="M1055">
        <v>0</v>
      </c>
      <c r="N1055">
        <v>30</v>
      </c>
      <c r="O1055">
        <v>0</v>
      </c>
      <c r="P1055">
        <v>106</v>
      </c>
      <c r="Q1055">
        <v>127</v>
      </c>
      <c r="R1055">
        <v>835</v>
      </c>
      <c r="S1055">
        <v>1450</v>
      </c>
      <c r="T1055">
        <v>5170</v>
      </c>
      <c r="U1055">
        <v>6620</v>
      </c>
      <c r="V1055">
        <v>149</v>
      </c>
      <c r="W1055">
        <v>560</v>
      </c>
      <c r="X1055">
        <v>800</v>
      </c>
      <c r="Y1055">
        <v>1320</v>
      </c>
      <c r="Z1055">
        <v>298</v>
      </c>
      <c r="AA1055">
        <v>890</v>
      </c>
      <c r="AB1055" s="1" t="s">
        <v>1790</v>
      </c>
    </row>
    <row r="1056" spans="1:28" x14ac:dyDescent="0.3">
      <c r="A1056">
        <v>703</v>
      </c>
      <c r="B1056" s="1" t="s">
        <v>1295</v>
      </c>
      <c r="C1056">
        <v>0</v>
      </c>
      <c r="D1056">
        <v>1610612752</v>
      </c>
      <c r="E1056" s="1" t="s">
        <v>1248</v>
      </c>
      <c r="F1056">
        <v>320</v>
      </c>
      <c r="G1056">
        <v>80</v>
      </c>
      <c r="H1056">
        <v>800</v>
      </c>
      <c r="I1056">
        <v>28550</v>
      </c>
      <c r="J1056">
        <v>424</v>
      </c>
      <c r="K1056">
        <v>901</v>
      </c>
      <c r="L1056">
        <v>471</v>
      </c>
      <c r="M1056">
        <v>20</v>
      </c>
      <c r="N1056">
        <v>40</v>
      </c>
      <c r="O1056">
        <v>5</v>
      </c>
      <c r="P1056">
        <v>66</v>
      </c>
      <c r="Q1056">
        <v>84</v>
      </c>
      <c r="R1056">
        <v>786</v>
      </c>
      <c r="S1056">
        <v>1700</v>
      </c>
      <c r="T1056">
        <v>6610</v>
      </c>
      <c r="U1056">
        <v>8310</v>
      </c>
      <c r="V1056">
        <v>160</v>
      </c>
      <c r="W1056">
        <v>700</v>
      </c>
      <c r="X1056">
        <v>790</v>
      </c>
      <c r="Y1056">
        <v>990</v>
      </c>
      <c r="Z1056">
        <v>310</v>
      </c>
      <c r="AA1056">
        <v>916</v>
      </c>
      <c r="AB1056" s="1" t="s">
        <v>1790</v>
      </c>
    </row>
    <row r="1057" spans="1:28" x14ac:dyDescent="0.3">
      <c r="A1057">
        <v>703</v>
      </c>
      <c r="B1057" s="1" t="s">
        <v>1292</v>
      </c>
      <c r="C1057">
        <v>0</v>
      </c>
      <c r="D1057">
        <v>1610612752</v>
      </c>
      <c r="E1057" s="1" t="s">
        <v>1248</v>
      </c>
      <c r="F1057">
        <v>400</v>
      </c>
      <c r="G1057">
        <v>39</v>
      </c>
      <c r="H1057">
        <v>170</v>
      </c>
      <c r="I1057">
        <v>3920</v>
      </c>
      <c r="J1057">
        <v>45</v>
      </c>
      <c r="K1057">
        <v>83</v>
      </c>
      <c r="L1057">
        <v>542</v>
      </c>
      <c r="M1057">
        <v>10</v>
      </c>
      <c r="N1057">
        <v>10</v>
      </c>
      <c r="O1057">
        <v>10</v>
      </c>
      <c r="P1057">
        <v>6</v>
      </c>
      <c r="Q1057">
        <v>13</v>
      </c>
      <c r="R1057">
        <v>462</v>
      </c>
      <c r="S1057">
        <v>240</v>
      </c>
      <c r="T1057">
        <v>650</v>
      </c>
      <c r="U1057">
        <v>890</v>
      </c>
      <c r="V1057">
        <v>21</v>
      </c>
      <c r="W1057">
        <v>100</v>
      </c>
      <c r="X1057">
        <v>160</v>
      </c>
      <c r="Y1057">
        <v>80</v>
      </c>
      <c r="Z1057">
        <v>52</v>
      </c>
      <c r="AA1057">
        <v>97</v>
      </c>
      <c r="AB1057" s="1" t="s">
        <v>1790</v>
      </c>
    </row>
    <row r="1058" spans="1:28" x14ac:dyDescent="0.3">
      <c r="A1058">
        <v>202498</v>
      </c>
      <c r="B1058" s="1" t="s">
        <v>1343</v>
      </c>
      <c r="C1058">
        <v>0</v>
      </c>
      <c r="D1058">
        <v>1610612752</v>
      </c>
      <c r="E1058" s="1" t="s">
        <v>1248</v>
      </c>
      <c r="F1058">
        <v>270</v>
      </c>
      <c r="G1058">
        <v>40</v>
      </c>
      <c r="H1058">
        <v>240</v>
      </c>
      <c r="I1058">
        <v>10400</v>
      </c>
      <c r="J1058">
        <v>137</v>
      </c>
      <c r="K1058">
        <v>316</v>
      </c>
      <c r="L1058">
        <v>434</v>
      </c>
      <c r="M1058">
        <v>70</v>
      </c>
      <c r="N1058">
        <v>210</v>
      </c>
      <c r="O1058">
        <v>333</v>
      </c>
      <c r="P1058">
        <v>49</v>
      </c>
      <c r="Q1058">
        <v>66</v>
      </c>
      <c r="R1058">
        <v>742</v>
      </c>
      <c r="S1058">
        <v>370</v>
      </c>
      <c r="T1058">
        <v>830</v>
      </c>
      <c r="U1058">
        <v>1200</v>
      </c>
      <c r="V1058">
        <v>49</v>
      </c>
      <c r="W1058">
        <v>260</v>
      </c>
      <c r="X1058">
        <v>80</v>
      </c>
      <c r="Y1058">
        <v>570</v>
      </c>
      <c r="Z1058">
        <v>63</v>
      </c>
      <c r="AA1058">
        <v>330</v>
      </c>
      <c r="AB1058" s="1" t="s">
        <v>1791</v>
      </c>
    </row>
    <row r="1059" spans="1:28" x14ac:dyDescent="0.3">
      <c r="A1059">
        <v>202498</v>
      </c>
      <c r="B1059" s="1" t="s">
        <v>1279</v>
      </c>
      <c r="C1059">
        <v>0</v>
      </c>
      <c r="D1059">
        <v>1610612752</v>
      </c>
      <c r="E1059" s="1" t="s">
        <v>1248</v>
      </c>
      <c r="F1059">
        <v>280</v>
      </c>
      <c r="G1059">
        <v>59</v>
      </c>
      <c r="H1059">
        <v>50</v>
      </c>
      <c r="I1059">
        <v>13130</v>
      </c>
      <c r="J1059">
        <v>169</v>
      </c>
      <c r="K1059">
        <v>382</v>
      </c>
      <c r="L1059">
        <v>442</v>
      </c>
      <c r="M1059">
        <v>440</v>
      </c>
      <c r="N1059">
        <v>1090</v>
      </c>
      <c r="O1059">
        <v>404</v>
      </c>
      <c r="P1059">
        <v>102</v>
      </c>
      <c r="Q1059">
        <v>119</v>
      </c>
      <c r="R1059">
        <v>857</v>
      </c>
      <c r="S1059">
        <v>340</v>
      </c>
      <c r="T1059">
        <v>970</v>
      </c>
      <c r="U1059">
        <v>1310</v>
      </c>
      <c r="V1059">
        <v>53</v>
      </c>
      <c r="W1059">
        <v>220</v>
      </c>
      <c r="X1059">
        <v>70</v>
      </c>
      <c r="Y1059">
        <v>570</v>
      </c>
      <c r="Z1059">
        <v>109</v>
      </c>
      <c r="AA1059">
        <v>484</v>
      </c>
      <c r="AB1059" s="1" t="s">
        <v>1791</v>
      </c>
    </row>
    <row r="1060" spans="1:28" x14ac:dyDescent="0.3">
      <c r="A1060">
        <v>202498</v>
      </c>
      <c r="B1060" s="1" t="s">
        <v>1281</v>
      </c>
      <c r="C1060">
        <v>0</v>
      </c>
      <c r="D1060">
        <v>1610612752</v>
      </c>
      <c r="E1060" s="1" t="s">
        <v>1248</v>
      </c>
      <c r="F1060">
        <v>290</v>
      </c>
      <c r="G1060">
        <v>46</v>
      </c>
      <c r="H1060">
        <v>150</v>
      </c>
      <c r="I1060">
        <v>9680</v>
      </c>
      <c r="J1060">
        <v>97</v>
      </c>
      <c r="K1060">
        <v>244</v>
      </c>
      <c r="L1060">
        <v>398</v>
      </c>
      <c r="M1060">
        <v>380</v>
      </c>
      <c r="N1060">
        <v>850</v>
      </c>
      <c r="O1060">
        <v>447</v>
      </c>
      <c r="P1060">
        <v>43</v>
      </c>
      <c r="Q1060">
        <v>51</v>
      </c>
      <c r="R1060">
        <v>843</v>
      </c>
      <c r="S1060">
        <v>320</v>
      </c>
      <c r="T1060">
        <v>1100</v>
      </c>
      <c r="U1060">
        <v>1420</v>
      </c>
      <c r="V1060">
        <v>35</v>
      </c>
      <c r="W1060">
        <v>210</v>
      </c>
      <c r="X1060">
        <v>50</v>
      </c>
      <c r="Y1060">
        <v>250</v>
      </c>
      <c r="Z1060">
        <v>85</v>
      </c>
      <c r="AA1060">
        <v>275</v>
      </c>
      <c r="AB1060" s="1" t="s">
        <v>1791</v>
      </c>
    </row>
    <row r="1061" spans="1:28" x14ac:dyDescent="0.3">
      <c r="A1061">
        <v>202498</v>
      </c>
      <c r="B1061" s="1" t="s">
        <v>1259</v>
      </c>
      <c r="C1061">
        <v>0</v>
      </c>
      <c r="D1061">
        <v>1610612752</v>
      </c>
      <c r="E1061" s="1" t="s">
        <v>1248</v>
      </c>
      <c r="F1061">
        <v>300</v>
      </c>
      <c r="G1061">
        <v>73</v>
      </c>
      <c r="H1061">
        <v>310</v>
      </c>
      <c r="I1061">
        <v>13530</v>
      </c>
      <c r="J1061">
        <v>102</v>
      </c>
      <c r="K1061">
        <v>267</v>
      </c>
      <c r="L1061">
        <v>382</v>
      </c>
      <c r="M1061">
        <v>500</v>
      </c>
      <c r="N1061">
        <v>1240</v>
      </c>
      <c r="O1061">
        <v>403</v>
      </c>
      <c r="P1061">
        <v>44</v>
      </c>
      <c r="Q1061">
        <v>53</v>
      </c>
      <c r="R1061">
        <v>83</v>
      </c>
      <c r="S1061">
        <v>440</v>
      </c>
      <c r="T1061">
        <v>1310</v>
      </c>
      <c r="U1061">
        <v>1750</v>
      </c>
      <c r="V1061">
        <v>44</v>
      </c>
      <c r="W1061">
        <v>300</v>
      </c>
      <c r="X1061">
        <v>140</v>
      </c>
      <c r="Y1061">
        <v>410</v>
      </c>
      <c r="Z1061">
        <v>134</v>
      </c>
      <c r="AA1061">
        <v>298</v>
      </c>
      <c r="AB1061" s="1" t="s">
        <v>1791</v>
      </c>
    </row>
    <row r="1062" spans="1:28" x14ac:dyDescent="0.3">
      <c r="A1062">
        <v>202498</v>
      </c>
      <c r="B1062" s="1" t="s">
        <v>1287</v>
      </c>
      <c r="C1062">
        <v>0</v>
      </c>
      <c r="D1062">
        <v>1610612752</v>
      </c>
      <c r="E1062" s="1" t="s">
        <v>1248</v>
      </c>
      <c r="F1062">
        <v>310</v>
      </c>
      <c r="G1062">
        <v>46</v>
      </c>
      <c r="H1062">
        <v>170</v>
      </c>
      <c r="I1062">
        <v>7830</v>
      </c>
      <c r="J1062">
        <v>78</v>
      </c>
      <c r="K1062">
        <v>197</v>
      </c>
      <c r="L1062">
        <v>396</v>
      </c>
      <c r="M1062">
        <v>220</v>
      </c>
      <c r="N1062">
        <v>790</v>
      </c>
      <c r="O1062">
        <v>278</v>
      </c>
      <c r="P1062">
        <v>27</v>
      </c>
      <c r="Q1062">
        <v>36</v>
      </c>
      <c r="R1062">
        <v>75</v>
      </c>
      <c r="S1062">
        <v>210</v>
      </c>
      <c r="T1062">
        <v>960</v>
      </c>
      <c r="U1062">
        <v>1170</v>
      </c>
      <c r="V1062">
        <v>27</v>
      </c>
      <c r="W1062">
        <v>170</v>
      </c>
      <c r="X1062">
        <v>70</v>
      </c>
      <c r="Y1062">
        <v>240</v>
      </c>
      <c r="Z1062">
        <v>83</v>
      </c>
      <c r="AA1062">
        <v>205</v>
      </c>
      <c r="AB1062" s="1" t="s">
        <v>1791</v>
      </c>
    </row>
    <row r="1063" spans="1:28" x14ac:dyDescent="0.3">
      <c r="A1063">
        <v>1501</v>
      </c>
      <c r="B1063" s="1" t="s">
        <v>1293</v>
      </c>
      <c r="C1063">
        <v>0</v>
      </c>
      <c r="D1063">
        <v>1610612752</v>
      </c>
      <c r="E1063" s="1" t="s">
        <v>1248</v>
      </c>
      <c r="F1063">
        <v>270</v>
      </c>
      <c r="G1063">
        <v>24</v>
      </c>
      <c r="H1063">
        <v>230</v>
      </c>
      <c r="I1063">
        <v>7460</v>
      </c>
      <c r="J1063">
        <v>137</v>
      </c>
      <c r="K1063">
        <v>303</v>
      </c>
      <c r="L1063">
        <v>452</v>
      </c>
      <c r="M1063">
        <v>260</v>
      </c>
      <c r="N1063">
        <v>640</v>
      </c>
      <c r="O1063">
        <v>406</v>
      </c>
      <c r="P1063">
        <v>78</v>
      </c>
      <c r="Q1063">
        <v>96</v>
      </c>
      <c r="R1063">
        <v>813</v>
      </c>
      <c r="S1063">
        <v>260</v>
      </c>
      <c r="T1063">
        <v>890</v>
      </c>
      <c r="U1063">
        <v>1150</v>
      </c>
      <c r="V1063">
        <v>34</v>
      </c>
      <c r="W1063">
        <v>240</v>
      </c>
      <c r="X1063">
        <v>50</v>
      </c>
      <c r="Y1063">
        <v>430</v>
      </c>
      <c r="Z1063">
        <v>69</v>
      </c>
      <c r="AA1063">
        <v>378</v>
      </c>
      <c r="AB1063" s="1" t="s">
        <v>1792</v>
      </c>
    </row>
    <row r="1064" spans="1:28" x14ac:dyDescent="0.3">
      <c r="A1064">
        <v>1501</v>
      </c>
      <c r="B1064" s="1" t="s">
        <v>1295</v>
      </c>
      <c r="C1064">
        <v>0</v>
      </c>
      <c r="D1064">
        <v>1610612752</v>
      </c>
      <c r="E1064" s="1" t="s">
        <v>1248</v>
      </c>
      <c r="F1064">
        <v>280</v>
      </c>
      <c r="G1064">
        <v>71</v>
      </c>
      <c r="H1064">
        <v>680</v>
      </c>
      <c r="I1064">
        <v>19400</v>
      </c>
      <c r="J1064">
        <v>315</v>
      </c>
      <c r="K1064">
        <v>718</v>
      </c>
      <c r="L1064">
        <v>439</v>
      </c>
      <c r="M1064">
        <v>850</v>
      </c>
      <c r="N1064">
        <v>2080</v>
      </c>
      <c r="O1064">
        <v>409</v>
      </c>
      <c r="P1064">
        <v>136</v>
      </c>
      <c r="Q1064">
        <v>173</v>
      </c>
      <c r="R1064">
        <v>786</v>
      </c>
      <c r="S1064">
        <v>450</v>
      </c>
      <c r="T1064">
        <v>1920</v>
      </c>
      <c r="U1064">
        <v>2370</v>
      </c>
      <c r="V1064">
        <v>110</v>
      </c>
      <c r="W1064">
        <v>410</v>
      </c>
      <c r="X1064">
        <v>170</v>
      </c>
      <c r="Y1064">
        <v>1130</v>
      </c>
      <c r="Z1064">
        <v>222</v>
      </c>
      <c r="AA1064">
        <v>851</v>
      </c>
      <c r="AB1064" s="1" t="s">
        <v>1792</v>
      </c>
    </row>
    <row r="1065" spans="1:28" x14ac:dyDescent="0.3">
      <c r="A1065">
        <v>1501</v>
      </c>
      <c r="B1065" s="1" t="s">
        <v>1304</v>
      </c>
      <c r="C1065">
        <v>0</v>
      </c>
      <c r="D1065">
        <v>1610612752</v>
      </c>
      <c r="E1065" s="1" t="s">
        <v>1248</v>
      </c>
      <c r="F1065">
        <v>320</v>
      </c>
      <c r="G1065">
        <v>36</v>
      </c>
      <c r="H1065">
        <v>10</v>
      </c>
      <c r="I1065">
        <v>7730</v>
      </c>
      <c r="J1065">
        <v>119</v>
      </c>
      <c r="K1065">
        <v>258</v>
      </c>
      <c r="L1065">
        <v>461</v>
      </c>
      <c r="M1065">
        <v>530</v>
      </c>
      <c r="N1065">
        <v>1260</v>
      </c>
      <c r="O1065">
        <v>421</v>
      </c>
      <c r="P1065">
        <v>54</v>
      </c>
      <c r="Q1065">
        <v>67</v>
      </c>
      <c r="R1065">
        <v>806</v>
      </c>
      <c r="S1065">
        <v>200</v>
      </c>
      <c r="T1065">
        <v>930</v>
      </c>
      <c r="U1065">
        <v>1130</v>
      </c>
      <c r="V1065">
        <v>46</v>
      </c>
      <c r="W1065">
        <v>220</v>
      </c>
      <c r="X1065">
        <v>100</v>
      </c>
      <c r="Y1065">
        <v>460</v>
      </c>
      <c r="Z1065">
        <v>91</v>
      </c>
      <c r="AA1065">
        <v>345</v>
      </c>
      <c r="AB1065" s="1" t="s">
        <v>1792</v>
      </c>
    </row>
    <row r="1066" spans="1:28" x14ac:dyDescent="0.3">
      <c r="A1066">
        <v>240</v>
      </c>
      <c r="B1066" s="1" t="s">
        <v>1278</v>
      </c>
      <c r="C1066">
        <v>0</v>
      </c>
      <c r="D1066">
        <v>1610612752</v>
      </c>
      <c r="E1066" s="1" t="s">
        <v>1248</v>
      </c>
      <c r="F1066">
        <v>270</v>
      </c>
      <c r="G1066">
        <v>17</v>
      </c>
      <c r="H1066">
        <v>0</v>
      </c>
      <c r="I1066">
        <v>1210</v>
      </c>
      <c r="J1066">
        <v>13</v>
      </c>
      <c r="K1066">
        <v>29</v>
      </c>
      <c r="L1066">
        <v>448</v>
      </c>
      <c r="M1066">
        <v>40</v>
      </c>
      <c r="N1066">
        <v>140</v>
      </c>
      <c r="O1066">
        <v>286</v>
      </c>
      <c r="P1066">
        <v>3</v>
      </c>
      <c r="Q1066">
        <v>5</v>
      </c>
      <c r="R1066">
        <v>6</v>
      </c>
      <c r="S1066">
        <v>0</v>
      </c>
      <c r="T1066">
        <v>100</v>
      </c>
      <c r="U1066">
        <v>100</v>
      </c>
      <c r="V1066">
        <v>24</v>
      </c>
      <c r="W1066">
        <v>60</v>
      </c>
      <c r="X1066">
        <v>10</v>
      </c>
      <c r="Y1066">
        <v>110</v>
      </c>
      <c r="Z1066">
        <v>16</v>
      </c>
      <c r="AA1066">
        <v>33</v>
      </c>
      <c r="AB1066" s="1" t="s">
        <v>1793</v>
      </c>
    </row>
    <row r="1067" spans="1:28" x14ac:dyDescent="0.3">
      <c r="A1067">
        <v>738</v>
      </c>
      <c r="B1067" s="1" t="s">
        <v>1392</v>
      </c>
      <c r="C1067">
        <v>0</v>
      </c>
      <c r="D1067">
        <v>1610612752</v>
      </c>
      <c r="E1067" s="1" t="s">
        <v>1248</v>
      </c>
      <c r="F1067">
        <v>230</v>
      </c>
      <c r="G1067">
        <v>71</v>
      </c>
      <c r="H1067">
        <v>230</v>
      </c>
      <c r="I1067">
        <v>13230</v>
      </c>
      <c r="J1067">
        <v>125</v>
      </c>
      <c r="K1067">
        <v>274</v>
      </c>
      <c r="L1067">
        <v>456</v>
      </c>
      <c r="M1067">
        <v>0</v>
      </c>
      <c r="N1067">
        <v>0</v>
      </c>
      <c r="O1067">
        <v>0</v>
      </c>
      <c r="P1067">
        <v>86</v>
      </c>
      <c r="Q1067">
        <v>162</v>
      </c>
      <c r="R1067">
        <v>531</v>
      </c>
      <c r="S1067">
        <v>1130</v>
      </c>
      <c r="T1067">
        <v>1770</v>
      </c>
      <c r="U1067">
        <v>2900</v>
      </c>
      <c r="V1067">
        <v>43</v>
      </c>
      <c r="W1067">
        <v>300</v>
      </c>
      <c r="X1067">
        <v>70</v>
      </c>
      <c r="Y1067">
        <v>830</v>
      </c>
      <c r="Z1067">
        <v>209</v>
      </c>
      <c r="AA1067">
        <v>336</v>
      </c>
      <c r="AB1067" s="1" t="s">
        <v>1794</v>
      </c>
    </row>
    <row r="1068" spans="1:28" x14ac:dyDescent="0.3">
      <c r="A1068">
        <v>738</v>
      </c>
      <c r="B1068" s="1" t="s">
        <v>1394</v>
      </c>
      <c r="C1068">
        <v>0</v>
      </c>
      <c r="D1068">
        <v>1610612752</v>
      </c>
      <c r="E1068" s="1" t="s">
        <v>1248</v>
      </c>
      <c r="F1068">
        <v>240</v>
      </c>
      <c r="G1068">
        <v>33</v>
      </c>
      <c r="H1068">
        <v>40</v>
      </c>
      <c r="I1068">
        <v>2820</v>
      </c>
      <c r="J1068">
        <v>29</v>
      </c>
      <c r="K1068">
        <v>67</v>
      </c>
      <c r="L1068">
        <v>433</v>
      </c>
      <c r="M1068">
        <v>0</v>
      </c>
      <c r="N1068">
        <v>10</v>
      </c>
      <c r="O1068">
        <v>0</v>
      </c>
      <c r="P1068">
        <v>13</v>
      </c>
      <c r="Q1068">
        <v>20</v>
      </c>
      <c r="R1068">
        <v>65</v>
      </c>
      <c r="S1068">
        <v>180</v>
      </c>
      <c r="T1068">
        <v>380</v>
      </c>
      <c r="U1068">
        <v>560</v>
      </c>
      <c r="V1068">
        <v>8</v>
      </c>
      <c r="W1068">
        <v>40</v>
      </c>
      <c r="X1068">
        <v>30</v>
      </c>
      <c r="Y1068">
        <v>240</v>
      </c>
      <c r="Z1068">
        <v>48</v>
      </c>
      <c r="AA1068">
        <v>71</v>
      </c>
      <c r="AB1068" s="1" t="s">
        <v>1794</v>
      </c>
    </row>
    <row r="1069" spans="1:28" x14ac:dyDescent="0.3">
      <c r="A1069">
        <v>738</v>
      </c>
      <c r="B1069" s="1" t="s">
        <v>1253</v>
      </c>
      <c r="C1069">
        <v>0</v>
      </c>
      <c r="D1069">
        <v>1610612752</v>
      </c>
      <c r="E1069" s="1" t="s">
        <v>1248</v>
      </c>
      <c r="F1069">
        <v>250</v>
      </c>
      <c r="G1069">
        <v>7</v>
      </c>
      <c r="H1069">
        <v>0</v>
      </c>
      <c r="I1069">
        <v>850</v>
      </c>
      <c r="J1069">
        <v>6</v>
      </c>
      <c r="K1069">
        <v>19</v>
      </c>
      <c r="L1069">
        <v>316</v>
      </c>
      <c r="M1069">
        <v>0</v>
      </c>
      <c r="N1069">
        <v>0</v>
      </c>
      <c r="O1069">
        <v>0</v>
      </c>
      <c r="P1069">
        <v>5</v>
      </c>
      <c r="Q1069">
        <v>8</v>
      </c>
      <c r="R1069">
        <v>625</v>
      </c>
      <c r="S1069">
        <v>50</v>
      </c>
      <c r="T1069">
        <v>80</v>
      </c>
      <c r="U1069">
        <v>130</v>
      </c>
      <c r="V1069">
        <v>4</v>
      </c>
      <c r="W1069">
        <v>20</v>
      </c>
      <c r="X1069">
        <v>0</v>
      </c>
      <c r="Y1069">
        <v>80</v>
      </c>
      <c r="Z1069">
        <v>23</v>
      </c>
      <c r="AA1069">
        <v>17</v>
      </c>
      <c r="AB1069" s="1" t="s">
        <v>1794</v>
      </c>
    </row>
    <row r="1070" spans="1:28" x14ac:dyDescent="0.3">
      <c r="A1070">
        <v>78348</v>
      </c>
      <c r="B1070" s="1" t="s">
        <v>1253</v>
      </c>
      <c r="C1070">
        <v>0</v>
      </c>
      <c r="D1070">
        <v>1610612752</v>
      </c>
      <c r="E1070" s="1" t="s">
        <v>1248</v>
      </c>
      <c r="F1070">
        <v>290</v>
      </c>
      <c r="G1070">
        <v>11</v>
      </c>
      <c r="H1070">
        <v>0</v>
      </c>
      <c r="I1070">
        <v>1770</v>
      </c>
      <c r="J1070">
        <v>19</v>
      </c>
      <c r="K1070">
        <v>41</v>
      </c>
      <c r="L1070">
        <v>463</v>
      </c>
      <c r="M1070">
        <v>0</v>
      </c>
      <c r="N1070">
        <v>0</v>
      </c>
      <c r="O1070">
        <v>0</v>
      </c>
      <c r="P1070">
        <v>9</v>
      </c>
      <c r="Q1070">
        <v>17</v>
      </c>
      <c r="R1070">
        <v>529</v>
      </c>
      <c r="S1070">
        <v>140</v>
      </c>
      <c r="T1070">
        <v>210</v>
      </c>
      <c r="U1070">
        <v>350</v>
      </c>
      <c r="V1070">
        <v>5</v>
      </c>
      <c r="W1070">
        <v>50</v>
      </c>
      <c r="X1070">
        <v>20</v>
      </c>
      <c r="Y1070">
        <v>100</v>
      </c>
      <c r="Z1070">
        <v>25</v>
      </c>
      <c r="AA1070">
        <v>47</v>
      </c>
      <c r="AB1070" s="1" t="s">
        <v>1795</v>
      </c>
    </row>
    <row r="1071" spans="1:28" x14ac:dyDescent="0.3">
      <c r="A1071">
        <v>78352</v>
      </c>
      <c r="B1071" s="1" t="s">
        <v>1253</v>
      </c>
      <c r="C1071">
        <v>0</v>
      </c>
      <c r="D1071">
        <v>1610612752</v>
      </c>
      <c r="E1071" s="1" t="s">
        <v>1248</v>
      </c>
      <c r="F1071">
        <v>260</v>
      </c>
      <c r="G1071">
        <v>21</v>
      </c>
      <c r="H1071">
        <v>0</v>
      </c>
      <c r="I1071">
        <v>1390</v>
      </c>
      <c r="J1071">
        <v>21</v>
      </c>
      <c r="K1071">
        <v>48</v>
      </c>
      <c r="L1071">
        <v>438</v>
      </c>
      <c r="M1071">
        <v>50</v>
      </c>
      <c r="N1071">
        <v>140</v>
      </c>
      <c r="O1071">
        <v>357</v>
      </c>
      <c r="P1071">
        <v>10</v>
      </c>
      <c r="Q1071">
        <v>11</v>
      </c>
      <c r="R1071">
        <v>909</v>
      </c>
      <c r="S1071">
        <v>30</v>
      </c>
      <c r="T1071">
        <v>50</v>
      </c>
      <c r="U1071">
        <v>80</v>
      </c>
      <c r="V1071">
        <v>24</v>
      </c>
      <c r="W1071">
        <v>90</v>
      </c>
      <c r="X1071">
        <v>10</v>
      </c>
      <c r="Y1071">
        <v>120</v>
      </c>
      <c r="Z1071">
        <v>20</v>
      </c>
      <c r="AA1071">
        <v>57</v>
      </c>
      <c r="AB1071" s="1" t="s">
        <v>1796</v>
      </c>
    </row>
    <row r="1072" spans="1:28" x14ac:dyDescent="0.3">
      <c r="A1072">
        <v>1631210</v>
      </c>
      <c r="B1072" s="1" t="s">
        <v>1369</v>
      </c>
      <c r="C1072">
        <v>0</v>
      </c>
      <c r="D1072">
        <v>1610612752</v>
      </c>
      <c r="E1072" s="1" t="s">
        <v>1248</v>
      </c>
      <c r="F1072">
        <v>240</v>
      </c>
      <c r="G1072">
        <v>9</v>
      </c>
      <c r="H1072">
        <v>0</v>
      </c>
      <c r="I1072">
        <v>380</v>
      </c>
      <c r="J1072">
        <v>5</v>
      </c>
      <c r="K1072">
        <v>9</v>
      </c>
      <c r="L1072">
        <v>556</v>
      </c>
      <c r="M1072">
        <v>10</v>
      </c>
      <c r="N1072">
        <v>40</v>
      </c>
      <c r="O1072">
        <v>25</v>
      </c>
      <c r="P1072">
        <v>2</v>
      </c>
      <c r="Q1072">
        <v>2</v>
      </c>
      <c r="R1072">
        <v>10</v>
      </c>
      <c r="S1072">
        <v>30</v>
      </c>
      <c r="T1072">
        <v>40</v>
      </c>
      <c r="U1072">
        <v>70</v>
      </c>
      <c r="V1072">
        <v>3</v>
      </c>
      <c r="W1072">
        <v>0</v>
      </c>
      <c r="X1072">
        <v>10</v>
      </c>
      <c r="Y1072">
        <v>10</v>
      </c>
      <c r="Z1072">
        <v>3</v>
      </c>
      <c r="AA1072">
        <v>13</v>
      </c>
      <c r="AB1072" s="1" t="s">
        <v>1797</v>
      </c>
    </row>
    <row r="1073" spans="1:28" x14ac:dyDescent="0.3">
      <c r="A1073">
        <v>1630167</v>
      </c>
      <c r="B1073" s="1" t="s">
        <v>1289</v>
      </c>
      <c r="C1073">
        <v>0</v>
      </c>
      <c r="D1073">
        <v>1610612752</v>
      </c>
      <c r="E1073" s="1" t="s">
        <v>1248</v>
      </c>
      <c r="F1073">
        <v>230</v>
      </c>
      <c r="G1073">
        <v>62</v>
      </c>
      <c r="H1073">
        <v>0</v>
      </c>
      <c r="I1073">
        <v>6830</v>
      </c>
      <c r="J1073">
        <v>104</v>
      </c>
      <c r="K1073">
        <v>209</v>
      </c>
      <c r="L1073">
        <v>498</v>
      </c>
      <c r="M1073">
        <v>260</v>
      </c>
      <c r="N1073">
        <v>850</v>
      </c>
      <c r="O1073">
        <v>306</v>
      </c>
      <c r="P1073">
        <v>19</v>
      </c>
      <c r="Q1073">
        <v>26</v>
      </c>
      <c r="R1073">
        <v>731</v>
      </c>
      <c r="S1073">
        <v>260</v>
      </c>
      <c r="T1073">
        <v>1120</v>
      </c>
      <c r="U1073">
        <v>1380</v>
      </c>
      <c r="V1073">
        <v>29</v>
      </c>
      <c r="W1073">
        <v>170</v>
      </c>
      <c r="X1073">
        <v>150</v>
      </c>
      <c r="Y1073">
        <v>230</v>
      </c>
      <c r="Z1073">
        <v>55</v>
      </c>
      <c r="AA1073">
        <v>253</v>
      </c>
      <c r="AB1073" s="1" t="s">
        <v>1798</v>
      </c>
    </row>
    <row r="1074" spans="1:28" x14ac:dyDescent="0.3">
      <c r="A1074">
        <v>1630167</v>
      </c>
      <c r="B1074" s="1" t="s">
        <v>1308</v>
      </c>
      <c r="C1074">
        <v>0</v>
      </c>
      <c r="D1074">
        <v>1610612752</v>
      </c>
      <c r="E1074" s="1" t="s">
        <v>1248</v>
      </c>
      <c r="F1074">
        <v>240</v>
      </c>
      <c r="G1074">
        <v>72</v>
      </c>
      <c r="H1074">
        <v>100</v>
      </c>
      <c r="I1074">
        <v>12300</v>
      </c>
      <c r="J1074">
        <v>251</v>
      </c>
      <c r="K1074">
        <v>473</v>
      </c>
      <c r="L1074">
        <v>531</v>
      </c>
      <c r="M1074">
        <v>520</v>
      </c>
      <c r="N1074">
        <v>1690</v>
      </c>
      <c r="O1074">
        <v>308</v>
      </c>
      <c r="P1074">
        <v>94</v>
      </c>
      <c r="Q1074">
        <v>124</v>
      </c>
      <c r="R1074">
        <v>758</v>
      </c>
      <c r="S1074">
        <v>690</v>
      </c>
      <c r="T1074">
        <v>1990</v>
      </c>
      <c r="U1074">
        <v>2680</v>
      </c>
      <c r="V1074">
        <v>77</v>
      </c>
      <c r="W1074">
        <v>250</v>
      </c>
      <c r="X1074">
        <v>330</v>
      </c>
      <c r="Y1074">
        <v>560</v>
      </c>
      <c r="Z1074">
        <v>102</v>
      </c>
      <c r="AA1074">
        <v>648</v>
      </c>
      <c r="AB1074" s="1" t="s">
        <v>1798</v>
      </c>
    </row>
    <row r="1075" spans="1:28" x14ac:dyDescent="0.3">
      <c r="A1075">
        <v>1630167</v>
      </c>
      <c r="B1075" s="1" t="s">
        <v>1327</v>
      </c>
      <c r="C1075">
        <v>0</v>
      </c>
      <c r="D1075">
        <v>1610612752</v>
      </c>
      <c r="E1075" s="1" t="s">
        <v>1248</v>
      </c>
      <c r="F1075">
        <v>250</v>
      </c>
      <c r="G1075">
        <v>67</v>
      </c>
      <c r="H1075">
        <v>50</v>
      </c>
      <c r="I1075">
        <v>10510</v>
      </c>
      <c r="J1075">
        <v>187</v>
      </c>
      <c r="K1075">
        <v>419</v>
      </c>
      <c r="L1075">
        <v>446</v>
      </c>
      <c r="M1075">
        <v>850</v>
      </c>
      <c r="N1075">
        <v>2470</v>
      </c>
      <c r="O1075">
        <v>344</v>
      </c>
      <c r="P1075">
        <v>38</v>
      </c>
      <c r="Q1075">
        <v>47</v>
      </c>
      <c r="R1075">
        <v>809</v>
      </c>
      <c r="S1075">
        <v>290</v>
      </c>
      <c r="T1075">
        <v>1580</v>
      </c>
      <c r="U1075">
        <v>1870</v>
      </c>
      <c r="V1075">
        <v>66</v>
      </c>
      <c r="W1075">
        <v>230</v>
      </c>
      <c r="X1075">
        <v>120</v>
      </c>
      <c r="Y1075">
        <v>380</v>
      </c>
      <c r="Z1075">
        <v>68</v>
      </c>
      <c r="AA1075">
        <v>497</v>
      </c>
      <c r="AB1075" s="1" t="s">
        <v>1798</v>
      </c>
    </row>
    <row r="1076" spans="1:28" x14ac:dyDescent="0.3">
      <c r="A1076">
        <v>1629019</v>
      </c>
      <c r="B1076" s="1" t="s">
        <v>1287</v>
      </c>
      <c r="C1076">
        <v>0</v>
      </c>
      <c r="D1076">
        <v>1610612752</v>
      </c>
      <c r="E1076" s="1" t="s">
        <v>1248</v>
      </c>
      <c r="F1076">
        <v>230</v>
      </c>
      <c r="G1076">
        <v>64</v>
      </c>
      <c r="H1076">
        <v>30</v>
      </c>
      <c r="I1076">
        <v>14590</v>
      </c>
      <c r="J1076">
        <v>232</v>
      </c>
      <c r="K1076">
        <v>518</v>
      </c>
      <c r="L1076">
        <v>448</v>
      </c>
      <c r="M1076">
        <v>520</v>
      </c>
      <c r="N1076">
        <v>1320</v>
      </c>
      <c r="O1076">
        <v>394</v>
      </c>
      <c r="P1076">
        <v>179</v>
      </c>
      <c r="Q1076">
        <v>223</v>
      </c>
      <c r="R1076">
        <v>803</v>
      </c>
      <c r="S1076">
        <v>310</v>
      </c>
      <c r="T1076">
        <v>1660</v>
      </c>
      <c r="U1076">
        <v>1970</v>
      </c>
      <c r="V1076">
        <v>119</v>
      </c>
      <c r="W1076">
        <v>280</v>
      </c>
      <c r="X1076">
        <v>140</v>
      </c>
      <c r="Y1076">
        <v>1160</v>
      </c>
      <c r="Z1076">
        <v>117</v>
      </c>
      <c r="AA1076">
        <v>695</v>
      </c>
      <c r="AB1076" s="1" t="s">
        <v>1799</v>
      </c>
    </row>
    <row r="1077" spans="1:28" x14ac:dyDescent="0.3">
      <c r="A1077">
        <v>1629019</v>
      </c>
      <c r="B1077" s="1" t="s">
        <v>1288</v>
      </c>
      <c r="C1077">
        <v>0</v>
      </c>
      <c r="D1077">
        <v>1610612752</v>
      </c>
      <c r="E1077" s="1" t="s">
        <v>1248</v>
      </c>
      <c r="F1077">
        <v>240</v>
      </c>
      <c r="G1077">
        <v>24</v>
      </c>
      <c r="H1077">
        <v>10</v>
      </c>
      <c r="I1077">
        <v>2910</v>
      </c>
      <c r="J1077">
        <v>51</v>
      </c>
      <c r="K1077">
        <v>106</v>
      </c>
      <c r="L1077">
        <v>481</v>
      </c>
      <c r="M1077">
        <v>190</v>
      </c>
      <c r="N1077">
        <v>530</v>
      </c>
      <c r="O1077">
        <v>358</v>
      </c>
      <c r="P1077">
        <v>34</v>
      </c>
      <c r="Q1077">
        <v>43</v>
      </c>
      <c r="R1077">
        <v>791</v>
      </c>
      <c r="S1077">
        <v>60</v>
      </c>
      <c r="T1077">
        <v>230</v>
      </c>
      <c r="U1077">
        <v>290</v>
      </c>
      <c r="V1077">
        <v>28</v>
      </c>
      <c r="W1077">
        <v>30</v>
      </c>
      <c r="X1077">
        <v>40</v>
      </c>
      <c r="Y1077">
        <v>220</v>
      </c>
      <c r="Z1077">
        <v>29</v>
      </c>
      <c r="AA1077">
        <v>155</v>
      </c>
      <c r="AB1077" s="1" t="s">
        <v>1799</v>
      </c>
    </row>
    <row r="1078" spans="1:28" x14ac:dyDescent="0.3">
      <c r="A1078">
        <v>2456</v>
      </c>
      <c r="B1078" s="1" t="s">
        <v>1293</v>
      </c>
      <c r="C1078">
        <v>0</v>
      </c>
      <c r="D1078">
        <v>1610612752</v>
      </c>
      <c r="E1078" s="1" t="s">
        <v>1248</v>
      </c>
      <c r="F1078">
        <v>240</v>
      </c>
      <c r="G1078">
        <v>3</v>
      </c>
      <c r="H1078">
        <v>0</v>
      </c>
      <c r="I1078">
        <v>50</v>
      </c>
      <c r="J1078">
        <v>0</v>
      </c>
      <c r="K1078">
        <v>2</v>
      </c>
      <c r="L1078">
        <v>0</v>
      </c>
      <c r="M1078">
        <v>0</v>
      </c>
      <c r="N1078">
        <v>0</v>
      </c>
      <c r="O1078">
        <v>0</v>
      </c>
      <c r="P1078">
        <v>1</v>
      </c>
      <c r="Q1078">
        <v>2</v>
      </c>
      <c r="R1078">
        <v>5</v>
      </c>
      <c r="S1078">
        <v>0</v>
      </c>
      <c r="T1078">
        <v>0</v>
      </c>
      <c r="U1078">
        <v>0</v>
      </c>
      <c r="V1078">
        <v>0</v>
      </c>
      <c r="W1078">
        <v>10</v>
      </c>
      <c r="X1078">
        <v>0</v>
      </c>
      <c r="Y1078">
        <v>0</v>
      </c>
      <c r="Z1078">
        <v>2</v>
      </c>
      <c r="AA1078">
        <v>1</v>
      </c>
      <c r="AB1078" s="1" t="s">
        <v>1800</v>
      </c>
    </row>
    <row r="1079" spans="1:28" x14ac:dyDescent="0.3">
      <c r="A1079">
        <v>78375</v>
      </c>
      <c r="B1079" s="1" t="s">
        <v>1468</v>
      </c>
      <c r="C1079">
        <v>0</v>
      </c>
      <c r="D1079">
        <v>1610612752</v>
      </c>
      <c r="E1079" s="1" t="s">
        <v>1248</v>
      </c>
      <c r="F1079">
        <v>230</v>
      </c>
      <c r="G1079">
        <v>78</v>
      </c>
      <c r="H1079">
        <v>590</v>
      </c>
      <c r="I1079">
        <v>18300</v>
      </c>
      <c r="J1079">
        <v>299</v>
      </c>
      <c r="K1079">
        <v>647</v>
      </c>
      <c r="L1079">
        <v>462</v>
      </c>
      <c r="M1079">
        <v>140</v>
      </c>
      <c r="N1079">
        <v>300</v>
      </c>
      <c r="O1079">
        <v>467</v>
      </c>
      <c r="P1079">
        <v>43</v>
      </c>
      <c r="Q1079">
        <v>64</v>
      </c>
      <c r="R1079">
        <v>672</v>
      </c>
      <c r="S1079">
        <v>750</v>
      </c>
      <c r="T1079">
        <v>1410</v>
      </c>
      <c r="U1079">
        <v>2160</v>
      </c>
      <c r="V1079">
        <v>195</v>
      </c>
      <c r="W1079">
        <v>560</v>
      </c>
      <c r="X1079">
        <v>60</v>
      </c>
      <c r="Y1079">
        <v>700</v>
      </c>
      <c r="Z1079">
        <v>235</v>
      </c>
      <c r="AA1079">
        <v>655</v>
      </c>
      <c r="AB1079" s="1" t="s">
        <v>1801</v>
      </c>
    </row>
    <row r="1080" spans="1:28" x14ac:dyDescent="0.3">
      <c r="A1080">
        <v>78375</v>
      </c>
      <c r="B1080" s="1" t="s">
        <v>1469</v>
      </c>
      <c r="C1080">
        <v>0</v>
      </c>
      <c r="D1080">
        <v>1610612752</v>
      </c>
      <c r="E1080" s="1" t="s">
        <v>1248</v>
      </c>
      <c r="F1080">
        <v>240</v>
      </c>
      <c r="G1080">
        <v>63</v>
      </c>
      <c r="H1080">
        <v>210</v>
      </c>
      <c r="I1080">
        <v>12280</v>
      </c>
      <c r="J1080">
        <v>225</v>
      </c>
      <c r="K1080">
        <v>450</v>
      </c>
      <c r="L1080">
        <v>5</v>
      </c>
      <c r="M1080">
        <v>60</v>
      </c>
      <c r="N1080">
        <v>160</v>
      </c>
      <c r="O1080">
        <v>375</v>
      </c>
      <c r="P1080">
        <v>25</v>
      </c>
      <c r="Q1080">
        <v>33</v>
      </c>
      <c r="R1080">
        <v>758</v>
      </c>
      <c r="S1080">
        <v>430</v>
      </c>
      <c r="T1080">
        <v>870</v>
      </c>
      <c r="U1080">
        <v>1300</v>
      </c>
      <c r="V1080">
        <v>138</v>
      </c>
      <c r="W1080">
        <v>630</v>
      </c>
      <c r="X1080">
        <v>80</v>
      </c>
      <c r="Y1080">
        <v>540</v>
      </c>
      <c r="Z1080">
        <v>124</v>
      </c>
      <c r="AA1080">
        <v>481</v>
      </c>
      <c r="AB1080" s="1" t="s">
        <v>1801</v>
      </c>
    </row>
    <row r="1081" spans="1:28" x14ac:dyDescent="0.3">
      <c r="A1081">
        <v>78375</v>
      </c>
      <c r="B1081" s="1" t="s">
        <v>1406</v>
      </c>
      <c r="C1081">
        <v>0</v>
      </c>
      <c r="D1081">
        <v>1610612752</v>
      </c>
      <c r="E1081" s="1" t="s">
        <v>1248</v>
      </c>
      <c r="F1081">
        <v>250</v>
      </c>
      <c r="G1081">
        <v>77</v>
      </c>
      <c r="H1081">
        <v>460</v>
      </c>
      <c r="I1081">
        <v>18190</v>
      </c>
      <c r="J1081">
        <v>293</v>
      </c>
      <c r="K1081">
        <v>606</v>
      </c>
      <c r="L1081">
        <v>483</v>
      </c>
      <c r="M1081">
        <v>290</v>
      </c>
      <c r="N1081">
        <v>720</v>
      </c>
      <c r="O1081">
        <v>403</v>
      </c>
      <c r="P1081">
        <v>38</v>
      </c>
      <c r="Q1081">
        <v>48</v>
      </c>
      <c r="R1081">
        <v>792</v>
      </c>
      <c r="S1081">
        <v>740</v>
      </c>
      <c r="T1081">
        <v>1140</v>
      </c>
      <c r="U1081">
        <v>1880</v>
      </c>
      <c r="V1081">
        <v>199</v>
      </c>
      <c r="W1081">
        <v>750</v>
      </c>
      <c r="X1081">
        <v>150</v>
      </c>
      <c r="Y1081">
        <v>640</v>
      </c>
      <c r="Z1081">
        <v>195</v>
      </c>
      <c r="AA1081">
        <v>653</v>
      </c>
      <c r="AB1081" s="1" t="s">
        <v>1801</v>
      </c>
    </row>
    <row r="1082" spans="1:28" x14ac:dyDescent="0.3">
      <c r="A1082">
        <v>78375</v>
      </c>
      <c r="B1082" s="1" t="s">
        <v>1392</v>
      </c>
      <c r="C1082">
        <v>0</v>
      </c>
      <c r="D1082">
        <v>1610612752</v>
      </c>
      <c r="E1082" s="1" t="s">
        <v>1248</v>
      </c>
      <c r="F1082">
        <v>260</v>
      </c>
      <c r="G1082">
        <v>77</v>
      </c>
      <c r="H1082">
        <v>230</v>
      </c>
      <c r="I1082">
        <v>17880</v>
      </c>
      <c r="J1082">
        <v>349</v>
      </c>
      <c r="K1082">
        <v>740</v>
      </c>
      <c r="L1082">
        <v>472</v>
      </c>
      <c r="M1082">
        <v>410</v>
      </c>
      <c r="N1082">
        <v>910</v>
      </c>
      <c r="O1082">
        <v>451</v>
      </c>
      <c r="P1082">
        <v>79</v>
      </c>
      <c r="Q1082">
        <v>100</v>
      </c>
      <c r="R1082">
        <v>79</v>
      </c>
      <c r="S1082">
        <v>700</v>
      </c>
      <c r="T1082">
        <v>990</v>
      </c>
      <c r="U1082">
        <v>1690</v>
      </c>
      <c r="V1082">
        <v>192</v>
      </c>
      <c r="W1082">
        <v>650</v>
      </c>
      <c r="X1082">
        <v>80</v>
      </c>
      <c r="Y1082">
        <v>700</v>
      </c>
      <c r="Z1082">
        <v>167</v>
      </c>
      <c r="AA1082">
        <v>818</v>
      </c>
      <c r="AB1082" s="1" t="s">
        <v>1801</v>
      </c>
    </row>
    <row r="1083" spans="1:28" x14ac:dyDescent="0.3">
      <c r="A1083">
        <v>78375</v>
      </c>
      <c r="B1083" s="1" t="s">
        <v>1394</v>
      </c>
      <c r="C1083">
        <v>0</v>
      </c>
      <c r="D1083">
        <v>1610612752</v>
      </c>
      <c r="E1083" s="1" t="s">
        <v>1248</v>
      </c>
      <c r="F1083">
        <v>270</v>
      </c>
      <c r="G1083">
        <v>70</v>
      </c>
      <c r="H1083">
        <v>150</v>
      </c>
      <c r="I1083">
        <v>16910</v>
      </c>
      <c r="J1083">
        <v>325</v>
      </c>
      <c r="K1083">
        <v>691</v>
      </c>
      <c r="L1083">
        <v>47</v>
      </c>
      <c r="M1083">
        <v>680</v>
      </c>
      <c r="N1083">
        <v>1610</v>
      </c>
      <c r="O1083">
        <v>422</v>
      </c>
      <c r="P1083">
        <v>77</v>
      </c>
      <c r="Q1083">
        <v>101</v>
      </c>
      <c r="R1083">
        <v>762</v>
      </c>
      <c r="S1083">
        <v>490</v>
      </c>
      <c r="T1083">
        <v>860</v>
      </c>
      <c r="U1083">
        <v>1350</v>
      </c>
      <c r="V1083">
        <v>166</v>
      </c>
      <c r="W1083">
        <v>1160</v>
      </c>
      <c r="X1083">
        <v>130</v>
      </c>
      <c r="Y1083">
        <v>780</v>
      </c>
      <c r="Z1083">
        <v>169</v>
      </c>
      <c r="AA1083">
        <v>795</v>
      </c>
      <c r="AB1083" s="1" t="s">
        <v>1801</v>
      </c>
    </row>
    <row r="1084" spans="1:28" x14ac:dyDescent="0.3">
      <c r="A1084">
        <v>78375</v>
      </c>
      <c r="B1084" s="1" t="s">
        <v>1253</v>
      </c>
      <c r="C1084">
        <v>0</v>
      </c>
      <c r="D1084">
        <v>1610612752</v>
      </c>
      <c r="E1084" s="1" t="s">
        <v>1248</v>
      </c>
      <c r="F1084">
        <v>280</v>
      </c>
      <c r="G1084">
        <v>71</v>
      </c>
      <c r="H1084">
        <v>40</v>
      </c>
      <c r="I1084">
        <v>12480</v>
      </c>
      <c r="J1084">
        <v>193</v>
      </c>
      <c r="K1084">
        <v>455</v>
      </c>
      <c r="L1084">
        <v>424</v>
      </c>
      <c r="M1084">
        <v>690</v>
      </c>
      <c r="N1084">
        <v>1670</v>
      </c>
      <c r="O1084">
        <v>413</v>
      </c>
      <c r="P1084">
        <v>51</v>
      </c>
      <c r="Q1084">
        <v>71</v>
      </c>
      <c r="R1084">
        <v>718</v>
      </c>
      <c r="S1084">
        <v>320</v>
      </c>
      <c r="T1084">
        <v>870</v>
      </c>
      <c r="U1084">
        <v>1190</v>
      </c>
      <c r="V1084">
        <v>117</v>
      </c>
      <c r="W1084">
        <v>530</v>
      </c>
      <c r="X1084">
        <v>60</v>
      </c>
      <c r="Y1084">
        <v>470</v>
      </c>
      <c r="Z1084">
        <v>158</v>
      </c>
      <c r="AA1084">
        <v>506</v>
      </c>
      <c r="AB1084" s="1" t="s">
        <v>1801</v>
      </c>
    </row>
    <row r="1085" spans="1:28" x14ac:dyDescent="0.3">
      <c r="A1085">
        <v>78375</v>
      </c>
      <c r="B1085" s="1" t="s">
        <v>1268</v>
      </c>
      <c r="C1085">
        <v>0</v>
      </c>
      <c r="D1085">
        <v>1610612752</v>
      </c>
      <c r="E1085" s="1" t="s">
        <v>1248</v>
      </c>
      <c r="F1085">
        <v>290</v>
      </c>
      <c r="G1085">
        <v>81</v>
      </c>
      <c r="H1085">
        <v>240</v>
      </c>
      <c r="I1085">
        <v>18240</v>
      </c>
      <c r="J1085">
        <v>263</v>
      </c>
      <c r="K1085">
        <v>579</v>
      </c>
      <c r="L1085">
        <v>454</v>
      </c>
      <c r="M1085">
        <v>1180</v>
      </c>
      <c r="N1085">
        <v>2960</v>
      </c>
      <c r="O1085">
        <v>399</v>
      </c>
      <c r="P1085">
        <v>43</v>
      </c>
      <c r="Q1085">
        <v>55</v>
      </c>
      <c r="R1085">
        <v>782</v>
      </c>
      <c r="S1085">
        <v>550</v>
      </c>
      <c r="T1085">
        <v>1210</v>
      </c>
      <c r="U1085">
        <v>1760</v>
      </c>
      <c r="V1085">
        <v>132</v>
      </c>
      <c r="W1085">
        <v>880</v>
      </c>
      <c r="X1085">
        <v>60</v>
      </c>
      <c r="Y1085">
        <v>590</v>
      </c>
      <c r="Z1085">
        <v>163</v>
      </c>
      <c r="AA1085">
        <v>687</v>
      </c>
      <c r="AB1085" s="1" t="s">
        <v>1801</v>
      </c>
    </row>
    <row r="1086" spans="1:28" x14ac:dyDescent="0.3">
      <c r="A1086">
        <v>78375</v>
      </c>
      <c r="B1086" s="1" t="s">
        <v>1270</v>
      </c>
      <c r="C1086">
        <v>0</v>
      </c>
      <c r="D1086">
        <v>1610612752</v>
      </c>
      <c r="E1086" s="1" t="s">
        <v>1248</v>
      </c>
      <c r="F1086">
        <v>300</v>
      </c>
      <c r="G1086">
        <v>81</v>
      </c>
      <c r="H1086">
        <v>20</v>
      </c>
      <c r="I1086">
        <v>17250</v>
      </c>
      <c r="J1086">
        <v>253</v>
      </c>
      <c r="K1086">
        <v>606</v>
      </c>
      <c r="L1086">
        <v>417</v>
      </c>
      <c r="M1086">
        <v>950</v>
      </c>
      <c r="N1086">
        <v>2450</v>
      </c>
      <c r="O1086">
        <v>388</v>
      </c>
      <c r="P1086">
        <v>66</v>
      </c>
      <c r="Q1086">
        <v>86</v>
      </c>
      <c r="R1086">
        <v>767</v>
      </c>
      <c r="S1086">
        <v>570</v>
      </c>
      <c r="T1086">
        <v>1170</v>
      </c>
      <c r="U1086">
        <v>1740</v>
      </c>
      <c r="V1086">
        <v>173</v>
      </c>
      <c r="W1086">
        <v>740</v>
      </c>
      <c r="X1086">
        <v>80</v>
      </c>
      <c r="Y1086">
        <v>730</v>
      </c>
      <c r="Z1086">
        <v>159</v>
      </c>
      <c r="AA1086">
        <v>667</v>
      </c>
      <c r="AB1086" s="1" t="s">
        <v>1801</v>
      </c>
    </row>
    <row r="1087" spans="1:28" x14ac:dyDescent="0.3">
      <c r="A1087">
        <v>78375</v>
      </c>
      <c r="B1087" s="1" t="s">
        <v>1271</v>
      </c>
      <c r="C1087">
        <v>0</v>
      </c>
      <c r="D1087">
        <v>1610612752</v>
      </c>
      <c r="E1087" s="1" t="s">
        <v>1248</v>
      </c>
      <c r="F1087">
        <v>310</v>
      </c>
      <c r="G1087">
        <v>65</v>
      </c>
      <c r="H1087">
        <v>130</v>
      </c>
      <c r="I1087">
        <v>11940</v>
      </c>
      <c r="J1087">
        <v>191</v>
      </c>
      <c r="K1087">
        <v>434</v>
      </c>
      <c r="L1087">
        <v>44</v>
      </c>
      <c r="M1087">
        <v>640</v>
      </c>
      <c r="N1087">
        <v>1530</v>
      </c>
      <c r="O1087">
        <v>418</v>
      </c>
      <c r="P1087">
        <v>17</v>
      </c>
      <c r="Q1087">
        <v>27</v>
      </c>
      <c r="R1087">
        <v>63</v>
      </c>
      <c r="S1087">
        <v>330</v>
      </c>
      <c r="T1087">
        <v>720</v>
      </c>
      <c r="U1087">
        <v>1050</v>
      </c>
      <c r="V1087">
        <v>111</v>
      </c>
      <c r="W1087">
        <v>440</v>
      </c>
      <c r="X1087">
        <v>90</v>
      </c>
      <c r="Y1087">
        <v>460</v>
      </c>
      <c r="Z1087">
        <v>120</v>
      </c>
      <c r="AA1087">
        <v>463</v>
      </c>
      <c r="AB1087" s="1" t="s">
        <v>1801</v>
      </c>
    </row>
    <row r="1088" spans="1:28" x14ac:dyDescent="0.3">
      <c r="A1088">
        <v>101142</v>
      </c>
      <c r="B1088" s="1" t="s">
        <v>1312</v>
      </c>
      <c r="C1088">
        <v>0</v>
      </c>
      <c r="D1088">
        <v>1610612752</v>
      </c>
      <c r="E1088" s="1" t="s">
        <v>1248</v>
      </c>
      <c r="F1088">
        <v>280</v>
      </c>
      <c r="G1088">
        <v>64</v>
      </c>
      <c r="H1088">
        <v>210</v>
      </c>
      <c r="I1088">
        <v>11410</v>
      </c>
      <c r="J1088">
        <v>103</v>
      </c>
      <c r="K1088">
        <v>163</v>
      </c>
      <c r="L1088">
        <v>632</v>
      </c>
      <c r="M1088">
        <v>0</v>
      </c>
      <c r="N1088">
        <v>0</v>
      </c>
      <c r="O1088">
        <v>0</v>
      </c>
      <c r="P1088">
        <v>61</v>
      </c>
      <c r="Q1088">
        <v>98</v>
      </c>
      <c r="R1088">
        <v>622</v>
      </c>
      <c r="S1088">
        <v>640</v>
      </c>
      <c r="T1088">
        <v>1430</v>
      </c>
      <c r="U1088">
        <v>2070</v>
      </c>
      <c r="V1088">
        <v>92</v>
      </c>
      <c r="W1088">
        <v>350</v>
      </c>
      <c r="X1088">
        <v>730</v>
      </c>
      <c r="Y1088">
        <v>410</v>
      </c>
      <c r="Z1088">
        <v>160</v>
      </c>
      <c r="AA1088">
        <v>267</v>
      </c>
      <c r="AB1088" s="1" t="s">
        <v>1802</v>
      </c>
    </row>
    <row r="1089" spans="1:28" x14ac:dyDescent="0.3">
      <c r="A1089">
        <v>1726</v>
      </c>
      <c r="B1089" s="1" t="s">
        <v>1464</v>
      </c>
      <c r="C1089">
        <v>0</v>
      </c>
      <c r="D1089">
        <v>1610612752</v>
      </c>
      <c r="E1089" s="1" t="s">
        <v>1248</v>
      </c>
      <c r="F1089">
        <v>240</v>
      </c>
      <c r="G1089">
        <v>7</v>
      </c>
      <c r="H1089">
        <v>0</v>
      </c>
      <c r="I1089">
        <v>250</v>
      </c>
      <c r="J1089">
        <v>2</v>
      </c>
      <c r="K1089">
        <v>10</v>
      </c>
      <c r="L1089">
        <v>2</v>
      </c>
      <c r="M1089">
        <v>0</v>
      </c>
      <c r="N1089">
        <v>20</v>
      </c>
      <c r="O1089">
        <v>0</v>
      </c>
      <c r="P1089">
        <v>0</v>
      </c>
      <c r="Q1089">
        <v>0</v>
      </c>
      <c r="R1089">
        <v>0</v>
      </c>
      <c r="S1089">
        <v>20</v>
      </c>
      <c r="T1089">
        <v>80</v>
      </c>
      <c r="U1089">
        <v>100</v>
      </c>
      <c r="V1089">
        <v>1</v>
      </c>
      <c r="W1089">
        <v>20</v>
      </c>
      <c r="X1089">
        <v>0</v>
      </c>
      <c r="Y1089">
        <v>10</v>
      </c>
      <c r="Z1089">
        <v>4</v>
      </c>
      <c r="AA1089">
        <v>4</v>
      </c>
      <c r="AB1089" s="1" t="s">
        <v>1803</v>
      </c>
    </row>
    <row r="1090" spans="1:28" x14ac:dyDescent="0.3">
      <c r="A1090">
        <v>78380</v>
      </c>
      <c r="B1090" s="1" t="s">
        <v>1362</v>
      </c>
      <c r="C1090">
        <v>0</v>
      </c>
      <c r="D1090">
        <v>1610612752</v>
      </c>
      <c r="E1090" s="1" t="s">
        <v>1248</v>
      </c>
      <c r="F1090">
        <v>250</v>
      </c>
      <c r="G1090">
        <v>65</v>
      </c>
      <c r="I1090">
        <v>9220</v>
      </c>
      <c r="J1090">
        <v>111</v>
      </c>
      <c r="K1090">
        <v>308</v>
      </c>
      <c r="L1090">
        <v>36</v>
      </c>
      <c r="P1090">
        <v>60</v>
      </c>
      <c r="Q1090">
        <v>76</v>
      </c>
      <c r="R1090">
        <v>789</v>
      </c>
      <c r="U1090">
        <v>1540</v>
      </c>
      <c r="V1090">
        <v>77</v>
      </c>
      <c r="Z1090">
        <v>76</v>
      </c>
      <c r="AA1090">
        <v>282</v>
      </c>
      <c r="AB1090" s="1" t="s">
        <v>1804</v>
      </c>
    </row>
    <row r="1091" spans="1:28" x14ac:dyDescent="0.3">
      <c r="A1091">
        <v>202719</v>
      </c>
      <c r="B1091" s="1" t="s">
        <v>1337</v>
      </c>
      <c r="C1091">
        <v>0</v>
      </c>
      <c r="D1091">
        <v>1610612752</v>
      </c>
      <c r="E1091" s="1" t="s">
        <v>1248</v>
      </c>
      <c r="F1091">
        <v>230</v>
      </c>
      <c r="G1091">
        <v>41</v>
      </c>
      <c r="H1091">
        <v>0</v>
      </c>
      <c r="I1091">
        <v>3980</v>
      </c>
      <c r="J1091">
        <v>60</v>
      </c>
      <c r="K1091">
        <v>116</v>
      </c>
      <c r="L1091">
        <v>517</v>
      </c>
      <c r="M1091">
        <v>0</v>
      </c>
      <c r="N1091">
        <v>0</v>
      </c>
      <c r="O1091">
        <v>0</v>
      </c>
      <c r="P1091">
        <v>26</v>
      </c>
      <c r="Q1091">
        <v>48</v>
      </c>
      <c r="R1091">
        <v>542</v>
      </c>
      <c r="S1091">
        <v>380</v>
      </c>
      <c r="T1091">
        <v>710</v>
      </c>
      <c r="U1091">
        <v>1090</v>
      </c>
      <c r="V1091">
        <v>8</v>
      </c>
      <c r="W1091">
        <v>60</v>
      </c>
      <c r="X1091">
        <v>200</v>
      </c>
      <c r="Y1091">
        <v>260</v>
      </c>
      <c r="Z1091">
        <v>70</v>
      </c>
      <c r="AA1091">
        <v>146</v>
      </c>
      <c r="AB1091" s="1" t="s">
        <v>1805</v>
      </c>
    </row>
    <row r="1092" spans="1:28" x14ac:dyDescent="0.3">
      <c r="A1092">
        <v>2137</v>
      </c>
      <c r="B1092" s="1" t="s">
        <v>1300</v>
      </c>
      <c r="C1092">
        <v>0</v>
      </c>
      <c r="D1092">
        <v>1610612752</v>
      </c>
      <c r="E1092" s="1" t="s">
        <v>1248</v>
      </c>
      <c r="F1092">
        <v>280</v>
      </c>
      <c r="G1092">
        <v>8</v>
      </c>
      <c r="H1092">
        <v>0</v>
      </c>
      <c r="I1092">
        <v>1140</v>
      </c>
      <c r="J1092">
        <v>9</v>
      </c>
      <c r="K1092">
        <v>24</v>
      </c>
      <c r="L1092">
        <v>375</v>
      </c>
      <c r="M1092">
        <v>10</v>
      </c>
      <c r="N1092">
        <v>30</v>
      </c>
      <c r="O1092">
        <v>333</v>
      </c>
      <c r="P1092">
        <v>3</v>
      </c>
      <c r="Q1092">
        <v>6</v>
      </c>
      <c r="R1092">
        <v>5</v>
      </c>
      <c r="S1092">
        <v>30</v>
      </c>
      <c r="T1092">
        <v>140</v>
      </c>
      <c r="U1092">
        <v>170</v>
      </c>
      <c r="V1092">
        <v>6</v>
      </c>
      <c r="W1092">
        <v>10</v>
      </c>
      <c r="X1092">
        <v>0</v>
      </c>
      <c r="Y1092">
        <v>20</v>
      </c>
      <c r="Z1092">
        <v>8</v>
      </c>
      <c r="AA1092">
        <v>22</v>
      </c>
      <c r="AB1092" s="1" t="s">
        <v>1806</v>
      </c>
    </row>
    <row r="1093" spans="1:28" x14ac:dyDescent="0.3">
      <c r="A1093">
        <v>1065</v>
      </c>
      <c r="B1093" s="1" t="s">
        <v>1465</v>
      </c>
      <c r="C1093">
        <v>0</v>
      </c>
      <c r="D1093">
        <v>1610612752</v>
      </c>
      <c r="E1093" s="1" t="s">
        <v>1248</v>
      </c>
      <c r="F1093">
        <v>270</v>
      </c>
      <c r="G1093">
        <v>28</v>
      </c>
      <c r="H1093">
        <v>0</v>
      </c>
      <c r="I1093">
        <v>4210</v>
      </c>
      <c r="J1093">
        <v>40</v>
      </c>
      <c r="K1093">
        <v>131</v>
      </c>
      <c r="L1093">
        <v>305</v>
      </c>
      <c r="M1093">
        <v>160</v>
      </c>
      <c r="N1093">
        <v>470</v>
      </c>
      <c r="O1093">
        <v>34</v>
      </c>
      <c r="P1093">
        <v>24</v>
      </c>
      <c r="Q1093">
        <v>28</v>
      </c>
      <c r="R1093">
        <v>857</v>
      </c>
      <c r="S1093">
        <v>90</v>
      </c>
      <c r="T1093">
        <v>430</v>
      </c>
      <c r="U1093">
        <v>520</v>
      </c>
      <c r="V1093">
        <v>29</v>
      </c>
      <c r="W1093">
        <v>220</v>
      </c>
      <c r="X1093">
        <v>10</v>
      </c>
      <c r="Y1093">
        <v>210</v>
      </c>
      <c r="Z1093">
        <v>46</v>
      </c>
      <c r="AA1093">
        <v>120</v>
      </c>
      <c r="AB1093" s="1" t="s">
        <v>1807</v>
      </c>
    </row>
    <row r="1094" spans="1:28" x14ac:dyDescent="0.3">
      <c r="A1094">
        <v>78398</v>
      </c>
      <c r="B1094" s="1" t="s">
        <v>1412</v>
      </c>
      <c r="C1094">
        <v>0</v>
      </c>
      <c r="D1094">
        <v>1610612752</v>
      </c>
      <c r="E1094" s="1" t="s">
        <v>1248</v>
      </c>
      <c r="F1094">
        <v>230</v>
      </c>
      <c r="G1094">
        <v>79</v>
      </c>
      <c r="I1094">
        <v>22890</v>
      </c>
      <c r="J1094">
        <v>359</v>
      </c>
      <c r="K1094">
        <v>838</v>
      </c>
      <c r="L1094">
        <v>428</v>
      </c>
      <c r="P1094">
        <v>251</v>
      </c>
      <c r="Q1094">
        <v>351</v>
      </c>
      <c r="R1094">
        <v>715</v>
      </c>
      <c r="U1094">
        <v>3760</v>
      </c>
      <c r="V1094">
        <v>184</v>
      </c>
      <c r="Z1094">
        <v>235</v>
      </c>
      <c r="AA1094">
        <v>969</v>
      </c>
      <c r="AB1094" s="1" t="s">
        <v>1808</v>
      </c>
    </row>
    <row r="1095" spans="1:28" x14ac:dyDescent="0.3">
      <c r="A1095">
        <v>78398</v>
      </c>
      <c r="B1095" s="1" t="s">
        <v>1360</v>
      </c>
      <c r="C1095">
        <v>0</v>
      </c>
      <c r="D1095">
        <v>1610612752</v>
      </c>
      <c r="E1095" s="1" t="s">
        <v>1248</v>
      </c>
      <c r="F1095">
        <v>240</v>
      </c>
      <c r="G1095">
        <v>79</v>
      </c>
      <c r="I1095">
        <v>28920</v>
      </c>
      <c r="J1095">
        <v>410</v>
      </c>
      <c r="K1095">
        <v>913</v>
      </c>
      <c r="L1095">
        <v>449</v>
      </c>
      <c r="P1095">
        <v>371</v>
      </c>
      <c r="Q1095">
        <v>509</v>
      </c>
      <c r="R1095">
        <v>729</v>
      </c>
      <c r="U1095">
        <v>5550</v>
      </c>
      <c r="V1095">
        <v>247</v>
      </c>
      <c r="Z1095">
        <v>264</v>
      </c>
      <c r="AA1095">
        <v>1191</v>
      </c>
      <c r="AB1095" s="1" t="s">
        <v>1808</v>
      </c>
    </row>
    <row r="1096" spans="1:28" x14ac:dyDescent="0.3">
      <c r="A1096">
        <v>78398</v>
      </c>
      <c r="B1096" s="1" t="s">
        <v>1414</v>
      </c>
      <c r="C1096">
        <v>0</v>
      </c>
      <c r="D1096">
        <v>1610612752</v>
      </c>
      <c r="E1096" s="1" t="s">
        <v>1248</v>
      </c>
      <c r="F1096">
        <v>250</v>
      </c>
      <c r="G1096">
        <v>78</v>
      </c>
      <c r="I1096">
        <v>23480</v>
      </c>
      <c r="J1096">
        <v>316</v>
      </c>
      <c r="K1096">
        <v>725</v>
      </c>
      <c r="L1096">
        <v>436</v>
      </c>
      <c r="P1096">
        <v>227</v>
      </c>
      <c r="Q1096">
        <v>339</v>
      </c>
      <c r="R1096">
        <v>67</v>
      </c>
      <c r="U1096">
        <v>4240</v>
      </c>
      <c r="V1096">
        <v>230</v>
      </c>
      <c r="Z1096">
        <v>225</v>
      </c>
      <c r="AA1096">
        <v>859</v>
      </c>
      <c r="AB1096" s="1" t="s">
        <v>1808</v>
      </c>
    </row>
    <row r="1097" spans="1:28" x14ac:dyDescent="0.3">
      <c r="A1097">
        <v>78401</v>
      </c>
      <c r="B1097" s="1" t="s">
        <v>1339</v>
      </c>
      <c r="C1097">
        <v>0</v>
      </c>
      <c r="D1097">
        <v>1610612752</v>
      </c>
      <c r="E1097" s="1" t="s">
        <v>1248</v>
      </c>
      <c r="F1097">
        <v>240</v>
      </c>
      <c r="G1097">
        <v>16</v>
      </c>
      <c r="J1097">
        <v>7</v>
      </c>
      <c r="K1097">
        <v>34</v>
      </c>
      <c r="L1097">
        <v>206</v>
      </c>
      <c r="P1097">
        <v>11</v>
      </c>
      <c r="Q1097">
        <v>17</v>
      </c>
      <c r="R1097">
        <v>647</v>
      </c>
      <c r="V1097">
        <v>6</v>
      </c>
      <c r="Z1097">
        <v>10</v>
      </c>
      <c r="AA1097">
        <v>25</v>
      </c>
      <c r="AB1097" s="1" t="s">
        <v>1809</v>
      </c>
    </row>
    <row r="1098" spans="1:28" x14ac:dyDescent="0.3">
      <c r="A1098">
        <v>78401</v>
      </c>
      <c r="B1098" s="1" t="s">
        <v>1297</v>
      </c>
      <c r="C1098">
        <v>0</v>
      </c>
      <c r="D1098">
        <v>1610612752</v>
      </c>
      <c r="E1098" s="1" t="s">
        <v>1248</v>
      </c>
      <c r="F1098">
        <v>250</v>
      </c>
      <c r="G1098">
        <v>44</v>
      </c>
      <c r="J1098">
        <v>53</v>
      </c>
      <c r="K1098">
        <v>192</v>
      </c>
      <c r="L1098">
        <v>276</v>
      </c>
      <c r="P1098">
        <v>74</v>
      </c>
      <c r="Q1098">
        <v>120</v>
      </c>
      <c r="R1098">
        <v>617</v>
      </c>
      <c r="V1098">
        <v>29</v>
      </c>
      <c r="Z1098">
        <v>81</v>
      </c>
      <c r="AA1098">
        <v>180</v>
      </c>
      <c r="AB1098" s="1" t="s">
        <v>1809</v>
      </c>
    </row>
    <row r="1099" spans="1:28" x14ac:dyDescent="0.3">
      <c r="A1099">
        <v>78401</v>
      </c>
      <c r="B1099" s="1" t="s">
        <v>1299</v>
      </c>
      <c r="C1099">
        <v>0</v>
      </c>
      <c r="D1099">
        <v>1610612752</v>
      </c>
      <c r="E1099" s="1" t="s">
        <v>1248</v>
      </c>
      <c r="F1099">
        <v>260</v>
      </c>
      <c r="G1099">
        <v>59</v>
      </c>
      <c r="J1099">
        <v>127</v>
      </c>
      <c r="K1099">
        <v>401</v>
      </c>
      <c r="L1099">
        <v>317</v>
      </c>
      <c r="P1099">
        <v>161</v>
      </c>
      <c r="Q1099">
        <v>240</v>
      </c>
      <c r="R1099">
        <v>671</v>
      </c>
      <c r="V1099">
        <v>143</v>
      </c>
      <c r="Z1099">
        <v>148</v>
      </c>
      <c r="AA1099">
        <v>415</v>
      </c>
      <c r="AB1099" s="1" t="s">
        <v>1809</v>
      </c>
    </row>
    <row r="1100" spans="1:28" x14ac:dyDescent="0.3">
      <c r="A1100">
        <v>78401</v>
      </c>
      <c r="B1100" s="1" t="s">
        <v>1266</v>
      </c>
      <c r="C1100">
        <v>0</v>
      </c>
      <c r="D1100">
        <v>1610612752</v>
      </c>
      <c r="E1100" s="1" t="s">
        <v>1248</v>
      </c>
      <c r="F1100">
        <v>270</v>
      </c>
      <c r="G1100">
        <v>56</v>
      </c>
      <c r="J1100">
        <v>55</v>
      </c>
      <c r="K1100">
        <v>167</v>
      </c>
      <c r="L1100">
        <v>329</v>
      </c>
      <c r="P1100">
        <v>96</v>
      </c>
      <c r="Q1100">
        <v>134</v>
      </c>
      <c r="R1100">
        <v>716</v>
      </c>
      <c r="V1100">
        <v>78</v>
      </c>
      <c r="Z1100">
        <v>111</v>
      </c>
      <c r="AA1100">
        <v>206</v>
      </c>
      <c r="AB1100" s="1" t="s">
        <v>1809</v>
      </c>
    </row>
    <row r="1101" spans="1:28" x14ac:dyDescent="0.3">
      <c r="A1101">
        <v>1496</v>
      </c>
      <c r="B1101" s="1" t="s">
        <v>1293</v>
      </c>
      <c r="C1101">
        <v>0</v>
      </c>
      <c r="D1101">
        <v>1610612752</v>
      </c>
      <c r="E1101" s="1" t="s">
        <v>1248</v>
      </c>
      <c r="F1101">
        <v>280</v>
      </c>
      <c r="G1101">
        <v>47</v>
      </c>
      <c r="H1101">
        <v>470</v>
      </c>
      <c r="I1101">
        <v>15780</v>
      </c>
      <c r="J1101">
        <v>273</v>
      </c>
      <c r="K1101">
        <v>613</v>
      </c>
      <c r="L1101">
        <v>445</v>
      </c>
      <c r="M1101">
        <v>600</v>
      </c>
      <c r="N1101">
        <v>1610</v>
      </c>
      <c r="O1101">
        <v>373</v>
      </c>
      <c r="P1101">
        <v>163</v>
      </c>
      <c r="Q1101">
        <v>199</v>
      </c>
      <c r="R1101">
        <v>819</v>
      </c>
      <c r="S1101">
        <v>980</v>
      </c>
      <c r="T1101">
        <v>2450</v>
      </c>
      <c r="U1101">
        <v>3430</v>
      </c>
      <c r="V1101">
        <v>83</v>
      </c>
      <c r="W1101">
        <v>520</v>
      </c>
      <c r="X1101">
        <v>180</v>
      </c>
      <c r="Y1101">
        <v>1190</v>
      </c>
      <c r="Z1101">
        <v>151</v>
      </c>
      <c r="AA1101">
        <v>769</v>
      </c>
      <c r="AB1101" s="1" t="s">
        <v>1810</v>
      </c>
    </row>
    <row r="1102" spans="1:28" x14ac:dyDescent="0.3">
      <c r="A1102">
        <v>78405</v>
      </c>
      <c r="B1102" s="1" t="s">
        <v>1266</v>
      </c>
      <c r="C1102">
        <v>0</v>
      </c>
      <c r="D1102">
        <v>1610612752</v>
      </c>
      <c r="E1102" s="1" t="s">
        <v>1248</v>
      </c>
      <c r="F1102">
        <v>210</v>
      </c>
      <c r="G1102">
        <v>42</v>
      </c>
      <c r="J1102">
        <v>164</v>
      </c>
      <c r="K1102">
        <v>390</v>
      </c>
      <c r="L1102">
        <v>421</v>
      </c>
      <c r="P1102">
        <v>93</v>
      </c>
      <c r="Q1102">
        <v>140</v>
      </c>
      <c r="R1102">
        <v>664</v>
      </c>
      <c r="V1102">
        <v>78</v>
      </c>
      <c r="Z1102">
        <v>126</v>
      </c>
      <c r="AA1102">
        <v>421</v>
      </c>
      <c r="AB1102" s="1" t="s">
        <v>1811</v>
      </c>
    </row>
    <row r="1103" spans="1:28" x14ac:dyDescent="0.3">
      <c r="A1103">
        <v>78405</v>
      </c>
      <c r="B1103" s="1" t="s">
        <v>1378</v>
      </c>
      <c r="C1103">
        <v>0</v>
      </c>
      <c r="D1103">
        <v>1610612752</v>
      </c>
      <c r="E1103" s="1" t="s">
        <v>1248</v>
      </c>
      <c r="F1103">
        <v>220</v>
      </c>
      <c r="G1103">
        <v>44</v>
      </c>
      <c r="J1103">
        <v>135</v>
      </c>
      <c r="K1103">
        <v>336</v>
      </c>
      <c r="L1103">
        <v>402</v>
      </c>
      <c r="P1103">
        <v>68</v>
      </c>
      <c r="Q1103">
        <v>97</v>
      </c>
      <c r="R1103">
        <v>701</v>
      </c>
      <c r="U1103">
        <v>1950</v>
      </c>
      <c r="V1103">
        <v>121</v>
      </c>
      <c r="Z1103">
        <v>144</v>
      </c>
      <c r="AA1103">
        <v>338</v>
      </c>
      <c r="AB1103" s="1" t="s">
        <v>1811</v>
      </c>
    </row>
    <row r="1104" spans="1:28" x14ac:dyDescent="0.3">
      <c r="A1104">
        <v>78405</v>
      </c>
      <c r="B1104" s="1" t="s">
        <v>1247</v>
      </c>
      <c r="C1104">
        <v>0</v>
      </c>
      <c r="D1104">
        <v>1610612752</v>
      </c>
      <c r="E1104" s="1" t="s">
        <v>1248</v>
      </c>
      <c r="F1104">
        <v>230</v>
      </c>
      <c r="G1104">
        <v>57</v>
      </c>
      <c r="I1104">
        <v>15070</v>
      </c>
      <c r="J1104">
        <v>200</v>
      </c>
      <c r="K1104">
        <v>457</v>
      </c>
      <c r="L1104">
        <v>438</v>
      </c>
      <c r="P1104">
        <v>124</v>
      </c>
      <c r="Q1104">
        <v>160</v>
      </c>
      <c r="R1104">
        <v>775</v>
      </c>
      <c r="U1104">
        <v>2640</v>
      </c>
      <c r="V1104">
        <v>164</v>
      </c>
      <c r="Z1104">
        <v>188</v>
      </c>
      <c r="AA1104">
        <v>524</v>
      </c>
      <c r="AB1104" s="1" t="s">
        <v>1811</v>
      </c>
    </row>
    <row r="1105" spans="1:28" x14ac:dyDescent="0.3">
      <c r="A1105">
        <v>78405</v>
      </c>
      <c r="B1105" s="1" t="s">
        <v>1390</v>
      </c>
      <c r="C1105">
        <v>0</v>
      </c>
      <c r="D1105">
        <v>1610612752</v>
      </c>
      <c r="E1105" s="1" t="s">
        <v>1248</v>
      </c>
      <c r="F1105">
        <v>240</v>
      </c>
      <c r="G1105">
        <v>61</v>
      </c>
      <c r="I1105">
        <v>17450</v>
      </c>
      <c r="J1105">
        <v>272</v>
      </c>
      <c r="K1105">
        <v>625</v>
      </c>
      <c r="L1105">
        <v>435</v>
      </c>
      <c r="P1105">
        <v>187</v>
      </c>
      <c r="Q1105">
        <v>244</v>
      </c>
      <c r="R1105">
        <v>766</v>
      </c>
      <c r="U1105">
        <v>3420</v>
      </c>
      <c r="V1105">
        <v>144</v>
      </c>
      <c r="Z1105">
        <v>242</v>
      </c>
      <c r="AA1105">
        <v>731</v>
      </c>
      <c r="AB1105" s="1" t="s">
        <v>1811</v>
      </c>
    </row>
    <row r="1106" spans="1:28" x14ac:dyDescent="0.3">
      <c r="A1106">
        <v>78405</v>
      </c>
      <c r="B1106" s="1" t="s">
        <v>1349</v>
      </c>
      <c r="C1106">
        <v>0</v>
      </c>
      <c r="D1106">
        <v>1610612752</v>
      </c>
      <c r="E1106" s="1" t="s">
        <v>1248</v>
      </c>
      <c r="F1106">
        <v>250</v>
      </c>
      <c r="G1106">
        <v>15</v>
      </c>
      <c r="I1106">
        <v>2710</v>
      </c>
      <c r="J1106">
        <v>37</v>
      </c>
      <c r="K1106">
        <v>103</v>
      </c>
      <c r="L1106">
        <v>359</v>
      </c>
      <c r="P1106">
        <v>25</v>
      </c>
      <c r="Q1106">
        <v>31</v>
      </c>
      <c r="R1106">
        <v>806</v>
      </c>
      <c r="U1106">
        <v>390</v>
      </c>
      <c r="V1106">
        <v>29</v>
      </c>
      <c r="Z1106">
        <v>38</v>
      </c>
      <c r="AA1106">
        <v>99</v>
      </c>
      <c r="AB1106" s="1" t="s">
        <v>1811</v>
      </c>
    </row>
    <row r="1107" spans="1:28" x14ac:dyDescent="0.3">
      <c r="A1107">
        <v>78405</v>
      </c>
      <c r="B1107" s="1" t="s">
        <v>1315</v>
      </c>
      <c r="C1107">
        <v>0</v>
      </c>
      <c r="D1107">
        <v>1610612752</v>
      </c>
      <c r="E1107" s="1" t="s">
        <v>1248</v>
      </c>
      <c r="F1107">
        <v>270</v>
      </c>
      <c r="G1107">
        <v>5</v>
      </c>
      <c r="I1107">
        <v>770</v>
      </c>
      <c r="J1107">
        <v>10</v>
      </c>
      <c r="K1107">
        <v>31</v>
      </c>
      <c r="L1107">
        <v>323</v>
      </c>
      <c r="P1107">
        <v>2</v>
      </c>
      <c r="Q1107">
        <v>2</v>
      </c>
      <c r="R1107">
        <v>10</v>
      </c>
      <c r="U1107">
        <v>130</v>
      </c>
      <c r="V1107">
        <v>12</v>
      </c>
      <c r="Z1107">
        <v>15</v>
      </c>
      <c r="AA1107">
        <v>22</v>
      </c>
      <c r="AB1107" s="1" t="s">
        <v>1811</v>
      </c>
    </row>
    <row r="1108" spans="1:28" x14ac:dyDescent="0.3">
      <c r="A1108">
        <v>78391</v>
      </c>
      <c r="B1108" s="1" t="s">
        <v>1320</v>
      </c>
      <c r="C1108">
        <v>0</v>
      </c>
      <c r="D1108">
        <v>1610612752</v>
      </c>
      <c r="E1108" s="1" t="s">
        <v>1248</v>
      </c>
      <c r="F1108">
        <v>220</v>
      </c>
      <c r="G1108">
        <v>68</v>
      </c>
      <c r="I1108">
        <v>11820</v>
      </c>
      <c r="J1108">
        <v>175</v>
      </c>
      <c r="K1108">
        <v>490</v>
      </c>
      <c r="L1108">
        <v>357</v>
      </c>
      <c r="P1108">
        <v>150</v>
      </c>
      <c r="Q1108">
        <v>224</v>
      </c>
      <c r="R1108">
        <v>67</v>
      </c>
      <c r="U1108">
        <v>4800</v>
      </c>
      <c r="V1108">
        <v>34</v>
      </c>
      <c r="Z1108">
        <v>175</v>
      </c>
      <c r="AA1108">
        <v>500</v>
      </c>
      <c r="AB1108" s="1" t="s">
        <v>1812</v>
      </c>
    </row>
    <row r="1109" spans="1:28" x14ac:dyDescent="0.3">
      <c r="A1109">
        <v>78391</v>
      </c>
      <c r="B1109" s="1" t="s">
        <v>1250</v>
      </c>
      <c r="C1109">
        <v>0</v>
      </c>
      <c r="D1109">
        <v>1610612752</v>
      </c>
      <c r="E1109" s="1" t="s">
        <v>1248</v>
      </c>
      <c r="F1109">
        <v>230</v>
      </c>
      <c r="G1109">
        <v>69</v>
      </c>
      <c r="I1109">
        <v>15860</v>
      </c>
      <c r="J1109">
        <v>240</v>
      </c>
      <c r="K1109">
        <v>606</v>
      </c>
      <c r="L1109">
        <v>396</v>
      </c>
      <c r="P1109">
        <v>129</v>
      </c>
      <c r="Q1109">
        <v>190</v>
      </c>
      <c r="R1109">
        <v>679</v>
      </c>
      <c r="U1109">
        <v>4850</v>
      </c>
      <c r="V1109">
        <v>33</v>
      </c>
      <c r="Z1109">
        <v>180</v>
      </c>
      <c r="AA1109">
        <v>609</v>
      </c>
      <c r="AB1109" s="1" t="s">
        <v>1812</v>
      </c>
    </row>
    <row r="1110" spans="1:28" x14ac:dyDescent="0.3">
      <c r="A1110">
        <v>78391</v>
      </c>
      <c r="B1110" s="1" t="s">
        <v>1321</v>
      </c>
      <c r="C1110">
        <v>0</v>
      </c>
      <c r="D1110">
        <v>1610612752</v>
      </c>
      <c r="E1110" s="1" t="s">
        <v>1248</v>
      </c>
      <c r="F1110">
        <v>240</v>
      </c>
      <c r="G1110">
        <v>74</v>
      </c>
      <c r="I1110">
        <v>20330</v>
      </c>
      <c r="J1110">
        <v>406</v>
      </c>
      <c r="K1110">
        <v>952</v>
      </c>
      <c r="L1110">
        <v>426</v>
      </c>
      <c r="P1110">
        <v>133</v>
      </c>
      <c r="Q1110">
        <v>189</v>
      </c>
      <c r="R1110">
        <v>704</v>
      </c>
      <c r="U1110">
        <v>5980</v>
      </c>
      <c r="V1110">
        <v>80</v>
      </c>
      <c r="Z1110">
        <v>258</v>
      </c>
      <c r="AA1110">
        <v>945</v>
      </c>
      <c r="AB1110" s="1" t="s">
        <v>1812</v>
      </c>
    </row>
    <row r="1111" spans="1:28" x14ac:dyDescent="0.3">
      <c r="A1111">
        <v>78391</v>
      </c>
      <c r="B1111" s="1" t="s">
        <v>1322</v>
      </c>
      <c r="C1111">
        <v>0</v>
      </c>
      <c r="D1111">
        <v>1610612752</v>
      </c>
      <c r="E1111" s="1" t="s">
        <v>1248</v>
      </c>
      <c r="F1111">
        <v>250</v>
      </c>
      <c r="G1111">
        <v>59</v>
      </c>
      <c r="I1111">
        <v>14040</v>
      </c>
      <c r="J1111">
        <v>199</v>
      </c>
      <c r="K1111">
        <v>549</v>
      </c>
      <c r="L1111">
        <v>362</v>
      </c>
      <c r="P1111">
        <v>120</v>
      </c>
      <c r="Q1111">
        <v>173</v>
      </c>
      <c r="R1111">
        <v>694</v>
      </c>
      <c r="U1111">
        <v>3940</v>
      </c>
      <c r="V1111">
        <v>82</v>
      </c>
      <c r="Z1111">
        <v>164</v>
      </c>
      <c r="AA1111">
        <v>518</v>
      </c>
      <c r="AB1111" s="1" t="s">
        <v>1812</v>
      </c>
    </row>
    <row r="1112" spans="1:28" x14ac:dyDescent="0.3">
      <c r="A1112">
        <v>203943</v>
      </c>
      <c r="B1112" s="1" t="s">
        <v>1287</v>
      </c>
      <c r="C1112">
        <v>0</v>
      </c>
      <c r="D1112">
        <v>1610612752</v>
      </c>
      <c r="E1112" s="1" t="s">
        <v>1248</v>
      </c>
      <c r="F1112">
        <v>230</v>
      </c>
      <c r="G1112">
        <v>68</v>
      </c>
      <c r="H1112">
        <v>570</v>
      </c>
      <c r="I1112">
        <v>17220</v>
      </c>
      <c r="J1112">
        <v>207</v>
      </c>
      <c r="K1112">
        <v>440</v>
      </c>
      <c r="L1112">
        <v>47</v>
      </c>
      <c r="M1112">
        <v>460</v>
      </c>
      <c r="N1112">
        <v>1370</v>
      </c>
      <c r="O1112">
        <v>336</v>
      </c>
      <c r="P1112">
        <v>111</v>
      </c>
      <c r="Q1112">
        <v>156</v>
      </c>
      <c r="R1112">
        <v>712</v>
      </c>
      <c r="S1112">
        <v>1130</v>
      </c>
      <c r="T1112">
        <v>4150</v>
      </c>
      <c r="U1112">
        <v>5280</v>
      </c>
      <c r="V1112">
        <v>129</v>
      </c>
      <c r="W1112">
        <v>460</v>
      </c>
      <c r="X1112">
        <v>510</v>
      </c>
      <c r="Y1112">
        <v>880</v>
      </c>
      <c r="Z1112">
        <v>174</v>
      </c>
      <c r="AA1112">
        <v>571</v>
      </c>
      <c r="AB1112" s="1" t="s">
        <v>1813</v>
      </c>
    </row>
    <row r="1113" spans="1:28" x14ac:dyDescent="0.3">
      <c r="A1113">
        <v>2756</v>
      </c>
      <c r="B1113" s="1" t="s">
        <v>1279</v>
      </c>
      <c r="C1113">
        <v>0</v>
      </c>
      <c r="D1113">
        <v>1610612752</v>
      </c>
      <c r="E1113" s="1" t="s">
        <v>1248</v>
      </c>
      <c r="F1113">
        <v>320</v>
      </c>
      <c r="G1113">
        <v>61</v>
      </c>
      <c r="H1113">
        <v>250</v>
      </c>
      <c r="I1113">
        <v>9080</v>
      </c>
      <c r="J1113">
        <v>106</v>
      </c>
      <c r="K1113">
        <v>277</v>
      </c>
      <c r="L1113">
        <v>383</v>
      </c>
      <c r="M1113">
        <v>520</v>
      </c>
      <c r="N1113">
        <v>1430</v>
      </c>
      <c r="O1113">
        <v>364</v>
      </c>
      <c r="P1113">
        <v>32</v>
      </c>
      <c r="Q1113">
        <v>39</v>
      </c>
      <c r="R1113">
        <v>821</v>
      </c>
      <c r="S1113">
        <v>260</v>
      </c>
      <c r="T1113">
        <v>1230</v>
      </c>
      <c r="U1113">
        <v>1490</v>
      </c>
      <c r="V1113">
        <v>84</v>
      </c>
      <c r="W1113">
        <v>340</v>
      </c>
      <c r="X1113">
        <v>50</v>
      </c>
      <c r="Y1113">
        <v>440</v>
      </c>
      <c r="Z1113">
        <v>83</v>
      </c>
      <c r="AA1113">
        <v>296</v>
      </c>
      <c r="AB1113" s="1" t="s">
        <v>1814</v>
      </c>
    </row>
    <row r="1114" spans="1:28" x14ac:dyDescent="0.3">
      <c r="A1114">
        <v>2756</v>
      </c>
      <c r="B1114" s="1" t="s">
        <v>1281</v>
      </c>
      <c r="C1114">
        <v>0</v>
      </c>
      <c r="D1114">
        <v>1610612752</v>
      </c>
      <c r="E1114" s="1" t="s">
        <v>1248</v>
      </c>
      <c r="F1114">
        <v>330</v>
      </c>
      <c r="G1114">
        <v>42</v>
      </c>
      <c r="H1114">
        <v>40</v>
      </c>
      <c r="I1114">
        <v>4080</v>
      </c>
      <c r="J1114">
        <v>42</v>
      </c>
      <c r="K1114">
        <v>136</v>
      </c>
      <c r="L1114">
        <v>309</v>
      </c>
      <c r="M1114">
        <v>230</v>
      </c>
      <c r="N1114">
        <v>740</v>
      </c>
      <c r="O1114">
        <v>311</v>
      </c>
      <c r="P1114">
        <v>17</v>
      </c>
      <c r="Q1114">
        <v>24</v>
      </c>
      <c r="R1114">
        <v>708</v>
      </c>
      <c r="S1114">
        <v>120</v>
      </c>
      <c r="T1114">
        <v>470</v>
      </c>
      <c r="U1114">
        <v>590</v>
      </c>
      <c r="V1114">
        <v>52</v>
      </c>
      <c r="W1114">
        <v>130</v>
      </c>
      <c r="X1114">
        <v>20</v>
      </c>
      <c r="Y1114">
        <v>160</v>
      </c>
      <c r="Z1114">
        <v>38</v>
      </c>
      <c r="AA1114">
        <v>124</v>
      </c>
      <c r="AB1114" s="1" t="s">
        <v>1814</v>
      </c>
    </row>
    <row r="1115" spans="1:28" x14ac:dyDescent="0.3">
      <c r="A1115">
        <v>78432</v>
      </c>
      <c r="B1115" s="1" t="s">
        <v>1358</v>
      </c>
      <c r="C1115">
        <v>0</v>
      </c>
      <c r="D1115">
        <v>1610612752</v>
      </c>
      <c r="E1115" s="1" t="s">
        <v>1248</v>
      </c>
      <c r="F1115">
        <v>260</v>
      </c>
      <c r="G1115">
        <v>30</v>
      </c>
      <c r="I1115">
        <v>2740</v>
      </c>
      <c r="J1115">
        <v>47</v>
      </c>
      <c r="K1115">
        <v>115</v>
      </c>
      <c r="L1115">
        <v>409</v>
      </c>
      <c r="P1115">
        <v>22</v>
      </c>
      <c r="Q1115">
        <v>25</v>
      </c>
      <c r="R1115">
        <v>88</v>
      </c>
      <c r="S1115">
        <v>180</v>
      </c>
      <c r="T1115">
        <v>590</v>
      </c>
      <c r="U1115">
        <v>770</v>
      </c>
      <c r="V1115">
        <v>22</v>
      </c>
      <c r="W1115">
        <v>70</v>
      </c>
      <c r="X1115">
        <v>30</v>
      </c>
      <c r="Z1115">
        <v>55</v>
      </c>
      <c r="AA1115">
        <v>116</v>
      </c>
      <c r="AB1115" s="1" t="s">
        <v>1815</v>
      </c>
    </row>
    <row r="1116" spans="1:28" x14ac:dyDescent="0.3">
      <c r="A1116">
        <v>78432</v>
      </c>
      <c r="B1116" s="1" t="s">
        <v>1261</v>
      </c>
      <c r="C1116">
        <v>0</v>
      </c>
      <c r="D1116">
        <v>1610612752</v>
      </c>
      <c r="E1116" s="1" t="s">
        <v>1248</v>
      </c>
      <c r="F1116">
        <v>270</v>
      </c>
      <c r="G1116">
        <v>82</v>
      </c>
      <c r="I1116">
        <v>13400</v>
      </c>
      <c r="J1116">
        <v>262</v>
      </c>
      <c r="K1116">
        <v>607</v>
      </c>
      <c r="L1116">
        <v>432</v>
      </c>
      <c r="P1116">
        <v>79</v>
      </c>
      <c r="Q1116">
        <v>99</v>
      </c>
      <c r="R1116">
        <v>798</v>
      </c>
      <c r="S1116">
        <v>980</v>
      </c>
      <c r="T1116">
        <v>2910</v>
      </c>
      <c r="U1116">
        <v>3890</v>
      </c>
      <c r="V1116">
        <v>119</v>
      </c>
      <c r="W1116">
        <v>260</v>
      </c>
      <c r="X1116">
        <v>220</v>
      </c>
      <c r="Z1116">
        <v>209</v>
      </c>
      <c r="AA1116">
        <v>603</v>
      </c>
      <c r="AB1116" s="1" t="s">
        <v>1815</v>
      </c>
    </row>
    <row r="1117" spans="1:28" x14ac:dyDescent="0.3">
      <c r="A1117">
        <v>78432</v>
      </c>
      <c r="B1117" s="1" t="s">
        <v>1263</v>
      </c>
      <c r="C1117">
        <v>0</v>
      </c>
      <c r="D1117">
        <v>1610612752</v>
      </c>
      <c r="E1117" s="1" t="s">
        <v>1248</v>
      </c>
      <c r="F1117">
        <v>280</v>
      </c>
      <c r="G1117">
        <v>11</v>
      </c>
      <c r="I1117">
        <v>1350</v>
      </c>
      <c r="J1117">
        <v>28</v>
      </c>
      <c r="K1117">
        <v>57</v>
      </c>
      <c r="L1117">
        <v>491</v>
      </c>
      <c r="P1117">
        <v>6</v>
      </c>
      <c r="Q1117">
        <v>7</v>
      </c>
      <c r="R1117">
        <v>857</v>
      </c>
      <c r="S1117">
        <v>50</v>
      </c>
      <c r="T1117">
        <v>220</v>
      </c>
      <c r="U1117">
        <v>270</v>
      </c>
      <c r="V1117">
        <v>6</v>
      </c>
      <c r="W1117">
        <v>40</v>
      </c>
      <c r="X1117">
        <v>30</v>
      </c>
      <c r="Z1117">
        <v>22</v>
      </c>
      <c r="AA1117">
        <v>62</v>
      </c>
      <c r="AB1117" s="1" t="s">
        <v>1815</v>
      </c>
    </row>
    <row r="1118" spans="1:28" x14ac:dyDescent="0.3">
      <c r="A1118">
        <v>78404</v>
      </c>
      <c r="B1118" s="1" t="s">
        <v>1268</v>
      </c>
      <c r="C1118">
        <v>0</v>
      </c>
      <c r="D1118">
        <v>1610612752</v>
      </c>
      <c r="E1118" s="1" t="s">
        <v>1248</v>
      </c>
      <c r="F1118">
        <v>300</v>
      </c>
      <c r="G1118">
        <v>27</v>
      </c>
      <c r="H1118">
        <v>0</v>
      </c>
      <c r="I1118">
        <v>5020</v>
      </c>
      <c r="J1118">
        <v>97</v>
      </c>
      <c r="K1118">
        <v>209</v>
      </c>
      <c r="L1118">
        <v>464</v>
      </c>
      <c r="M1118">
        <v>30</v>
      </c>
      <c r="N1118">
        <v>100</v>
      </c>
      <c r="O1118">
        <v>3</v>
      </c>
      <c r="P1118">
        <v>51</v>
      </c>
      <c r="Q1118">
        <v>56</v>
      </c>
      <c r="R1118">
        <v>911</v>
      </c>
      <c r="S1118">
        <v>150</v>
      </c>
      <c r="T1118">
        <v>210</v>
      </c>
      <c r="U1118">
        <v>360</v>
      </c>
      <c r="V1118">
        <v>35</v>
      </c>
      <c r="W1118">
        <v>120</v>
      </c>
      <c r="X1118">
        <v>70</v>
      </c>
      <c r="Y1118">
        <v>230</v>
      </c>
      <c r="Z1118">
        <v>38</v>
      </c>
      <c r="AA1118">
        <v>248</v>
      </c>
      <c r="AB1118" s="1" t="s">
        <v>1816</v>
      </c>
    </row>
    <row r="1119" spans="1:28" x14ac:dyDescent="0.3">
      <c r="A1119">
        <v>78404</v>
      </c>
      <c r="B1119" s="1" t="s">
        <v>1270</v>
      </c>
      <c r="C1119">
        <v>0</v>
      </c>
      <c r="D1119">
        <v>1610612752</v>
      </c>
      <c r="E1119" s="1" t="s">
        <v>1248</v>
      </c>
      <c r="F1119">
        <v>310</v>
      </c>
      <c r="G1119">
        <v>22</v>
      </c>
      <c r="H1119">
        <v>130</v>
      </c>
      <c r="I1119">
        <v>5630</v>
      </c>
      <c r="J1119">
        <v>102</v>
      </c>
      <c r="K1119">
        <v>231</v>
      </c>
      <c r="L1119">
        <v>442</v>
      </c>
      <c r="M1119">
        <v>100</v>
      </c>
      <c r="N1119">
        <v>190</v>
      </c>
      <c r="O1119">
        <v>526</v>
      </c>
      <c r="P1119">
        <v>44</v>
      </c>
      <c r="Q1119">
        <v>48</v>
      </c>
      <c r="R1119">
        <v>917</v>
      </c>
      <c r="S1119">
        <v>150</v>
      </c>
      <c r="T1119">
        <v>380</v>
      </c>
      <c r="U1119">
        <v>530</v>
      </c>
      <c r="V1119">
        <v>41</v>
      </c>
      <c r="W1119">
        <v>150</v>
      </c>
      <c r="X1119">
        <v>30</v>
      </c>
      <c r="Y1119">
        <v>260</v>
      </c>
      <c r="Z1119">
        <v>28</v>
      </c>
      <c r="AA1119">
        <v>258</v>
      </c>
      <c r="AB1119" s="1" t="s">
        <v>1816</v>
      </c>
    </row>
    <row r="1120" spans="1:28" x14ac:dyDescent="0.3">
      <c r="A1120">
        <v>78404</v>
      </c>
      <c r="B1120" s="1" t="s">
        <v>1271</v>
      </c>
      <c r="C1120">
        <v>0</v>
      </c>
      <c r="D1120">
        <v>1610612752</v>
      </c>
      <c r="E1120" s="1" t="s">
        <v>1248</v>
      </c>
      <c r="F1120">
        <v>320</v>
      </c>
      <c r="G1120">
        <v>75</v>
      </c>
      <c r="H1120">
        <v>720</v>
      </c>
      <c r="I1120">
        <v>24200</v>
      </c>
      <c r="J1120">
        <v>458</v>
      </c>
      <c r="K1120">
        <v>927</v>
      </c>
      <c r="L1120">
        <v>494</v>
      </c>
      <c r="M1120">
        <v>510</v>
      </c>
      <c r="N1120">
        <v>1410</v>
      </c>
      <c r="O1120">
        <v>362</v>
      </c>
      <c r="P1120">
        <v>259</v>
      </c>
      <c r="Q1120">
        <v>288</v>
      </c>
      <c r="R1120">
        <v>899</v>
      </c>
      <c r="S1120">
        <v>780</v>
      </c>
      <c r="T1120">
        <v>1020</v>
      </c>
      <c r="U1120">
        <v>1800</v>
      </c>
      <c r="V1120">
        <v>110</v>
      </c>
      <c r="W1120">
        <v>420</v>
      </c>
      <c r="X1120">
        <v>100</v>
      </c>
      <c r="Y1120">
        <v>1080</v>
      </c>
      <c r="Z1120">
        <v>122</v>
      </c>
      <c r="AA1120">
        <v>1226</v>
      </c>
      <c r="AB1120" s="1" t="s">
        <v>1816</v>
      </c>
    </row>
    <row r="1121" spans="1:28" x14ac:dyDescent="0.3">
      <c r="A1121">
        <v>78404</v>
      </c>
      <c r="B1121" s="1" t="s">
        <v>1272</v>
      </c>
      <c r="C1121">
        <v>0</v>
      </c>
      <c r="D1121">
        <v>1610612752</v>
      </c>
      <c r="E1121" s="1" t="s">
        <v>1248</v>
      </c>
      <c r="F1121">
        <v>330</v>
      </c>
      <c r="G1121">
        <v>67</v>
      </c>
      <c r="H1121">
        <v>0</v>
      </c>
      <c r="I1121">
        <v>9560</v>
      </c>
      <c r="J1121">
        <v>188</v>
      </c>
      <c r="K1121">
        <v>383</v>
      </c>
      <c r="L1121">
        <v>491</v>
      </c>
      <c r="M1121">
        <v>260</v>
      </c>
      <c r="N1121">
        <v>660</v>
      </c>
      <c r="O1121">
        <v>394</v>
      </c>
      <c r="P1121">
        <v>65</v>
      </c>
      <c r="Q1121">
        <v>81</v>
      </c>
      <c r="R1121">
        <v>802</v>
      </c>
      <c r="S1121">
        <v>310</v>
      </c>
      <c r="T1121">
        <v>570</v>
      </c>
      <c r="U1121">
        <v>880</v>
      </c>
      <c r="V1121">
        <v>57</v>
      </c>
      <c r="W1121">
        <v>150</v>
      </c>
      <c r="X1121">
        <v>80</v>
      </c>
      <c r="Y1121">
        <v>270</v>
      </c>
      <c r="Z1121">
        <v>87</v>
      </c>
      <c r="AA1121">
        <v>467</v>
      </c>
      <c r="AB1121" s="1" t="s">
        <v>1816</v>
      </c>
    </row>
    <row r="1122" spans="1:28" x14ac:dyDescent="0.3">
      <c r="A1122">
        <v>201611</v>
      </c>
      <c r="B1122" s="1" t="s">
        <v>1305</v>
      </c>
      <c r="C1122">
        <v>0</v>
      </c>
      <c r="D1122">
        <v>1610612752</v>
      </c>
      <c r="E1122" s="1" t="s">
        <v>1248</v>
      </c>
      <c r="F1122">
        <v>220</v>
      </c>
      <c r="G1122">
        <v>27</v>
      </c>
      <c r="H1122">
        <v>130</v>
      </c>
      <c r="I1122">
        <v>7390</v>
      </c>
      <c r="J1122">
        <v>117</v>
      </c>
      <c r="K1122">
        <v>226</v>
      </c>
      <c r="L1122">
        <v>518</v>
      </c>
      <c r="M1122">
        <v>500</v>
      </c>
      <c r="N1122">
        <v>1160</v>
      </c>
      <c r="O1122">
        <v>431</v>
      </c>
      <c r="P1122">
        <v>37</v>
      </c>
      <c r="Q1122">
        <v>47</v>
      </c>
      <c r="R1122">
        <v>787</v>
      </c>
      <c r="S1122">
        <v>150</v>
      </c>
      <c r="T1122">
        <v>680</v>
      </c>
      <c r="U1122">
        <v>830</v>
      </c>
      <c r="V1122">
        <v>37</v>
      </c>
      <c r="W1122">
        <v>230</v>
      </c>
      <c r="X1122">
        <v>30</v>
      </c>
      <c r="Y1122">
        <v>260</v>
      </c>
      <c r="Z1122">
        <v>79</v>
      </c>
      <c r="AA1122">
        <v>321</v>
      </c>
      <c r="AB1122" s="1" t="s">
        <v>1817</v>
      </c>
    </row>
    <row r="1123" spans="1:28" x14ac:dyDescent="0.3">
      <c r="A1123">
        <v>201611</v>
      </c>
      <c r="B1123" s="1" t="s">
        <v>1312</v>
      </c>
      <c r="C1123">
        <v>0</v>
      </c>
      <c r="D1123">
        <v>1610612752</v>
      </c>
      <c r="E1123" s="1" t="s">
        <v>1248</v>
      </c>
      <c r="F1123">
        <v>230</v>
      </c>
      <c r="G1123">
        <v>61</v>
      </c>
      <c r="H1123">
        <v>10</v>
      </c>
      <c r="I1123">
        <v>7840</v>
      </c>
      <c r="J1123">
        <v>104</v>
      </c>
      <c r="K1123">
        <v>236</v>
      </c>
      <c r="L1123">
        <v>441</v>
      </c>
      <c r="M1123">
        <v>590</v>
      </c>
      <c r="N1123">
        <v>1530</v>
      </c>
      <c r="O1123">
        <v>386</v>
      </c>
      <c r="P1123">
        <v>31</v>
      </c>
      <c r="Q1123">
        <v>44</v>
      </c>
      <c r="R1123">
        <v>705</v>
      </c>
      <c r="S1123">
        <v>160</v>
      </c>
      <c r="T1123">
        <v>1060</v>
      </c>
      <c r="U1123">
        <v>1220</v>
      </c>
      <c r="V1123">
        <v>34</v>
      </c>
      <c r="W1123">
        <v>210</v>
      </c>
      <c r="X1123">
        <v>60</v>
      </c>
      <c r="Y1123">
        <v>370</v>
      </c>
      <c r="Z1123">
        <v>81</v>
      </c>
      <c r="AA1123">
        <v>298</v>
      </c>
      <c r="AB1123" s="1" t="s">
        <v>1817</v>
      </c>
    </row>
    <row r="1124" spans="1:28" x14ac:dyDescent="0.3">
      <c r="A1124">
        <v>201611</v>
      </c>
      <c r="B1124" s="1" t="s">
        <v>1290</v>
      </c>
      <c r="C1124">
        <v>0</v>
      </c>
      <c r="D1124">
        <v>1610612752</v>
      </c>
      <c r="E1124" s="1" t="s">
        <v>1248</v>
      </c>
      <c r="F1124">
        <v>240</v>
      </c>
      <c r="G1124">
        <v>32</v>
      </c>
      <c r="H1124">
        <v>80</v>
      </c>
      <c r="I1124">
        <v>6200</v>
      </c>
      <c r="J1124">
        <v>68</v>
      </c>
      <c r="K1124">
        <v>171</v>
      </c>
      <c r="L1124">
        <v>398</v>
      </c>
      <c r="M1124">
        <v>360</v>
      </c>
      <c r="N1124">
        <v>1130</v>
      </c>
      <c r="O1124">
        <v>319</v>
      </c>
      <c r="P1124">
        <v>17</v>
      </c>
      <c r="Q1124">
        <v>20</v>
      </c>
      <c r="R1124">
        <v>85</v>
      </c>
      <c r="S1124">
        <v>90</v>
      </c>
      <c r="T1124">
        <v>710</v>
      </c>
      <c r="U1124">
        <v>800</v>
      </c>
      <c r="V1124">
        <v>37</v>
      </c>
      <c r="W1124">
        <v>190</v>
      </c>
      <c r="X1124">
        <v>70</v>
      </c>
      <c r="Y1124">
        <v>350</v>
      </c>
      <c r="Z1124">
        <v>84</v>
      </c>
      <c r="AA1124">
        <v>189</v>
      </c>
      <c r="AB1124" s="1" t="s">
        <v>1817</v>
      </c>
    </row>
    <row r="1125" spans="1:28" x14ac:dyDescent="0.3">
      <c r="A1125">
        <v>202689</v>
      </c>
      <c r="B1125" s="1" t="s">
        <v>1308</v>
      </c>
      <c r="C1125">
        <v>0</v>
      </c>
      <c r="D1125">
        <v>1610612752</v>
      </c>
      <c r="E1125" s="1" t="s">
        <v>1248</v>
      </c>
      <c r="F1125">
        <v>320</v>
      </c>
      <c r="G1125">
        <v>37</v>
      </c>
      <c r="H1125">
        <v>370</v>
      </c>
      <c r="I1125">
        <v>9480</v>
      </c>
      <c r="J1125">
        <v>149</v>
      </c>
      <c r="K1125">
        <v>370</v>
      </c>
      <c r="L1125">
        <v>403</v>
      </c>
      <c r="M1125">
        <v>730</v>
      </c>
      <c r="N1125">
        <v>1990</v>
      </c>
      <c r="O1125">
        <v>367</v>
      </c>
      <c r="P1125">
        <v>60</v>
      </c>
      <c r="Q1125">
        <v>71</v>
      </c>
      <c r="R1125">
        <v>845</v>
      </c>
      <c r="S1125">
        <v>140</v>
      </c>
      <c r="T1125">
        <v>970</v>
      </c>
      <c r="U1125">
        <v>1110</v>
      </c>
      <c r="V1125">
        <v>131</v>
      </c>
      <c r="W1125">
        <v>260</v>
      </c>
      <c r="X1125">
        <v>70</v>
      </c>
      <c r="Y1125">
        <v>480</v>
      </c>
      <c r="Z1125">
        <v>37</v>
      </c>
      <c r="AA1125">
        <v>431</v>
      </c>
      <c r="AB1125" s="1" t="s">
        <v>1818</v>
      </c>
    </row>
    <row r="1126" spans="1:28" x14ac:dyDescent="0.3">
      <c r="A1126">
        <v>78440</v>
      </c>
      <c r="B1126" s="1" t="s">
        <v>1394</v>
      </c>
      <c r="C1126">
        <v>0</v>
      </c>
      <c r="D1126">
        <v>1610612752</v>
      </c>
      <c r="E1126" s="1" t="s">
        <v>1248</v>
      </c>
      <c r="F1126">
        <v>220</v>
      </c>
      <c r="G1126">
        <v>68</v>
      </c>
      <c r="H1126">
        <v>640</v>
      </c>
      <c r="I1126">
        <v>17190</v>
      </c>
      <c r="J1126">
        <v>285</v>
      </c>
      <c r="K1126">
        <v>581</v>
      </c>
      <c r="L1126">
        <v>491</v>
      </c>
      <c r="M1126">
        <v>0</v>
      </c>
      <c r="N1126">
        <v>40</v>
      </c>
      <c r="O1126">
        <v>0</v>
      </c>
      <c r="P1126">
        <v>140</v>
      </c>
      <c r="Q1126">
        <v>185</v>
      </c>
      <c r="R1126">
        <v>757</v>
      </c>
      <c r="S1126">
        <v>1180</v>
      </c>
      <c r="T1126">
        <v>2200</v>
      </c>
      <c r="U1126">
        <v>3380</v>
      </c>
      <c r="V1126">
        <v>75</v>
      </c>
      <c r="W1126">
        <v>490</v>
      </c>
      <c r="X1126">
        <v>490</v>
      </c>
      <c r="Y1126">
        <v>750</v>
      </c>
      <c r="Z1126">
        <v>236</v>
      </c>
      <c r="AA1126">
        <v>710</v>
      </c>
      <c r="AB1126" s="1" t="s">
        <v>1819</v>
      </c>
    </row>
    <row r="1127" spans="1:28" x14ac:dyDescent="0.3">
      <c r="A1127">
        <v>78440</v>
      </c>
      <c r="B1127" s="1" t="s">
        <v>1253</v>
      </c>
      <c r="C1127">
        <v>0</v>
      </c>
      <c r="D1127">
        <v>1610612752</v>
      </c>
      <c r="E1127" s="1" t="s">
        <v>1248</v>
      </c>
      <c r="F1127">
        <v>230</v>
      </c>
      <c r="G1127">
        <v>82</v>
      </c>
      <c r="H1127">
        <v>610</v>
      </c>
      <c r="I1127">
        <v>21390</v>
      </c>
      <c r="J1127">
        <v>344</v>
      </c>
      <c r="K1127">
        <v>728</v>
      </c>
      <c r="L1127">
        <v>473</v>
      </c>
      <c r="M1127">
        <v>0</v>
      </c>
      <c r="N1127">
        <v>10</v>
      </c>
      <c r="O1127">
        <v>0</v>
      </c>
      <c r="P1127">
        <v>138</v>
      </c>
      <c r="Q1127">
        <v>178</v>
      </c>
      <c r="R1127">
        <v>775</v>
      </c>
      <c r="S1127">
        <v>1920</v>
      </c>
      <c r="T1127">
        <v>1970</v>
      </c>
      <c r="U1127">
        <v>3890</v>
      </c>
      <c r="V1127">
        <v>86</v>
      </c>
      <c r="W1127">
        <v>630</v>
      </c>
      <c r="X1127">
        <v>590</v>
      </c>
      <c r="Y1127">
        <v>830</v>
      </c>
      <c r="Z1127">
        <v>290</v>
      </c>
      <c r="AA1127">
        <v>826</v>
      </c>
      <c r="AB1127" s="1" t="s">
        <v>1819</v>
      </c>
    </row>
    <row r="1128" spans="1:28" x14ac:dyDescent="0.3">
      <c r="A1128">
        <v>78440</v>
      </c>
      <c r="B1128" s="1" t="s">
        <v>1268</v>
      </c>
      <c r="C1128">
        <v>0</v>
      </c>
      <c r="D1128">
        <v>1610612752</v>
      </c>
      <c r="E1128" s="1" t="s">
        <v>1248</v>
      </c>
      <c r="F1128">
        <v>240</v>
      </c>
      <c r="G1128">
        <v>79</v>
      </c>
      <c r="H1128">
        <v>20</v>
      </c>
      <c r="I1128">
        <v>11630</v>
      </c>
      <c r="J1128">
        <v>174</v>
      </c>
      <c r="K1128">
        <v>356</v>
      </c>
      <c r="L1128">
        <v>489</v>
      </c>
      <c r="M1128">
        <v>50</v>
      </c>
      <c r="N1128">
        <v>200</v>
      </c>
      <c r="O1128">
        <v>25</v>
      </c>
      <c r="P1128">
        <v>66</v>
      </c>
      <c r="Q1128">
        <v>85</v>
      </c>
      <c r="R1128">
        <v>776</v>
      </c>
      <c r="S1128">
        <v>1010</v>
      </c>
      <c r="T1128">
        <v>1290</v>
      </c>
      <c r="U1128">
        <v>2300</v>
      </c>
      <c r="V1128">
        <v>36</v>
      </c>
      <c r="W1128">
        <v>410</v>
      </c>
      <c r="X1128">
        <v>450</v>
      </c>
      <c r="Y1128">
        <v>440</v>
      </c>
      <c r="Z1128">
        <v>190</v>
      </c>
      <c r="AA1128">
        <v>419</v>
      </c>
      <c r="AB1128" s="1" t="s">
        <v>1819</v>
      </c>
    </row>
    <row r="1129" spans="1:28" x14ac:dyDescent="0.3">
      <c r="A1129">
        <v>78440</v>
      </c>
      <c r="B1129" s="1" t="s">
        <v>1270</v>
      </c>
      <c r="C1129">
        <v>0</v>
      </c>
      <c r="D1129">
        <v>1610612752</v>
      </c>
      <c r="E1129" s="1" t="s">
        <v>1248</v>
      </c>
      <c r="F1129">
        <v>250</v>
      </c>
      <c r="G1129">
        <v>68</v>
      </c>
      <c r="H1129">
        <v>210</v>
      </c>
      <c r="I1129">
        <v>15950</v>
      </c>
      <c r="J1129">
        <v>204</v>
      </c>
      <c r="K1129">
        <v>384</v>
      </c>
      <c r="L1129">
        <v>531</v>
      </c>
      <c r="M1129">
        <v>20</v>
      </c>
      <c r="N1129">
        <v>50</v>
      </c>
      <c r="O1129">
        <v>4</v>
      </c>
      <c r="P1129">
        <v>125</v>
      </c>
      <c r="Q1129">
        <v>173</v>
      </c>
      <c r="R1129">
        <v>723</v>
      </c>
      <c r="S1129">
        <v>1310</v>
      </c>
      <c r="T1129">
        <v>2120</v>
      </c>
      <c r="U1129">
        <v>3430</v>
      </c>
      <c r="V1129">
        <v>49</v>
      </c>
      <c r="W1129">
        <v>330</v>
      </c>
      <c r="X1129">
        <v>520</v>
      </c>
      <c r="Y1129">
        <v>600</v>
      </c>
      <c r="Z1129">
        <v>178</v>
      </c>
      <c r="AA1129">
        <v>535</v>
      </c>
      <c r="AB1129" s="1" t="s">
        <v>1819</v>
      </c>
    </row>
    <row r="1130" spans="1:28" x14ac:dyDescent="0.3">
      <c r="A1130">
        <v>78440</v>
      </c>
      <c r="B1130" s="1" t="s">
        <v>1271</v>
      </c>
      <c r="C1130">
        <v>0</v>
      </c>
      <c r="D1130">
        <v>1610612752</v>
      </c>
      <c r="E1130" s="1" t="s">
        <v>1248</v>
      </c>
      <c r="F1130">
        <v>260</v>
      </c>
      <c r="G1130">
        <v>54</v>
      </c>
      <c r="H1130">
        <v>80</v>
      </c>
      <c r="I1130">
        <v>7710</v>
      </c>
      <c r="J1130">
        <v>83</v>
      </c>
      <c r="K1130">
        <v>191</v>
      </c>
      <c r="L1130">
        <v>435</v>
      </c>
      <c r="M1130">
        <v>0</v>
      </c>
      <c r="N1130">
        <v>10</v>
      </c>
      <c r="O1130">
        <v>0</v>
      </c>
      <c r="P1130">
        <v>64</v>
      </c>
      <c r="Q1130">
        <v>82</v>
      </c>
      <c r="R1130">
        <v>78</v>
      </c>
      <c r="S1130">
        <v>630</v>
      </c>
      <c r="T1130">
        <v>940</v>
      </c>
      <c r="U1130">
        <v>1570</v>
      </c>
      <c r="V1130">
        <v>13</v>
      </c>
      <c r="W1130">
        <v>180</v>
      </c>
      <c r="X1130">
        <v>300</v>
      </c>
      <c r="Y1130">
        <v>300</v>
      </c>
      <c r="Z1130">
        <v>92</v>
      </c>
      <c r="AA1130">
        <v>230</v>
      </c>
      <c r="AB1130" s="1" t="s">
        <v>1819</v>
      </c>
    </row>
    <row r="1131" spans="1:28" x14ac:dyDescent="0.3">
      <c r="A1131">
        <v>961</v>
      </c>
      <c r="B1131" s="1" t="s">
        <v>1277</v>
      </c>
      <c r="C1131">
        <v>0</v>
      </c>
      <c r="D1131">
        <v>1610612752</v>
      </c>
      <c r="E1131" s="1" t="s">
        <v>1248</v>
      </c>
      <c r="F1131">
        <v>230</v>
      </c>
      <c r="G1131">
        <v>68</v>
      </c>
      <c r="H1131">
        <v>60</v>
      </c>
      <c r="I1131">
        <v>7870</v>
      </c>
      <c r="J1131">
        <v>122</v>
      </c>
      <c r="K1131">
        <v>236</v>
      </c>
      <c r="L1131">
        <v>517</v>
      </c>
      <c r="M1131">
        <v>20</v>
      </c>
      <c r="N1131">
        <v>40</v>
      </c>
      <c r="O1131">
        <v>5</v>
      </c>
      <c r="P1131">
        <v>79</v>
      </c>
      <c r="Q1131">
        <v>110</v>
      </c>
      <c r="R1131">
        <v>718</v>
      </c>
      <c r="S1131">
        <v>510</v>
      </c>
      <c r="T1131">
        <v>1040</v>
      </c>
      <c r="U1131">
        <v>1550</v>
      </c>
      <c r="V1131">
        <v>37</v>
      </c>
      <c r="W1131">
        <v>210</v>
      </c>
      <c r="X1131">
        <v>250</v>
      </c>
      <c r="Y1131">
        <v>760</v>
      </c>
      <c r="Z1131">
        <v>102</v>
      </c>
      <c r="AA1131">
        <v>325</v>
      </c>
      <c r="AB1131" s="1" t="s">
        <v>1820</v>
      </c>
    </row>
    <row r="1132" spans="1:28" x14ac:dyDescent="0.3">
      <c r="A1132">
        <v>961</v>
      </c>
      <c r="B1132" s="1" t="s">
        <v>1464</v>
      </c>
      <c r="C1132">
        <v>0</v>
      </c>
      <c r="D1132">
        <v>1610612752</v>
      </c>
      <c r="E1132" s="1" t="s">
        <v>1248</v>
      </c>
      <c r="F1132">
        <v>260</v>
      </c>
      <c r="G1132">
        <v>60</v>
      </c>
      <c r="H1132">
        <v>0</v>
      </c>
      <c r="I1132">
        <v>7980</v>
      </c>
      <c r="J1132">
        <v>155</v>
      </c>
      <c r="K1132">
        <v>332</v>
      </c>
      <c r="L1132">
        <v>467</v>
      </c>
      <c r="M1132">
        <v>0</v>
      </c>
      <c r="N1132">
        <v>30</v>
      </c>
      <c r="O1132">
        <v>0</v>
      </c>
      <c r="P1132">
        <v>82</v>
      </c>
      <c r="Q1132">
        <v>102</v>
      </c>
      <c r="R1132">
        <v>804</v>
      </c>
      <c r="S1132">
        <v>420</v>
      </c>
      <c r="T1132">
        <v>930</v>
      </c>
      <c r="U1132">
        <v>1350</v>
      </c>
      <c r="V1132">
        <v>22</v>
      </c>
      <c r="W1132">
        <v>100</v>
      </c>
      <c r="X1132">
        <v>140</v>
      </c>
      <c r="Y1132">
        <v>630</v>
      </c>
      <c r="Z1132">
        <v>103</v>
      </c>
      <c r="AA1132">
        <v>392</v>
      </c>
      <c r="AB1132" s="1" t="s">
        <v>1820</v>
      </c>
    </row>
    <row r="1133" spans="1:28" x14ac:dyDescent="0.3">
      <c r="A1133">
        <v>739</v>
      </c>
      <c r="B1133" s="1" t="s">
        <v>1292</v>
      </c>
      <c r="C1133">
        <v>0</v>
      </c>
      <c r="D1133">
        <v>1610612752</v>
      </c>
      <c r="E1133" s="1" t="s">
        <v>1248</v>
      </c>
      <c r="F1133">
        <v>380</v>
      </c>
      <c r="G1133">
        <v>21</v>
      </c>
      <c r="H1133">
        <v>0</v>
      </c>
      <c r="I1133">
        <v>2960</v>
      </c>
      <c r="J1133">
        <v>55</v>
      </c>
      <c r="K1133">
        <v>142</v>
      </c>
      <c r="L1133">
        <v>387</v>
      </c>
      <c r="M1133">
        <v>220</v>
      </c>
      <c r="N1133">
        <v>690</v>
      </c>
      <c r="O1133">
        <v>319</v>
      </c>
      <c r="P1133">
        <v>14</v>
      </c>
      <c r="Q1133">
        <v>20</v>
      </c>
      <c r="R1133">
        <v>7</v>
      </c>
      <c r="S1133">
        <v>110</v>
      </c>
      <c r="T1133">
        <v>720</v>
      </c>
      <c r="U1133">
        <v>830</v>
      </c>
      <c r="V1133">
        <v>6</v>
      </c>
      <c r="W1133">
        <v>130</v>
      </c>
      <c r="X1133">
        <v>150</v>
      </c>
      <c r="Y1133">
        <v>100</v>
      </c>
      <c r="Z1133">
        <v>40</v>
      </c>
      <c r="AA1133">
        <v>146</v>
      </c>
      <c r="AB1133" s="1" t="s">
        <v>1821</v>
      </c>
    </row>
    <row r="1134" spans="1:28" x14ac:dyDescent="0.3">
      <c r="A1134">
        <v>369</v>
      </c>
      <c r="B1134" s="1" t="s">
        <v>1275</v>
      </c>
      <c r="C1134">
        <v>0</v>
      </c>
      <c r="D1134">
        <v>1610612752</v>
      </c>
      <c r="E1134" s="1" t="s">
        <v>1248</v>
      </c>
      <c r="F1134">
        <v>240</v>
      </c>
      <c r="G1134">
        <v>10</v>
      </c>
      <c r="H1134">
        <v>0</v>
      </c>
      <c r="I1134">
        <v>440</v>
      </c>
      <c r="J1134">
        <v>4</v>
      </c>
      <c r="K1134">
        <v>19</v>
      </c>
      <c r="L1134">
        <v>211</v>
      </c>
      <c r="M1134">
        <v>10</v>
      </c>
      <c r="N1134">
        <v>100</v>
      </c>
      <c r="O1134">
        <v>1</v>
      </c>
      <c r="P1134">
        <v>7</v>
      </c>
      <c r="Q1134">
        <v>10</v>
      </c>
      <c r="R1134">
        <v>7</v>
      </c>
      <c r="S1134">
        <v>10</v>
      </c>
      <c r="T1134">
        <v>50</v>
      </c>
      <c r="U1134">
        <v>60</v>
      </c>
      <c r="V1134">
        <v>4</v>
      </c>
      <c r="W1134">
        <v>20</v>
      </c>
      <c r="X1134">
        <v>0</v>
      </c>
      <c r="Y1134">
        <v>80</v>
      </c>
      <c r="Z1134">
        <v>7</v>
      </c>
      <c r="AA1134">
        <v>16</v>
      </c>
      <c r="AB1134" s="1" t="s">
        <v>1822</v>
      </c>
    </row>
    <row r="1135" spans="1:28" x14ac:dyDescent="0.3">
      <c r="A1135">
        <v>369</v>
      </c>
      <c r="B1135" s="1" t="s">
        <v>1276</v>
      </c>
      <c r="C1135">
        <v>0</v>
      </c>
      <c r="D1135">
        <v>1610612752</v>
      </c>
      <c r="E1135" s="1" t="s">
        <v>1248</v>
      </c>
      <c r="F1135">
        <v>250</v>
      </c>
      <c r="G1135">
        <v>62</v>
      </c>
      <c r="H1135">
        <v>10</v>
      </c>
      <c r="I1135">
        <v>7870</v>
      </c>
      <c r="J1135">
        <v>87</v>
      </c>
      <c r="K1135">
        <v>218</v>
      </c>
      <c r="L1135">
        <v>399</v>
      </c>
      <c r="M1135">
        <v>330</v>
      </c>
      <c r="N1135">
        <v>990</v>
      </c>
      <c r="O1135">
        <v>333</v>
      </c>
      <c r="P1135">
        <v>37</v>
      </c>
      <c r="Q1135">
        <v>54</v>
      </c>
      <c r="R1135">
        <v>685</v>
      </c>
      <c r="S1135">
        <v>290</v>
      </c>
      <c r="T1135">
        <v>730</v>
      </c>
      <c r="U1135">
        <v>1020</v>
      </c>
      <c r="V1135">
        <v>132</v>
      </c>
      <c r="W1135">
        <v>540</v>
      </c>
      <c r="X1135">
        <v>60</v>
      </c>
      <c r="Y1135">
        <v>790</v>
      </c>
      <c r="Z1135">
        <v>98</v>
      </c>
      <c r="AA1135">
        <v>244</v>
      </c>
      <c r="AB1135" s="1" t="s">
        <v>1822</v>
      </c>
    </row>
    <row r="1136" spans="1:28" x14ac:dyDescent="0.3">
      <c r="A1136">
        <v>369</v>
      </c>
      <c r="B1136" s="1" t="s">
        <v>1277</v>
      </c>
      <c r="C1136">
        <v>0</v>
      </c>
      <c r="D1136">
        <v>1610612752</v>
      </c>
      <c r="E1136" s="1" t="s">
        <v>1248</v>
      </c>
      <c r="F1136">
        <v>260</v>
      </c>
      <c r="G1136">
        <v>79</v>
      </c>
      <c r="H1136">
        <v>210</v>
      </c>
      <c r="I1136">
        <v>17650</v>
      </c>
      <c r="J1136">
        <v>133</v>
      </c>
      <c r="K1136">
        <v>337</v>
      </c>
      <c r="L1136">
        <v>395</v>
      </c>
      <c r="M1136">
        <v>480</v>
      </c>
      <c r="N1136">
        <v>1540</v>
      </c>
      <c r="O1136">
        <v>312</v>
      </c>
      <c r="P1136">
        <v>95</v>
      </c>
      <c r="Q1136">
        <v>125</v>
      </c>
      <c r="R1136">
        <v>76</v>
      </c>
      <c r="S1136">
        <v>450</v>
      </c>
      <c r="T1136">
        <v>1750</v>
      </c>
      <c r="U1136">
        <v>2200</v>
      </c>
      <c r="V1136">
        <v>326</v>
      </c>
      <c r="W1136">
        <v>830</v>
      </c>
      <c r="X1136">
        <v>150</v>
      </c>
      <c r="Y1136">
        <v>1470</v>
      </c>
      <c r="Z1136">
        <v>188</v>
      </c>
      <c r="AA1136">
        <v>409</v>
      </c>
      <c r="AB1136" s="1" t="s">
        <v>1822</v>
      </c>
    </row>
    <row r="1137" spans="1:28" x14ac:dyDescent="0.3">
      <c r="A1137">
        <v>369</v>
      </c>
      <c r="B1137" s="1" t="s">
        <v>1278</v>
      </c>
      <c r="C1137">
        <v>0</v>
      </c>
      <c r="D1137">
        <v>1610612752</v>
      </c>
      <c r="E1137" s="1" t="s">
        <v>1248</v>
      </c>
      <c r="F1137">
        <v>270</v>
      </c>
      <c r="G1137">
        <v>82</v>
      </c>
      <c r="H1137">
        <v>820</v>
      </c>
      <c r="I1137">
        <v>23170</v>
      </c>
      <c r="J1137">
        <v>235</v>
      </c>
      <c r="K1137">
        <v>516</v>
      </c>
      <c r="L1137">
        <v>455</v>
      </c>
      <c r="M1137">
        <v>810</v>
      </c>
      <c r="N1137">
        <v>2150</v>
      </c>
      <c r="O1137">
        <v>377</v>
      </c>
      <c r="P1137">
        <v>91</v>
      </c>
      <c r="Q1137">
        <v>113</v>
      </c>
      <c r="R1137">
        <v>805</v>
      </c>
      <c r="S1137">
        <v>320</v>
      </c>
      <c r="T1137">
        <v>2420</v>
      </c>
      <c r="U1137">
        <v>2740</v>
      </c>
      <c r="V1137">
        <v>466</v>
      </c>
      <c r="W1137">
        <v>1440</v>
      </c>
      <c r="X1137">
        <v>370</v>
      </c>
      <c r="Y1137">
        <v>1750</v>
      </c>
      <c r="Z1137">
        <v>195</v>
      </c>
      <c r="AA1137">
        <v>642</v>
      </c>
      <c r="AB1137" s="1" t="s">
        <v>1822</v>
      </c>
    </row>
    <row r="1138" spans="1:28" x14ac:dyDescent="0.3">
      <c r="A1138">
        <v>369</v>
      </c>
      <c r="B1138" s="1" t="s">
        <v>1429</v>
      </c>
      <c r="C1138">
        <v>0</v>
      </c>
      <c r="D1138">
        <v>1610612752</v>
      </c>
      <c r="E1138" s="1" t="s">
        <v>1248</v>
      </c>
      <c r="F1138">
        <v>280</v>
      </c>
      <c r="G1138">
        <v>50</v>
      </c>
      <c r="H1138">
        <v>500</v>
      </c>
      <c r="I1138">
        <v>15560</v>
      </c>
      <c r="J1138">
        <v>135</v>
      </c>
      <c r="K1138">
        <v>334</v>
      </c>
      <c r="L1138">
        <v>404</v>
      </c>
      <c r="M1138">
        <v>530</v>
      </c>
      <c r="N1138">
        <v>1490</v>
      </c>
      <c r="O1138">
        <v>356</v>
      </c>
      <c r="P1138">
        <v>55</v>
      </c>
      <c r="Q1138">
        <v>78</v>
      </c>
      <c r="R1138">
        <v>705</v>
      </c>
      <c r="S1138">
        <v>230</v>
      </c>
      <c r="T1138">
        <v>1490</v>
      </c>
      <c r="U1138">
        <v>1720</v>
      </c>
      <c r="V1138">
        <v>271</v>
      </c>
      <c r="W1138">
        <v>1030</v>
      </c>
      <c r="X1138">
        <v>80</v>
      </c>
      <c r="Y1138">
        <v>1310</v>
      </c>
      <c r="Z1138">
        <v>105</v>
      </c>
      <c r="AA1138">
        <v>378</v>
      </c>
      <c r="AB1138" s="1" t="s">
        <v>1822</v>
      </c>
    </row>
    <row r="1139" spans="1:28" x14ac:dyDescent="0.3">
      <c r="A1139">
        <v>369</v>
      </c>
      <c r="B1139" s="1" t="s">
        <v>1464</v>
      </c>
      <c r="C1139">
        <v>0</v>
      </c>
      <c r="D1139">
        <v>1610612752</v>
      </c>
      <c r="E1139" s="1" t="s">
        <v>1248</v>
      </c>
      <c r="F1139">
        <v>290</v>
      </c>
      <c r="G1139">
        <v>72</v>
      </c>
      <c r="H1139">
        <v>690</v>
      </c>
      <c r="I1139">
        <v>19860</v>
      </c>
      <c r="J1139">
        <v>189</v>
      </c>
      <c r="K1139">
        <v>447</v>
      </c>
      <c r="L1139">
        <v>423</v>
      </c>
      <c r="M1139">
        <v>1020</v>
      </c>
      <c r="N1139">
        <v>2640</v>
      </c>
      <c r="O1139">
        <v>386</v>
      </c>
      <c r="P1139">
        <v>48</v>
      </c>
      <c r="Q1139">
        <v>58</v>
      </c>
      <c r="R1139">
        <v>828</v>
      </c>
      <c r="S1139">
        <v>220</v>
      </c>
      <c r="T1139">
        <v>2060</v>
      </c>
      <c r="U1139">
        <v>2280</v>
      </c>
      <c r="V1139">
        <v>300</v>
      </c>
      <c r="W1139">
        <v>950</v>
      </c>
      <c r="X1139">
        <v>160</v>
      </c>
      <c r="Y1139">
        <v>1020</v>
      </c>
      <c r="Z1139">
        <v>176</v>
      </c>
      <c r="AA1139">
        <v>528</v>
      </c>
      <c r="AB1139" s="1" t="s">
        <v>1822</v>
      </c>
    </row>
    <row r="1140" spans="1:28" x14ac:dyDescent="0.3">
      <c r="A1140">
        <v>369</v>
      </c>
      <c r="B1140" s="1" t="s">
        <v>1465</v>
      </c>
      <c r="C1140">
        <v>0</v>
      </c>
      <c r="D1140">
        <v>1610612752</v>
      </c>
      <c r="E1140" s="1" t="s">
        <v>1248</v>
      </c>
      <c r="F1140">
        <v>300</v>
      </c>
      <c r="G1140">
        <v>61</v>
      </c>
      <c r="H1140">
        <v>330</v>
      </c>
      <c r="I1140">
        <v>14950</v>
      </c>
      <c r="J1140">
        <v>155</v>
      </c>
      <c r="K1140">
        <v>373</v>
      </c>
      <c r="L1140">
        <v>416</v>
      </c>
      <c r="M1140">
        <v>670</v>
      </c>
      <c r="N1140">
        <v>1750</v>
      </c>
      <c r="O1140">
        <v>383</v>
      </c>
      <c r="P1140">
        <v>56</v>
      </c>
      <c r="Q1140">
        <v>70</v>
      </c>
      <c r="R1140">
        <v>8</v>
      </c>
      <c r="S1140">
        <v>320</v>
      </c>
      <c r="T1140">
        <v>1270</v>
      </c>
      <c r="U1140">
        <v>1590</v>
      </c>
      <c r="V1140">
        <v>273</v>
      </c>
      <c r="W1140">
        <v>700</v>
      </c>
      <c r="X1140">
        <v>100</v>
      </c>
      <c r="Y1140">
        <v>1120</v>
      </c>
      <c r="Z1140">
        <v>132</v>
      </c>
      <c r="AA1140">
        <v>433</v>
      </c>
      <c r="AB1140" s="1" t="s">
        <v>1822</v>
      </c>
    </row>
    <row r="1141" spans="1:28" x14ac:dyDescent="0.3">
      <c r="A1141">
        <v>369</v>
      </c>
      <c r="B1141" s="1" t="s">
        <v>1330</v>
      </c>
      <c r="C1141">
        <v>0</v>
      </c>
      <c r="D1141">
        <v>1610612752</v>
      </c>
      <c r="E1141" s="1" t="s">
        <v>1248</v>
      </c>
      <c r="F1141">
        <v>310</v>
      </c>
      <c r="G1141">
        <v>63</v>
      </c>
      <c r="H1141">
        <v>0</v>
      </c>
      <c r="I1141">
        <v>10580</v>
      </c>
      <c r="J1141">
        <v>113</v>
      </c>
      <c r="K1141">
        <v>303</v>
      </c>
      <c r="L1141">
        <v>373</v>
      </c>
      <c r="M1141">
        <v>530</v>
      </c>
      <c r="N1141">
        <v>1640</v>
      </c>
      <c r="O1141">
        <v>323</v>
      </c>
      <c r="P1141">
        <v>47</v>
      </c>
      <c r="Q1141">
        <v>58</v>
      </c>
      <c r="R1141">
        <v>81</v>
      </c>
      <c r="S1141">
        <v>150</v>
      </c>
      <c r="T1141">
        <v>1120</v>
      </c>
      <c r="U1141">
        <v>1270</v>
      </c>
      <c r="V1141">
        <v>203</v>
      </c>
      <c r="W1141">
        <v>680</v>
      </c>
      <c r="X1141">
        <v>140</v>
      </c>
      <c r="Y1141">
        <v>750</v>
      </c>
      <c r="Z1141">
        <v>100</v>
      </c>
      <c r="AA1141">
        <v>326</v>
      </c>
      <c r="AB1141" s="1" t="s">
        <v>1822</v>
      </c>
    </row>
    <row r="1142" spans="1:28" x14ac:dyDescent="0.3">
      <c r="A1142">
        <v>369</v>
      </c>
      <c r="B1142" s="1" t="s">
        <v>1325</v>
      </c>
      <c r="C1142">
        <v>0</v>
      </c>
      <c r="D1142">
        <v>1610612752</v>
      </c>
      <c r="E1142" s="1" t="s">
        <v>1248</v>
      </c>
      <c r="F1142">
        <v>320</v>
      </c>
      <c r="G1142">
        <v>66</v>
      </c>
      <c r="H1142">
        <v>60</v>
      </c>
      <c r="I1142">
        <v>14670</v>
      </c>
      <c r="J1142">
        <v>165</v>
      </c>
      <c r="K1142">
        <v>414</v>
      </c>
      <c r="L1142">
        <v>399</v>
      </c>
      <c r="M1142">
        <v>1010</v>
      </c>
      <c r="N1142">
        <v>2670</v>
      </c>
      <c r="O1142">
        <v>378</v>
      </c>
      <c r="P1142">
        <v>41</v>
      </c>
      <c r="Q1142">
        <v>53</v>
      </c>
      <c r="R1142">
        <v>774</v>
      </c>
      <c r="S1142">
        <v>250</v>
      </c>
      <c r="T1142">
        <v>1520</v>
      </c>
      <c r="U1142">
        <v>1770</v>
      </c>
      <c r="V1142">
        <v>306</v>
      </c>
      <c r="W1142">
        <v>780</v>
      </c>
      <c r="X1142">
        <v>110</v>
      </c>
      <c r="Y1142">
        <v>950</v>
      </c>
      <c r="Z1142">
        <v>146</v>
      </c>
      <c r="AA1142">
        <v>472</v>
      </c>
      <c r="AB1142" s="1" t="s">
        <v>1822</v>
      </c>
    </row>
    <row r="1143" spans="1:28" x14ac:dyDescent="0.3">
      <c r="A1143">
        <v>369</v>
      </c>
      <c r="B1143" s="1" t="s">
        <v>1293</v>
      </c>
      <c r="C1143">
        <v>0</v>
      </c>
      <c r="D1143">
        <v>1610612752</v>
      </c>
      <c r="E1143" s="1" t="s">
        <v>1248</v>
      </c>
      <c r="F1143">
        <v>330</v>
      </c>
      <c r="G1143">
        <v>35</v>
      </c>
      <c r="H1143">
        <v>100</v>
      </c>
      <c r="I1143">
        <v>8280</v>
      </c>
      <c r="J1143">
        <v>115</v>
      </c>
      <c r="K1143">
        <v>260</v>
      </c>
      <c r="L1143">
        <v>442</v>
      </c>
      <c r="M1143">
        <v>590</v>
      </c>
      <c r="N1143">
        <v>1380</v>
      </c>
      <c r="O1143">
        <v>428</v>
      </c>
      <c r="P1143">
        <v>16</v>
      </c>
      <c r="Q1143">
        <v>21</v>
      </c>
      <c r="R1143">
        <v>762</v>
      </c>
      <c r="S1143">
        <v>100</v>
      </c>
      <c r="T1143">
        <v>860</v>
      </c>
      <c r="U1143">
        <v>960</v>
      </c>
      <c r="V1143">
        <v>170</v>
      </c>
      <c r="W1143">
        <v>470</v>
      </c>
      <c r="X1143">
        <v>80</v>
      </c>
      <c r="Y1143">
        <v>690</v>
      </c>
      <c r="Z1143">
        <v>74</v>
      </c>
      <c r="AA1143">
        <v>305</v>
      </c>
      <c r="AB1143" s="1" t="s">
        <v>1822</v>
      </c>
    </row>
    <row r="1144" spans="1:28" x14ac:dyDescent="0.3">
      <c r="A1144">
        <v>78461</v>
      </c>
      <c r="B1144" s="1" t="s">
        <v>1416</v>
      </c>
      <c r="C1144">
        <v>0</v>
      </c>
      <c r="D1144">
        <v>1610612752</v>
      </c>
      <c r="E1144" s="1" t="s">
        <v>1248</v>
      </c>
      <c r="F1144">
        <v>220</v>
      </c>
      <c r="G1144">
        <v>44</v>
      </c>
      <c r="I1144">
        <v>2720</v>
      </c>
      <c r="J1144">
        <v>44</v>
      </c>
      <c r="K1144">
        <v>108</v>
      </c>
      <c r="L1144">
        <v>407</v>
      </c>
      <c r="P1144">
        <v>24</v>
      </c>
      <c r="Q1144">
        <v>35</v>
      </c>
      <c r="R1144">
        <v>686</v>
      </c>
      <c r="U1144">
        <v>400</v>
      </c>
      <c r="V1144">
        <v>30</v>
      </c>
      <c r="Z1144">
        <v>53</v>
      </c>
      <c r="AA1144">
        <v>112</v>
      </c>
      <c r="AB1144" s="1" t="s">
        <v>1823</v>
      </c>
    </row>
    <row r="1145" spans="1:28" x14ac:dyDescent="0.3">
      <c r="A1145">
        <v>204037</v>
      </c>
      <c r="B1145" s="1" t="s">
        <v>1343</v>
      </c>
      <c r="C1145">
        <v>0</v>
      </c>
      <c r="D1145">
        <v>1610612752</v>
      </c>
      <c r="E1145" s="1" t="s">
        <v>1248</v>
      </c>
      <c r="F1145">
        <v>240</v>
      </c>
      <c r="G1145">
        <v>51</v>
      </c>
      <c r="H1145">
        <v>10</v>
      </c>
      <c r="I1145">
        <v>6720</v>
      </c>
      <c r="J1145">
        <v>84</v>
      </c>
      <c r="K1145">
        <v>209</v>
      </c>
      <c r="L1145">
        <v>402</v>
      </c>
      <c r="M1145">
        <v>110</v>
      </c>
      <c r="N1145">
        <v>300</v>
      </c>
      <c r="O1145">
        <v>367</v>
      </c>
      <c r="P1145">
        <v>20</v>
      </c>
      <c r="Q1145">
        <v>26</v>
      </c>
      <c r="R1145">
        <v>769</v>
      </c>
      <c r="S1145">
        <v>310</v>
      </c>
      <c r="T1145">
        <v>750</v>
      </c>
      <c r="U1145">
        <v>1060</v>
      </c>
      <c r="V1145">
        <v>40</v>
      </c>
      <c r="W1145">
        <v>150</v>
      </c>
      <c r="X1145">
        <v>110</v>
      </c>
      <c r="Y1145">
        <v>350</v>
      </c>
      <c r="Z1145">
        <v>55</v>
      </c>
      <c r="AA1145">
        <v>199</v>
      </c>
      <c r="AB1145" s="1" t="s">
        <v>1824</v>
      </c>
    </row>
    <row r="1146" spans="1:28" x14ac:dyDescent="0.3">
      <c r="A1146">
        <v>2757</v>
      </c>
      <c r="B1146" s="1" t="s">
        <v>1337</v>
      </c>
      <c r="C1146">
        <v>0</v>
      </c>
      <c r="D1146">
        <v>1610612752</v>
      </c>
      <c r="E1146" s="1" t="s">
        <v>1248</v>
      </c>
      <c r="F1146">
        <v>310</v>
      </c>
      <c r="G1146">
        <v>31</v>
      </c>
      <c r="H1146">
        <v>120</v>
      </c>
      <c r="I1146">
        <v>5880</v>
      </c>
      <c r="J1146">
        <v>68</v>
      </c>
      <c r="K1146">
        <v>160</v>
      </c>
      <c r="L1146">
        <v>425</v>
      </c>
      <c r="M1146">
        <v>170</v>
      </c>
      <c r="N1146">
        <v>400</v>
      </c>
      <c r="O1146">
        <v>425</v>
      </c>
      <c r="P1146">
        <v>20</v>
      </c>
      <c r="Q1146">
        <v>24</v>
      </c>
      <c r="R1146">
        <v>833</v>
      </c>
      <c r="S1146">
        <v>100</v>
      </c>
      <c r="T1146">
        <v>470</v>
      </c>
      <c r="U1146">
        <v>570</v>
      </c>
      <c r="V1146">
        <v>110</v>
      </c>
      <c r="W1146">
        <v>220</v>
      </c>
      <c r="X1146">
        <v>30</v>
      </c>
      <c r="Y1146">
        <v>420</v>
      </c>
      <c r="Z1146">
        <v>46</v>
      </c>
      <c r="AA1146">
        <v>173</v>
      </c>
      <c r="AB1146" s="1" t="s">
        <v>1825</v>
      </c>
    </row>
    <row r="1147" spans="1:28" x14ac:dyDescent="0.3">
      <c r="A1147">
        <v>78479</v>
      </c>
      <c r="B1147" s="1" t="s">
        <v>1339</v>
      </c>
      <c r="C1147">
        <v>0</v>
      </c>
      <c r="D1147">
        <v>1610612752</v>
      </c>
      <c r="E1147" s="1" t="s">
        <v>1248</v>
      </c>
      <c r="F1147">
        <v>290</v>
      </c>
      <c r="G1147">
        <v>11</v>
      </c>
      <c r="I1147">
        <v>0</v>
      </c>
      <c r="J1147">
        <v>7</v>
      </c>
      <c r="K1147">
        <v>24</v>
      </c>
      <c r="L1147">
        <v>292</v>
      </c>
      <c r="P1147">
        <v>6</v>
      </c>
      <c r="Q1147">
        <v>8</v>
      </c>
      <c r="R1147">
        <v>75</v>
      </c>
      <c r="U1147">
        <v>0</v>
      </c>
      <c r="V1147">
        <v>1</v>
      </c>
      <c r="Z1147">
        <v>20</v>
      </c>
      <c r="AA1147">
        <v>20</v>
      </c>
      <c r="AB1147" s="1" t="s">
        <v>1826</v>
      </c>
    </row>
    <row r="1148" spans="1:28" x14ac:dyDescent="0.3">
      <c r="A1148">
        <v>78481</v>
      </c>
      <c r="B1148" s="1" t="s">
        <v>1265</v>
      </c>
      <c r="C1148">
        <v>0</v>
      </c>
      <c r="D1148">
        <v>1610612752</v>
      </c>
      <c r="E1148" s="1" t="s">
        <v>1248</v>
      </c>
      <c r="F1148">
        <v>270</v>
      </c>
      <c r="G1148">
        <v>60</v>
      </c>
      <c r="I1148">
        <v>20270</v>
      </c>
      <c r="J1148">
        <v>264</v>
      </c>
      <c r="K1148">
        <v>558</v>
      </c>
      <c r="L1148">
        <v>473</v>
      </c>
      <c r="P1148">
        <v>150</v>
      </c>
      <c r="Q1148">
        <v>262</v>
      </c>
      <c r="R1148">
        <v>573</v>
      </c>
      <c r="S1148">
        <v>1980</v>
      </c>
      <c r="T1148">
        <v>4570</v>
      </c>
      <c r="U1148">
        <v>6550</v>
      </c>
      <c r="V1148">
        <v>172</v>
      </c>
      <c r="W1148">
        <v>240</v>
      </c>
      <c r="X1148">
        <v>1120</v>
      </c>
      <c r="Y1148">
        <v>1700</v>
      </c>
      <c r="Z1148">
        <v>183</v>
      </c>
      <c r="AA1148">
        <v>678</v>
      </c>
      <c r="AB1148" s="1" t="s">
        <v>1827</v>
      </c>
    </row>
    <row r="1149" spans="1:28" x14ac:dyDescent="0.3">
      <c r="A1149">
        <v>78481</v>
      </c>
      <c r="B1149" s="1" t="s">
        <v>1359</v>
      </c>
      <c r="C1149">
        <v>0</v>
      </c>
      <c r="D1149">
        <v>1610612752</v>
      </c>
      <c r="E1149" s="1" t="s">
        <v>1248</v>
      </c>
      <c r="F1149">
        <v>280</v>
      </c>
      <c r="G1149">
        <v>20</v>
      </c>
      <c r="I1149">
        <v>2980</v>
      </c>
      <c r="J1149">
        <v>38</v>
      </c>
      <c r="K1149">
        <v>79</v>
      </c>
      <c r="L1149">
        <v>481</v>
      </c>
      <c r="M1149">
        <v>0</v>
      </c>
      <c r="N1149">
        <v>0</v>
      </c>
      <c r="P1149">
        <v>12</v>
      </c>
      <c r="Q1149">
        <v>16</v>
      </c>
      <c r="R1149">
        <v>75</v>
      </c>
      <c r="S1149">
        <v>280</v>
      </c>
      <c r="T1149">
        <v>520</v>
      </c>
      <c r="U1149">
        <v>800</v>
      </c>
      <c r="V1149">
        <v>9</v>
      </c>
      <c r="W1149">
        <v>30</v>
      </c>
      <c r="X1149">
        <v>110</v>
      </c>
      <c r="Y1149">
        <v>200</v>
      </c>
      <c r="Z1149">
        <v>39</v>
      </c>
      <c r="AA1149">
        <v>88</v>
      </c>
      <c r="AB1149" s="1" t="s">
        <v>1827</v>
      </c>
    </row>
    <row r="1150" spans="1:28" x14ac:dyDescent="0.3">
      <c r="A1150">
        <v>78481</v>
      </c>
      <c r="B1150" s="1" t="s">
        <v>1282</v>
      </c>
      <c r="C1150">
        <v>0</v>
      </c>
      <c r="D1150">
        <v>1610612752</v>
      </c>
      <c r="E1150" s="1" t="s">
        <v>1248</v>
      </c>
      <c r="F1150">
        <v>290</v>
      </c>
      <c r="G1150">
        <v>82</v>
      </c>
      <c r="I1150">
        <v>17080</v>
      </c>
      <c r="J1150">
        <v>159</v>
      </c>
      <c r="K1150">
        <v>341</v>
      </c>
      <c r="L1150">
        <v>466</v>
      </c>
      <c r="M1150">
        <v>10</v>
      </c>
      <c r="N1150">
        <v>40</v>
      </c>
      <c r="O1150">
        <v>25</v>
      </c>
      <c r="P1150">
        <v>104</v>
      </c>
      <c r="Q1150">
        <v>163</v>
      </c>
      <c r="R1150">
        <v>638</v>
      </c>
      <c r="S1150">
        <v>1620</v>
      </c>
      <c r="T1150">
        <v>3030</v>
      </c>
      <c r="U1150">
        <v>4650</v>
      </c>
      <c r="V1150">
        <v>72</v>
      </c>
      <c r="W1150">
        <v>270</v>
      </c>
      <c r="X1150">
        <v>970</v>
      </c>
      <c r="Y1150">
        <v>1030</v>
      </c>
      <c r="Z1150">
        <v>187</v>
      </c>
      <c r="AA1150">
        <v>423</v>
      </c>
      <c r="AB1150" s="1" t="s">
        <v>1827</v>
      </c>
    </row>
    <row r="1151" spans="1:28" x14ac:dyDescent="0.3">
      <c r="A1151">
        <v>78481</v>
      </c>
      <c r="B1151" s="1" t="s">
        <v>1284</v>
      </c>
      <c r="C1151">
        <v>0</v>
      </c>
      <c r="D1151">
        <v>1610612752</v>
      </c>
      <c r="E1151" s="1" t="s">
        <v>1248</v>
      </c>
      <c r="F1151">
        <v>300</v>
      </c>
      <c r="G1151">
        <v>82</v>
      </c>
      <c r="H1151">
        <v>320</v>
      </c>
      <c r="I1151">
        <v>18830</v>
      </c>
      <c r="J1151">
        <v>199</v>
      </c>
      <c r="K1151">
        <v>405</v>
      </c>
      <c r="L1151">
        <v>491</v>
      </c>
      <c r="M1151">
        <v>0</v>
      </c>
      <c r="N1151">
        <v>0</v>
      </c>
      <c r="P1151">
        <v>108</v>
      </c>
      <c r="Q1151">
        <v>170</v>
      </c>
      <c r="R1151">
        <v>635</v>
      </c>
      <c r="S1151">
        <v>1840</v>
      </c>
      <c r="T1151">
        <v>3060</v>
      </c>
      <c r="U1151">
        <v>4900</v>
      </c>
      <c r="V1151">
        <v>99</v>
      </c>
      <c r="W1151">
        <v>220</v>
      </c>
      <c r="X1151">
        <v>900</v>
      </c>
      <c r="Y1151">
        <v>900</v>
      </c>
      <c r="Z1151">
        <v>211</v>
      </c>
      <c r="AA1151">
        <v>506</v>
      </c>
      <c r="AB1151" s="1" t="s">
        <v>1827</v>
      </c>
    </row>
    <row r="1152" spans="1:28" x14ac:dyDescent="0.3">
      <c r="A1152">
        <v>78481</v>
      </c>
      <c r="B1152" s="1" t="s">
        <v>1468</v>
      </c>
      <c r="C1152">
        <v>0</v>
      </c>
      <c r="D1152">
        <v>1610612752</v>
      </c>
      <c r="E1152" s="1" t="s">
        <v>1248</v>
      </c>
      <c r="F1152">
        <v>310</v>
      </c>
      <c r="G1152">
        <v>82</v>
      </c>
      <c r="H1152">
        <v>0</v>
      </c>
      <c r="I1152">
        <v>14720</v>
      </c>
      <c r="J1152">
        <v>168</v>
      </c>
      <c r="K1152">
        <v>331</v>
      </c>
      <c r="L1152">
        <v>508</v>
      </c>
      <c r="M1152">
        <v>0</v>
      </c>
      <c r="N1152">
        <v>10</v>
      </c>
      <c r="O1152">
        <v>0</v>
      </c>
      <c r="P1152">
        <v>106</v>
      </c>
      <c r="Q1152">
        <v>180</v>
      </c>
      <c r="R1152">
        <v>589</v>
      </c>
      <c r="S1152">
        <v>1760</v>
      </c>
      <c r="T1152">
        <v>2670</v>
      </c>
      <c r="U1152">
        <v>4430</v>
      </c>
      <c r="V1152">
        <v>49</v>
      </c>
      <c r="W1152">
        <v>350</v>
      </c>
      <c r="X1152">
        <v>1310</v>
      </c>
      <c r="Y1152">
        <v>1020</v>
      </c>
      <c r="Z1152">
        <v>210</v>
      </c>
      <c r="AA1152">
        <v>442</v>
      </c>
      <c r="AB1152" s="1" t="s">
        <v>1827</v>
      </c>
    </row>
    <row r="1153" spans="1:28" x14ac:dyDescent="0.3">
      <c r="A1153">
        <v>78481</v>
      </c>
      <c r="B1153" s="1" t="s">
        <v>1469</v>
      </c>
      <c r="C1153">
        <v>0</v>
      </c>
      <c r="D1153">
        <v>1610612752</v>
      </c>
      <c r="E1153" s="1" t="s">
        <v>1248</v>
      </c>
      <c r="F1153">
        <v>320</v>
      </c>
      <c r="G1153">
        <v>76</v>
      </c>
      <c r="H1153">
        <v>50</v>
      </c>
      <c r="I1153">
        <v>12900</v>
      </c>
      <c r="J1153">
        <v>112</v>
      </c>
      <c r="K1153">
        <v>239</v>
      </c>
      <c r="L1153">
        <v>469</v>
      </c>
      <c r="M1153">
        <v>0</v>
      </c>
      <c r="N1153">
        <v>0</v>
      </c>
      <c r="O1153">
        <v>0</v>
      </c>
      <c r="P1153">
        <v>66</v>
      </c>
      <c r="Q1153">
        <v>117</v>
      </c>
      <c r="R1153">
        <v>564</v>
      </c>
      <c r="S1153">
        <v>1460</v>
      </c>
      <c r="T1153">
        <v>2200</v>
      </c>
      <c r="U1153">
        <v>3660</v>
      </c>
      <c r="V1153">
        <v>53</v>
      </c>
      <c r="W1153">
        <v>340</v>
      </c>
      <c r="X1153">
        <v>1000</v>
      </c>
      <c r="Y1153">
        <v>850</v>
      </c>
      <c r="Z1153">
        <v>187</v>
      </c>
      <c r="AA1153">
        <v>290</v>
      </c>
      <c r="AB1153" s="1" t="s">
        <v>1827</v>
      </c>
    </row>
    <row r="1154" spans="1:28" x14ac:dyDescent="0.3">
      <c r="A1154">
        <v>78500</v>
      </c>
      <c r="B1154" s="1" t="s">
        <v>1284</v>
      </c>
      <c r="C1154">
        <v>0</v>
      </c>
      <c r="D1154">
        <v>1610612752</v>
      </c>
      <c r="E1154" s="1" t="s">
        <v>1248</v>
      </c>
      <c r="F1154">
        <v>310</v>
      </c>
      <c r="G1154">
        <v>18</v>
      </c>
      <c r="H1154">
        <v>120</v>
      </c>
      <c r="I1154">
        <v>4510</v>
      </c>
      <c r="J1154">
        <v>86</v>
      </c>
      <c r="K1154">
        <v>194</v>
      </c>
      <c r="L1154">
        <v>443</v>
      </c>
      <c r="M1154">
        <v>20</v>
      </c>
      <c r="N1154">
        <v>80</v>
      </c>
      <c r="O1154">
        <v>25</v>
      </c>
      <c r="P1154">
        <v>36</v>
      </c>
      <c r="Q1154">
        <v>47</v>
      </c>
      <c r="R1154">
        <v>766</v>
      </c>
      <c r="S1154">
        <v>90</v>
      </c>
      <c r="T1154">
        <v>130</v>
      </c>
      <c r="U1154">
        <v>220</v>
      </c>
      <c r="V1154">
        <v>100</v>
      </c>
      <c r="W1154">
        <v>190</v>
      </c>
      <c r="X1154">
        <v>80</v>
      </c>
      <c r="Y1154">
        <v>470</v>
      </c>
      <c r="Z1154">
        <v>61</v>
      </c>
      <c r="AA1154">
        <v>210</v>
      </c>
      <c r="AB1154" s="1" t="s">
        <v>1828</v>
      </c>
    </row>
    <row r="1155" spans="1:28" x14ac:dyDescent="0.3">
      <c r="A1155">
        <v>78500</v>
      </c>
      <c r="B1155" s="1" t="s">
        <v>1468</v>
      </c>
      <c r="C1155">
        <v>0</v>
      </c>
      <c r="D1155">
        <v>1610612752</v>
      </c>
      <c r="E1155" s="1" t="s">
        <v>1248</v>
      </c>
      <c r="F1155">
        <v>320</v>
      </c>
      <c r="G1155">
        <v>80</v>
      </c>
      <c r="H1155">
        <v>590</v>
      </c>
      <c r="I1155">
        <v>19780</v>
      </c>
      <c r="J1155">
        <v>318</v>
      </c>
      <c r="K1155">
        <v>693</v>
      </c>
      <c r="L1155">
        <v>459</v>
      </c>
      <c r="M1155">
        <v>140</v>
      </c>
      <c r="N1155">
        <v>480</v>
      </c>
      <c r="O1155">
        <v>292</v>
      </c>
      <c r="P1155">
        <v>148</v>
      </c>
      <c r="Q1155">
        <v>184</v>
      </c>
      <c r="R1155">
        <v>804</v>
      </c>
      <c r="S1155">
        <v>190</v>
      </c>
      <c r="T1155">
        <v>960</v>
      </c>
      <c r="U1155">
        <v>1150</v>
      </c>
      <c r="V1155">
        <v>439</v>
      </c>
      <c r="W1155">
        <v>870</v>
      </c>
      <c r="X1155">
        <v>160</v>
      </c>
      <c r="Y1155">
        <v>1960</v>
      </c>
      <c r="Z1155">
        <v>180</v>
      </c>
      <c r="AA1155">
        <v>798</v>
      </c>
      <c r="AB1155" s="1" t="s">
        <v>1828</v>
      </c>
    </row>
    <row r="1156" spans="1:28" x14ac:dyDescent="0.3">
      <c r="A1156">
        <v>200778</v>
      </c>
      <c r="B1156" s="1" t="s">
        <v>1292</v>
      </c>
      <c r="C1156">
        <v>0</v>
      </c>
      <c r="D1156">
        <v>1610612752</v>
      </c>
      <c r="E1156" s="1" t="s">
        <v>1248</v>
      </c>
      <c r="F1156">
        <v>300</v>
      </c>
      <c r="G1156">
        <v>57</v>
      </c>
      <c r="H1156">
        <v>160</v>
      </c>
      <c r="I1156">
        <v>4350</v>
      </c>
      <c r="J1156">
        <v>50</v>
      </c>
      <c r="K1156">
        <v>116</v>
      </c>
      <c r="L1156">
        <v>431</v>
      </c>
      <c r="M1156">
        <v>140</v>
      </c>
      <c r="N1156">
        <v>410</v>
      </c>
      <c r="O1156">
        <v>341</v>
      </c>
      <c r="P1156">
        <v>11</v>
      </c>
      <c r="Q1156">
        <v>19</v>
      </c>
      <c r="R1156">
        <v>579</v>
      </c>
      <c r="S1156">
        <v>50</v>
      </c>
      <c r="T1156">
        <v>430</v>
      </c>
      <c r="U1156">
        <v>480</v>
      </c>
      <c r="V1156">
        <v>29</v>
      </c>
      <c r="W1156">
        <v>130</v>
      </c>
      <c r="X1156">
        <v>40</v>
      </c>
      <c r="Y1156">
        <v>170</v>
      </c>
      <c r="Z1156">
        <v>44</v>
      </c>
      <c r="AA1156">
        <v>125</v>
      </c>
      <c r="AB1156" s="1" t="s">
        <v>1829</v>
      </c>
    </row>
    <row r="1157" spans="1:28" x14ac:dyDescent="0.3">
      <c r="A1157">
        <v>78514</v>
      </c>
      <c r="B1157" s="1" t="s">
        <v>1253</v>
      </c>
      <c r="C1157">
        <v>0</v>
      </c>
      <c r="D1157">
        <v>1610612752</v>
      </c>
      <c r="E1157" s="1" t="s">
        <v>1248</v>
      </c>
      <c r="F1157">
        <v>230</v>
      </c>
      <c r="G1157">
        <v>12</v>
      </c>
      <c r="H1157">
        <v>0</v>
      </c>
      <c r="I1157">
        <v>1170</v>
      </c>
      <c r="J1157">
        <v>17</v>
      </c>
      <c r="K1157">
        <v>46</v>
      </c>
      <c r="L1157">
        <v>37</v>
      </c>
      <c r="M1157">
        <v>0</v>
      </c>
      <c r="N1157">
        <v>10</v>
      </c>
      <c r="O1157">
        <v>0</v>
      </c>
      <c r="P1157">
        <v>9</v>
      </c>
      <c r="Q1157">
        <v>13</v>
      </c>
      <c r="R1157">
        <v>692</v>
      </c>
      <c r="S1157">
        <v>10</v>
      </c>
      <c r="T1157">
        <v>20</v>
      </c>
      <c r="U1157">
        <v>30</v>
      </c>
      <c r="V1157">
        <v>10</v>
      </c>
      <c r="W1157">
        <v>10</v>
      </c>
      <c r="X1157">
        <v>0</v>
      </c>
      <c r="Y1157">
        <v>130</v>
      </c>
      <c r="Z1157">
        <v>14</v>
      </c>
      <c r="AA1157">
        <v>43</v>
      </c>
      <c r="AB1157" s="1" t="s">
        <v>1830</v>
      </c>
    </row>
    <row r="1158" spans="1:28" x14ac:dyDescent="0.3">
      <c r="A1158">
        <v>2404</v>
      </c>
      <c r="B1158" s="1" t="s">
        <v>1304</v>
      </c>
      <c r="C1158">
        <v>0</v>
      </c>
      <c r="D1158">
        <v>1610612752</v>
      </c>
      <c r="E1158" s="1" t="s">
        <v>1248</v>
      </c>
      <c r="F1158">
        <v>260</v>
      </c>
      <c r="G1158">
        <v>25</v>
      </c>
      <c r="H1158">
        <v>0</v>
      </c>
      <c r="I1158">
        <v>3300</v>
      </c>
      <c r="J1158">
        <v>54</v>
      </c>
      <c r="K1158">
        <v>102</v>
      </c>
      <c r="L1158">
        <v>529</v>
      </c>
      <c r="M1158">
        <v>0</v>
      </c>
      <c r="N1158">
        <v>10</v>
      </c>
      <c r="O1158">
        <v>0</v>
      </c>
      <c r="P1158">
        <v>27</v>
      </c>
      <c r="Q1158">
        <v>53</v>
      </c>
      <c r="R1158">
        <v>509</v>
      </c>
      <c r="S1158">
        <v>310</v>
      </c>
      <c r="T1158">
        <v>510</v>
      </c>
      <c r="U1158">
        <v>820</v>
      </c>
      <c r="V1158">
        <v>14</v>
      </c>
      <c r="W1158">
        <v>80</v>
      </c>
      <c r="X1158">
        <v>50</v>
      </c>
      <c r="Y1158">
        <v>200</v>
      </c>
      <c r="Z1158">
        <v>48</v>
      </c>
      <c r="AA1158">
        <v>135</v>
      </c>
      <c r="AB1158" s="1" t="s">
        <v>1831</v>
      </c>
    </row>
    <row r="1159" spans="1:28" x14ac:dyDescent="0.3">
      <c r="A1159">
        <v>78534</v>
      </c>
      <c r="B1159" s="1" t="s">
        <v>1406</v>
      </c>
      <c r="C1159">
        <v>0</v>
      </c>
      <c r="D1159">
        <v>1610612752</v>
      </c>
      <c r="E1159" s="1" t="s">
        <v>1248</v>
      </c>
      <c r="F1159">
        <v>230</v>
      </c>
      <c r="G1159">
        <v>54</v>
      </c>
      <c r="H1159">
        <v>160</v>
      </c>
      <c r="I1159">
        <v>9170</v>
      </c>
      <c r="J1159">
        <v>116</v>
      </c>
      <c r="K1159">
        <v>233</v>
      </c>
      <c r="L1159">
        <v>498</v>
      </c>
      <c r="M1159">
        <v>0</v>
      </c>
      <c r="N1159">
        <v>20</v>
      </c>
      <c r="O1159">
        <v>0</v>
      </c>
      <c r="P1159">
        <v>66</v>
      </c>
      <c r="Q1159">
        <v>122</v>
      </c>
      <c r="R1159">
        <v>541</v>
      </c>
      <c r="S1159">
        <v>860</v>
      </c>
      <c r="T1159">
        <v>1760</v>
      </c>
      <c r="U1159">
        <v>2620</v>
      </c>
      <c r="V1159">
        <v>16</v>
      </c>
      <c r="W1159">
        <v>210</v>
      </c>
      <c r="X1159">
        <v>160</v>
      </c>
      <c r="Y1159">
        <v>640</v>
      </c>
      <c r="Z1159">
        <v>155</v>
      </c>
      <c r="AA1159">
        <v>298</v>
      </c>
      <c r="AB1159" s="1" t="s">
        <v>1832</v>
      </c>
    </row>
    <row r="1160" spans="1:28" x14ac:dyDescent="0.3">
      <c r="A1160">
        <v>78534</v>
      </c>
      <c r="B1160" s="1" t="s">
        <v>1394</v>
      </c>
      <c r="C1160">
        <v>0</v>
      </c>
      <c r="D1160">
        <v>1610612752</v>
      </c>
      <c r="E1160" s="1" t="s">
        <v>1248</v>
      </c>
      <c r="F1160">
        <v>250</v>
      </c>
      <c r="G1160">
        <v>24</v>
      </c>
      <c r="H1160">
        <v>100</v>
      </c>
      <c r="I1160">
        <v>4540</v>
      </c>
      <c r="J1160">
        <v>56</v>
      </c>
      <c r="K1160">
        <v>127</v>
      </c>
      <c r="L1160">
        <v>441</v>
      </c>
      <c r="M1160">
        <v>0</v>
      </c>
      <c r="N1160">
        <v>10</v>
      </c>
      <c r="O1160">
        <v>0</v>
      </c>
      <c r="P1160">
        <v>27</v>
      </c>
      <c r="Q1160">
        <v>58</v>
      </c>
      <c r="R1160">
        <v>466</v>
      </c>
      <c r="S1160">
        <v>450</v>
      </c>
      <c r="T1160">
        <v>620</v>
      </c>
      <c r="U1160">
        <v>1070</v>
      </c>
      <c r="V1160">
        <v>6</v>
      </c>
      <c r="W1160">
        <v>90</v>
      </c>
      <c r="X1160">
        <v>20</v>
      </c>
      <c r="Y1160">
        <v>280</v>
      </c>
      <c r="Z1160">
        <v>67</v>
      </c>
      <c r="AA1160">
        <v>139</v>
      </c>
      <c r="AB1160" s="1" t="s">
        <v>1832</v>
      </c>
    </row>
    <row r="1161" spans="1:28" x14ac:dyDescent="0.3">
      <c r="A1161">
        <v>78534</v>
      </c>
      <c r="B1161" s="1" t="s">
        <v>1268</v>
      </c>
      <c r="C1161">
        <v>0</v>
      </c>
      <c r="D1161">
        <v>1610612752</v>
      </c>
      <c r="E1161" s="1" t="s">
        <v>1248</v>
      </c>
      <c r="F1161">
        <v>270</v>
      </c>
      <c r="G1161">
        <v>71</v>
      </c>
      <c r="H1161">
        <v>20</v>
      </c>
      <c r="I1161">
        <v>5840</v>
      </c>
      <c r="J1161">
        <v>114</v>
      </c>
      <c r="K1161">
        <v>245</v>
      </c>
      <c r="L1161">
        <v>465</v>
      </c>
      <c r="M1161">
        <v>0</v>
      </c>
      <c r="N1161">
        <v>10</v>
      </c>
      <c r="O1161">
        <v>0</v>
      </c>
      <c r="P1161">
        <v>61</v>
      </c>
      <c r="Q1161">
        <v>111</v>
      </c>
      <c r="R1161">
        <v>55</v>
      </c>
      <c r="S1161">
        <v>720</v>
      </c>
      <c r="T1161">
        <v>760</v>
      </c>
      <c r="U1161">
        <v>1480</v>
      </c>
      <c r="V1161">
        <v>7</v>
      </c>
      <c r="W1161">
        <v>100</v>
      </c>
      <c r="X1161">
        <v>160</v>
      </c>
      <c r="Y1161">
        <v>560</v>
      </c>
      <c r="Z1161">
        <v>110</v>
      </c>
      <c r="AA1161">
        <v>289</v>
      </c>
      <c r="AB1161" s="1" t="s">
        <v>1832</v>
      </c>
    </row>
    <row r="1162" spans="1:28" x14ac:dyDescent="0.3">
      <c r="A1162">
        <v>78534</v>
      </c>
      <c r="B1162" s="1" t="s">
        <v>1270</v>
      </c>
      <c r="C1162">
        <v>0</v>
      </c>
      <c r="D1162">
        <v>1610612752</v>
      </c>
      <c r="E1162" s="1" t="s">
        <v>1248</v>
      </c>
      <c r="F1162">
        <v>280</v>
      </c>
      <c r="G1162">
        <v>79</v>
      </c>
      <c r="H1162">
        <v>0</v>
      </c>
      <c r="I1162">
        <v>9720</v>
      </c>
      <c r="J1162">
        <v>141</v>
      </c>
      <c r="K1162">
        <v>310</v>
      </c>
      <c r="L1162">
        <v>455</v>
      </c>
      <c r="M1162">
        <v>0</v>
      </c>
      <c r="N1162">
        <v>20</v>
      </c>
      <c r="O1162">
        <v>0</v>
      </c>
      <c r="P1162">
        <v>89</v>
      </c>
      <c r="Q1162">
        <v>147</v>
      </c>
      <c r="R1162">
        <v>605</v>
      </c>
      <c r="S1162">
        <v>1140</v>
      </c>
      <c r="T1162">
        <v>1510</v>
      </c>
      <c r="U1162">
        <v>2650</v>
      </c>
      <c r="V1162">
        <v>16</v>
      </c>
      <c r="W1162">
        <v>180</v>
      </c>
      <c r="X1162">
        <v>180</v>
      </c>
      <c r="Y1162">
        <v>730</v>
      </c>
      <c r="Z1162">
        <v>152</v>
      </c>
      <c r="AA1162">
        <v>371</v>
      </c>
      <c r="AB1162" s="1" t="s">
        <v>1832</v>
      </c>
    </row>
    <row r="1163" spans="1:28" x14ac:dyDescent="0.3">
      <c r="A1163">
        <v>78534</v>
      </c>
      <c r="B1163" s="1" t="s">
        <v>1271</v>
      </c>
      <c r="C1163">
        <v>0</v>
      </c>
      <c r="D1163">
        <v>1610612752</v>
      </c>
      <c r="E1163" s="1" t="s">
        <v>1248</v>
      </c>
      <c r="F1163">
        <v>290</v>
      </c>
      <c r="G1163">
        <v>68</v>
      </c>
      <c r="H1163">
        <v>10</v>
      </c>
      <c r="I1163">
        <v>6680</v>
      </c>
      <c r="J1163">
        <v>114</v>
      </c>
      <c r="K1163">
        <v>255</v>
      </c>
      <c r="L1163">
        <v>447</v>
      </c>
      <c r="M1163">
        <v>0</v>
      </c>
      <c r="N1163">
        <v>10</v>
      </c>
      <c r="O1163">
        <v>0</v>
      </c>
      <c r="P1163">
        <v>51</v>
      </c>
      <c r="Q1163">
        <v>90</v>
      </c>
      <c r="R1163">
        <v>567</v>
      </c>
      <c r="S1163">
        <v>690</v>
      </c>
      <c r="T1163">
        <v>1110</v>
      </c>
      <c r="U1163">
        <v>1800</v>
      </c>
      <c r="V1163">
        <v>15</v>
      </c>
      <c r="W1163">
        <v>170</v>
      </c>
      <c r="X1163">
        <v>70</v>
      </c>
      <c r="Y1163">
        <v>500</v>
      </c>
      <c r="Z1163">
        <v>91</v>
      </c>
      <c r="AA1163">
        <v>279</v>
      </c>
      <c r="AB1163" s="1" t="s">
        <v>1832</v>
      </c>
    </row>
    <row r="1164" spans="1:28" x14ac:dyDescent="0.3">
      <c r="A1164">
        <v>202682</v>
      </c>
      <c r="B1164" s="1" t="s">
        <v>1279</v>
      </c>
      <c r="C1164">
        <v>0</v>
      </c>
      <c r="D1164">
        <v>1610612752</v>
      </c>
      <c r="E1164" s="1" t="s">
        <v>1248</v>
      </c>
      <c r="F1164">
        <v>250</v>
      </c>
      <c r="G1164">
        <v>80</v>
      </c>
      <c r="H1164">
        <v>90</v>
      </c>
      <c r="I1164">
        <v>14350</v>
      </c>
      <c r="J1164">
        <v>254</v>
      </c>
      <c r="K1164">
        <v>565</v>
      </c>
      <c r="L1164">
        <v>45</v>
      </c>
      <c r="M1164">
        <v>440</v>
      </c>
      <c r="N1164">
        <v>1500</v>
      </c>
      <c r="O1164">
        <v>293</v>
      </c>
      <c r="P1164">
        <v>194</v>
      </c>
      <c r="Q1164">
        <v>256</v>
      </c>
      <c r="R1164">
        <v>758</v>
      </c>
      <c r="S1164">
        <v>470</v>
      </c>
      <c r="T1164">
        <v>2490</v>
      </c>
      <c r="U1164">
        <v>2960</v>
      </c>
      <c r="V1164">
        <v>75</v>
      </c>
      <c r="W1164">
        <v>290</v>
      </c>
      <c r="X1164">
        <v>90</v>
      </c>
      <c r="Y1164">
        <v>610</v>
      </c>
      <c r="Z1164">
        <v>69</v>
      </c>
      <c r="AA1164">
        <v>746</v>
      </c>
      <c r="AB1164" s="1" t="s">
        <v>1833</v>
      </c>
    </row>
    <row r="1165" spans="1:28" x14ac:dyDescent="0.3">
      <c r="A1165">
        <v>2421</v>
      </c>
      <c r="B1165" s="1" t="s">
        <v>1325</v>
      </c>
      <c r="C1165">
        <v>0</v>
      </c>
      <c r="D1165">
        <v>1610612752</v>
      </c>
      <c r="E1165" s="1" t="s">
        <v>1248</v>
      </c>
      <c r="F1165">
        <v>230</v>
      </c>
      <c r="G1165">
        <v>21</v>
      </c>
      <c r="H1165">
        <v>0</v>
      </c>
      <c r="I1165">
        <v>1670</v>
      </c>
      <c r="J1165">
        <v>9</v>
      </c>
      <c r="K1165">
        <v>33</v>
      </c>
      <c r="L1165">
        <v>273</v>
      </c>
      <c r="M1165">
        <v>60</v>
      </c>
      <c r="N1165">
        <v>160</v>
      </c>
      <c r="O1165">
        <v>375</v>
      </c>
      <c r="P1165">
        <v>4</v>
      </c>
      <c r="Q1165">
        <v>6</v>
      </c>
      <c r="R1165">
        <v>667</v>
      </c>
      <c r="S1165">
        <v>30</v>
      </c>
      <c r="T1165">
        <v>150</v>
      </c>
      <c r="U1165">
        <v>180</v>
      </c>
      <c r="V1165">
        <v>34</v>
      </c>
      <c r="W1165">
        <v>70</v>
      </c>
      <c r="X1165">
        <v>20</v>
      </c>
      <c r="Y1165">
        <v>170</v>
      </c>
      <c r="Z1165">
        <v>20</v>
      </c>
      <c r="AA1165">
        <v>28</v>
      </c>
      <c r="AB1165" s="1" t="s">
        <v>1834</v>
      </c>
    </row>
    <row r="1166" spans="1:28" x14ac:dyDescent="0.3">
      <c r="A1166">
        <v>2421</v>
      </c>
      <c r="B1166" s="1" t="s">
        <v>1293</v>
      </c>
      <c r="C1166">
        <v>0</v>
      </c>
      <c r="D1166">
        <v>1610612752</v>
      </c>
      <c r="E1166" s="1" t="s">
        <v>1248</v>
      </c>
      <c r="F1166">
        <v>240</v>
      </c>
      <c r="G1166">
        <v>56</v>
      </c>
      <c r="H1166">
        <v>30</v>
      </c>
      <c r="I1166">
        <v>7110</v>
      </c>
      <c r="J1166">
        <v>80</v>
      </c>
      <c r="K1166">
        <v>208</v>
      </c>
      <c r="L1166">
        <v>385</v>
      </c>
      <c r="M1166">
        <v>180</v>
      </c>
      <c r="N1166">
        <v>600</v>
      </c>
      <c r="O1166">
        <v>3</v>
      </c>
      <c r="P1166">
        <v>41</v>
      </c>
      <c r="Q1166">
        <v>48</v>
      </c>
      <c r="R1166">
        <v>854</v>
      </c>
      <c r="S1166">
        <v>80</v>
      </c>
      <c r="T1166">
        <v>450</v>
      </c>
      <c r="U1166">
        <v>530</v>
      </c>
      <c r="V1166">
        <v>121</v>
      </c>
      <c r="W1166">
        <v>250</v>
      </c>
      <c r="X1166">
        <v>60</v>
      </c>
      <c r="Y1166">
        <v>630</v>
      </c>
      <c r="Z1166">
        <v>58</v>
      </c>
      <c r="AA1166">
        <v>219</v>
      </c>
      <c r="AB1166" s="1" t="s">
        <v>1834</v>
      </c>
    </row>
    <row r="1167" spans="1:28" x14ac:dyDescent="0.3">
      <c r="A1167">
        <v>1006</v>
      </c>
      <c r="B1167" s="1" t="s">
        <v>1273</v>
      </c>
      <c r="C1167">
        <v>0</v>
      </c>
      <c r="D1167">
        <v>1610612752</v>
      </c>
      <c r="E1167" s="1" t="s">
        <v>1248</v>
      </c>
      <c r="F1167">
        <v>350</v>
      </c>
      <c r="G1167">
        <v>55</v>
      </c>
      <c r="H1167">
        <v>0</v>
      </c>
      <c r="I1167">
        <v>5710</v>
      </c>
      <c r="J1167">
        <v>72</v>
      </c>
      <c r="K1167">
        <v>175</v>
      </c>
      <c r="L1167">
        <v>411</v>
      </c>
      <c r="M1167">
        <v>0</v>
      </c>
      <c r="N1167">
        <v>0</v>
      </c>
      <c r="O1167">
        <v>0</v>
      </c>
      <c r="P1167">
        <v>14</v>
      </c>
      <c r="Q1167">
        <v>21</v>
      </c>
      <c r="R1167">
        <v>667</v>
      </c>
      <c r="S1167">
        <v>440</v>
      </c>
      <c r="T1167">
        <v>1020</v>
      </c>
      <c r="U1167">
        <v>1460</v>
      </c>
      <c r="V1167">
        <v>19</v>
      </c>
      <c r="W1167">
        <v>210</v>
      </c>
      <c r="X1167">
        <v>280</v>
      </c>
      <c r="Y1167">
        <v>220</v>
      </c>
      <c r="Z1167">
        <v>78</v>
      </c>
      <c r="AA1167">
        <v>158</v>
      </c>
      <c r="AB1167" s="1" t="s">
        <v>1835</v>
      </c>
    </row>
    <row r="1168" spans="1:28" x14ac:dyDescent="0.3">
      <c r="A1168">
        <v>1006</v>
      </c>
      <c r="B1168" s="1" t="s">
        <v>1274</v>
      </c>
      <c r="C1168">
        <v>0</v>
      </c>
      <c r="D1168">
        <v>1610612752</v>
      </c>
      <c r="E1168" s="1" t="s">
        <v>1248</v>
      </c>
      <c r="F1168">
        <v>360</v>
      </c>
      <c r="G1168">
        <v>70</v>
      </c>
      <c r="H1168">
        <v>30</v>
      </c>
      <c r="I1168">
        <v>7740</v>
      </c>
      <c r="J1168">
        <v>103</v>
      </c>
      <c r="K1168">
        <v>233</v>
      </c>
      <c r="L1168">
        <v>442</v>
      </c>
      <c r="M1168">
        <v>0</v>
      </c>
      <c r="N1168">
        <v>10</v>
      </c>
      <c r="O1168">
        <v>0</v>
      </c>
      <c r="P1168">
        <v>27</v>
      </c>
      <c r="Q1168">
        <v>42</v>
      </c>
      <c r="R1168">
        <v>643</v>
      </c>
      <c r="S1168">
        <v>560</v>
      </c>
      <c r="T1168">
        <v>1260</v>
      </c>
      <c r="U1168">
        <v>1820</v>
      </c>
      <c r="V1168">
        <v>28</v>
      </c>
      <c r="W1168">
        <v>180</v>
      </c>
      <c r="X1168">
        <v>430</v>
      </c>
      <c r="Y1168">
        <v>390</v>
      </c>
      <c r="Z1168">
        <v>108</v>
      </c>
      <c r="AA1168">
        <v>233</v>
      </c>
      <c r="AB1168" s="1" t="s">
        <v>1835</v>
      </c>
    </row>
    <row r="1169" spans="1:28" x14ac:dyDescent="0.3">
      <c r="A1169">
        <v>1006</v>
      </c>
      <c r="B1169" s="1" t="s">
        <v>1275</v>
      </c>
      <c r="C1169">
        <v>0</v>
      </c>
      <c r="D1169">
        <v>1610612752</v>
      </c>
      <c r="E1169" s="1" t="s">
        <v>1248</v>
      </c>
      <c r="F1169">
        <v>370</v>
      </c>
      <c r="G1169">
        <v>56</v>
      </c>
      <c r="H1169">
        <v>30</v>
      </c>
      <c r="I1169">
        <v>7430</v>
      </c>
      <c r="J1169">
        <v>82</v>
      </c>
      <c r="K1169">
        <v>180</v>
      </c>
      <c r="L1169">
        <v>456</v>
      </c>
      <c r="M1169">
        <v>0</v>
      </c>
      <c r="N1169">
        <v>0</v>
      </c>
      <c r="O1169">
        <v>0</v>
      </c>
      <c r="P1169">
        <v>23</v>
      </c>
      <c r="Q1169">
        <v>37</v>
      </c>
      <c r="R1169">
        <v>622</v>
      </c>
      <c r="S1169">
        <v>230</v>
      </c>
      <c r="T1169">
        <v>1090</v>
      </c>
      <c r="U1169">
        <v>1320</v>
      </c>
      <c r="V1169">
        <v>27</v>
      </c>
      <c r="W1169">
        <v>130</v>
      </c>
      <c r="X1169">
        <v>450</v>
      </c>
      <c r="Y1169">
        <v>400</v>
      </c>
      <c r="Z1169">
        <v>108</v>
      </c>
      <c r="AA1169">
        <v>187</v>
      </c>
      <c r="AB1169" s="1" t="s">
        <v>1835</v>
      </c>
    </row>
    <row r="1170" spans="1:28" x14ac:dyDescent="0.3">
      <c r="A1170">
        <v>1006</v>
      </c>
      <c r="B1170" s="1" t="s">
        <v>1276</v>
      </c>
      <c r="C1170">
        <v>0</v>
      </c>
      <c r="D1170">
        <v>1610612752</v>
      </c>
      <c r="E1170" s="1" t="s">
        <v>1248</v>
      </c>
      <c r="F1170">
        <v>380</v>
      </c>
      <c r="G1170">
        <v>43</v>
      </c>
      <c r="H1170">
        <v>20</v>
      </c>
      <c r="I1170">
        <v>5400</v>
      </c>
      <c r="J1170">
        <v>59</v>
      </c>
      <c r="K1170">
        <v>144</v>
      </c>
      <c r="L1170">
        <v>41</v>
      </c>
      <c r="M1170">
        <v>10</v>
      </c>
      <c r="N1170">
        <v>40</v>
      </c>
      <c r="O1170">
        <v>25</v>
      </c>
      <c r="P1170">
        <v>13</v>
      </c>
      <c r="Q1170">
        <v>20</v>
      </c>
      <c r="R1170">
        <v>65</v>
      </c>
      <c r="S1170">
        <v>140</v>
      </c>
      <c r="T1170">
        <v>680</v>
      </c>
      <c r="U1170">
        <v>820</v>
      </c>
      <c r="V1170">
        <v>27</v>
      </c>
      <c r="W1170">
        <v>130</v>
      </c>
      <c r="X1170">
        <v>310</v>
      </c>
      <c r="Y1170">
        <v>220</v>
      </c>
      <c r="Z1170">
        <v>75</v>
      </c>
      <c r="AA1170">
        <v>132</v>
      </c>
      <c r="AB1170" s="1" t="s">
        <v>1835</v>
      </c>
    </row>
    <row r="1171" spans="1:28" x14ac:dyDescent="0.3">
      <c r="A1171">
        <v>1006</v>
      </c>
      <c r="B1171" s="1" t="s">
        <v>1277</v>
      </c>
      <c r="C1171">
        <v>0</v>
      </c>
      <c r="D1171">
        <v>1610612752</v>
      </c>
      <c r="E1171" s="1" t="s">
        <v>1248</v>
      </c>
      <c r="F1171">
        <v>390</v>
      </c>
      <c r="G1171">
        <v>21</v>
      </c>
      <c r="H1171">
        <v>20</v>
      </c>
      <c r="I1171">
        <v>1840</v>
      </c>
      <c r="J1171">
        <v>18</v>
      </c>
      <c r="K1171">
        <v>46</v>
      </c>
      <c r="L1171">
        <v>391</v>
      </c>
      <c r="M1171">
        <v>0</v>
      </c>
      <c r="N1171">
        <v>10</v>
      </c>
      <c r="O1171">
        <v>0</v>
      </c>
      <c r="P1171">
        <v>3</v>
      </c>
      <c r="Q1171">
        <v>4</v>
      </c>
      <c r="R1171">
        <v>75</v>
      </c>
      <c r="S1171">
        <v>90</v>
      </c>
      <c r="T1171">
        <v>220</v>
      </c>
      <c r="U1171">
        <v>310</v>
      </c>
      <c r="V1171">
        <v>5</v>
      </c>
      <c r="W1171">
        <v>40</v>
      </c>
      <c r="X1171">
        <v>50</v>
      </c>
      <c r="Y1171">
        <v>50</v>
      </c>
      <c r="Z1171">
        <v>18</v>
      </c>
      <c r="AA1171">
        <v>39</v>
      </c>
      <c r="AB1171" s="1" t="s">
        <v>1835</v>
      </c>
    </row>
    <row r="1172" spans="1:28" x14ac:dyDescent="0.3">
      <c r="A1172">
        <v>1006</v>
      </c>
      <c r="B1172" s="1" t="s">
        <v>1278</v>
      </c>
      <c r="C1172">
        <v>0</v>
      </c>
      <c r="D1172">
        <v>1610612752</v>
      </c>
      <c r="E1172" s="1" t="s">
        <v>1248</v>
      </c>
      <c r="F1172">
        <v>400</v>
      </c>
      <c r="G1172">
        <v>27</v>
      </c>
      <c r="H1172">
        <v>0</v>
      </c>
      <c r="I1172">
        <v>1780</v>
      </c>
      <c r="J1172">
        <v>18</v>
      </c>
      <c r="K1172">
        <v>43</v>
      </c>
      <c r="L1172">
        <v>419</v>
      </c>
      <c r="M1172">
        <v>0</v>
      </c>
      <c r="N1172">
        <v>0</v>
      </c>
      <c r="O1172">
        <v>0</v>
      </c>
      <c r="P1172">
        <v>1</v>
      </c>
      <c r="Q1172">
        <v>8</v>
      </c>
      <c r="R1172">
        <v>125</v>
      </c>
      <c r="S1172">
        <v>60</v>
      </c>
      <c r="T1172">
        <v>230</v>
      </c>
      <c r="U1172">
        <v>290</v>
      </c>
      <c r="V1172">
        <v>4</v>
      </c>
      <c r="W1172">
        <v>60</v>
      </c>
      <c r="X1172">
        <v>90</v>
      </c>
      <c r="Y1172">
        <v>50</v>
      </c>
      <c r="Z1172">
        <v>34</v>
      </c>
      <c r="AA1172">
        <v>37</v>
      </c>
      <c r="AB1172" s="1" t="s">
        <v>1835</v>
      </c>
    </row>
    <row r="1173" spans="1:28" x14ac:dyDescent="0.3">
      <c r="A1173">
        <v>1006</v>
      </c>
      <c r="B1173" s="1" t="s">
        <v>1429</v>
      </c>
      <c r="C1173">
        <v>0</v>
      </c>
      <c r="D1173">
        <v>1610612752</v>
      </c>
      <c r="E1173" s="1" t="s">
        <v>1248</v>
      </c>
      <c r="F1173">
        <v>410</v>
      </c>
      <c r="G1173">
        <v>6</v>
      </c>
      <c r="H1173">
        <v>0</v>
      </c>
      <c r="I1173">
        <v>340</v>
      </c>
      <c r="J1173">
        <v>4</v>
      </c>
      <c r="K1173">
        <v>8</v>
      </c>
      <c r="L1173">
        <v>5</v>
      </c>
      <c r="M1173">
        <v>0</v>
      </c>
      <c r="N1173">
        <v>0</v>
      </c>
      <c r="O1173">
        <v>0</v>
      </c>
      <c r="P1173">
        <v>2</v>
      </c>
      <c r="Q1173">
        <v>2</v>
      </c>
      <c r="R1173">
        <v>10</v>
      </c>
      <c r="S1173">
        <v>30</v>
      </c>
      <c r="T1173">
        <v>30</v>
      </c>
      <c r="U1173">
        <v>60</v>
      </c>
      <c r="V1173">
        <v>0</v>
      </c>
      <c r="W1173">
        <v>0</v>
      </c>
      <c r="X1173">
        <v>20</v>
      </c>
      <c r="Y1173">
        <v>20</v>
      </c>
      <c r="Z1173">
        <v>2</v>
      </c>
      <c r="AA1173">
        <v>10</v>
      </c>
      <c r="AB1173" s="1" t="s">
        <v>1835</v>
      </c>
    </row>
    <row r="1174" spans="1:28" x14ac:dyDescent="0.3">
      <c r="A1174">
        <v>786</v>
      </c>
      <c r="B1174" s="1" t="s">
        <v>1392</v>
      </c>
      <c r="C1174">
        <v>0</v>
      </c>
      <c r="D1174">
        <v>1610612752</v>
      </c>
      <c r="E1174" s="1" t="s">
        <v>1248</v>
      </c>
      <c r="F1174">
        <v>220</v>
      </c>
      <c r="G1174">
        <v>81</v>
      </c>
      <c r="H1174">
        <v>530</v>
      </c>
      <c r="I1174">
        <v>20250</v>
      </c>
      <c r="J1174">
        <v>437</v>
      </c>
      <c r="K1174">
        <v>934</v>
      </c>
      <c r="L1174">
        <v>468</v>
      </c>
      <c r="M1174">
        <v>70</v>
      </c>
      <c r="N1174">
        <v>250</v>
      </c>
      <c r="O1174">
        <v>28</v>
      </c>
      <c r="P1174">
        <v>132</v>
      </c>
      <c r="Q1174">
        <v>237</v>
      </c>
      <c r="R1174">
        <v>557</v>
      </c>
      <c r="S1174">
        <v>920</v>
      </c>
      <c r="T1174">
        <v>1160</v>
      </c>
      <c r="U1174">
        <v>2080</v>
      </c>
      <c r="V1174">
        <v>161</v>
      </c>
      <c r="W1174">
        <v>680</v>
      </c>
      <c r="X1174">
        <v>90</v>
      </c>
      <c r="Y1174">
        <v>1570</v>
      </c>
      <c r="Z1174">
        <v>155</v>
      </c>
      <c r="AA1174">
        <v>1013</v>
      </c>
      <c r="AB1174" s="1" t="s">
        <v>1836</v>
      </c>
    </row>
    <row r="1175" spans="1:28" x14ac:dyDescent="0.3">
      <c r="A1175">
        <v>786</v>
      </c>
      <c r="B1175" s="1" t="s">
        <v>1394</v>
      </c>
      <c r="C1175">
        <v>0</v>
      </c>
      <c r="D1175">
        <v>1610612752</v>
      </c>
      <c r="E1175" s="1" t="s">
        <v>1248</v>
      </c>
      <c r="F1175">
        <v>230</v>
      </c>
      <c r="G1175">
        <v>80</v>
      </c>
      <c r="H1175">
        <v>730</v>
      </c>
      <c r="I1175">
        <v>27580</v>
      </c>
      <c r="J1175">
        <v>633</v>
      </c>
      <c r="K1175">
        <v>1302</v>
      </c>
      <c r="L1175">
        <v>486</v>
      </c>
      <c r="M1175">
        <v>260</v>
      </c>
      <c r="N1175">
        <v>740</v>
      </c>
      <c r="O1175">
        <v>351</v>
      </c>
      <c r="P1175">
        <v>235</v>
      </c>
      <c r="Q1175">
        <v>335</v>
      </c>
      <c r="R1175">
        <v>701</v>
      </c>
      <c r="S1175">
        <v>1200</v>
      </c>
      <c r="T1175">
        <v>1740</v>
      </c>
      <c r="U1175">
        <v>2940</v>
      </c>
      <c r="V1175">
        <v>354</v>
      </c>
      <c r="W1175">
        <v>880</v>
      </c>
      <c r="X1175">
        <v>180</v>
      </c>
      <c r="Y1175">
        <v>2140</v>
      </c>
      <c r="Z1175">
        <v>165</v>
      </c>
      <c r="AA1175">
        <v>1527</v>
      </c>
      <c r="AB1175" s="1" t="s">
        <v>1836</v>
      </c>
    </row>
    <row r="1176" spans="1:28" x14ac:dyDescent="0.3">
      <c r="A1176">
        <v>786</v>
      </c>
      <c r="B1176" s="1" t="s">
        <v>1253</v>
      </c>
      <c r="C1176">
        <v>0</v>
      </c>
      <c r="D1176">
        <v>1610612752</v>
      </c>
      <c r="E1176" s="1" t="s">
        <v>1248</v>
      </c>
      <c r="F1176">
        <v>240</v>
      </c>
      <c r="G1176">
        <v>81</v>
      </c>
      <c r="H1176">
        <v>780</v>
      </c>
      <c r="I1176">
        <v>27030</v>
      </c>
      <c r="J1176">
        <v>591</v>
      </c>
      <c r="K1176">
        <v>1324</v>
      </c>
      <c r="L1176">
        <v>446</v>
      </c>
      <c r="M1176">
        <v>390</v>
      </c>
      <c r="N1176">
        <v>1290</v>
      </c>
      <c r="O1176">
        <v>302</v>
      </c>
      <c r="P1176">
        <v>191</v>
      </c>
      <c r="Q1176">
        <v>243</v>
      </c>
      <c r="R1176">
        <v>786</v>
      </c>
      <c r="S1176">
        <v>1060</v>
      </c>
      <c r="T1176">
        <v>1640</v>
      </c>
      <c r="U1176">
        <v>2700</v>
      </c>
      <c r="V1176">
        <v>326</v>
      </c>
      <c r="W1176">
        <v>900</v>
      </c>
      <c r="X1176">
        <v>220</v>
      </c>
      <c r="Y1176">
        <v>2120</v>
      </c>
      <c r="Z1176">
        <v>183</v>
      </c>
      <c r="AA1176">
        <v>1412</v>
      </c>
      <c r="AB1176" s="1" t="s">
        <v>1836</v>
      </c>
    </row>
    <row r="1177" spans="1:28" x14ac:dyDescent="0.3">
      <c r="A1177">
        <v>786</v>
      </c>
      <c r="B1177" s="1" t="s">
        <v>1268</v>
      </c>
      <c r="C1177">
        <v>0</v>
      </c>
      <c r="D1177">
        <v>1610612752</v>
      </c>
      <c r="E1177" s="1" t="s">
        <v>1248</v>
      </c>
      <c r="F1177">
        <v>250</v>
      </c>
      <c r="G1177">
        <v>81</v>
      </c>
      <c r="H1177">
        <v>580</v>
      </c>
      <c r="I1177">
        <v>24140</v>
      </c>
      <c r="J1177">
        <v>462</v>
      </c>
      <c r="K1177">
        <v>1025</v>
      </c>
      <c r="L1177">
        <v>451</v>
      </c>
      <c r="M1177">
        <v>510</v>
      </c>
      <c r="N1177">
        <v>1720</v>
      </c>
      <c r="O1177">
        <v>297</v>
      </c>
      <c r="P1177">
        <v>186</v>
      </c>
      <c r="Q1177">
        <v>246</v>
      </c>
      <c r="R1177">
        <v>756</v>
      </c>
      <c r="S1177">
        <v>950</v>
      </c>
      <c r="T1177">
        <v>1490</v>
      </c>
      <c r="U1177">
        <v>2440</v>
      </c>
      <c r="V1177">
        <v>274</v>
      </c>
      <c r="W1177">
        <v>1150</v>
      </c>
      <c r="X1177">
        <v>220</v>
      </c>
      <c r="Y1177">
        <v>1690</v>
      </c>
      <c r="Z1177">
        <v>166</v>
      </c>
      <c r="AA1177">
        <v>1161</v>
      </c>
      <c r="AB1177" s="1" t="s">
        <v>1836</v>
      </c>
    </row>
    <row r="1178" spans="1:28" x14ac:dyDescent="0.3">
      <c r="A1178">
        <v>786</v>
      </c>
      <c r="B1178" s="1" t="s">
        <v>1270</v>
      </c>
      <c r="C1178">
        <v>0</v>
      </c>
      <c r="D1178">
        <v>1610612752</v>
      </c>
      <c r="E1178" s="1" t="s">
        <v>1248</v>
      </c>
      <c r="F1178">
        <v>260</v>
      </c>
      <c r="G1178">
        <v>82</v>
      </c>
      <c r="H1178">
        <v>800</v>
      </c>
      <c r="I1178">
        <v>26090</v>
      </c>
      <c r="J1178">
        <v>472</v>
      </c>
      <c r="K1178">
        <v>1032</v>
      </c>
      <c r="L1178">
        <v>457</v>
      </c>
      <c r="M1178">
        <v>390</v>
      </c>
      <c r="N1178">
        <v>1250</v>
      </c>
      <c r="O1178">
        <v>312</v>
      </c>
      <c r="P1178">
        <v>208</v>
      </c>
      <c r="Q1178">
        <v>259</v>
      </c>
      <c r="R1178">
        <v>803</v>
      </c>
      <c r="S1178">
        <v>1330</v>
      </c>
      <c r="T1178">
        <v>2380</v>
      </c>
      <c r="U1178">
        <v>3710</v>
      </c>
      <c r="V1178">
        <v>330</v>
      </c>
      <c r="W1178">
        <v>950</v>
      </c>
      <c r="X1178">
        <v>210</v>
      </c>
      <c r="Y1178">
        <v>1940</v>
      </c>
      <c r="Z1178">
        <v>188</v>
      </c>
      <c r="AA1178">
        <v>1191</v>
      </c>
      <c r="AB1178" s="1" t="s">
        <v>1836</v>
      </c>
    </row>
    <row r="1179" spans="1:28" x14ac:dyDescent="0.3">
      <c r="A1179">
        <v>786</v>
      </c>
      <c r="B1179" s="1" t="s">
        <v>1271</v>
      </c>
      <c r="C1179">
        <v>0</v>
      </c>
      <c r="D1179">
        <v>1610612752</v>
      </c>
      <c r="E1179" s="1" t="s">
        <v>1248</v>
      </c>
      <c r="F1179">
        <v>270</v>
      </c>
      <c r="G1179">
        <v>68</v>
      </c>
      <c r="H1179">
        <v>560</v>
      </c>
      <c r="I1179">
        <v>21640</v>
      </c>
      <c r="J1179">
        <v>380</v>
      </c>
      <c r="K1179">
        <v>804</v>
      </c>
      <c r="L1179">
        <v>473</v>
      </c>
      <c r="M1179">
        <v>90</v>
      </c>
      <c r="N1179">
        <v>430</v>
      </c>
      <c r="O1179">
        <v>209</v>
      </c>
      <c r="P1179">
        <v>169</v>
      </c>
      <c r="Q1179">
        <v>206</v>
      </c>
      <c r="R1179">
        <v>82</v>
      </c>
      <c r="S1179">
        <v>780</v>
      </c>
      <c r="T1179">
        <v>1290</v>
      </c>
      <c r="U1179">
        <v>2070</v>
      </c>
      <c r="V1179">
        <v>275</v>
      </c>
      <c r="W1179">
        <v>820</v>
      </c>
      <c r="X1179">
        <v>230</v>
      </c>
      <c r="Y1179">
        <v>1610</v>
      </c>
      <c r="Z1179">
        <v>181</v>
      </c>
      <c r="AA1179">
        <v>938</v>
      </c>
      <c r="AB1179" s="1" t="s">
        <v>1836</v>
      </c>
    </row>
    <row r="1180" spans="1:28" x14ac:dyDescent="0.3">
      <c r="A1180">
        <v>786</v>
      </c>
      <c r="B1180" s="1" t="s">
        <v>1272</v>
      </c>
      <c r="C1180">
        <v>0</v>
      </c>
      <c r="D1180">
        <v>1610612752</v>
      </c>
      <c r="E1180" s="1" t="s">
        <v>1248</v>
      </c>
      <c r="F1180">
        <v>280</v>
      </c>
      <c r="G1180">
        <v>82</v>
      </c>
      <c r="H1180">
        <v>820</v>
      </c>
      <c r="I1180">
        <v>23440</v>
      </c>
      <c r="J1180">
        <v>431</v>
      </c>
      <c r="K1180">
        <v>964</v>
      </c>
      <c r="L1180">
        <v>447</v>
      </c>
      <c r="M1180">
        <v>380</v>
      </c>
      <c r="N1180">
        <v>1080</v>
      </c>
      <c r="O1180">
        <v>352</v>
      </c>
      <c r="P1180">
        <v>116</v>
      </c>
      <c r="Q1180">
        <v>159</v>
      </c>
      <c r="R1180">
        <v>73</v>
      </c>
      <c r="S1180">
        <v>740</v>
      </c>
      <c r="T1180">
        <v>1320</v>
      </c>
      <c r="U1180">
        <v>2060</v>
      </c>
      <c r="V1180">
        <v>219</v>
      </c>
      <c r="W1180">
        <v>760</v>
      </c>
      <c r="X1180">
        <v>170</v>
      </c>
      <c r="Y1180">
        <v>1130</v>
      </c>
      <c r="Z1180">
        <v>195</v>
      </c>
      <c r="AA1180">
        <v>1016</v>
      </c>
      <c r="AB1180" s="1" t="s">
        <v>1836</v>
      </c>
    </row>
    <row r="1181" spans="1:28" x14ac:dyDescent="0.3">
      <c r="A1181">
        <v>78560</v>
      </c>
      <c r="B1181" s="1" t="s">
        <v>1417</v>
      </c>
      <c r="C1181">
        <v>0</v>
      </c>
      <c r="D1181">
        <v>1610612752</v>
      </c>
      <c r="E1181" s="1" t="s">
        <v>1248</v>
      </c>
      <c r="F1181">
        <v>250</v>
      </c>
      <c r="G1181">
        <v>5</v>
      </c>
      <c r="I1181">
        <v>130</v>
      </c>
      <c r="J1181">
        <v>1</v>
      </c>
      <c r="K1181">
        <v>1</v>
      </c>
      <c r="L1181">
        <v>10</v>
      </c>
      <c r="P1181">
        <v>2</v>
      </c>
      <c r="Q1181">
        <v>3</v>
      </c>
      <c r="R1181">
        <v>667</v>
      </c>
      <c r="U1181">
        <v>0</v>
      </c>
      <c r="V1181">
        <v>2</v>
      </c>
      <c r="Z1181">
        <v>3</v>
      </c>
      <c r="AA1181">
        <v>4</v>
      </c>
      <c r="AB1181" s="1" t="s">
        <v>1837</v>
      </c>
    </row>
    <row r="1182" spans="1:28" x14ac:dyDescent="0.3">
      <c r="A1182">
        <v>42</v>
      </c>
      <c r="B1182" s="1" t="s">
        <v>1275</v>
      </c>
      <c r="C1182">
        <v>0</v>
      </c>
      <c r="D1182">
        <v>1610612752</v>
      </c>
      <c r="E1182" s="1" t="s">
        <v>1248</v>
      </c>
      <c r="F1182">
        <v>230</v>
      </c>
      <c r="G1182">
        <v>41</v>
      </c>
      <c r="H1182">
        <v>230</v>
      </c>
      <c r="I1182">
        <v>5030</v>
      </c>
      <c r="J1182">
        <v>60</v>
      </c>
      <c r="K1182">
        <v>133</v>
      </c>
      <c r="L1182">
        <v>451</v>
      </c>
      <c r="M1182">
        <v>0</v>
      </c>
      <c r="N1182">
        <v>80</v>
      </c>
      <c r="O1182">
        <v>0</v>
      </c>
      <c r="P1182">
        <v>17</v>
      </c>
      <c r="Q1182">
        <v>38</v>
      </c>
      <c r="R1182">
        <v>447</v>
      </c>
      <c r="S1182">
        <v>420</v>
      </c>
      <c r="T1182">
        <v>560</v>
      </c>
      <c r="U1182">
        <v>980</v>
      </c>
      <c r="V1182">
        <v>49</v>
      </c>
      <c r="W1182">
        <v>200</v>
      </c>
      <c r="X1182">
        <v>40</v>
      </c>
      <c r="Y1182">
        <v>410</v>
      </c>
      <c r="Z1182">
        <v>87</v>
      </c>
      <c r="AA1182">
        <v>137</v>
      </c>
      <c r="AB1182" s="1" t="s">
        <v>1838</v>
      </c>
    </row>
    <row r="1183" spans="1:28" x14ac:dyDescent="0.3">
      <c r="A1183">
        <v>42</v>
      </c>
      <c r="B1183" s="1" t="s">
        <v>1276</v>
      </c>
      <c r="C1183">
        <v>0</v>
      </c>
      <c r="D1183">
        <v>1610612752</v>
      </c>
      <c r="E1183" s="1" t="s">
        <v>1248</v>
      </c>
      <c r="F1183">
        <v>240</v>
      </c>
      <c r="G1183">
        <v>14</v>
      </c>
      <c r="H1183">
        <v>0</v>
      </c>
      <c r="I1183">
        <v>620</v>
      </c>
      <c r="J1183">
        <v>7</v>
      </c>
      <c r="K1183">
        <v>22</v>
      </c>
      <c r="L1183">
        <v>318</v>
      </c>
      <c r="M1183">
        <v>0</v>
      </c>
      <c r="N1183">
        <v>0</v>
      </c>
      <c r="O1183">
        <v>0</v>
      </c>
      <c r="P1183">
        <v>5</v>
      </c>
      <c r="Q1183">
        <v>8</v>
      </c>
      <c r="R1183">
        <v>625</v>
      </c>
      <c r="S1183">
        <v>90</v>
      </c>
      <c r="T1183">
        <v>80</v>
      </c>
      <c r="U1183">
        <v>170</v>
      </c>
      <c r="V1183">
        <v>4</v>
      </c>
      <c r="W1183">
        <v>20</v>
      </c>
      <c r="X1183">
        <v>0</v>
      </c>
      <c r="Y1183">
        <v>50</v>
      </c>
      <c r="Z1183">
        <v>9</v>
      </c>
      <c r="AA1183">
        <v>19</v>
      </c>
      <c r="AB1183" s="1" t="s">
        <v>1838</v>
      </c>
    </row>
    <row r="1184" spans="1:28" x14ac:dyDescent="0.3">
      <c r="A1184">
        <v>78571</v>
      </c>
      <c r="B1184" s="1" t="s">
        <v>1264</v>
      </c>
      <c r="C1184">
        <v>0</v>
      </c>
      <c r="D1184">
        <v>1610612752</v>
      </c>
      <c r="E1184" s="1" t="s">
        <v>1248</v>
      </c>
      <c r="F1184">
        <v>230</v>
      </c>
      <c r="G1184">
        <v>81</v>
      </c>
      <c r="I1184">
        <v>15500</v>
      </c>
      <c r="J1184">
        <v>305</v>
      </c>
      <c r="K1184">
        <v>689</v>
      </c>
      <c r="L1184">
        <v>443</v>
      </c>
      <c r="P1184">
        <v>146</v>
      </c>
      <c r="Q1184">
        <v>207</v>
      </c>
      <c r="R1184">
        <v>705</v>
      </c>
      <c r="S1184">
        <v>850</v>
      </c>
      <c r="T1184">
        <v>1240</v>
      </c>
      <c r="U1184">
        <v>2090</v>
      </c>
      <c r="V1184">
        <v>363</v>
      </c>
      <c r="W1184">
        <v>1080</v>
      </c>
      <c r="X1184">
        <v>150</v>
      </c>
      <c r="Y1184">
        <v>2420</v>
      </c>
      <c r="Z1184">
        <v>211</v>
      </c>
      <c r="AA1184">
        <v>756</v>
      </c>
      <c r="AB1184" s="1" t="s">
        <v>1839</v>
      </c>
    </row>
    <row r="1185" spans="1:28" x14ac:dyDescent="0.3">
      <c r="A1185">
        <v>78571</v>
      </c>
      <c r="B1185" s="1" t="s">
        <v>1265</v>
      </c>
      <c r="C1185">
        <v>0</v>
      </c>
      <c r="D1185">
        <v>1610612752</v>
      </c>
      <c r="E1185" s="1" t="s">
        <v>1248</v>
      </c>
      <c r="F1185">
        <v>240</v>
      </c>
      <c r="G1185">
        <v>81</v>
      </c>
      <c r="I1185">
        <v>23700</v>
      </c>
      <c r="J1185">
        <v>575</v>
      </c>
      <c r="K1185">
        <v>1257</v>
      </c>
      <c r="L1185">
        <v>457</v>
      </c>
      <c r="P1185">
        <v>251</v>
      </c>
      <c r="Q1185">
        <v>313</v>
      </c>
      <c r="R1185">
        <v>802</v>
      </c>
      <c r="S1185">
        <v>1040</v>
      </c>
      <c r="T1185">
        <v>1870</v>
      </c>
      <c r="U1185">
        <v>2910</v>
      </c>
      <c r="V1185">
        <v>504</v>
      </c>
      <c r="W1185">
        <v>1280</v>
      </c>
      <c r="X1185">
        <v>190</v>
      </c>
      <c r="Y1185">
        <v>2850</v>
      </c>
      <c r="Z1185">
        <v>274</v>
      </c>
      <c r="AA1185">
        <v>1401</v>
      </c>
      <c r="AB1185" s="1" t="s">
        <v>1839</v>
      </c>
    </row>
    <row r="1186" spans="1:28" x14ac:dyDescent="0.3">
      <c r="A1186">
        <v>78571</v>
      </c>
      <c r="B1186" s="1" t="s">
        <v>1359</v>
      </c>
      <c r="C1186">
        <v>0</v>
      </c>
      <c r="D1186">
        <v>1610612752</v>
      </c>
      <c r="E1186" s="1" t="s">
        <v>1248</v>
      </c>
      <c r="F1186">
        <v>250</v>
      </c>
      <c r="G1186">
        <v>82</v>
      </c>
      <c r="I1186">
        <v>25820</v>
      </c>
      <c r="J1186">
        <v>687</v>
      </c>
      <c r="K1186">
        <v>1384</v>
      </c>
      <c r="L1186">
        <v>496</v>
      </c>
      <c r="M1186">
        <v>70</v>
      </c>
      <c r="N1186">
        <v>370</v>
      </c>
      <c r="O1186">
        <v>189</v>
      </c>
      <c r="P1186">
        <v>333</v>
      </c>
      <c r="Q1186">
        <v>423</v>
      </c>
      <c r="R1186">
        <v>787</v>
      </c>
      <c r="S1186">
        <v>1490</v>
      </c>
      <c r="T1186">
        <v>2630</v>
      </c>
      <c r="U1186">
        <v>4120</v>
      </c>
      <c r="V1186">
        <v>512</v>
      </c>
      <c r="W1186">
        <v>1670</v>
      </c>
      <c r="X1186">
        <v>240</v>
      </c>
      <c r="Y1186">
        <v>2560</v>
      </c>
      <c r="Z1186">
        <v>295</v>
      </c>
      <c r="AA1186">
        <v>1714</v>
      </c>
      <c r="AB1186" s="1" t="s">
        <v>1839</v>
      </c>
    </row>
    <row r="1187" spans="1:28" x14ac:dyDescent="0.3">
      <c r="A1187">
        <v>78571</v>
      </c>
      <c r="B1187" s="1" t="s">
        <v>1282</v>
      </c>
      <c r="C1187">
        <v>0</v>
      </c>
      <c r="D1187">
        <v>1610612752</v>
      </c>
      <c r="E1187" s="1" t="s">
        <v>1248</v>
      </c>
      <c r="F1187">
        <v>260</v>
      </c>
      <c r="G1187">
        <v>79</v>
      </c>
      <c r="I1187">
        <v>27420</v>
      </c>
      <c r="J1187">
        <v>616</v>
      </c>
      <c r="K1187">
        <v>1335</v>
      </c>
      <c r="L1187">
        <v>461</v>
      </c>
      <c r="M1187">
        <v>160</v>
      </c>
      <c r="N1187">
        <v>680</v>
      </c>
      <c r="O1187">
        <v>235</v>
      </c>
      <c r="P1187">
        <v>312</v>
      </c>
      <c r="Q1187">
        <v>382</v>
      </c>
      <c r="R1187">
        <v>817</v>
      </c>
      <c r="S1187">
        <v>1220</v>
      </c>
      <c r="T1187">
        <v>1990</v>
      </c>
      <c r="U1187">
        <v>3210</v>
      </c>
      <c r="V1187">
        <v>432</v>
      </c>
      <c r="W1187">
        <v>1850</v>
      </c>
      <c r="X1187">
        <v>370</v>
      </c>
      <c r="Y1187">
        <v>2350</v>
      </c>
      <c r="Z1187">
        <v>270</v>
      </c>
      <c r="AA1187">
        <v>1560</v>
      </c>
      <c r="AB1187" s="1" t="s">
        <v>1839</v>
      </c>
    </row>
    <row r="1188" spans="1:28" x14ac:dyDescent="0.3">
      <c r="A1188">
        <v>78571</v>
      </c>
      <c r="B1188" s="1" t="s">
        <v>1469</v>
      </c>
      <c r="C1188">
        <v>0</v>
      </c>
      <c r="D1188">
        <v>1610612752</v>
      </c>
      <c r="E1188" s="1" t="s">
        <v>1248</v>
      </c>
      <c r="F1188">
        <v>290</v>
      </c>
      <c r="G1188">
        <v>76</v>
      </c>
      <c r="H1188">
        <v>630</v>
      </c>
      <c r="I1188">
        <v>22300</v>
      </c>
      <c r="J1188">
        <v>418</v>
      </c>
      <c r="K1188">
        <v>939</v>
      </c>
      <c r="L1188">
        <v>445</v>
      </c>
      <c r="M1188">
        <v>250</v>
      </c>
      <c r="N1188">
        <v>810</v>
      </c>
      <c r="O1188">
        <v>309</v>
      </c>
      <c r="P1188">
        <v>263</v>
      </c>
      <c r="Q1188">
        <v>318</v>
      </c>
      <c r="R1188">
        <v>827</v>
      </c>
      <c r="S1188">
        <v>670</v>
      </c>
      <c r="T1188">
        <v>2000</v>
      </c>
      <c r="U1188">
        <v>2670</v>
      </c>
      <c r="V1188">
        <v>449</v>
      </c>
      <c r="W1188">
        <v>1620</v>
      </c>
      <c r="X1188">
        <v>260</v>
      </c>
      <c r="Y1188">
        <v>2190</v>
      </c>
      <c r="Z1188">
        <v>274</v>
      </c>
      <c r="AA1188">
        <v>1124</v>
      </c>
      <c r="AB1188" s="1" t="s">
        <v>1839</v>
      </c>
    </row>
    <row r="1189" spans="1:28" x14ac:dyDescent="0.3">
      <c r="A1189">
        <v>200761</v>
      </c>
      <c r="B1189" s="1" t="s">
        <v>1312</v>
      </c>
      <c r="C1189">
        <v>0</v>
      </c>
      <c r="D1189">
        <v>1610612752</v>
      </c>
      <c r="E1189" s="1" t="s">
        <v>1248</v>
      </c>
      <c r="F1189">
        <v>250</v>
      </c>
      <c r="G1189">
        <v>64</v>
      </c>
      <c r="H1189">
        <v>110</v>
      </c>
      <c r="I1189">
        <v>13230</v>
      </c>
      <c r="J1189">
        <v>164</v>
      </c>
      <c r="K1189">
        <v>385</v>
      </c>
      <c r="L1189">
        <v>426</v>
      </c>
      <c r="M1189">
        <v>850</v>
      </c>
      <c r="N1189">
        <v>2120</v>
      </c>
      <c r="O1189">
        <v>401</v>
      </c>
      <c r="P1189">
        <v>41</v>
      </c>
      <c r="Q1189">
        <v>49</v>
      </c>
      <c r="R1189">
        <v>837</v>
      </c>
      <c r="S1189">
        <v>600</v>
      </c>
      <c r="T1189">
        <v>1790</v>
      </c>
      <c r="U1189">
        <v>2390</v>
      </c>
      <c r="V1189">
        <v>47</v>
      </c>
      <c r="W1189">
        <v>390</v>
      </c>
      <c r="X1189">
        <v>510</v>
      </c>
      <c r="Y1189">
        <v>460</v>
      </c>
      <c r="Z1189">
        <v>164</v>
      </c>
      <c r="AA1189">
        <v>454</v>
      </c>
      <c r="AB1189" s="1" t="s">
        <v>1840</v>
      </c>
    </row>
    <row r="1190" spans="1:28" x14ac:dyDescent="0.3">
      <c r="A1190">
        <v>200749</v>
      </c>
      <c r="B1190" s="1" t="s">
        <v>1312</v>
      </c>
      <c r="C1190">
        <v>0</v>
      </c>
      <c r="D1190">
        <v>1610612752</v>
      </c>
      <c r="E1190" s="1" t="s">
        <v>1248</v>
      </c>
      <c r="F1190">
        <v>270</v>
      </c>
      <c r="G1190">
        <v>17</v>
      </c>
      <c r="H1190">
        <v>60</v>
      </c>
      <c r="I1190">
        <v>1980</v>
      </c>
      <c r="J1190">
        <v>21</v>
      </c>
      <c r="K1190">
        <v>39</v>
      </c>
      <c r="L1190">
        <v>538</v>
      </c>
      <c r="M1190">
        <v>0</v>
      </c>
      <c r="N1190">
        <v>0</v>
      </c>
      <c r="O1190">
        <v>0</v>
      </c>
      <c r="P1190">
        <v>24</v>
      </c>
      <c r="Q1190">
        <v>29</v>
      </c>
      <c r="R1190">
        <v>828</v>
      </c>
      <c r="S1190">
        <v>190</v>
      </c>
      <c r="T1190">
        <v>310</v>
      </c>
      <c r="U1190">
        <v>500</v>
      </c>
      <c r="V1190">
        <v>13</v>
      </c>
      <c r="W1190">
        <v>50</v>
      </c>
      <c r="X1190">
        <v>40</v>
      </c>
      <c r="Y1190">
        <v>60</v>
      </c>
      <c r="Z1190">
        <v>34</v>
      </c>
      <c r="AA1190">
        <v>66</v>
      </c>
      <c r="AB1190" s="1" t="s">
        <v>1841</v>
      </c>
    </row>
    <row r="1191" spans="1:28" x14ac:dyDescent="0.3">
      <c r="A1191">
        <v>78570</v>
      </c>
      <c r="B1191" s="1" t="s">
        <v>1359</v>
      </c>
      <c r="C1191">
        <v>0</v>
      </c>
      <c r="D1191">
        <v>1610612752</v>
      </c>
      <c r="E1191" s="1" t="s">
        <v>1248</v>
      </c>
      <c r="F1191">
        <v>220</v>
      </c>
      <c r="G1191">
        <v>57</v>
      </c>
      <c r="I1191">
        <v>5560</v>
      </c>
      <c r="J1191">
        <v>104</v>
      </c>
      <c r="K1191">
        <v>267</v>
      </c>
      <c r="L1191">
        <v>39</v>
      </c>
      <c r="M1191">
        <v>0</v>
      </c>
      <c r="N1191">
        <v>40</v>
      </c>
      <c r="O1191">
        <v>0</v>
      </c>
      <c r="P1191">
        <v>58</v>
      </c>
      <c r="Q1191">
        <v>90</v>
      </c>
      <c r="R1191">
        <v>644</v>
      </c>
      <c r="S1191">
        <v>650</v>
      </c>
      <c r="T1191">
        <v>560</v>
      </c>
      <c r="U1191">
        <v>1210</v>
      </c>
      <c r="V1191">
        <v>36</v>
      </c>
      <c r="W1191">
        <v>190</v>
      </c>
      <c r="X1191">
        <v>80</v>
      </c>
      <c r="Y1191">
        <v>490</v>
      </c>
      <c r="Z1191">
        <v>73</v>
      </c>
      <c r="AA1191">
        <v>266</v>
      </c>
      <c r="AB1191" s="1" t="s">
        <v>1842</v>
      </c>
    </row>
    <row r="1192" spans="1:28" x14ac:dyDescent="0.3">
      <c r="A1192">
        <v>78570</v>
      </c>
      <c r="B1192" s="1" t="s">
        <v>1282</v>
      </c>
      <c r="C1192">
        <v>0</v>
      </c>
      <c r="D1192">
        <v>1610612752</v>
      </c>
      <c r="E1192" s="1" t="s">
        <v>1248</v>
      </c>
      <c r="F1192">
        <v>230</v>
      </c>
      <c r="G1192">
        <v>67</v>
      </c>
      <c r="I1192">
        <v>19760</v>
      </c>
      <c r="J1192">
        <v>349</v>
      </c>
      <c r="K1192">
        <v>708</v>
      </c>
      <c r="L1192">
        <v>493</v>
      </c>
      <c r="M1192">
        <v>20</v>
      </c>
      <c r="N1192">
        <v>80</v>
      </c>
      <c r="O1192">
        <v>25</v>
      </c>
      <c r="P1192">
        <v>185</v>
      </c>
      <c r="Q1192">
        <v>268</v>
      </c>
      <c r="R1192">
        <v>69</v>
      </c>
      <c r="S1192">
        <v>1590</v>
      </c>
      <c r="T1192">
        <v>2570</v>
      </c>
      <c r="U1192">
        <v>4160</v>
      </c>
      <c r="V1192">
        <v>180</v>
      </c>
      <c r="W1192">
        <v>1160</v>
      </c>
      <c r="X1192">
        <v>180</v>
      </c>
      <c r="Y1192">
        <v>1410</v>
      </c>
      <c r="Z1192">
        <v>199</v>
      </c>
      <c r="AA1192">
        <v>885</v>
      </c>
      <c r="AB1192" s="1" t="s">
        <v>1842</v>
      </c>
    </row>
    <row r="1193" spans="1:28" x14ac:dyDescent="0.3">
      <c r="A1193">
        <v>78570</v>
      </c>
      <c r="B1193" s="1" t="s">
        <v>1284</v>
      </c>
      <c r="C1193">
        <v>0</v>
      </c>
      <c r="D1193">
        <v>1610612752</v>
      </c>
      <c r="E1193" s="1" t="s">
        <v>1248</v>
      </c>
      <c r="F1193">
        <v>240</v>
      </c>
      <c r="G1193">
        <v>60</v>
      </c>
      <c r="H1193">
        <v>270</v>
      </c>
      <c r="I1193">
        <v>15210</v>
      </c>
      <c r="J1193">
        <v>349</v>
      </c>
      <c r="K1193">
        <v>628</v>
      </c>
      <c r="L1193">
        <v>556</v>
      </c>
      <c r="M1193">
        <v>20</v>
      </c>
      <c r="N1193">
        <v>90</v>
      </c>
      <c r="O1193">
        <v>222</v>
      </c>
      <c r="P1193">
        <v>131</v>
      </c>
      <c r="Q1193">
        <v>173</v>
      </c>
      <c r="R1193">
        <v>757</v>
      </c>
      <c r="S1193">
        <v>1000</v>
      </c>
      <c r="T1193">
        <v>1270</v>
      </c>
      <c r="U1193">
        <v>2270</v>
      </c>
      <c r="V1193">
        <v>142</v>
      </c>
      <c r="W1193">
        <v>770</v>
      </c>
      <c r="X1193">
        <v>160</v>
      </c>
      <c r="Y1193">
        <v>1140</v>
      </c>
      <c r="Z1193">
        <v>153</v>
      </c>
      <c r="AA1193">
        <v>831</v>
      </c>
      <c r="AB1193" s="1" t="s">
        <v>1842</v>
      </c>
    </row>
    <row r="1194" spans="1:28" x14ac:dyDescent="0.3">
      <c r="A1194">
        <v>78570</v>
      </c>
      <c r="B1194" s="1" t="s">
        <v>1468</v>
      </c>
      <c r="C1194">
        <v>0</v>
      </c>
      <c r="D1194">
        <v>1610612752</v>
      </c>
      <c r="E1194" s="1" t="s">
        <v>1248</v>
      </c>
      <c r="F1194">
        <v>250</v>
      </c>
      <c r="G1194">
        <v>68</v>
      </c>
      <c r="H1194">
        <v>60</v>
      </c>
      <c r="I1194">
        <v>13850</v>
      </c>
      <c r="J1194">
        <v>314</v>
      </c>
      <c r="K1194">
        <v>647</v>
      </c>
      <c r="L1194">
        <v>485</v>
      </c>
      <c r="M1194">
        <v>20</v>
      </c>
      <c r="N1194">
        <v>190</v>
      </c>
      <c r="O1194">
        <v>105</v>
      </c>
      <c r="P1194">
        <v>176</v>
      </c>
      <c r="Q1194">
        <v>259</v>
      </c>
      <c r="R1194">
        <v>68</v>
      </c>
      <c r="S1194">
        <v>940</v>
      </c>
      <c r="T1194">
        <v>1960</v>
      </c>
      <c r="U1194">
        <v>2900</v>
      </c>
      <c r="V1194">
        <v>133</v>
      </c>
      <c r="W1194">
        <v>730</v>
      </c>
      <c r="X1194">
        <v>30</v>
      </c>
      <c r="Y1194">
        <v>1330</v>
      </c>
      <c r="Z1194">
        <v>166</v>
      </c>
      <c r="AA1194">
        <v>806</v>
      </c>
      <c r="AB1194" s="1" t="s">
        <v>1842</v>
      </c>
    </row>
    <row r="1195" spans="1:28" x14ac:dyDescent="0.3">
      <c r="A1195">
        <v>1627786</v>
      </c>
      <c r="B1195" s="1" t="s">
        <v>1259</v>
      </c>
      <c r="C1195">
        <v>0</v>
      </c>
      <c r="D1195">
        <v>1610612752</v>
      </c>
      <c r="E1195" s="1" t="s">
        <v>1248</v>
      </c>
      <c r="F1195">
        <v>230</v>
      </c>
      <c r="G1195">
        <v>17</v>
      </c>
      <c r="H1195">
        <v>10</v>
      </c>
      <c r="I1195">
        <v>2900</v>
      </c>
      <c r="J1195">
        <v>49</v>
      </c>
      <c r="K1195">
        <v>100</v>
      </c>
      <c r="L1195">
        <v>49</v>
      </c>
      <c r="M1195">
        <v>110</v>
      </c>
      <c r="N1195">
        <v>330</v>
      </c>
      <c r="O1195">
        <v>333</v>
      </c>
      <c r="P1195">
        <v>19</v>
      </c>
      <c r="Q1195">
        <v>27</v>
      </c>
      <c r="R1195">
        <v>704</v>
      </c>
      <c r="S1195">
        <v>210</v>
      </c>
      <c r="T1195">
        <v>380</v>
      </c>
      <c r="U1195">
        <v>590</v>
      </c>
      <c r="V1195">
        <v>15</v>
      </c>
      <c r="W1195">
        <v>190</v>
      </c>
      <c r="X1195">
        <v>40</v>
      </c>
      <c r="Y1195">
        <v>180</v>
      </c>
      <c r="Z1195">
        <v>32</v>
      </c>
      <c r="AA1195">
        <v>128</v>
      </c>
      <c r="AB1195" s="1" t="s">
        <v>1843</v>
      </c>
    </row>
    <row r="1196" spans="1:28" x14ac:dyDescent="0.3">
      <c r="A1196">
        <v>78589</v>
      </c>
      <c r="B1196" s="1" t="s">
        <v>1272</v>
      </c>
      <c r="C1196">
        <v>0</v>
      </c>
      <c r="D1196">
        <v>1610612752</v>
      </c>
      <c r="E1196" s="1" t="s">
        <v>1248</v>
      </c>
      <c r="F1196">
        <v>250</v>
      </c>
      <c r="G1196">
        <v>15</v>
      </c>
      <c r="H1196">
        <v>0</v>
      </c>
      <c r="I1196">
        <v>640</v>
      </c>
      <c r="J1196">
        <v>12</v>
      </c>
      <c r="K1196">
        <v>27</v>
      </c>
      <c r="L1196">
        <v>444</v>
      </c>
      <c r="M1196">
        <v>10</v>
      </c>
      <c r="N1196">
        <v>20</v>
      </c>
      <c r="O1196">
        <v>5</v>
      </c>
      <c r="P1196">
        <v>8</v>
      </c>
      <c r="Q1196">
        <v>10</v>
      </c>
      <c r="R1196">
        <v>8</v>
      </c>
      <c r="S1196">
        <v>60</v>
      </c>
      <c r="T1196">
        <v>90</v>
      </c>
      <c r="U1196">
        <v>150</v>
      </c>
      <c r="V1196">
        <v>8</v>
      </c>
      <c r="W1196">
        <v>20</v>
      </c>
      <c r="X1196">
        <v>20</v>
      </c>
      <c r="Y1196">
        <v>20</v>
      </c>
      <c r="Z1196">
        <v>4</v>
      </c>
      <c r="AA1196">
        <v>33</v>
      </c>
      <c r="AB1196" s="1" t="s">
        <v>1844</v>
      </c>
    </row>
    <row r="1197" spans="1:28" x14ac:dyDescent="0.3">
      <c r="A1197">
        <v>1629685</v>
      </c>
      <c r="B1197" s="1" t="s">
        <v>1369</v>
      </c>
      <c r="C1197">
        <v>0</v>
      </c>
      <c r="D1197">
        <v>1610612752</v>
      </c>
      <c r="E1197" s="1" t="s">
        <v>1248</v>
      </c>
      <c r="F1197">
        <v>270</v>
      </c>
      <c r="G1197">
        <v>3</v>
      </c>
      <c r="H1197">
        <v>0</v>
      </c>
      <c r="I1197">
        <v>70</v>
      </c>
      <c r="J1197">
        <v>1</v>
      </c>
      <c r="K1197">
        <v>2</v>
      </c>
      <c r="L1197">
        <v>5</v>
      </c>
      <c r="M1197">
        <v>10</v>
      </c>
      <c r="N1197">
        <v>20</v>
      </c>
      <c r="O1197">
        <v>5</v>
      </c>
      <c r="P1197">
        <v>0</v>
      </c>
      <c r="Q1197">
        <v>0</v>
      </c>
      <c r="R1197">
        <v>0</v>
      </c>
      <c r="S1197">
        <v>0</v>
      </c>
      <c r="T1197">
        <v>10</v>
      </c>
      <c r="U1197">
        <v>10</v>
      </c>
      <c r="V1197">
        <v>1</v>
      </c>
      <c r="W1197">
        <v>0</v>
      </c>
      <c r="X1197">
        <v>0</v>
      </c>
      <c r="Y1197">
        <v>0</v>
      </c>
      <c r="Z1197">
        <v>1</v>
      </c>
      <c r="AA1197">
        <v>3</v>
      </c>
      <c r="AB1197" s="1" t="s">
        <v>1845</v>
      </c>
    </row>
    <row r="1198" spans="1:28" x14ac:dyDescent="0.3">
      <c r="A1198">
        <v>766</v>
      </c>
      <c r="B1198" s="1" t="s">
        <v>1429</v>
      </c>
      <c r="C1198">
        <v>0</v>
      </c>
      <c r="D1198">
        <v>1610612752</v>
      </c>
      <c r="E1198" s="1" t="s">
        <v>1248</v>
      </c>
      <c r="F1198">
        <v>350</v>
      </c>
      <c r="G1198">
        <v>20</v>
      </c>
      <c r="H1198">
        <v>0</v>
      </c>
      <c r="I1198">
        <v>920</v>
      </c>
      <c r="J1198">
        <v>7</v>
      </c>
      <c r="K1198">
        <v>16</v>
      </c>
      <c r="L1198">
        <v>438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30</v>
      </c>
      <c r="T1198">
        <v>50</v>
      </c>
      <c r="U1198">
        <v>80</v>
      </c>
      <c r="V1198">
        <v>5</v>
      </c>
      <c r="W1198">
        <v>40</v>
      </c>
      <c r="X1198">
        <v>0</v>
      </c>
      <c r="Y1198">
        <v>60</v>
      </c>
      <c r="Z1198">
        <v>10</v>
      </c>
      <c r="AA1198">
        <v>14</v>
      </c>
      <c r="AB1198" s="1" t="s">
        <v>1846</v>
      </c>
    </row>
    <row r="1199" spans="1:28" x14ac:dyDescent="0.3">
      <c r="A1199">
        <v>766</v>
      </c>
      <c r="B1199" s="1" t="s">
        <v>1464</v>
      </c>
      <c r="C1199">
        <v>0</v>
      </c>
      <c r="D1199">
        <v>1610612752</v>
      </c>
      <c r="E1199" s="1" t="s">
        <v>1248</v>
      </c>
      <c r="F1199">
        <v>360</v>
      </c>
      <c r="G1199">
        <v>7</v>
      </c>
      <c r="H1199">
        <v>0</v>
      </c>
      <c r="I1199">
        <v>320</v>
      </c>
      <c r="J1199">
        <v>1</v>
      </c>
      <c r="K1199">
        <v>9</v>
      </c>
      <c r="L1199">
        <v>111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10</v>
      </c>
      <c r="T1199">
        <v>10</v>
      </c>
      <c r="U1199">
        <v>20</v>
      </c>
      <c r="V1199">
        <v>3</v>
      </c>
      <c r="W1199">
        <v>10</v>
      </c>
      <c r="X1199">
        <v>20</v>
      </c>
      <c r="Y1199">
        <v>20</v>
      </c>
      <c r="Z1199">
        <v>7</v>
      </c>
      <c r="AA1199">
        <v>2</v>
      </c>
      <c r="AB1199" s="1" t="s">
        <v>1846</v>
      </c>
    </row>
    <row r="1200" spans="1:28" x14ac:dyDescent="0.3">
      <c r="A1200">
        <v>78596</v>
      </c>
      <c r="B1200" s="1" t="s">
        <v>1356</v>
      </c>
      <c r="C1200">
        <v>0</v>
      </c>
      <c r="D1200">
        <v>1610612752</v>
      </c>
      <c r="E1200" s="1" t="s">
        <v>1248</v>
      </c>
      <c r="F1200">
        <v>250</v>
      </c>
      <c r="G1200">
        <v>13</v>
      </c>
      <c r="I1200">
        <v>590</v>
      </c>
      <c r="J1200">
        <v>9</v>
      </c>
      <c r="K1200">
        <v>22</v>
      </c>
      <c r="L1200">
        <v>409</v>
      </c>
      <c r="P1200">
        <v>2</v>
      </c>
      <c r="Q1200">
        <v>6</v>
      </c>
      <c r="R1200">
        <v>333</v>
      </c>
      <c r="U1200">
        <v>160</v>
      </c>
      <c r="V1200">
        <v>1</v>
      </c>
      <c r="Z1200">
        <v>9</v>
      </c>
      <c r="AA1200">
        <v>20</v>
      </c>
      <c r="AB1200" s="1" t="s">
        <v>1847</v>
      </c>
    </row>
    <row r="1201" spans="1:28" x14ac:dyDescent="0.3">
      <c r="A1201">
        <v>78596</v>
      </c>
      <c r="B1201" s="1" t="s">
        <v>1357</v>
      </c>
      <c r="C1201">
        <v>0</v>
      </c>
      <c r="D1201">
        <v>1610612752</v>
      </c>
      <c r="E1201" s="1" t="s">
        <v>1248</v>
      </c>
      <c r="F1201">
        <v>260</v>
      </c>
      <c r="G1201">
        <v>60</v>
      </c>
      <c r="I1201">
        <v>5360</v>
      </c>
      <c r="J1201">
        <v>82</v>
      </c>
      <c r="K1201">
        <v>172</v>
      </c>
      <c r="L1201">
        <v>477</v>
      </c>
      <c r="P1201">
        <v>48</v>
      </c>
      <c r="Q1201">
        <v>76</v>
      </c>
      <c r="R1201">
        <v>632</v>
      </c>
      <c r="S1201">
        <v>720</v>
      </c>
      <c r="T1201">
        <v>940</v>
      </c>
      <c r="U1201">
        <v>1660</v>
      </c>
      <c r="V1201">
        <v>25</v>
      </c>
      <c r="W1201">
        <v>70</v>
      </c>
      <c r="X1201">
        <v>140</v>
      </c>
      <c r="Z1201">
        <v>85</v>
      </c>
      <c r="AA1201">
        <v>212</v>
      </c>
      <c r="AB1201" s="1" t="s">
        <v>1847</v>
      </c>
    </row>
    <row r="1202" spans="1:28" x14ac:dyDescent="0.3">
      <c r="A1202">
        <v>78596</v>
      </c>
      <c r="B1202" s="1" t="s">
        <v>1358</v>
      </c>
      <c r="C1202">
        <v>0</v>
      </c>
      <c r="D1202">
        <v>1610612752</v>
      </c>
      <c r="E1202" s="1" t="s">
        <v>1248</v>
      </c>
      <c r="F1202">
        <v>270</v>
      </c>
      <c r="G1202">
        <v>82</v>
      </c>
      <c r="I1202">
        <v>16860</v>
      </c>
      <c r="J1202">
        <v>233</v>
      </c>
      <c r="K1202">
        <v>506</v>
      </c>
      <c r="L1202">
        <v>46</v>
      </c>
      <c r="P1202">
        <v>141</v>
      </c>
      <c r="Q1202">
        <v>187</v>
      </c>
      <c r="R1202">
        <v>754</v>
      </c>
      <c r="S1202">
        <v>1630</v>
      </c>
      <c r="T1202">
        <v>2930</v>
      </c>
      <c r="U1202">
        <v>4560</v>
      </c>
      <c r="V1202">
        <v>84</v>
      </c>
      <c r="W1202">
        <v>480</v>
      </c>
      <c r="X1202">
        <v>350</v>
      </c>
      <c r="Z1202">
        <v>215</v>
      </c>
      <c r="AA1202">
        <v>607</v>
      </c>
      <c r="AB1202" s="1" t="s">
        <v>1847</v>
      </c>
    </row>
    <row r="1203" spans="1:28" x14ac:dyDescent="0.3">
      <c r="A1203">
        <v>78596</v>
      </c>
      <c r="B1203" s="1" t="s">
        <v>1261</v>
      </c>
      <c r="C1203">
        <v>0</v>
      </c>
      <c r="D1203">
        <v>1610612752</v>
      </c>
      <c r="E1203" s="1" t="s">
        <v>1248</v>
      </c>
      <c r="F1203">
        <v>280</v>
      </c>
      <c r="G1203">
        <v>57</v>
      </c>
      <c r="I1203">
        <v>5330</v>
      </c>
      <c r="J1203">
        <v>72</v>
      </c>
      <c r="K1203">
        <v>163</v>
      </c>
      <c r="L1203">
        <v>442</v>
      </c>
      <c r="P1203">
        <v>40</v>
      </c>
      <c r="Q1203">
        <v>60</v>
      </c>
      <c r="R1203">
        <v>667</v>
      </c>
      <c r="S1203">
        <v>460</v>
      </c>
      <c r="T1203">
        <v>610</v>
      </c>
      <c r="U1203">
        <v>1070</v>
      </c>
      <c r="V1203">
        <v>18</v>
      </c>
      <c r="W1203">
        <v>190</v>
      </c>
      <c r="X1203">
        <v>80</v>
      </c>
      <c r="Z1203">
        <v>59</v>
      </c>
      <c r="AA1203">
        <v>184</v>
      </c>
      <c r="AB1203" s="1" t="s">
        <v>1847</v>
      </c>
    </row>
    <row r="1204" spans="1:28" x14ac:dyDescent="0.3">
      <c r="A1204">
        <v>2417</v>
      </c>
      <c r="B1204" s="1" t="s">
        <v>1300</v>
      </c>
      <c r="C1204">
        <v>0</v>
      </c>
      <c r="D1204">
        <v>1610612752</v>
      </c>
      <c r="E1204" s="1" t="s">
        <v>1248</v>
      </c>
      <c r="F1204">
        <v>250</v>
      </c>
      <c r="G1204">
        <v>49</v>
      </c>
      <c r="H1204">
        <v>160</v>
      </c>
      <c r="I1204">
        <v>10130</v>
      </c>
      <c r="J1204">
        <v>129</v>
      </c>
      <c r="K1204">
        <v>254</v>
      </c>
      <c r="L1204">
        <v>508</v>
      </c>
      <c r="M1204">
        <v>220</v>
      </c>
      <c r="N1204">
        <v>600</v>
      </c>
      <c r="O1204">
        <v>367</v>
      </c>
      <c r="P1204">
        <v>49</v>
      </c>
      <c r="Q1204">
        <v>76</v>
      </c>
      <c r="R1204">
        <v>645</v>
      </c>
      <c r="S1204">
        <v>440</v>
      </c>
      <c r="T1204">
        <v>1460</v>
      </c>
      <c r="U1204">
        <v>1900</v>
      </c>
      <c r="V1204">
        <v>47</v>
      </c>
      <c r="W1204">
        <v>320</v>
      </c>
      <c r="X1204">
        <v>130</v>
      </c>
      <c r="Y1204">
        <v>610</v>
      </c>
      <c r="Z1204">
        <v>96</v>
      </c>
      <c r="AA1204">
        <v>329</v>
      </c>
      <c r="AB1204" s="1" t="s">
        <v>1848</v>
      </c>
    </row>
    <row r="1205" spans="1:28" x14ac:dyDescent="0.3">
      <c r="A1205">
        <v>78614</v>
      </c>
      <c r="B1205" s="1" t="s">
        <v>1282</v>
      </c>
      <c r="C1205">
        <v>0</v>
      </c>
      <c r="D1205">
        <v>1610612752</v>
      </c>
      <c r="E1205" s="1" t="s">
        <v>1248</v>
      </c>
      <c r="F1205">
        <v>230</v>
      </c>
      <c r="G1205">
        <v>81</v>
      </c>
      <c r="I1205">
        <v>9490</v>
      </c>
      <c r="J1205">
        <v>165</v>
      </c>
      <c r="K1205">
        <v>373</v>
      </c>
      <c r="L1205">
        <v>442</v>
      </c>
      <c r="M1205">
        <v>10</v>
      </c>
      <c r="N1205">
        <v>50</v>
      </c>
      <c r="O1205">
        <v>2</v>
      </c>
      <c r="P1205">
        <v>49</v>
      </c>
      <c r="Q1205">
        <v>64</v>
      </c>
      <c r="R1205">
        <v>766</v>
      </c>
      <c r="S1205">
        <v>330</v>
      </c>
      <c r="T1205">
        <v>640</v>
      </c>
      <c r="U1205">
        <v>970</v>
      </c>
      <c r="V1205">
        <v>75</v>
      </c>
      <c r="W1205">
        <v>360</v>
      </c>
      <c r="X1205">
        <v>120</v>
      </c>
      <c r="Y1205">
        <v>540</v>
      </c>
      <c r="Z1205">
        <v>95</v>
      </c>
      <c r="AA1205">
        <v>380</v>
      </c>
      <c r="AB1205" s="1" t="s">
        <v>1849</v>
      </c>
    </row>
    <row r="1206" spans="1:28" x14ac:dyDescent="0.3">
      <c r="A1206">
        <v>1897</v>
      </c>
      <c r="B1206" s="1" t="s">
        <v>1337</v>
      </c>
      <c r="C1206">
        <v>0</v>
      </c>
      <c r="D1206">
        <v>1610612752</v>
      </c>
      <c r="E1206" s="1" t="s">
        <v>1248</v>
      </c>
      <c r="F1206">
        <v>340</v>
      </c>
      <c r="G1206">
        <v>29</v>
      </c>
      <c r="H1206">
        <v>10</v>
      </c>
      <c r="I1206">
        <v>3880</v>
      </c>
      <c r="J1206">
        <v>56</v>
      </c>
      <c r="K1206">
        <v>141</v>
      </c>
      <c r="L1206">
        <v>397</v>
      </c>
      <c r="M1206">
        <v>170</v>
      </c>
      <c r="N1206">
        <v>540</v>
      </c>
      <c r="O1206">
        <v>315</v>
      </c>
      <c r="P1206">
        <v>10</v>
      </c>
      <c r="Q1206">
        <v>16</v>
      </c>
      <c r="R1206">
        <v>625</v>
      </c>
      <c r="S1206">
        <v>180</v>
      </c>
      <c r="T1206">
        <v>410</v>
      </c>
      <c r="U1206">
        <v>590</v>
      </c>
      <c r="V1206">
        <v>17</v>
      </c>
      <c r="W1206">
        <v>240</v>
      </c>
      <c r="X1206">
        <v>80</v>
      </c>
      <c r="Y1206">
        <v>190</v>
      </c>
      <c r="Z1206">
        <v>44</v>
      </c>
      <c r="AA1206">
        <v>139</v>
      </c>
      <c r="AB1206" s="1" t="s">
        <v>1850</v>
      </c>
    </row>
    <row r="1207" spans="1:28" x14ac:dyDescent="0.3">
      <c r="A1207">
        <v>78620</v>
      </c>
      <c r="B1207" s="1" t="s">
        <v>1394</v>
      </c>
      <c r="C1207">
        <v>0</v>
      </c>
      <c r="D1207">
        <v>1610612752</v>
      </c>
      <c r="E1207" s="1" t="s">
        <v>1248</v>
      </c>
      <c r="F1207">
        <v>250</v>
      </c>
      <c r="G1207">
        <v>14</v>
      </c>
      <c r="H1207">
        <v>0</v>
      </c>
      <c r="I1207">
        <v>1380</v>
      </c>
      <c r="J1207">
        <v>20</v>
      </c>
      <c r="K1207">
        <v>46</v>
      </c>
      <c r="L1207">
        <v>435</v>
      </c>
      <c r="M1207">
        <v>0</v>
      </c>
      <c r="N1207">
        <v>10</v>
      </c>
      <c r="O1207">
        <v>0</v>
      </c>
      <c r="P1207">
        <v>12</v>
      </c>
      <c r="Q1207">
        <v>28</v>
      </c>
      <c r="R1207">
        <v>429</v>
      </c>
      <c r="S1207">
        <v>250</v>
      </c>
      <c r="T1207">
        <v>280</v>
      </c>
      <c r="U1207">
        <v>530</v>
      </c>
      <c r="V1207">
        <v>1</v>
      </c>
      <c r="W1207">
        <v>30</v>
      </c>
      <c r="X1207">
        <v>60</v>
      </c>
      <c r="Y1207">
        <v>130</v>
      </c>
      <c r="Z1207">
        <v>20</v>
      </c>
      <c r="AA1207">
        <v>52</v>
      </c>
      <c r="AB1207" s="1" t="s">
        <v>1851</v>
      </c>
    </row>
    <row r="1208" spans="1:28" x14ac:dyDescent="0.3">
      <c r="A1208">
        <v>78638</v>
      </c>
      <c r="B1208" s="1" t="s">
        <v>1378</v>
      </c>
      <c r="C1208">
        <v>0</v>
      </c>
      <c r="D1208">
        <v>1610612752</v>
      </c>
      <c r="E1208" s="1" t="s">
        <v>1248</v>
      </c>
      <c r="F1208">
        <v>250</v>
      </c>
      <c r="G1208">
        <v>66</v>
      </c>
      <c r="J1208">
        <v>302</v>
      </c>
      <c r="K1208">
        <v>853</v>
      </c>
      <c r="L1208">
        <v>354</v>
      </c>
      <c r="P1208">
        <v>231</v>
      </c>
      <c r="Q1208">
        <v>298</v>
      </c>
      <c r="R1208">
        <v>775</v>
      </c>
      <c r="U1208">
        <v>2280</v>
      </c>
      <c r="V1208">
        <v>136</v>
      </c>
      <c r="Z1208">
        <v>150</v>
      </c>
      <c r="AA1208">
        <v>835</v>
      </c>
      <c r="AB1208" s="1" t="s">
        <v>1852</v>
      </c>
    </row>
    <row r="1209" spans="1:28" x14ac:dyDescent="0.3">
      <c r="A1209">
        <v>78638</v>
      </c>
      <c r="B1209" s="1" t="s">
        <v>1247</v>
      </c>
      <c r="C1209">
        <v>0</v>
      </c>
      <c r="D1209">
        <v>1610612752</v>
      </c>
      <c r="E1209" s="1" t="s">
        <v>1248</v>
      </c>
      <c r="F1209">
        <v>260</v>
      </c>
      <c r="G1209">
        <v>66</v>
      </c>
      <c r="I1209">
        <v>21130</v>
      </c>
      <c r="J1209">
        <v>322</v>
      </c>
      <c r="K1209">
        <v>958</v>
      </c>
      <c r="L1209">
        <v>336</v>
      </c>
      <c r="P1209">
        <v>287</v>
      </c>
      <c r="Q1209">
        <v>380</v>
      </c>
      <c r="R1209">
        <v>755</v>
      </c>
      <c r="U1209">
        <v>1940</v>
      </c>
      <c r="V1209">
        <v>156</v>
      </c>
      <c r="Z1209">
        <v>183</v>
      </c>
      <c r="AA1209">
        <v>931</v>
      </c>
      <c r="AB1209" s="1" t="s">
        <v>1852</v>
      </c>
    </row>
    <row r="1210" spans="1:28" x14ac:dyDescent="0.3">
      <c r="A1210">
        <v>78638</v>
      </c>
      <c r="B1210" s="1" t="s">
        <v>1390</v>
      </c>
      <c r="C1210">
        <v>0</v>
      </c>
      <c r="D1210">
        <v>1610612752</v>
      </c>
      <c r="E1210" s="1" t="s">
        <v>1248</v>
      </c>
      <c r="F1210">
        <v>270</v>
      </c>
      <c r="G1210">
        <v>29</v>
      </c>
      <c r="I1210">
        <v>7220</v>
      </c>
      <c r="J1210">
        <v>123</v>
      </c>
      <c r="K1210">
        <v>320</v>
      </c>
      <c r="L1210">
        <v>384</v>
      </c>
      <c r="P1210">
        <v>98</v>
      </c>
      <c r="Q1210">
        <v>142</v>
      </c>
      <c r="R1210">
        <v>69</v>
      </c>
      <c r="U1210">
        <v>750</v>
      </c>
      <c r="V1210">
        <v>55</v>
      </c>
      <c r="Z1210">
        <v>81</v>
      </c>
      <c r="AA1210">
        <v>344</v>
      </c>
      <c r="AB1210" s="1" t="s">
        <v>1852</v>
      </c>
    </row>
    <row r="1211" spans="1:28" x14ac:dyDescent="0.3">
      <c r="A1211">
        <v>221</v>
      </c>
      <c r="B1211" s="1" t="s">
        <v>1330</v>
      </c>
      <c r="C1211">
        <v>0</v>
      </c>
      <c r="D1211">
        <v>1610612752</v>
      </c>
      <c r="E1211" s="1" t="s">
        <v>1248</v>
      </c>
      <c r="F1211">
        <v>310</v>
      </c>
      <c r="G1211">
        <v>56</v>
      </c>
      <c r="H1211">
        <v>410</v>
      </c>
      <c r="I1211">
        <v>17260</v>
      </c>
      <c r="J1211">
        <v>189</v>
      </c>
      <c r="K1211">
        <v>452</v>
      </c>
      <c r="L1211">
        <v>418</v>
      </c>
      <c r="M1211">
        <v>0</v>
      </c>
      <c r="N1211">
        <v>0</v>
      </c>
      <c r="O1211">
        <v>0</v>
      </c>
      <c r="P1211">
        <v>116</v>
      </c>
      <c r="Q1211">
        <v>146</v>
      </c>
      <c r="R1211">
        <v>795</v>
      </c>
      <c r="S1211">
        <v>1490</v>
      </c>
      <c r="T1211">
        <v>3110</v>
      </c>
      <c r="U1211">
        <v>4600</v>
      </c>
      <c r="V1211">
        <v>60</v>
      </c>
      <c r="W1211">
        <v>370</v>
      </c>
      <c r="X1211">
        <v>480</v>
      </c>
      <c r="Y1211">
        <v>470</v>
      </c>
      <c r="Z1211">
        <v>132</v>
      </c>
      <c r="AA1211">
        <v>494</v>
      </c>
      <c r="AB1211" s="1" t="s">
        <v>1853</v>
      </c>
    </row>
    <row r="1212" spans="1:28" x14ac:dyDescent="0.3">
      <c r="A1212">
        <v>221</v>
      </c>
      <c r="B1212" s="1" t="s">
        <v>1325</v>
      </c>
      <c r="C1212">
        <v>0</v>
      </c>
      <c r="D1212">
        <v>1610612752</v>
      </c>
      <c r="E1212" s="1" t="s">
        <v>1248</v>
      </c>
      <c r="F1212">
        <v>320</v>
      </c>
      <c r="G1212">
        <v>79</v>
      </c>
      <c r="H1212">
        <v>190</v>
      </c>
      <c r="I1212">
        <v>20260</v>
      </c>
      <c r="J1212">
        <v>186</v>
      </c>
      <c r="K1212">
        <v>414</v>
      </c>
      <c r="L1212">
        <v>449</v>
      </c>
      <c r="M1212">
        <v>0</v>
      </c>
      <c r="N1212">
        <v>0</v>
      </c>
      <c r="O1212">
        <v>0</v>
      </c>
      <c r="P1212">
        <v>149</v>
      </c>
      <c r="Q1212">
        <v>194</v>
      </c>
      <c r="R1212">
        <v>768</v>
      </c>
      <c r="S1212">
        <v>2140</v>
      </c>
      <c r="T1212">
        <v>3850</v>
      </c>
      <c r="U1212">
        <v>5990</v>
      </c>
      <c r="V1212">
        <v>68</v>
      </c>
      <c r="W1212">
        <v>690</v>
      </c>
      <c r="X1212">
        <v>360</v>
      </c>
      <c r="Y1212">
        <v>630</v>
      </c>
      <c r="Z1212">
        <v>174</v>
      </c>
      <c r="AA1212">
        <v>521</v>
      </c>
      <c r="AB1212" s="1" t="s">
        <v>1853</v>
      </c>
    </row>
    <row r="1213" spans="1:28" x14ac:dyDescent="0.3">
      <c r="A1213">
        <v>221</v>
      </c>
      <c r="B1213" s="1" t="s">
        <v>1293</v>
      </c>
      <c r="C1213">
        <v>0</v>
      </c>
      <c r="D1213">
        <v>1610612752</v>
      </c>
      <c r="E1213" s="1" t="s">
        <v>1248</v>
      </c>
      <c r="F1213">
        <v>330</v>
      </c>
      <c r="G1213">
        <v>15</v>
      </c>
      <c r="H1213">
        <v>10</v>
      </c>
      <c r="I1213">
        <v>2180</v>
      </c>
      <c r="J1213">
        <v>18</v>
      </c>
      <c r="K1213">
        <v>40</v>
      </c>
      <c r="L1213">
        <v>45</v>
      </c>
      <c r="M1213">
        <v>0</v>
      </c>
      <c r="N1213">
        <v>0</v>
      </c>
      <c r="O1213">
        <v>0</v>
      </c>
      <c r="P1213">
        <v>18</v>
      </c>
      <c r="Q1213">
        <v>19</v>
      </c>
      <c r="R1213">
        <v>947</v>
      </c>
      <c r="S1213">
        <v>140</v>
      </c>
      <c r="T1213">
        <v>360</v>
      </c>
      <c r="U1213">
        <v>500</v>
      </c>
      <c r="V1213">
        <v>13</v>
      </c>
      <c r="W1213">
        <v>80</v>
      </c>
      <c r="X1213">
        <v>20</v>
      </c>
      <c r="Y1213">
        <v>90</v>
      </c>
      <c r="Z1213">
        <v>19</v>
      </c>
      <c r="AA1213">
        <v>54</v>
      </c>
      <c r="AB1213" s="1" t="s">
        <v>1853</v>
      </c>
    </row>
    <row r="1214" spans="1:28" x14ac:dyDescent="0.3">
      <c r="A1214">
        <v>78437</v>
      </c>
      <c r="B1214" s="1" t="s">
        <v>1469</v>
      </c>
      <c r="C1214">
        <v>0</v>
      </c>
      <c r="D1214">
        <v>1610612752</v>
      </c>
      <c r="E1214" s="1" t="s">
        <v>1248</v>
      </c>
      <c r="F1214">
        <v>230</v>
      </c>
      <c r="G1214">
        <v>82</v>
      </c>
      <c r="H1214">
        <v>0</v>
      </c>
      <c r="I1214">
        <v>13240</v>
      </c>
      <c r="J1214">
        <v>216</v>
      </c>
      <c r="K1214">
        <v>518</v>
      </c>
      <c r="L1214">
        <v>417</v>
      </c>
      <c r="M1214">
        <v>40</v>
      </c>
      <c r="N1214">
        <v>150</v>
      </c>
      <c r="O1214">
        <v>267</v>
      </c>
      <c r="P1214">
        <v>208</v>
      </c>
      <c r="Q1214">
        <v>263</v>
      </c>
      <c r="R1214">
        <v>791</v>
      </c>
      <c r="S1214">
        <v>740</v>
      </c>
      <c r="T1214">
        <v>930</v>
      </c>
      <c r="U1214">
        <v>1670</v>
      </c>
      <c r="V1214">
        <v>284</v>
      </c>
      <c r="W1214">
        <v>1270</v>
      </c>
      <c r="X1214">
        <v>150</v>
      </c>
      <c r="Y1214">
        <v>1940</v>
      </c>
      <c r="Z1214">
        <v>202</v>
      </c>
      <c r="AA1214">
        <v>644</v>
      </c>
      <c r="AB1214" s="1" t="s">
        <v>1854</v>
      </c>
    </row>
    <row r="1215" spans="1:28" x14ac:dyDescent="0.3">
      <c r="A1215">
        <v>78437</v>
      </c>
      <c r="B1215" s="1" t="s">
        <v>1406</v>
      </c>
      <c r="C1215">
        <v>0</v>
      </c>
      <c r="D1215">
        <v>1610612752</v>
      </c>
      <c r="E1215" s="1" t="s">
        <v>1248</v>
      </c>
      <c r="F1215">
        <v>240</v>
      </c>
      <c r="G1215">
        <v>82</v>
      </c>
      <c r="H1215">
        <v>660</v>
      </c>
      <c r="I1215">
        <v>24890</v>
      </c>
      <c r="J1215">
        <v>430</v>
      </c>
      <c r="K1215">
        <v>989</v>
      </c>
      <c r="L1215">
        <v>435</v>
      </c>
      <c r="M1215">
        <v>0</v>
      </c>
      <c r="N1215">
        <v>170</v>
      </c>
      <c r="O1215">
        <v>0</v>
      </c>
      <c r="P1215">
        <v>243</v>
      </c>
      <c r="Q1215">
        <v>347</v>
      </c>
      <c r="R1215">
        <v>7</v>
      </c>
      <c r="S1215">
        <v>1280</v>
      </c>
      <c r="T1215">
        <v>1500</v>
      </c>
      <c r="U1215">
        <v>2780</v>
      </c>
      <c r="V1215">
        <v>408</v>
      </c>
      <c r="W1215">
        <v>1670</v>
      </c>
      <c r="X1215">
        <v>210</v>
      </c>
      <c r="Y1215">
        <v>2040</v>
      </c>
      <c r="Z1215">
        <v>244</v>
      </c>
      <c r="AA1215">
        <v>1103</v>
      </c>
      <c r="AB1215" s="1" t="s">
        <v>1854</v>
      </c>
    </row>
    <row r="1216" spans="1:28" x14ac:dyDescent="0.3">
      <c r="A1216">
        <v>78437</v>
      </c>
      <c r="B1216" s="1" t="s">
        <v>1392</v>
      </c>
      <c r="C1216">
        <v>0</v>
      </c>
      <c r="D1216">
        <v>1610612752</v>
      </c>
      <c r="E1216" s="1" t="s">
        <v>1248</v>
      </c>
      <c r="F1216">
        <v>250</v>
      </c>
      <c r="G1216">
        <v>81</v>
      </c>
      <c r="H1216">
        <v>350</v>
      </c>
      <c r="I1216">
        <v>20230</v>
      </c>
      <c r="J1216">
        <v>324</v>
      </c>
      <c r="K1216">
        <v>753</v>
      </c>
      <c r="L1216">
        <v>43</v>
      </c>
      <c r="M1216">
        <v>0</v>
      </c>
      <c r="N1216">
        <v>100</v>
      </c>
      <c r="O1216">
        <v>0</v>
      </c>
      <c r="P1216">
        <v>190</v>
      </c>
      <c r="Q1216">
        <v>277</v>
      </c>
      <c r="R1216">
        <v>686</v>
      </c>
      <c r="S1216">
        <v>1000</v>
      </c>
      <c r="T1216">
        <v>1200</v>
      </c>
      <c r="U1216">
        <v>2200</v>
      </c>
      <c r="V1216">
        <v>337</v>
      </c>
      <c r="W1216">
        <v>1460</v>
      </c>
      <c r="X1216">
        <v>360</v>
      </c>
      <c r="Y1216">
        <v>1920</v>
      </c>
      <c r="Z1216">
        <v>216</v>
      </c>
      <c r="AA1216">
        <v>838</v>
      </c>
      <c r="AB1216" s="1" t="s">
        <v>1854</v>
      </c>
    </row>
    <row r="1217" spans="1:28" x14ac:dyDescent="0.3">
      <c r="A1217">
        <v>966</v>
      </c>
      <c r="B1217" s="1" t="s">
        <v>1295</v>
      </c>
      <c r="C1217">
        <v>0</v>
      </c>
      <c r="D1217">
        <v>1610612752</v>
      </c>
      <c r="E1217" s="1" t="s">
        <v>1248</v>
      </c>
      <c r="F1217">
        <v>320</v>
      </c>
      <c r="G1217">
        <v>79</v>
      </c>
      <c r="H1217">
        <v>40</v>
      </c>
      <c r="I1217">
        <v>12110</v>
      </c>
      <c r="J1217">
        <v>122</v>
      </c>
      <c r="K1217">
        <v>243</v>
      </c>
      <c r="L1217">
        <v>502</v>
      </c>
      <c r="M1217">
        <v>0</v>
      </c>
      <c r="N1217">
        <v>50</v>
      </c>
      <c r="O1217">
        <v>0</v>
      </c>
      <c r="P1217">
        <v>115</v>
      </c>
      <c r="Q1217">
        <v>172</v>
      </c>
      <c r="R1217">
        <v>669</v>
      </c>
      <c r="S1217">
        <v>1150</v>
      </c>
      <c r="T1217">
        <v>1680</v>
      </c>
      <c r="U1217">
        <v>2830</v>
      </c>
      <c r="V1217">
        <v>41</v>
      </c>
      <c r="W1217">
        <v>550</v>
      </c>
      <c r="X1217">
        <v>100</v>
      </c>
      <c r="Y1217">
        <v>650</v>
      </c>
      <c r="Z1217">
        <v>155</v>
      </c>
      <c r="AA1217">
        <v>359</v>
      </c>
      <c r="AB1217" s="1" t="s">
        <v>1855</v>
      </c>
    </row>
    <row r="1218" spans="1:28" x14ac:dyDescent="0.3">
      <c r="A1218">
        <v>433</v>
      </c>
      <c r="B1218" s="1" t="s">
        <v>1277</v>
      </c>
      <c r="C1218">
        <v>0</v>
      </c>
      <c r="D1218">
        <v>1610612752</v>
      </c>
      <c r="E1218" s="1" t="s">
        <v>1248</v>
      </c>
      <c r="F1218">
        <v>370</v>
      </c>
      <c r="G1218">
        <v>74</v>
      </c>
      <c r="H1218">
        <v>40</v>
      </c>
      <c r="I1218">
        <v>15020</v>
      </c>
      <c r="J1218">
        <v>175</v>
      </c>
      <c r="K1218">
        <v>326</v>
      </c>
      <c r="L1218">
        <v>537</v>
      </c>
      <c r="M1218">
        <v>0</v>
      </c>
      <c r="N1218">
        <v>10</v>
      </c>
      <c r="O1218">
        <v>0</v>
      </c>
      <c r="P1218">
        <v>115</v>
      </c>
      <c r="Q1218">
        <v>179</v>
      </c>
      <c r="R1218">
        <v>642</v>
      </c>
      <c r="S1218">
        <v>1660</v>
      </c>
      <c r="T1218">
        <v>2310</v>
      </c>
      <c r="U1218">
        <v>3970</v>
      </c>
      <c r="V1218">
        <v>53</v>
      </c>
      <c r="W1218">
        <v>400</v>
      </c>
      <c r="X1218">
        <v>380</v>
      </c>
      <c r="Y1218">
        <v>790</v>
      </c>
      <c r="Z1218">
        <v>204</v>
      </c>
      <c r="AA1218">
        <v>465</v>
      </c>
      <c r="AB1218" s="1" t="s">
        <v>1856</v>
      </c>
    </row>
    <row r="1219" spans="1:28" x14ac:dyDescent="0.3">
      <c r="A1219">
        <v>433</v>
      </c>
      <c r="B1219" s="1" t="s">
        <v>1278</v>
      </c>
      <c r="C1219">
        <v>0</v>
      </c>
      <c r="D1219">
        <v>1610612752</v>
      </c>
      <c r="E1219" s="1" t="s">
        <v>1248</v>
      </c>
      <c r="F1219">
        <v>380</v>
      </c>
      <c r="G1219">
        <v>41</v>
      </c>
      <c r="H1219">
        <v>60</v>
      </c>
      <c r="I1219">
        <v>7380</v>
      </c>
      <c r="J1219">
        <v>75</v>
      </c>
      <c r="K1219">
        <v>149</v>
      </c>
      <c r="L1219">
        <v>503</v>
      </c>
      <c r="M1219">
        <v>0</v>
      </c>
      <c r="N1219">
        <v>0</v>
      </c>
      <c r="O1219">
        <v>0</v>
      </c>
      <c r="P1219">
        <v>52</v>
      </c>
      <c r="Q1219">
        <v>71</v>
      </c>
      <c r="R1219">
        <v>732</v>
      </c>
      <c r="S1219">
        <v>780</v>
      </c>
      <c r="T1219">
        <v>1050</v>
      </c>
      <c r="U1219">
        <v>1830</v>
      </c>
      <c r="V1219">
        <v>21</v>
      </c>
      <c r="W1219">
        <v>170</v>
      </c>
      <c r="X1219">
        <v>150</v>
      </c>
      <c r="Y1219">
        <v>380</v>
      </c>
      <c r="Z1219">
        <v>93</v>
      </c>
      <c r="AA1219">
        <v>202</v>
      </c>
      <c r="AB1219" s="1" t="s">
        <v>1856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75E34-685D-4101-AA72-0345B4F36CA0}">
  <dimension ref="A1:AO1219"/>
  <sheetViews>
    <sheetView topLeftCell="J383" workbookViewId="0">
      <selection activeCell="AJ7" sqref="AJ7"/>
    </sheetView>
  </sheetViews>
  <sheetFormatPr baseColWidth="10" defaultRowHeight="14.4" x14ac:dyDescent="0.3"/>
  <cols>
    <col min="1" max="1" width="21.33203125" style="2" bestFit="1" customWidth="1"/>
    <col min="2" max="2" width="12.77734375" style="2" customWidth="1"/>
    <col min="3" max="3" width="29.5546875" style="2" bestFit="1" customWidth="1"/>
    <col min="4" max="4" width="12.77734375" style="2" customWidth="1"/>
    <col min="5" max="5" width="13.6640625" hidden="1" customWidth="1"/>
    <col min="6" max="6" width="5.6640625" style="2" bestFit="1" customWidth="1"/>
    <col min="7" max="7" width="6.5546875" style="2" bestFit="1" customWidth="1"/>
    <col min="8" max="8" width="16.109375" style="2" bestFit="1" customWidth="1"/>
    <col min="9" max="9" width="16.109375" style="2" customWidth="1"/>
    <col min="10" max="10" width="7" style="2" bestFit="1" customWidth="1"/>
    <col min="11" max="11" width="6.6640625" style="2" bestFit="1" customWidth="1"/>
    <col min="12" max="12" width="9.5546875" style="2" bestFit="1" customWidth="1"/>
    <col min="13" max="13" width="8" style="2" bestFit="1" customWidth="1"/>
    <col min="14" max="14" width="7.6640625" style="2" bestFit="1" customWidth="1"/>
    <col min="15" max="15" width="10.5546875" style="2" bestFit="1" customWidth="1"/>
    <col min="16" max="16" width="6.5546875" style="2" bestFit="1" customWidth="1"/>
    <col min="17" max="17" width="6.21875" style="2" bestFit="1" customWidth="1"/>
    <col min="18" max="18" width="9.109375" style="2" bestFit="1" customWidth="1"/>
    <col min="19" max="21" width="9.109375" style="2" customWidth="1"/>
    <col min="22" max="22" width="7.77734375" hidden="1" customWidth="1"/>
    <col min="23" max="23" width="7.6640625" hidden="1" customWidth="1"/>
    <col min="24" max="24" width="6.44140625" hidden="1" customWidth="1"/>
    <col min="25" max="25" width="8.88671875" bestFit="1" customWidth="1"/>
    <col min="26" max="26" width="6.33203125" style="2" bestFit="1" customWidth="1"/>
    <col min="27" max="28" width="6.33203125" style="2" customWidth="1"/>
    <col min="29" max="29" width="6.109375" style="2" hidden="1" customWidth="1"/>
    <col min="30" max="30" width="6.109375" style="2" customWidth="1"/>
    <col min="31" max="31" width="6.33203125" hidden="1" customWidth="1"/>
    <col min="32" max="33" width="6.33203125" style="2" customWidth="1"/>
    <col min="34" max="34" width="6.5546875" hidden="1" customWidth="1"/>
    <col min="35" max="35" width="13.5546875" style="2" bestFit="1" customWidth="1"/>
    <col min="36" max="37" width="6.5546875" style="2" customWidth="1"/>
    <col min="38" max="38" width="5.33203125" style="2" bestFit="1" customWidth="1"/>
    <col min="39" max="40" width="5.33203125" style="2" customWidth="1"/>
    <col min="41" max="41" width="6.33203125" style="2" bestFit="1" customWidth="1"/>
    <col min="42" max="16384" width="11.5546875" style="2"/>
  </cols>
  <sheetData>
    <row r="1" spans="1:41" x14ac:dyDescent="0.3">
      <c r="A1" s="2" t="s">
        <v>1858</v>
      </c>
      <c r="B1" s="2" t="s">
        <v>1857</v>
      </c>
      <c r="C1" s="2" t="s">
        <v>1886</v>
      </c>
      <c r="D1" s="2" t="s">
        <v>1859</v>
      </c>
      <c r="E1" t="s">
        <v>1224</v>
      </c>
      <c r="F1" s="2" t="s">
        <v>1225</v>
      </c>
      <c r="G1" s="2" t="s">
        <v>1227</v>
      </c>
      <c r="H1" s="2" t="s">
        <v>1871</v>
      </c>
      <c r="I1" s="2" t="s">
        <v>1873</v>
      </c>
      <c r="J1" s="2" t="s">
        <v>1228</v>
      </c>
      <c r="K1" s="2" t="s">
        <v>1229</v>
      </c>
      <c r="L1" s="2" t="s">
        <v>1230</v>
      </c>
      <c r="M1" s="2" t="s">
        <v>1231</v>
      </c>
      <c r="N1" s="2" t="s">
        <v>1232</v>
      </c>
      <c r="O1" s="2" t="s">
        <v>1233</v>
      </c>
      <c r="P1" s="2" t="s">
        <v>1234</v>
      </c>
      <c r="Q1" s="2" t="s">
        <v>1235</v>
      </c>
      <c r="R1" s="2" t="s">
        <v>1236</v>
      </c>
      <c r="S1" s="2" t="s">
        <v>1237</v>
      </c>
      <c r="T1" s="2" t="s">
        <v>1238</v>
      </c>
      <c r="U1" s="2" t="s">
        <v>1239</v>
      </c>
      <c r="V1" t="s">
        <v>1860</v>
      </c>
      <c r="W1" t="s">
        <v>1861</v>
      </c>
      <c r="X1" t="s">
        <v>1862</v>
      </c>
      <c r="Y1" t="s">
        <v>1892</v>
      </c>
      <c r="Z1" s="2" t="s">
        <v>1240</v>
      </c>
      <c r="AA1" s="2" t="s">
        <v>1864</v>
      </c>
      <c r="AB1" s="2" t="s">
        <v>1241</v>
      </c>
      <c r="AC1" s="2" t="s">
        <v>1872</v>
      </c>
      <c r="AD1" s="2" t="s">
        <v>1865</v>
      </c>
      <c r="AE1" t="s">
        <v>1866</v>
      </c>
      <c r="AF1" s="2" t="s">
        <v>1242</v>
      </c>
      <c r="AG1" s="2" t="s">
        <v>1867</v>
      </c>
      <c r="AH1" t="s">
        <v>1868</v>
      </c>
      <c r="AI1" s="2" t="s">
        <v>1893</v>
      </c>
      <c r="AJ1" s="2" t="s">
        <v>1243</v>
      </c>
      <c r="AK1" s="2" t="s">
        <v>1869</v>
      </c>
      <c r="AL1" s="2" t="s">
        <v>1244</v>
      </c>
      <c r="AM1" s="2" t="s">
        <v>1870</v>
      </c>
      <c r="AN1" s="2" t="s">
        <v>1245</v>
      </c>
      <c r="AO1" s="2" t="s">
        <v>1863</v>
      </c>
    </row>
    <row r="2" spans="1:41" customFormat="1" x14ac:dyDescent="0.3">
      <c r="A2" s="3" t="s">
        <v>1501</v>
      </c>
      <c r="B2" s="3" t="s">
        <v>1465</v>
      </c>
      <c r="C2" s="3" t="str">
        <f>knicks_players_all_stats[[#This Row],[NAME]]&amp;" ("&amp;knicks_players_all_stats[[#This Row],[SEASON]]&amp;")"</f>
        <v>Marcus Camby (2000-01)</v>
      </c>
      <c r="D2" s="3">
        <f>knicks_players_all_stats[[#This Row],[PLAYER_AGE]]/10</f>
        <v>27</v>
      </c>
      <c r="E2">
        <v>270</v>
      </c>
      <c r="F2" s="2">
        <v>63</v>
      </c>
      <c r="G2" s="2">
        <v>21270</v>
      </c>
      <c r="H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1117</v>
      </c>
      <c r="I2" s="6">
        <f>knicks_players_all_stats[[#This Row],[VALORATION]]/knicks_players_all_stats[[#This Row],[GP]]</f>
        <v>17.730158730158731</v>
      </c>
      <c r="J2" s="2">
        <v>304</v>
      </c>
      <c r="K2" s="2">
        <v>580</v>
      </c>
      <c r="L2" s="4">
        <f>knicks_players_all_stats[[#This Row],[FGM]]/knicks_players_all_stats[[#This Row],[FGA]]</f>
        <v>0.52413793103448281</v>
      </c>
      <c r="M2" s="2">
        <v>10</v>
      </c>
      <c r="N2" s="2">
        <v>80</v>
      </c>
      <c r="O2" s="4">
        <f>knicks_players_all_stats[[#This Row],[FG3M]]/knicks_players_all_stats[[#This Row],[FG3A]]</f>
        <v>0.125</v>
      </c>
      <c r="P2" s="2">
        <v>150</v>
      </c>
      <c r="Q2" s="2">
        <v>225</v>
      </c>
      <c r="R2" s="5">
        <f>knicks_players_all_stats[[#This Row],[FTM]]/knicks_players_all_stats[[#This Row],[FTA]]</f>
        <v>0.66666666666666663</v>
      </c>
      <c r="S2" s="2">
        <f>knicks_players_all_stats[[#This Row],[OREB22]]/10</f>
        <v>196</v>
      </c>
      <c r="T2" s="2">
        <f>knicks_players_all_stats[[#This Row],[DREB33]]/10</f>
        <v>527</v>
      </c>
      <c r="U2" s="2">
        <f>knicks_players_all_stats[[#This Row],[REB44]]/10</f>
        <v>723</v>
      </c>
      <c r="V2">
        <v>1960</v>
      </c>
      <c r="W2">
        <v>5270</v>
      </c>
      <c r="X2">
        <v>7230</v>
      </c>
      <c r="Y2" s="22">
        <f>knicks_players_all_stats[[#This Row],[REB]]/knicks_players_all_stats[[#This Row],[GP]]</f>
        <v>11.476190476190476</v>
      </c>
      <c r="Z2" s="2">
        <v>52</v>
      </c>
      <c r="AA2" s="6">
        <f>knicks_players_all_stats[[#This Row],[AST]]/knicks_players_all_stats[[#This Row],[GP]]</f>
        <v>0.82539682539682535</v>
      </c>
      <c r="AB2" s="2">
        <f>knicks_players_all_stats[[#This Row],[STL2]]/10</f>
        <v>66</v>
      </c>
      <c r="AC2" s="2">
        <v>660</v>
      </c>
      <c r="AD2" s="6">
        <f>knicks_players_all_stats[[#This Row],[STL]]/knicks_players_all_stats[[#This Row],[GP]]</f>
        <v>1.0476190476190477</v>
      </c>
      <c r="AE2">
        <v>1360</v>
      </c>
      <c r="AF2" s="2">
        <f>knicks_players_all_stats[[#This Row],[BLK2]]/10</f>
        <v>136</v>
      </c>
      <c r="AG2" s="6">
        <f>knicks_players_all_stats[[#This Row],[BLK]]/knicks_players_all_stats[[#This Row],[GP]]</f>
        <v>2.1587301587301586</v>
      </c>
      <c r="AH2">
        <v>630</v>
      </c>
      <c r="AI2" s="6">
        <f>knicks_players_all_stats[[#This Row],[BLKPG]]+knicks_players_all_stats[[#This Row],[STLPG]]+knicks_players_all_stats[[#This Row],[REBPG]]</f>
        <v>14.682539682539684</v>
      </c>
      <c r="AJ2" s="2">
        <f>knicks_players_all_stats[[#This Row],[TOV2]]/10</f>
        <v>63</v>
      </c>
      <c r="AK2" s="6">
        <f>knicks_players_all_stats[[#This Row],[TOV]]/knicks_players_all_stats[[#This Row],[GP]]</f>
        <v>1</v>
      </c>
      <c r="AL2" s="2">
        <v>205</v>
      </c>
      <c r="AM2" s="2">
        <f>knicks_players_all_stats[[#This Row],[PF]]/knicks_players_all_stats[[#This Row],[GP]]</f>
        <v>3.253968253968254</v>
      </c>
      <c r="AN2" s="2">
        <v>759</v>
      </c>
      <c r="AO2" s="6">
        <f>knicks_players_all_stats[[#This Row],[PTS]]/knicks_players_all_stats[[#This Row],[GP]]</f>
        <v>12.047619047619047</v>
      </c>
    </row>
    <row r="3" spans="1:41" customFormat="1" x14ac:dyDescent="0.3">
      <c r="A3" s="3" t="s">
        <v>1600</v>
      </c>
      <c r="B3" s="3" t="s">
        <v>1465</v>
      </c>
      <c r="C3" s="3" t="str">
        <f>knicks_players_all_stats[[#This Row],[NAME]]&amp;" ("&amp;knicks_players_all_stats[[#This Row],[SEASON]]&amp;")"</f>
        <v>Latrell Sprewell (2000-01)</v>
      </c>
      <c r="D3" s="3">
        <f>knicks_players_all_stats[[#This Row],[PLAYER_AGE]]/10</f>
        <v>30</v>
      </c>
      <c r="E3">
        <v>300</v>
      </c>
      <c r="F3" s="2">
        <v>77</v>
      </c>
      <c r="G3" s="2">
        <v>30130</v>
      </c>
      <c r="H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966</v>
      </c>
      <c r="I3" s="6">
        <f>knicks_players_all_stats[[#This Row],[VALORATION]]/knicks_players_all_stats[[#This Row],[GP]]</f>
        <v>12.545454545454545</v>
      </c>
      <c r="J3" s="2">
        <v>524</v>
      </c>
      <c r="K3" s="2">
        <v>1219</v>
      </c>
      <c r="L3" s="4">
        <f>knicks_players_all_stats[[#This Row],[FGM]]/knicks_players_all_stats[[#This Row],[FGA]]</f>
        <v>0.42986054142739949</v>
      </c>
      <c r="M3" s="2">
        <v>410</v>
      </c>
      <c r="N3" s="2">
        <v>1350</v>
      </c>
      <c r="O3" s="4">
        <f>knicks_players_all_stats[[#This Row],[FG3M]]/knicks_players_all_stats[[#This Row],[FG3A]]</f>
        <v>0.3037037037037037</v>
      </c>
      <c r="P3" s="2">
        <v>275</v>
      </c>
      <c r="Q3" s="2">
        <v>351</v>
      </c>
      <c r="R3" s="5">
        <f>knicks_players_all_stats[[#This Row],[FTM]]/knicks_players_all_stats[[#This Row],[FTA]]</f>
        <v>0.7834757834757835</v>
      </c>
      <c r="S3" s="2">
        <f>knicks_players_all_stats[[#This Row],[OREB22]]/10</f>
        <v>49</v>
      </c>
      <c r="T3" s="2">
        <f>knicks_players_all_stats[[#This Row],[DREB33]]/10</f>
        <v>298</v>
      </c>
      <c r="U3" s="2">
        <f>knicks_players_all_stats[[#This Row],[REB44]]/10</f>
        <v>347</v>
      </c>
      <c r="V3">
        <v>490</v>
      </c>
      <c r="W3">
        <v>2980</v>
      </c>
      <c r="X3">
        <v>3470</v>
      </c>
      <c r="Y3" s="22">
        <f>knicks_players_all_stats[[#This Row],[REB]]/knicks_players_all_stats[[#This Row],[GP]]</f>
        <v>4.5064935064935066</v>
      </c>
      <c r="Z3" s="2">
        <v>269</v>
      </c>
      <c r="AA3" s="6">
        <f>knicks_players_all_stats[[#This Row],[AST]]/knicks_players_all_stats[[#This Row],[GP]]</f>
        <v>3.4935064935064934</v>
      </c>
      <c r="AB3" s="2">
        <f>knicks_players_all_stats[[#This Row],[STL2]]/10</f>
        <v>106</v>
      </c>
      <c r="AC3" s="2">
        <v>1060</v>
      </c>
      <c r="AD3" s="6">
        <f>knicks_players_all_stats[[#This Row],[STL]]/knicks_players_all_stats[[#This Row],[GP]]</f>
        <v>1.3766233766233766</v>
      </c>
      <c r="AE3">
        <v>280</v>
      </c>
      <c r="AF3" s="2">
        <f>knicks_players_all_stats[[#This Row],[BLK2]]/10</f>
        <v>28</v>
      </c>
      <c r="AG3" s="6">
        <f>knicks_players_all_stats[[#This Row],[BLK]]/knicks_players_all_stats[[#This Row],[GP]]</f>
        <v>0.36363636363636365</v>
      </c>
      <c r="AH3">
        <v>2180</v>
      </c>
      <c r="AI3" s="6">
        <f>knicks_players_all_stats[[#This Row],[BLKPG]]+knicks_players_all_stats[[#This Row],[STLPG]]+knicks_players_all_stats[[#This Row],[REBPG]]</f>
        <v>6.2467532467532472</v>
      </c>
      <c r="AJ3" s="2">
        <f>knicks_players_all_stats[[#This Row],[TOV2]]/10</f>
        <v>218</v>
      </c>
      <c r="AK3" s="6">
        <f>knicks_players_all_stats[[#This Row],[TOV]]/knicks_players_all_stats[[#This Row],[GP]]</f>
        <v>2.831168831168831</v>
      </c>
      <c r="AL3" s="2">
        <v>159</v>
      </c>
      <c r="AM3" s="2">
        <f>knicks_players_all_stats[[#This Row],[PF]]/knicks_players_all_stats[[#This Row],[GP]]</f>
        <v>2.0649350649350651</v>
      </c>
      <c r="AN3" s="2">
        <v>1364</v>
      </c>
      <c r="AO3" s="6">
        <f>knicks_players_all_stats[[#This Row],[PTS]]/knicks_players_all_stats[[#This Row],[GP]]</f>
        <v>17.714285714285715</v>
      </c>
    </row>
    <row r="4" spans="1:41" customFormat="1" x14ac:dyDescent="0.3">
      <c r="A4" s="3" t="s">
        <v>1463</v>
      </c>
      <c r="B4" s="3" t="s">
        <v>1465</v>
      </c>
      <c r="C4" s="3" t="str">
        <f>knicks_players_all_stats[[#This Row],[NAME]]&amp;" ("&amp;knicks_players_all_stats[[#This Row],[SEASON]]&amp;")"</f>
        <v>Allan Houston (2000-01)</v>
      </c>
      <c r="D4" s="3">
        <f>knicks_players_all_stats[[#This Row],[PLAYER_AGE]]/10</f>
        <v>30</v>
      </c>
      <c r="E4">
        <v>300</v>
      </c>
      <c r="F4" s="2">
        <v>78</v>
      </c>
      <c r="G4" s="2">
        <v>28580</v>
      </c>
      <c r="H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932</v>
      </c>
      <c r="I4" s="6">
        <f>knicks_players_all_stats[[#This Row],[VALORATION]]/knicks_players_all_stats[[#This Row],[GP]]</f>
        <v>11.948717948717949</v>
      </c>
      <c r="J4" s="2">
        <v>542</v>
      </c>
      <c r="K4" s="2">
        <v>1208</v>
      </c>
      <c r="L4" s="4">
        <f>knicks_players_all_stats[[#This Row],[FGM]]/knicks_players_all_stats[[#This Row],[FGA]]</f>
        <v>0.44867549668874174</v>
      </c>
      <c r="M4" s="2">
        <v>960</v>
      </c>
      <c r="N4" s="2">
        <v>2520</v>
      </c>
      <c r="O4" s="4">
        <f>knicks_players_all_stats[[#This Row],[FG3M]]/knicks_players_all_stats[[#This Row],[FG3A]]</f>
        <v>0.38095238095238093</v>
      </c>
      <c r="P4" s="2">
        <v>279</v>
      </c>
      <c r="Q4" s="2">
        <v>307</v>
      </c>
      <c r="R4" s="5">
        <f>knicks_players_all_stats[[#This Row],[FTM]]/knicks_players_all_stats[[#This Row],[FTA]]</f>
        <v>0.90879478827361559</v>
      </c>
      <c r="S4" s="2">
        <f>knicks_players_all_stats[[#This Row],[OREB22]]/10</f>
        <v>20</v>
      </c>
      <c r="T4" s="2">
        <f>knicks_players_all_stats[[#This Row],[DREB33]]/10</f>
        <v>263</v>
      </c>
      <c r="U4" s="2">
        <f>knicks_players_all_stats[[#This Row],[REB44]]/10</f>
        <v>283</v>
      </c>
      <c r="V4">
        <v>200</v>
      </c>
      <c r="W4">
        <v>2630</v>
      </c>
      <c r="X4">
        <v>2830</v>
      </c>
      <c r="Y4" s="22">
        <f>knicks_players_all_stats[[#This Row],[REB]]/knicks_players_all_stats[[#This Row],[GP]]</f>
        <v>3.6282051282051282</v>
      </c>
      <c r="Z4" s="2">
        <v>173</v>
      </c>
      <c r="AA4" s="6">
        <f>knicks_players_all_stats[[#This Row],[AST]]/knicks_players_all_stats[[#This Row],[GP]]</f>
        <v>2.2179487179487181</v>
      </c>
      <c r="AB4" s="2">
        <f>knicks_players_all_stats[[#This Row],[STL2]]/10</f>
        <v>52</v>
      </c>
      <c r="AC4" s="2">
        <v>520</v>
      </c>
      <c r="AD4" s="6">
        <f>knicks_players_all_stats[[#This Row],[STL]]/knicks_players_all_stats[[#This Row],[GP]]</f>
        <v>0.66666666666666663</v>
      </c>
      <c r="AE4">
        <v>100</v>
      </c>
      <c r="AF4" s="2">
        <f>knicks_players_all_stats[[#This Row],[BLK2]]/10</f>
        <v>10</v>
      </c>
      <c r="AG4" s="6">
        <f>knicks_players_all_stats[[#This Row],[BLK]]/knicks_players_all_stats[[#This Row],[GP]]</f>
        <v>0.12820512820512819</v>
      </c>
      <c r="AH4">
        <v>1610</v>
      </c>
      <c r="AI4" s="6">
        <f>knicks_players_all_stats[[#This Row],[BLKPG]]+knicks_players_all_stats[[#This Row],[STLPG]]+knicks_players_all_stats[[#This Row],[REBPG]]</f>
        <v>4.4230769230769234</v>
      </c>
      <c r="AJ4" s="2">
        <f>knicks_players_all_stats[[#This Row],[TOV2]]/10</f>
        <v>161</v>
      </c>
      <c r="AK4" s="6">
        <f>knicks_players_all_stats[[#This Row],[TOV]]/knicks_players_all_stats[[#This Row],[GP]]</f>
        <v>2.0641025641025643</v>
      </c>
      <c r="AL4" s="2">
        <v>190</v>
      </c>
      <c r="AM4" s="2">
        <f>knicks_players_all_stats[[#This Row],[PF]]/knicks_players_all_stats[[#This Row],[GP]]</f>
        <v>2.4358974358974357</v>
      </c>
      <c r="AN4" s="2">
        <v>1459</v>
      </c>
      <c r="AO4" s="6">
        <f>knicks_players_all_stats[[#This Row],[PTS]]/knicks_players_all_stats[[#This Row],[GP]]</f>
        <v>18.705128205128204</v>
      </c>
    </row>
    <row r="5" spans="1:41" customFormat="1" x14ac:dyDescent="0.3">
      <c r="A5" s="3" t="s">
        <v>1790</v>
      </c>
      <c r="B5" s="3" t="s">
        <v>1465</v>
      </c>
      <c r="C5" s="3" t="str">
        <f>knicks_players_all_stats[[#This Row],[NAME]]&amp;" ("&amp;knicks_players_all_stats[[#This Row],[SEASON]]&amp;")"</f>
        <v>Kurt Thomas (2000-01)</v>
      </c>
      <c r="D5" s="3">
        <f>knicks_players_all_stats[[#This Row],[PLAYER_AGE]]/10</f>
        <v>28</v>
      </c>
      <c r="E5">
        <v>280</v>
      </c>
      <c r="F5" s="2">
        <v>77</v>
      </c>
      <c r="G5" s="2">
        <v>21280</v>
      </c>
      <c r="H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783</v>
      </c>
      <c r="I5" s="6">
        <f>knicks_players_all_stats[[#This Row],[VALORATION]]/knicks_players_all_stats[[#This Row],[GP]]</f>
        <v>10.168831168831169</v>
      </c>
      <c r="J5" s="2">
        <v>314</v>
      </c>
      <c r="K5" s="2">
        <v>614</v>
      </c>
      <c r="L5" s="2">
        <v>511</v>
      </c>
      <c r="M5" s="2">
        <v>10</v>
      </c>
      <c r="N5" s="2">
        <v>30</v>
      </c>
      <c r="O5" s="4">
        <f>knicks_players_all_stats[[#This Row],[FG3M]]/knicks_players_all_stats[[#This Row],[FG3A]]</f>
        <v>0.33333333333333331</v>
      </c>
      <c r="P5" s="2">
        <v>171</v>
      </c>
      <c r="Q5" s="2">
        <v>210</v>
      </c>
      <c r="R5" s="5">
        <f>knicks_players_all_stats[[#This Row],[FTM]]/knicks_players_all_stats[[#This Row],[FTA]]</f>
        <v>0.81428571428571428</v>
      </c>
      <c r="S5" s="2">
        <f>knicks_players_all_stats[[#This Row],[OREB22]]/10</f>
        <v>172</v>
      </c>
      <c r="T5" s="2">
        <f>knicks_players_all_stats[[#This Row],[DREB33]]/10</f>
        <v>343</v>
      </c>
      <c r="U5" s="2">
        <f>knicks_players_all_stats[[#This Row],[REB44]]/10</f>
        <v>515</v>
      </c>
      <c r="V5">
        <v>1720</v>
      </c>
      <c r="W5">
        <v>3430</v>
      </c>
      <c r="X5">
        <v>5150</v>
      </c>
      <c r="Y5" s="22">
        <f>knicks_players_all_stats[[#This Row],[REB]]/knicks_players_all_stats[[#This Row],[GP]]</f>
        <v>6.6883116883116882</v>
      </c>
      <c r="Z5" s="2">
        <v>63</v>
      </c>
      <c r="AA5" s="6">
        <f>knicks_players_all_stats[[#This Row],[AST]]/knicks_players_all_stats[[#This Row],[GP]]</f>
        <v>0.81818181818181823</v>
      </c>
      <c r="AB5" s="2">
        <f>knicks_players_all_stats[[#This Row],[STL2]]/10</f>
        <v>61</v>
      </c>
      <c r="AC5" s="2">
        <v>610</v>
      </c>
      <c r="AD5" s="6">
        <f>knicks_players_all_stats[[#This Row],[STL]]/knicks_players_all_stats[[#This Row],[GP]]</f>
        <v>0.79220779220779225</v>
      </c>
      <c r="AE5">
        <v>690</v>
      </c>
      <c r="AF5" s="2">
        <f>knicks_players_all_stats[[#This Row],[BLK2]]/10</f>
        <v>69</v>
      </c>
      <c r="AG5" s="6">
        <f>knicks_players_all_stats[[#This Row],[BLK]]/knicks_players_all_stats[[#This Row],[GP]]</f>
        <v>0.89610389610389607</v>
      </c>
      <c r="AH5">
        <v>990</v>
      </c>
      <c r="AI5" s="6">
        <f>knicks_players_all_stats[[#This Row],[BLKPG]]+knicks_players_all_stats[[#This Row],[STLPG]]+knicks_players_all_stats[[#This Row],[REBPG]]</f>
        <v>8.3766233766233764</v>
      </c>
      <c r="AJ5" s="2">
        <f>knicks_players_all_stats[[#This Row],[TOV2]]/10</f>
        <v>99</v>
      </c>
      <c r="AK5" s="6">
        <f>knicks_players_all_stats[[#This Row],[TOV]]/knicks_players_all_stats[[#This Row],[GP]]</f>
        <v>1.2857142857142858</v>
      </c>
      <c r="AL5" s="2">
        <v>287</v>
      </c>
      <c r="AM5" s="2">
        <f>knicks_players_all_stats[[#This Row],[PF]]/knicks_players_all_stats[[#This Row],[GP]]</f>
        <v>3.7272727272727271</v>
      </c>
      <c r="AN5" s="2">
        <v>800</v>
      </c>
      <c r="AO5" s="6">
        <f>knicks_players_all_stats[[#This Row],[PTS]]/knicks_players_all_stats[[#This Row],[GP]]</f>
        <v>10.38961038961039</v>
      </c>
    </row>
    <row r="6" spans="1:41" customFormat="1" x14ac:dyDescent="0.3">
      <c r="A6" s="3" t="s">
        <v>1757</v>
      </c>
      <c r="B6" s="3" t="s">
        <v>1465</v>
      </c>
      <c r="C6" s="3" t="str">
        <f>knicks_players_all_stats[[#This Row],[NAME]]&amp;" ("&amp;knicks_players_all_stats[[#This Row],[SEASON]]&amp;")"</f>
        <v>Mark Jackson (2000-01)</v>
      </c>
      <c r="D6" s="3">
        <f>knicks_players_all_stats[[#This Row],[PLAYER_AGE]]/10</f>
        <v>36</v>
      </c>
      <c r="E6">
        <v>360</v>
      </c>
      <c r="F6" s="2">
        <v>29</v>
      </c>
      <c r="G6" s="2">
        <v>7860</v>
      </c>
      <c r="H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246</v>
      </c>
      <c r="I6" s="6">
        <f>knicks_players_all_stats[[#This Row],[VALORATION]]/knicks_players_all_stats[[#This Row],[GP]]</f>
        <v>8.4827586206896548</v>
      </c>
      <c r="J6" s="2">
        <v>74</v>
      </c>
      <c r="K6" s="2">
        <v>180</v>
      </c>
      <c r="L6" s="2">
        <v>411</v>
      </c>
      <c r="M6" s="2">
        <v>130</v>
      </c>
      <c r="N6" s="2">
        <v>420</v>
      </c>
      <c r="O6" s="4">
        <f>knicks_players_all_stats[[#This Row],[FG3M]]/knicks_players_all_stats[[#This Row],[FG3A]]</f>
        <v>0.30952380952380953</v>
      </c>
      <c r="P6" s="2">
        <v>9</v>
      </c>
      <c r="Q6" s="2">
        <v>17</v>
      </c>
      <c r="R6" s="5">
        <f>knicks_players_all_stats[[#This Row],[FTM]]/knicks_players_all_stats[[#This Row],[FTA]]</f>
        <v>0.52941176470588236</v>
      </c>
      <c r="S6" s="2">
        <f>knicks_players_all_stats[[#This Row],[OREB22]]/10</f>
        <v>21</v>
      </c>
      <c r="T6" s="2">
        <f>knicks_players_all_stats[[#This Row],[DREB33]]/10</f>
        <v>99</v>
      </c>
      <c r="U6" s="2">
        <f>knicks_players_all_stats[[#This Row],[REB44]]/10</f>
        <v>120</v>
      </c>
      <c r="V6">
        <v>210</v>
      </c>
      <c r="W6">
        <v>990</v>
      </c>
      <c r="X6">
        <v>1200</v>
      </c>
      <c r="Y6" s="22">
        <f>knicks_players_all_stats[[#This Row],[REB]]/knicks_players_all_stats[[#This Row],[GP]]</f>
        <v>4.1379310344827589</v>
      </c>
      <c r="Z6" s="2">
        <v>163</v>
      </c>
      <c r="AA6" s="6">
        <f>knicks_players_all_stats[[#This Row],[AST]]/knicks_players_all_stats[[#This Row],[GP]]</f>
        <v>5.6206896551724137</v>
      </c>
      <c r="AB6" s="2">
        <f>knicks_players_all_stats[[#This Row],[STL2]]/10</f>
        <v>21</v>
      </c>
      <c r="AC6" s="2">
        <v>210</v>
      </c>
      <c r="AD6" s="6">
        <f>knicks_players_all_stats[[#This Row],[STL]]/knicks_players_all_stats[[#This Row],[GP]]</f>
        <v>0.72413793103448276</v>
      </c>
      <c r="AE6">
        <v>0</v>
      </c>
      <c r="AF6" s="2">
        <f>knicks_players_all_stats[[#This Row],[BLK2]]/10</f>
        <v>0</v>
      </c>
      <c r="AG6" s="6">
        <f>knicks_players_all_stats[[#This Row],[BLK]]/knicks_players_all_stats[[#This Row],[GP]]</f>
        <v>0</v>
      </c>
      <c r="AH6">
        <v>580</v>
      </c>
      <c r="AI6" s="6">
        <f>knicks_players_all_stats[[#This Row],[BLKPG]]+knicks_players_all_stats[[#This Row],[STLPG]]+knicks_players_all_stats[[#This Row],[REBPG]]</f>
        <v>4.862068965517242</v>
      </c>
      <c r="AJ6" s="2">
        <f>knicks_players_all_stats[[#This Row],[TOV2]]/10</f>
        <v>58</v>
      </c>
      <c r="AK6" s="6">
        <f>knicks_players_all_stats[[#This Row],[TOV]]/knicks_players_all_stats[[#This Row],[GP]]</f>
        <v>2</v>
      </c>
      <c r="AL6" s="2">
        <v>56</v>
      </c>
      <c r="AM6" s="2">
        <f>knicks_players_all_stats[[#This Row],[PF]]/knicks_players_all_stats[[#This Row],[GP]]</f>
        <v>1.9310344827586208</v>
      </c>
      <c r="AN6" s="2">
        <v>170</v>
      </c>
      <c r="AO6" s="6">
        <f>knicks_players_all_stats[[#This Row],[PTS]]/knicks_players_all_stats[[#This Row],[GP]]</f>
        <v>5.8620689655172411</v>
      </c>
    </row>
    <row r="7" spans="1:41" customFormat="1" x14ac:dyDescent="0.3">
      <c r="A7" s="3" t="s">
        <v>1524</v>
      </c>
      <c r="B7" s="3" t="s">
        <v>1465</v>
      </c>
      <c r="C7" s="3" t="str">
        <f>knicks_players_all_stats[[#This Row],[NAME]]&amp;" ("&amp;knicks_players_all_stats[[#This Row],[SEASON]]&amp;")"</f>
        <v>Glen Rice (2000-01)</v>
      </c>
      <c r="D7" s="3">
        <f>knicks_players_all_stats[[#This Row],[PLAYER_AGE]]/10</f>
        <v>34</v>
      </c>
      <c r="E7">
        <v>340</v>
      </c>
      <c r="F7" s="2">
        <v>75</v>
      </c>
      <c r="G7" s="2">
        <v>22120</v>
      </c>
      <c r="H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626</v>
      </c>
      <c r="I7" s="6">
        <f>knicks_players_all_stats[[#This Row],[VALORATION]]/knicks_players_all_stats[[#This Row],[GP]]</f>
        <v>8.3466666666666658</v>
      </c>
      <c r="J7" s="2">
        <v>331</v>
      </c>
      <c r="K7" s="2">
        <v>752</v>
      </c>
      <c r="L7" s="4">
        <f>knicks_players_all_stats[[#This Row],[FGM]]/knicks_players_all_stats[[#This Row],[FGA]]</f>
        <v>0.44015957446808512</v>
      </c>
      <c r="M7" s="2">
        <v>820</v>
      </c>
      <c r="N7" s="2">
        <v>2110</v>
      </c>
      <c r="O7" s="4">
        <f>knicks_players_all_stats[[#This Row],[FG3M]]/knicks_players_all_stats[[#This Row],[FG3A]]</f>
        <v>0.38862559241706163</v>
      </c>
      <c r="P7" s="2">
        <v>155</v>
      </c>
      <c r="Q7" s="2">
        <v>182</v>
      </c>
      <c r="R7" s="5">
        <f>knicks_players_all_stats[[#This Row],[FTM]]/knicks_players_all_stats[[#This Row],[FTA]]</f>
        <v>0.85164835164835162</v>
      </c>
      <c r="S7" s="2">
        <f>knicks_players_all_stats[[#This Row],[OREB22]]/10</f>
        <v>61</v>
      </c>
      <c r="T7" s="2">
        <f>knicks_players_all_stats[[#This Row],[DREB33]]/10</f>
        <v>246</v>
      </c>
      <c r="U7" s="2">
        <f>knicks_players_all_stats[[#This Row],[REB44]]/10</f>
        <v>307</v>
      </c>
      <c r="V7">
        <v>610</v>
      </c>
      <c r="W7">
        <v>2460</v>
      </c>
      <c r="X7">
        <v>3070</v>
      </c>
      <c r="Y7" s="22">
        <f>knicks_players_all_stats[[#This Row],[REB]]/knicks_players_all_stats[[#This Row],[GP]]</f>
        <v>4.0933333333333337</v>
      </c>
      <c r="Z7" s="2">
        <v>89</v>
      </c>
      <c r="AA7" s="6">
        <f>knicks_players_all_stats[[#This Row],[AST]]/knicks_players_all_stats[[#This Row],[GP]]</f>
        <v>1.1866666666666668</v>
      </c>
      <c r="AB7" s="2">
        <f>knicks_players_all_stats[[#This Row],[STL2]]/10</f>
        <v>41</v>
      </c>
      <c r="AC7" s="2">
        <v>410</v>
      </c>
      <c r="AD7" s="6">
        <f>knicks_players_all_stats[[#This Row],[STL]]/knicks_players_all_stats[[#This Row],[GP]]</f>
        <v>0.54666666666666663</v>
      </c>
      <c r="AE7">
        <v>130</v>
      </c>
      <c r="AF7" s="2">
        <f>knicks_players_all_stats[[#This Row],[BLK2]]/10</f>
        <v>13</v>
      </c>
      <c r="AG7" s="6">
        <f>knicks_players_all_stats[[#This Row],[BLK]]/knicks_players_all_stats[[#This Row],[GP]]</f>
        <v>0.17333333333333334</v>
      </c>
      <c r="AH7">
        <v>960</v>
      </c>
      <c r="AI7" s="6">
        <f>knicks_players_all_stats[[#This Row],[BLKPG]]+knicks_players_all_stats[[#This Row],[STLPG]]+knicks_players_all_stats[[#This Row],[REBPG]]</f>
        <v>4.8133333333333335</v>
      </c>
      <c r="AJ7" s="2">
        <f>knicks_players_all_stats[[#This Row],[TOV2]]/10</f>
        <v>96</v>
      </c>
      <c r="AK7" s="6">
        <f>knicks_players_all_stats[[#This Row],[TOV]]/knicks_players_all_stats[[#This Row],[GP]]</f>
        <v>1.28</v>
      </c>
      <c r="AL7" s="2">
        <v>179</v>
      </c>
      <c r="AM7" s="2">
        <f>knicks_players_all_stats[[#This Row],[PF]]/knicks_players_all_stats[[#This Row],[GP]]</f>
        <v>2.3866666666666667</v>
      </c>
      <c r="AN7" s="2">
        <v>899</v>
      </c>
      <c r="AO7" s="6">
        <f>knicks_players_all_stats[[#This Row],[PTS]]/knicks_players_all_stats[[#This Row],[GP]]</f>
        <v>11.986666666666666</v>
      </c>
    </row>
    <row r="8" spans="1:41" customFormat="1" x14ac:dyDescent="0.3">
      <c r="A8" s="3" t="s">
        <v>1709</v>
      </c>
      <c r="B8" s="3" t="s">
        <v>1465</v>
      </c>
      <c r="C8" s="3" t="str">
        <f>knicks_players_all_stats[[#This Row],[NAME]]&amp;" ("&amp;knicks_players_all_stats[[#This Row],[SEASON]]&amp;")"</f>
        <v>Larry Johnson (2000-01)</v>
      </c>
      <c r="D8" s="3">
        <f>knicks_players_all_stats[[#This Row],[PLAYER_AGE]]/10</f>
        <v>32</v>
      </c>
      <c r="E8">
        <v>320</v>
      </c>
      <c r="F8" s="2">
        <v>65</v>
      </c>
      <c r="G8" s="2">
        <v>21080</v>
      </c>
      <c r="H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519</v>
      </c>
      <c r="I8" s="6">
        <f>knicks_players_all_stats[[#This Row],[VALORATION]]/knicks_players_all_stats[[#This Row],[GP]]</f>
        <v>7.9846153846153847</v>
      </c>
      <c r="J8" s="2">
        <v>246</v>
      </c>
      <c r="K8" s="2">
        <v>598</v>
      </c>
      <c r="L8" s="2">
        <v>411</v>
      </c>
      <c r="M8" s="2">
        <v>510</v>
      </c>
      <c r="N8" s="2">
        <v>1630</v>
      </c>
      <c r="O8" s="4">
        <f>knicks_players_all_stats[[#This Row],[FG3M]]/knicks_players_all_stats[[#This Row],[FG3A]]</f>
        <v>0.31288343558282211</v>
      </c>
      <c r="P8" s="2">
        <v>102</v>
      </c>
      <c r="Q8" s="2">
        <v>128</v>
      </c>
      <c r="R8" s="5">
        <f>knicks_players_all_stats[[#This Row],[FTM]]/knicks_players_all_stats[[#This Row],[FTA]]</f>
        <v>0.796875</v>
      </c>
      <c r="S8" s="2">
        <f>knicks_players_all_stats[[#This Row],[OREB22]]/10</f>
        <v>90</v>
      </c>
      <c r="T8" s="2">
        <f>knicks_players_all_stats[[#This Row],[DREB33]]/10</f>
        <v>273</v>
      </c>
      <c r="U8" s="2">
        <f>knicks_players_all_stats[[#This Row],[REB44]]/10</f>
        <v>363</v>
      </c>
      <c r="V8">
        <v>900</v>
      </c>
      <c r="W8">
        <v>2730</v>
      </c>
      <c r="X8">
        <v>3630</v>
      </c>
      <c r="Y8" s="22">
        <f>knicks_players_all_stats[[#This Row],[REB]]/knicks_players_all_stats[[#This Row],[GP]]</f>
        <v>5.5846153846153843</v>
      </c>
      <c r="Z8" s="2">
        <v>127</v>
      </c>
      <c r="AA8" s="6">
        <f>knicks_players_all_stats[[#This Row],[AST]]/knicks_players_all_stats[[#This Row],[GP]]</f>
        <v>1.9538461538461538</v>
      </c>
      <c r="AB8" s="2">
        <f>knicks_players_all_stats[[#This Row],[STL2]]/10</f>
        <v>39</v>
      </c>
      <c r="AC8" s="2">
        <v>390</v>
      </c>
      <c r="AD8" s="6">
        <f>knicks_players_all_stats[[#This Row],[STL]]/knicks_players_all_stats[[#This Row],[GP]]</f>
        <v>0.6</v>
      </c>
      <c r="AE8">
        <v>290</v>
      </c>
      <c r="AF8" s="2">
        <f>knicks_players_all_stats[[#This Row],[BLK2]]/10</f>
        <v>29</v>
      </c>
      <c r="AG8" s="6">
        <f>knicks_players_all_stats[[#This Row],[BLK]]/knicks_players_all_stats[[#This Row],[GP]]</f>
        <v>0.44615384615384618</v>
      </c>
      <c r="AH8">
        <v>970</v>
      </c>
      <c r="AI8" s="6">
        <f>knicks_players_all_stats[[#This Row],[BLKPG]]+knicks_players_all_stats[[#This Row],[STLPG]]+knicks_players_all_stats[[#This Row],[REBPG]]</f>
        <v>6.6307692307692303</v>
      </c>
      <c r="AJ8" s="2">
        <f>knicks_players_all_stats[[#This Row],[TOV2]]/10</f>
        <v>97</v>
      </c>
      <c r="AK8" s="6">
        <f>knicks_players_all_stats[[#This Row],[TOV]]/knicks_players_all_stats[[#This Row],[GP]]</f>
        <v>1.4923076923076923</v>
      </c>
      <c r="AL8" s="2">
        <v>209</v>
      </c>
      <c r="AM8" s="2">
        <f>knicks_players_all_stats[[#This Row],[PF]]/knicks_players_all_stats[[#This Row],[GP]]</f>
        <v>3.2153846153846155</v>
      </c>
      <c r="AN8" s="2">
        <v>645</v>
      </c>
      <c r="AO8" s="6">
        <f>knicks_players_all_stats[[#This Row],[PTS]]/knicks_players_all_stats[[#This Row],[GP]]</f>
        <v>9.9230769230769234</v>
      </c>
    </row>
    <row r="9" spans="1:41" x14ac:dyDescent="0.3">
      <c r="A9" s="3" t="s">
        <v>1822</v>
      </c>
      <c r="B9" s="3" t="s">
        <v>1465</v>
      </c>
      <c r="C9" s="3" t="str">
        <f>knicks_players_all_stats[[#This Row],[NAME]]&amp;" ("&amp;knicks_players_all_stats[[#This Row],[SEASON]]&amp;")"</f>
        <v>Charlie Ward (2000-01)</v>
      </c>
      <c r="D9" s="3">
        <f>knicks_players_all_stats[[#This Row],[PLAYER_AGE]]/10</f>
        <v>30</v>
      </c>
      <c r="E9">
        <v>300</v>
      </c>
      <c r="F9" s="2">
        <v>61</v>
      </c>
      <c r="G9" s="2">
        <v>14950</v>
      </c>
      <c r="H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469</v>
      </c>
      <c r="I9" s="6">
        <f>knicks_players_all_stats[[#This Row],[VALORATION]]/knicks_players_all_stats[[#This Row],[GP]]</f>
        <v>7.6885245901639347</v>
      </c>
      <c r="J9" s="2">
        <v>155</v>
      </c>
      <c r="K9" s="2">
        <v>373</v>
      </c>
      <c r="L9" s="2">
        <v>416</v>
      </c>
      <c r="M9" s="2">
        <v>670</v>
      </c>
      <c r="N9" s="2">
        <v>1750</v>
      </c>
      <c r="O9" s="4">
        <f>knicks_players_all_stats[[#This Row],[FG3M]]/knicks_players_all_stats[[#This Row],[FG3A]]</f>
        <v>0.38285714285714284</v>
      </c>
      <c r="P9" s="2">
        <v>56</v>
      </c>
      <c r="Q9" s="2">
        <v>70</v>
      </c>
      <c r="R9" s="5">
        <f>knicks_players_all_stats[[#This Row],[FTM]]/knicks_players_all_stats[[#This Row],[FTA]]</f>
        <v>0.8</v>
      </c>
      <c r="S9" s="2">
        <f>knicks_players_all_stats[[#This Row],[OREB22]]/10</f>
        <v>32</v>
      </c>
      <c r="T9" s="2">
        <f>knicks_players_all_stats[[#This Row],[DREB33]]/10</f>
        <v>127</v>
      </c>
      <c r="U9" s="2">
        <f>knicks_players_all_stats[[#This Row],[REB44]]/10</f>
        <v>159</v>
      </c>
      <c r="V9">
        <v>320</v>
      </c>
      <c r="W9">
        <v>1270</v>
      </c>
      <c r="X9">
        <v>1590</v>
      </c>
      <c r="Y9" s="22">
        <f>knicks_players_all_stats[[#This Row],[REB]]/knicks_players_all_stats[[#This Row],[GP]]</f>
        <v>2.6065573770491803</v>
      </c>
      <c r="Z9" s="2">
        <v>273</v>
      </c>
      <c r="AA9" s="6">
        <f>knicks_players_all_stats[[#This Row],[AST]]/knicks_players_all_stats[[#This Row],[GP]]</f>
        <v>4.4754098360655741</v>
      </c>
      <c r="AB9" s="2">
        <f>knicks_players_all_stats[[#This Row],[STL2]]/10</f>
        <v>70</v>
      </c>
      <c r="AC9" s="2">
        <v>700</v>
      </c>
      <c r="AD9" s="6">
        <f>knicks_players_all_stats[[#This Row],[STL]]/knicks_players_all_stats[[#This Row],[GP]]</f>
        <v>1.1475409836065573</v>
      </c>
      <c r="AE9">
        <v>100</v>
      </c>
      <c r="AF9" s="2">
        <f>knicks_players_all_stats[[#This Row],[BLK2]]/10</f>
        <v>10</v>
      </c>
      <c r="AG9" s="6">
        <f>knicks_players_all_stats[[#This Row],[BLK]]/knicks_players_all_stats[[#This Row],[GP]]</f>
        <v>0.16393442622950818</v>
      </c>
      <c r="AH9">
        <v>1120</v>
      </c>
      <c r="AI9" s="6">
        <f>knicks_players_all_stats[[#This Row],[BLKPG]]+knicks_players_all_stats[[#This Row],[STLPG]]+knicks_players_all_stats[[#This Row],[REBPG]]</f>
        <v>3.918032786885246</v>
      </c>
      <c r="AJ9" s="2">
        <f>knicks_players_all_stats[[#This Row],[TOV2]]/10</f>
        <v>112</v>
      </c>
      <c r="AK9" s="6">
        <f>knicks_players_all_stats[[#This Row],[TOV]]/knicks_players_all_stats[[#This Row],[GP]]</f>
        <v>1.8360655737704918</v>
      </c>
      <c r="AL9" s="2">
        <v>132</v>
      </c>
      <c r="AM9" s="2">
        <f>knicks_players_all_stats[[#This Row],[PF]]/knicks_players_all_stats[[#This Row],[GP]]</f>
        <v>2.1639344262295084</v>
      </c>
      <c r="AN9" s="2">
        <v>433</v>
      </c>
      <c r="AO9" s="6">
        <f>knicks_players_all_stats[[#This Row],[PTS]]/knicks_players_all_stats[[#This Row],[GP]]</f>
        <v>7.0983606557377046</v>
      </c>
    </row>
    <row r="10" spans="1:41" customFormat="1" x14ac:dyDescent="0.3">
      <c r="A10" s="3" t="s">
        <v>1771</v>
      </c>
      <c r="B10" s="3" t="s">
        <v>1465</v>
      </c>
      <c r="C10" s="3" t="str">
        <f>knicks_players_all_stats[[#This Row],[NAME]]&amp;" ("&amp;knicks_players_all_stats[[#This Row],[SEASON]]&amp;")"</f>
        <v>Chris Childs (2000-01)</v>
      </c>
      <c r="D10" s="3">
        <f>knicks_players_all_stats[[#This Row],[PLAYER_AGE]]/10</f>
        <v>33</v>
      </c>
      <c r="E10">
        <v>330</v>
      </c>
      <c r="F10" s="2">
        <v>51</v>
      </c>
      <c r="G10" s="2">
        <v>13060</v>
      </c>
      <c r="H1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269</v>
      </c>
      <c r="I10" s="6">
        <f>knicks_players_all_stats[[#This Row],[VALORATION]]/knicks_players_all_stats[[#This Row],[GP]]</f>
        <v>5.2745098039215685</v>
      </c>
      <c r="J10" s="2">
        <v>93</v>
      </c>
      <c r="K10" s="2">
        <v>222</v>
      </c>
      <c r="L10" s="2">
        <v>419</v>
      </c>
      <c r="M10" s="2">
        <v>200</v>
      </c>
      <c r="N10" s="2">
        <v>640</v>
      </c>
      <c r="O10" s="4">
        <f>knicks_players_all_stats[[#This Row],[FG3M]]/knicks_players_all_stats[[#This Row],[FG3A]]</f>
        <v>0.3125</v>
      </c>
      <c r="P10" s="2">
        <v>39</v>
      </c>
      <c r="Q10" s="2">
        <v>46</v>
      </c>
      <c r="R10" s="5">
        <f>knicks_players_all_stats[[#This Row],[FTM]]/knicks_players_all_stats[[#This Row],[FTA]]</f>
        <v>0.84782608695652173</v>
      </c>
      <c r="S10" s="2">
        <f>knicks_players_all_stats[[#This Row],[OREB22]]/10</f>
        <v>14</v>
      </c>
      <c r="T10" s="2">
        <f>knicks_players_all_stats[[#This Row],[DREB33]]/10</f>
        <v>124</v>
      </c>
      <c r="U10" s="2">
        <f>knicks_players_all_stats[[#This Row],[REB44]]/10</f>
        <v>138</v>
      </c>
      <c r="V10">
        <v>140</v>
      </c>
      <c r="W10">
        <v>1240</v>
      </c>
      <c r="X10">
        <v>1380</v>
      </c>
      <c r="Y10" s="22">
        <f>knicks_players_all_stats[[#This Row],[REB]]/knicks_players_all_stats[[#This Row],[GP]]</f>
        <v>2.7058823529411766</v>
      </c>
      <c r="Z10" s="2">
        <v>236</v>
      </c>
      <c r="AA10" s="6">
        <f>knicks_players_all_stats[[#This Row],[AST]]/knicks_players_all_stats[[#This Row],[GP]]</f>
        <v>4.6274509803921573</v>
      </c>
      <c r="AB10" s="2">
        <f>knicks_players_all_stats[[#This Row],[STL2]]/10</f>
        <v>37</v>
      </c>
      <c r="AC10" s="2">
        <v>370</v>
      </c>
      <c r="AD10" s="6">
        <f>knicks_players_all_stats[[#This Row],[STL]]/knicks_players_all_stats[[#This Row],[GP]]</f>
        <v>0.72549019607843135</v>
      </c>
      <c r="AE10">
        <v>70</v>
      </c>
      <c r="AF10" s="2">
        <f>knicks_players_all_stats[[#This Row],[BLK2]]/10</f>
        <v>7</v>
      </c>
      <c r="AG10" s="6">
        <f>knicks_players_all_stats[[#This Row],[BLK]]/knicks_players_all_stats[[#This Row],[GP]]</f>
        <v>0.13725490196078433</v>
      </c>
      <c r="AH10">
        <v>980</v>
      </c>
      <c r="AI10" s="6">
        <f>knicks_players_all_stats[[#This Row],[BLKPG]]+knicks_players_all_stats[[#This Row],[STLPG]]+knicks_players_all_stats[[#This Row],[REBPG]]</f>
        <v>3.5686274509803924</v>
      </c>
      <c r="AJ10" s="2">
        <f>knicks_players_all_stats[[#This Row],[TOV2]]/10</f>
        <v>98</v>
      </c>
      <c r="AK10" s="6">
        <f>knicks_players_all_stats[[#This Row],[TOV]]/knicks_players_all_stats[[#This Row],[GP]]</f>
        <v>1.9215686274509804</v>
      </c>
      <c r="AL10" s="2">
        <v>160</v>
      </c>
      <c r="AM10" s="2">
        <f>knicks_players_all_stats[[#This Row],[PF]]/knicks_players_all_stats[[#This Row],[GP]]</f>
        <v>3.1372549019607843</v>
      </c>
      <c r="AN10" s="2">
        <v>245</v>
      </c>
      <c r="AO10" s="6">
        <f>knicks_players_all_stats[[#This Row],[PTS]]/knicks_players_all_stats[[#This Row],[GP]]</f>
        <v>4.8039215686274508</v>
      </c>
    </row>
    <row r="11" spans="1:41" customFormat="1" x14ac:dyDescent="0.3">
      <c r="A11" s="3" t="s">
        <v>1566</v>
      </c>
      <c r="B11" s="3" t="s">
        <v>1465</v>
      </c>
      <c r="C11" s="3" t="str">
        <f>knicks_players_all_stats[[#This Row],[NAME]]&amp;" ("&amp;knicks_players_all_stats[[#This Row],[SEASON]]&amp;")"</f>
        <v>Othella Harrington (2000-01)</v>
      </c>
      <c r="D11" s="3">
        <f>knicks_players_all_stats[[#This Row],[PLAYER_AGE]]/10</f>
        <v>27</v>
      </c>
      <c r="E11">
        <v>270</v>
      </c>
      <c r="F11" s="2">
        <v>30</v>
      </c>
      <c r="G11" s="2">
        <v>5480</v>
      </c>
      <c r="H1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123</v>
      </c>
      <c r="I11" s="6">
        <f>knicks_players_all_stats[[#This Row],[VALORATION]]/knicks_players_all_stats[[#This Row],[GP]]</f>
        <v>4.0999999999999996</v>
      </c>
      <c r="J11" s="2">
        <v>67</v>
      </c>
      <c r="K11" s="2">
        <v>121</v>
      </c>
      <c r="L11" s="4">
        <f>knicks_players_all_stats[[#This Row],[FGM]]/knicks_players_all_stats[[#This Row],[FGA]]</f>
        <v>0.55371900826446285</v>
      </c>
      <c r="M11" s="2">
        <v>0</v>
      </c>
      <c r="N11" s="2">
        <v>0</v>
      </c>
      <c r="O11" s="4" t="e">
        <f>knicks_players_all_stats[[#This Row],[FG3M]]/knicks_players_all_stats[[#This Row],[FG3A]]</f>
        <v>#DIV/0!</v>
      </c>
      <c r="P11" s="2">
        <v>51</v>
      </c>
      <c r="Q11" s="2">
        <v>70</v>
      </c>
      <c r="R11" s="5">
        <f>knicks_players_all_stats[[#This Row],[FTM]]/knicks_players_all_stats[[#This Row],[FTA]]</f>
        <v>0.72857142857142854</v>
      </c>
      <c r="S11" s="2">
        <f>knicks_players_all_stats[[#This Row],[OREB22]]/10</f>
        <v>37</v>
      </c>
      <c r="T11" s="2">
        <f>knicks_players_all_stats[[#This Row],[DREB33]]/10</f>
        <v>62</v>
      </c>
      <c r="U11" s="2">
        <f>knicks_players_all_stats[[#This Row],[REB44]]/10</f>
        <v>99</v>
      </c>
      <c r="V11">
        <v>370</v>
      </c>
      <c r="W11">
        <v>620</v>
      </c>
      <c r="X11">
        <v>990</v>
      </c>
      <c r="Y11" s="22">
        <f>knicks_players_all_stats[[#This Row],[REB]]/knicks_players_all_stats[[#This Row],[GP]]</f>
        <v>3.3</v>
      </c>
      <c r="Z11" s="2">
        <v>20</v>
      </c>
      <c r="AA11" s="6">
        <f>knicks_players_all_stats[[#This Row],[AST]]/knicks_players_all_stats[[#This Row],[GP]]</f>
        <v>0.66666666666666663</v>
      </c>
      <c r="AB11" s="2">
        <f>knicks_players_all_stats[[#This Row],[STL2]]/10</f>
        <v>15</v>
      </c>
      <c r="AC11" s="2">
        <v>150</v>
      </c>
      <c r="AD11" s="6">
        <f>knicks_players_all_stats[[#This Row],[STL]]/knicks_players_all_stats[[#This Row],[GP]]</f>
        <v>0.5</v>
      </c>
      <c r="AE11">
        <v>190</v>
      </c>
      <c r="AF11" s="2">
        <f>knicks_players_all_stats[[#This Row],[BLK2]]/10</f>
        <v>19</v>
      </c>
      <c r="AG11" s="6">
        <f>knicks_players_all_stats[[#This Row],[BLK]]/knicks_players_all_stats[[#This Row],[GP]]</f>
        <v>0.6333333333333333</v>
      </c>
      <c r="AH11">
        <v>410</v>
      </c>
      <c r="AI11" s="6">
        <f>knicks_players_all_stats[[#This Row],[BLKPG]]+knicks_players_all_stats[[#This Row],[STLPG]]+knicks_players_all_stats[[#This Row],[REBPG]]</f>
        <v>4.4333333333333336</v>
      </c>
      <c r="AJ11" s="2">
        <f>knicks_players_all_stats[[#This Row],[TOV2]]/10</f>
        <v>41</v>
      </c>
      <c r="AK11" s="6">
        <f>knicks_players_all_stats[[#This Row],[TOV]]/knicks_players_all_stats[[#This Row],[GP]]</f>
        <v>1.3666666666666667</v>
      </c>
      <c r="AL11" s="2">
        <v>101</v>
      </c>
      <c r="AM11" s="2">
        <f>knicks_players_all_stats[[#This Row],[PF]]/knicks_players_all_stats[[#This Row],[GP]]</f>
        <v>3.3666666666666667</v>
      </c>
      <c r="AN11" s="2">
        <v>185</v>
      </c>
      <c r="AO11" s="6">
        <f>knicks_players_all_stats[[#This Row],[PTS]]/knicks_players_all_stats[[#This Row],[GP]]</f>
        <v>6.166666666666667</v>
      </c>
    </row>
    <row r="12" spans="1:41" customFormat="1" x14ac:dyDescent="0.3">
      <c r="A12" s="3" t="s">
        <v>1807</v>
      </c>
      <c r="B12" s="3" t="s">
        <v>1465</v>
      </c>
      <c r="C12" s="3" t="str">
        <f>knicks_players_all_stats[[#This Row],[NAME]]&amp;" ("&amp;knicks_players_all_stats[[#This Row],[SEASON]]&amp;")"</f>
        <v>Erick Strickland (2000-01)</v>
      </c>
      <c r="D12" s="3">
        <f>knicks_players_all_stats[[#This Row],[PLAYER_AGE]]/10</f>
        <v>27</v>
      </c>
      <c r="E12">
        <v>270</v>
      </c>
      <c r="F12" s="2">
        <v>28</v>
      </c>
      <c r="G12" s="2">
        <v>4210</v>
      </c>
      <c r="H1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62</v>
      </c>
      <c r="I12" s="6">
        <f>knicks_players_all_stats[[#This Row],[VALORATION]]/knicks_players_all_stats[[#This Row],[GP]]</f>
        <v>2.2142857142857144</v>
      </c>
      <c r="J12" s="2">
        <v>40</v>
      </c>
      <c r="K12" s="2">
        <v>131</v>
      </c>
      <c r="L12" s="2">
        <v>305</v>
      </c>
      <c r="M12" s="2">
        <v>160</v>
      </c>
      <c r="N12" s="2">
        <v>470</v>
      </c>
      <c r="O12" s="4">
        <f>knicks_players_all_stats[[#This Row],[FG3M]]/knicks_players_all_stats[[#This Row],[FG3A]]</f>
        <v>0.34042553191489361</v>
      </c>
      <c r="P12" s="2">
        <v>24</v>
      </c>
      <c r="Q12" s="2">
        <v>28</v>
      </c>
      <c r="R12" s="5">
        <f>knicks_players_all_stats[[#This Row],[FTM]]/knicks_players_all_stats[[#This Row],[FTA]]</f>
        <v>0.8571428571428571</v>
      </c>
      <c r="S12" s="2">
        <f>knicks_players_all_stats[[#This Row],[OREB22]]/10</f>
        <v>9</v>
      </c>
      <c r="T12" s="2">
        <f>knicks_players_all_stats[[#This Row],[DREB33]]/10</f>
        <v>43</v>
      </c>
      <c r="U12" s="2">
        <f>knicks_players_all_stats[[#This Row],[REB44]]/10</f>
        <v>52</v>
      </c>
      <c r="V12">
        <v>90</v>
      </c>
      <c r="W12">
        <v>430</v>
      </c>
      <c r="X12">
        <v>520</v>
      </c>
      <c r="Y12" s="22">
        <f>knicks_players_all_stats[[#This Row],[REB]]/knicks_players_all_stats[[#This Row],[GP]]</f>
        <v>1.8571428571428572</v>
      </c>
      <c r="Z12" s="2">
        <v>29</v>
      </c>
      <c r="AA12" s="6">
        <f>knicks_players_all_stats[[#This Row],[AST]]/knicks_players_all_stats[[#This Row],[GP]]</f>
        <v>1.0357142857142858</v>
      </c>
      <c r="AB12" s="2">
        <f>knicks_players_all_stats[[#This Row],[STL2]]/10</f>
        <v>22</v>
      </c>
      <c r="AC12" s="2">
        <v>220</v>
      </c>
      <c r="AD12" s="6">
        <f>knicks_players_all_stats[[#This Row],[STL]]/knicks_players_all_stats[[#This Row],[GP]]</f>
        <v>0.7857142857142857</v>
      </c>
      <c r="AE12">
        <v>10</v>
      </c>
      <c r="AF12" s="2">
        <f>knicks_players_all_stats[[#This Row],[BLK2]]/10</f>
        <v>1</v>
      </c>
      <c r="AG12" s="6">
        <f>knicks_players_all_stats[[#This Row],[BLK]]/knicks_players_all_stats[[#This Row],[GP]]</f>
        <v>3.5714285714285712E-2</v>
      </c>
      <c r="AH12">
        <v>210</v>
      </c>
      <c r="AI12" s="6">
        <f>knicks_players_all_stats[[#This Row],[BLKPG]]+knicks_players_all_stats[[#This Row],[STLPG]]+knicks_players_all_stats[[#This Row],[REBPG]]</f>
        <v>2.6785714285714288</v>
      </c>
      <c r="AJ12" s="2">
        <f>knicks_players_all_stats[[#This Row],[TOV2]]/10</f>
        <v>21</v>
      </c>
      <c r="AK12" s="6">
        <f>knicks_players_all_stats[[#This Row],[TOV]]/knicks_players_all_stats[[#This Row],[GP]]</f>
        <v>0.75</v>
      </c>
      <c r="AL12" s="2">
        <v>46</v>
      </c>
      <c r="AM12" s="2">
        <f>knicks_players_all_stats[[#This Row],[PF]]/knicks_players_all_stats[[#This Row],[GP]]</f>
        <v>1.6428571428571428</v>
      </c>
      <c r="AN12" s="2">
        <v>120</v>
      </c>
      <c r="AO12" s="6">
        <f>knicks_players_all_stats[[#This Row],[PTS]]/knicks_players_all_stats[[#This Row],[GP]]</f>
        <v>4.2857142857142856</v>
      </c>
    </row>
    <row r="13" spans="1:41" customFormat="1" x14ac:dyDescent="0.3">
      <c r="A13" s="3" t="s">
        <v>1673</v>
      </c>
      <c r="B13" s="3" t="s">
        <v>1465</v>
      </c>
      <c r="C13" s="3" t="str">
        <f>knicks_players_all_stats[[#This Row],[NAME]]&amp;" ("&amp;knicks_players_all_stats[[#This Row],[SEASON]]&amp;")"</f>
        <v>Felton Spencer (2000-01)</v>
      </c>
      <c r="D13" s="3">
        <f>knicks_players_all_stats[[#This Row],[PLAYER_AGE]]/10</f>
        <v>33</v>
      </c>
      <c r="E13">
        <v>330</v>
      </c>
      <c r="F13" s="2">
        <v>18</v>
      </c>
      <c r="G13" s="2">
        <v>1120</v>
      </c>
      <c r="H1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27</v>
      </c>
      <c r="I13" s="6">
        <f>knicks_players_all_stats[[#This Row],[VALORATION]]/knicks_players_all_stats[[#This Row],[GP]]</f>
        <v>1.5</v>
      </c>
      <c r="J13" s="2">
        <v>12</v>
      </c>
      <c r="K13" s="2">
        <v>20</v>
      </c>
      <c r="L13" s="2">
        <v>6</v>
      </c>
      <c r="M13" s="2">
        <v>0</v>
      </c>
      <c r="N13" s="2">
        <v>0</v>
      </c>
      <c r="O13" s="4" t="e">
        <f>knicks_players_all_stats[[#This Row],[FG3M]]/knicks_players_all_stats[[#This Row],[FG3A]]</f>
        <v>#DIV/0!</v>
      </c>
      <c r="P13" s="2">
        <v>15</v>
      </c>
      <c r="Q13" s="2">
        <v>25</v>
      </c>
      <c r="R13" s="5">
        <f>knicks_players_all_stats[[#This Row],[FTM]]/knicks_players_all_stats[[#This Row],[FTA]]</f>
        <v>0.6</v>
      </c>
      <c r="S13" s="2">
        <f>knicks_players_all_stats[[#This Row],[OREB22]]/10</f>
        <v>16</v>
      </c>
      <c r="T13" s="2">
        <f>knicks_players_all_stats[[#This Row],[DREB33]]/10</f>
        <v>19</v>
      </c>
      <c r="U13" s="2">
        <f>knicks_players_all_stats[[#This Row],[REB44]]/10</f>
        <v>35</v>
      </c>
      <c r="V13">
        <v>160</v>
      </c>
      <c r="W13">
        <v>190</v>
      </c>
      <c r="X13">
        <v>350</v>
      </c>
      <c r="Y13" s="22">
        <f>knicks_players_all_stats[[#This Row],[REB]]/knicks_players_all_stats[[#This Row],[GP]]</f>
        <v>1.9444444444444444</v>
      </c>
      <c r="Z13" s="2">
        <v>2</v>
      </c>
      <c r="AA13" s="6">
        <f>knicks_players_all_stats[[#This Row],[AST]]/knicks_players_all_stats[[#This Row],[GP]]</f>
        <v>0.1111111111111111</v>
      </c>
      <c r="AB13" s="2">
        <f>knicks_players_all_stats[[#This Row],[STL2]]/10</f>
        <v>2</v>
      </c>
      <c r="AC13" s="2">
        <v>20</v>
      </c>
      <c r="AD13" s="6">
        <f>knicks_players_all_stats[[#This Row],[STL]]/knicks_players_all_stats[[#This Row],[GP]]</f>
        <v>0.1111111111111111</v>
      </c>
      <c r="AE13">
        <v>20</v>
      </c>
      <c r="AF13" s="2">
        <f>knicks_players_all_stats[[#This Row],[BLK2]]/10</f>
        <v>2</v>
      </c>
      <c r="AG13" s="6">
        <f>knicks_players_all_stats[[#This Row],[BLK]]/knicks_players_all_stats[[#This Row],[GP]]</f>
        <v>0.1111111111111111</v>
      </c>
      <c r="AH13">
        <v>110</v>
      </c>
      <c r="AI13" s="6">
        <f>knicks_players_all_stats[[#This Row],[BLKPG]]+knicks_players_all_stats[[#This Row],[STLPG]]+knicks_players_all_stats[[#This Row],[REBPG]]</f>
        <v>2.1666666666666665</v>
      </c>
      <c r="AJ13" s="2">
        <f>knicks_players_all_stats[[#This Row],[TOV2]]/10</f>
        <v>11</v>
      </c>
      <c r="AK13" s="6">
        <f>knicks_players_all_stats[[#This Row],[TOV]]/knicks_players_all_stats[[#This Row],[GP]]</f>
        <v>0.61111111111111116</v>
      </c>
      <c r="AL13" s="2">
        <v>24</v>
      </c>
      <c r="AM13" s="2">
        <f>knicks_players_all_stats[[#This Row],[PF]]/knicks_players_all_stats[[#This Row],[GP]]</f>
        <v>1.3333333333333333</v>
      </c>
      <c r="AN13" s="2">
        <v>39</v>
      </c>
      <c r="AO13" s="6">
        <f>knicks_players_all_stats[[#This Row],[PTS]]/knicks_players_all_stats[[#This Row],[GP]]</f>
        <v>2.1666666666666665</v>
      </c>
    </row>
    <row r="14" spans="1:41" customFormat="1" x14ac:dyDescent="0.3">
      <c r="A14" s="3" t="s">
        <v>1584</v>
      </c>
      <c r="B14" s="3" t="s">
        <v>1465</v>
      </c>
      <c r="C14" s="3" t="str">
        <f>knicks_players_all_stats[[#This Row],[NAME]]&amp;" ("&amp;knicks_players_all_stats[[#This Row],[SEASON]]&amp;")"</f>
        <v>Rick Brunson (2000-01)</v>
      </c>
      <c r="D14" s="3">
        <f>knicks_players_all_stats[[#This Row],[PLAYER_AGE]]/10</f>
        <v>29</v>
      </c>
      <c r="E14">
        <v>290</v>
      </c>
      <c r="F14" s="2">
        <v>15</v>
      </c>
      <c r="G14" s="2">
        <v>660</v>
      </c>
      <c r="H1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14</v>
      </c>
      <c r="I14" s="6">
        <f>knicks_players_all_stats[[#This Row],[VALORATION]]/knicks_players_all_stats[[#This Row],[GP]]</f>
        <v>0.93333333333333335</v>
      </c>
      <c r="J14" s="2">
        <v>8</v>
      </c>
      <c r="K14" s="2">
        <v>19</v>
      </c>
      <c r="L14" s="4">
        <f>knicks_players_all_stats[[#This Row],[FGM]]/knicks_players_all_stats[[#This Row],[FGA]]</f>
        <v>0.42105263157894735</v>
      </c>
      <c r="M14" s="2">
        <v>0</v>
      </c>
      <c r="N14" s="2">
        <v>30</v>
      </c>
      <c r="O14" s="4">
        <f>knicks_players_all_stats[[#This Row],[FG3M]]/knicks_players_all_stats[[#This Row],[FG3A]]</f>
        <v>0</v>
      </c>
      <c r="P14" s="2">
        <v>4</v>
      </c>
      <c r="Q14" s="2">
        <v>6</v>
      </c>
      <c r="R14" s="5">
        <f>knicks_players_all_stats[[#This Row],[FTM]]/knicks_players_all_stats[[#This Row],[FTA]]</f>
        <v>0.66666666666666663</v>
      </c>
      <c r="S14" s="2">
        <f>knicks_players_all_stats[[#This Row],[OREB22]]/10</f>
        <v>3</v>
      </c>
      <c r="T14" s="2">
        <f>knicks_players_all_stats[[#This Row],[DREB33]]/10</f>
        <v>9</v>
      </c>
      <c r="U14" s="2">
        <f>knicks_players_all_stats[[#This Row],[REB44]]/10</f>
        <v>12</v>
      </c>
      <c r="V14">
        <v>30</v>
      </c>
      <c r="W14">
        <v>90</v>
      </c>
      <c r="X14">
        <v>120</v>
      </c>
      <c r="Y14" s="22">
        <f>knicks_players_all_stats[[#This Row],[REB]]/knicks_players_all_stats[[#This Row],[GP]]</f>
        <v>0.8</v>
      </c>
      <c r="Z14" s="2">
        <v>7</v>
      </c>
      <c r="AA14" s="6">
        <f>knicks_players_all_stats[[#This Row],[AST]]/knicks_players_all_stats[[#This Row],[GP]]</f>
        <v>0.46666666666666667</v>
      </c>
      <c r="AB14" s="2">
        <f>knicks_players_all_stats[[#This Row],[STL2]]/10</f>
        <v>1</v>
      </c>
      <c r="AC14" s="2">
        <v>10</v>
      </c>
      <c r="AD14" s="6">
        <f>knicks_players_all_stats[[#This Row],[STL]]/knicks_players_all_stats[[#This Row],[GP]]</f>
        <v>6.6666666666666666E-2</v>
      </c>
      <c r="AE14">
        <v>0</v>
      </c>
      <c r="AF14" s="2">
        <f>knicks_players_all_stats[[#This Row],[BLK2]]/10</f>
        <v>0</v>
      </c>
      <c r="AG14" s="6">
        <f>knicks_players_all_stats[[#This Row],[BLK]]/knicks_players_all_stats[[#This Row],[GP]]</f>
        <v>0</v>
      </c>
      <c r="AH14">
        <v>80</v>
      </c>
      <c r="AI14" s="6">
        <f>knicks_players_all_stats[[#This Row],[BLKPG]]+knicks_players_all_stats[[#This Row],[STLPG]]+knicks_players_all_stats[[#This Row],[REBPG]]</f>
        <v>0.8666666666666667</v>
      </c>
      <c r="AJ14" s="2">
        <f>knicks_players_all_stats[[#This Row],[TOV2]]/10</f>
        <v>8</v>
      </c>
      <c r="AK14" s="6">
        <f>knicks_players_all_stats[[#This Row],[TOV]]/knicks_players_all_stats[[#This Row],[GP]]</f>
        <v>0.53333333333333333</v>
      </c>
      <c r="AL14" s="2">
        <v>5</v>
      </c>
      <c r="AM14" s="2">
        <f>knicks_players_all_stats[[#This Row],[PF]]/knicks_players_all_stats[[#This Row],[GP]]</f>
        <v>0.33333333333333331</v>
      </c>
      <c r="AN14" s="2">
        <v>20</v>
      </c>
      <c r="AO14" s="6">
        <f>knicks_players_all_stats[[#This Row],[PTS]]/knicks_players_all_stats[[#This Row],[GP]]</f>
        <v>1.3333333333333333</v>
      </c>
    </row>
    <row r="15" spans="1:41" customFormat="1" x14ac:dyDescent="0.3">
      <c r="A15" s="3" t="s">
        <v>1592</v>
      </c>
      <c r="B15" s="3" t="s">
        <v>1465</v>
      </c>
      <c r="C15" s="3" t="str">
        <f>knicks_players_all_stats[[#This Row],[NAME]]&amp;" ("&amp;knicks_players_all_stats[[#This Row],[SEASON]]&amp;")"</f>
        <v>Lavor Postell (2000-01)</v>
      </c>
      <c r="D15" s="3">
        <f>knicks_players_all_stats[[#This Row],[PLAYER_AGE]]/10</f>
        <v>23</v>
      </c>
      <c r="E15">
        <v>230</v>
      </c>
      <c r="F15" s="2">
        <v>26</v>
      </c>
      <c r="G15" s="2">
        <v>1680</v>
      </c>
      <c r="H1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24</v>
      </c>
      <c r="I15" s="6">
        <f>knicks_players_all_stats[[#This Row],[VALORATION]]/knicks_players_all_stats[[#This Row],[GP]]</f>
        <v>0.92307692307692313</v>
      </c>
      <c r="J15" s="2">
        <v>17</v>
      </c>
      <c r="K15" s="2">
        <v>54</v>
      </c>
      <c r="L15" s="4">
        <f>knicks_players_all_stats[[#This Row],[FGM]]/knicks_players_all_stats[[#This Row],[FGA]]</f>
        <v>0.31481481481481483</v>
      </c>
      <c r="M15" s="2">
        <v>30</v>
      </c>
      <c r="N15" s="2">
        <v>110</v>
      </c>
      <c r="O15" s="4">
        <f>knicks_players_all_stats[[#This Row],[FG3M]]/knicks_players_all_stats[[#This Row],[FG3A]]</f>
        <v>0.27272727272727271</v>
      </c>
      <c r="P15" s="2">
        <v>22</v>
      </c>
      <c r="Q15" s="2">
        <v>27</v>
      </c>
      <c r="R15" s="5">
        <f>knicks_players_all_stats[[#This Row],[FTM]]/knicks_players_all_stats[[#This Row],[FTA]]</f>
        <v>0.81481481481481477</v>
      </c>
      <c r="S15" s="2">
        <f>knicks_players_all_stats[[#This Row],[OREB22]]/10</f>
        <v>8</v>
      </c>
      <c r="T15" s="2">
        <f>knicks_players_all_stats[[#This Row],[DREB33]]/10</f>
        <v>17</v>
      </c>
      <c r="U15" s="2">
        <f>knicks_players_all_stats[[#This Row],[REB44]]/10</f>
        <v>25</v>
      </c>
      <c r="V15">
        <v>80</v>
      </c>
      <c r="W15">
        <v>170</v>
      </c>
      <c r="X15">
        <v>250</v>
      </c>
      <c r="Y15" s="22">
        <f>knicks_players_all_stats[[#This Row],[REB]]/knicks_players_all_stats[[#This Row],[GP]]</f>
        <v>0.96153846153846156</v>
      </c>
      <c r="Z15" s="2">
        <v>5</v>
      </c>
      <c r="AA15" s="6">
        <f>knicks_players_all_stats[[#This Row],[AST]]/knicks_players_all_stats[[#This Row],[GP]]</f>
        <v>0.19230769230769232</v>
      </c>
      <c r="AB15" s="2">
        <f>knicks_players_all_stats[[#This Row],[STL2]]/10</f>
        <v>4</v>
      </c>
      <c r="AC15" s="2">
        <v>40</v>
      </c>
      <c r="AD15" s="6">
        <f>knicks_players_all_stats[[#This Row],[STL]]/knicks_players_all_stats[[#This Row],[GP]]</f>
        <v>0.15384615384615385</v>
      </c>
      <c r="AE15">
        <v>20</v>
      </c>
      <c r="AF15" s="2">
        <f>knicks_players_all_stats[[#This Row],[BLK2]]/10</f>
        <v>2</v>
      </c>
      <c r="AG15" s="6">
        <f>knicks_players_all_stats[[#This Row],[BLK]]/knicks_players_all_stats[[#This Row],[GP]]</f>
        <v>7.6923076923076927E-2</v>
      </c>
      <c r="AH15">
        <v>170</v>
      </c>
      <c r="AI15" s="6">
        <f>knicks_players_all_stats[[#This Row],[BLKPG]]+knicks_players_all_stats[[#This Row],[STLPG]]+knicks_players_all_stats[[#This Row],[REBPG]]</f>
        <v>1.1923076923076923</v>
      </c>
      <c r="AJ15" s="2">
        <f>knicks_players_all_stats[[#This Row],[TOV2]]/10</f>
        <v>17</v>
      </c>
      <c r="AK15" s="6">
        <f>knicks_players_all_stats[[#This Row],[TOV]]/knicks_players_all_stats[[#This Row],[GP]]</f>
        <v>0.65384615384615385</v>
      </c>
      <c r="AL15" s="2">
        <v>12</v>
      </c>
      <c r="AM15" s="2">
        <f>knicks_players_all_stats[[#This Row],[PF]]/knicks_players_all_stats[[#This Row],[GP]]</f>
        <v>0.46153846153846156</v>
      </c>
      <c r="AN15" s="2">
        <v>59</v>
      </c>
      <c r="AO15" s="6">
        <f>knicks_players_all_stats[[#This Row],[PTS]]/knicks_players_all_stats[[#This Row],[GP]]</f>
        <v>2.2692307692307692</v>
      </c>
    </row>
    <row r="16" spans="1:41" customFormat="1" x14ac:dyDescent="0.3">
      <c r="A16" s="3" t="s">
        <v>1529</v>
      </c>
      <c r="B16" s="3" t="s">
        <v>1465</v>
      </c>
      <c r="C16" s="3" t="str">
        <f>knicks_players_all_stats[[#This Row],[NAME]]&amp;" ("&amp;knicks_players_all_stats[[#This Row],[SEASON]]&amp;")"</f>
        <v>Luc Longley (2000-01)</v>
      </c>
      <c r="D16" s="3">
        <f>knicks_players_all_stats[[#This Row],[PLAYER_AGE]]/10</f>
        <v>32</v>
      </c>
      <c r="E16">
        <v>320</v>
      </c>
      <c r="F16" s="2">
        <v>25</v>
      </c>
      <c r="G16" s="2">
        <v>2990</v>
      </c>
      <c r="H1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21</v>
      </c>
      <c r="I16" s="6">
        <f>knicks_players_all_stats[[#This Row],[VALORATION]]/knicks_players_all_stats[[#This Row],[GP]]</f>
        <v>0.84</v>
      </c>
      <c r="J16" s="2">
        <v>18</v>
      </c>
      <c r="K16" s="2">
        <v>54</v>
      </c>
      <c r="L16" s="4">
        <f>knicks_players_all_stats[[#This Row],[FGM]]/knicks_players_all_stats[[#This Row],[FGA]]</f>
        <v>0.33333333333333331</v>
      </c>
      <c r="M16" s="2">
        <v>0</v>
      </c>
      <c r="N16" s="2">
        <v>0</v>
      </c>
      <c r="O16" s="4" t="e">
        <f>knicks_players_all_stats[[#This Row],[FG3M]]/knicks_players_all_stats[[#This Row],[FG3A]]</f>
        <v>#DIV/0!</v>
      </c>
      <c r="P16" s="2">
        <v>13</v>
      </c>
      <c r="Q16" s="2">
        <v>17</v>
      </c>
      <c r="R16" s="5">
        <f>knicks_players_all_stats[[#This Row],[FTM]]/knicks_players_all_stats[[#This Row],[FTA]]</f>
        <v>0.76470588235294112</v>
      </c>
      <c r="S16" s="2">
        <f>knicks_players_all_stats[[#This Row],[OREB22]]/10</f>
        <v>26</v>
      </c>
      <c r="T16" s="2">
        <f>knicks_players_all_stats[[#This Row],[DREB33]]/10</f>
        <v>40</v>
      </c>
      <c r="U16" s="2">
        <f>knicks_players_all_stats[[#This Row],[REB44]]/10</f>
        <v>66</v>
      </c>
      <c r="V16">
        <v>260</v>
      </c>
      <c r="W16">
        <v>400</v>
      </c>
      <c r="X16">
        <v>660</v>
      </c>
      <c r="Y16" s="22">
        <f>knicks_players_all_stats[[#This Row],[REB]]/knicks_players_all_stats[[#This Row],[GP]]</f>
        <v>2.64</v>
      </c>
      <c r="Z16" s="2">
        <v>7</v>
      </c>
      <c r="AA16" s="6">
        <f>knicks_players_all_stats[[#This Row],[AST]]/knicks_players_all_stats[[#This Row],[GP]]</f>
        <v>0.28000000000000003</v>
      </c>
      <c r="AB16" s="2">
        <f>knicks_players_all_stats[[#This Row],[STL2]]/10</f>
        <v>3</v>
      </c>
      <c r="AC16" s="2">
        <v>30</v>
      </c>
      <c r="AD16" s="6">
        <f>knicks_players_all_stats[[#This Row],[STL]]/knicks_players_all_stats[[#This Row],[GP]]</f>
        <v>0.12</v>
      </c>
      <c r="AE16">
        <v>90</v>
      </c>
      <c r="AF16" s="2">
        <f>knicks_players_all_stats[[#This Row],[BLK2]]/10</f>
        <v>9</v>
      </c>
      <c r="AG16" s="6">
        <f>knicks_players_all_stats[[#This Row],[BLK]]/knicks_players_all_stats[[#This Row],[GP]]</f>
        <v>0.36</v>
      </c>
      <c r="AH16">
        <v>220</v>
      </c>
      <c r="AI16" s="6">
        <f>knicks_players_all_stats[[#This Row],[BLKPG]]+knicks_players_all_stats[[#This Row],[STLPG]]+knicks_players_all_stats[[#This Row],[REBPG]]</f>
        <v>3.12</v>
      </c>
      <c r="AJ16" s="2">
        <f>knicks_players_all_stats[[#This Row],[TOV2]]/10</f>
        <v>22</v>
      </c>
      <c r="AK16" s="6">
        <f>knicks_players_all_stats[[#This Row],[TOV]]/knicks_players_all_stats[[#This Row],[GP]]</f>
        <v>0.88</v>
      </c>
      <c r="AL16" s="2">
        <v>51</v>
      </c>
      <c r="AM16" s="2">
        <f>knicks_players_all_stats[[#This Row],[PF]]/knicks_players_all_stats[[#This Row],[GP]]</f>
        <v>2.04</v>
      </c>
      <c r="AN16" s="2">
        <v>49</v>
      </c>
      <c r="AO16" s="6">
        <f>knicks_players_all_stats[[#This Row],[PTS]]/knicks_players_all_stats[[#This Row],[GP]]</f>
        <v>1.96</v>
      </c>
    </row>
    <row r="17" spans="1:41" customFormat="1" x14ac:dyDescent="0.3">
      <c r="A17" s="3" t="s">
        <v>1625</v>
      </c>
      <c r="B17" s="3" t="s">
        <v>1465</v>
      </c>
      <c r="C17" s="3" t="str">
        <f>knicks_players_all_stats[[#This Row],[NAME]]&amp;" ("&amp;knicks_players_all_stats[[#This Row],[SEASON]]&amp;")"</f>
        <v>Travis Knight (2000-01)</v>
      </c>
      <c r="D17" s="3">
        <f>knicks_players_all_stats[[#This Row],[PLAYER_AGE]]/10</f>
        <v>26</v>
      </c>
      <c r="E17">
        <v>260</v>
      </c>
      <c r="F17" s="2">
        <v>45</v>
      </c>
      <c r="G17" s="2">
        <v>2550</v>
      </c>
      <c r="H1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-6</v>
      </c>
      <c r="I17" s="6">
        <f>knicks_players_all_stats[[#This Row],[VALORATION]]/knicks_players_all_stats[[#This Row],[GP]]</f>
        <v>-0.13333333333333333</v>
      </c>
      <c r="J17" s="2">
        <v>10</v>
      </c>
      <c r="K17" s="2">
        <v>53</v>
      </c>
      <c r="L17" s="4">
        <f>knicks_players_all_stats[[#This Row],[FGM]]/knicks_players_all_stats[[#This Row],[FGA]]</f>
        <v>0.18867924528301888</v>
      </c>
      <c r="M17" s="2">
        <v>0</v>
      </c>
      <c r="N17" s="2">
        <v>10</v>
      </c>
      <c r="O17" s="4">
        <f>knicks_players_all_stats[[#This Row],[FG3M]]/knicks_players_all_stats[[#This Row],[FG3A]]</f>
        <v>0</v>
      </c>
      <c r="P17" s="2">
        <v>9</v>
      </c>
      <c r="Q17" s="2">
        <v>18</v>
      </c>
      <c r="R17" s="5">
        <f>knicks_players_all_stats[[#This Row],[FTM]]/knicks_players_all_stats[[#This Row],[FTA]]</f>
        <v>0.5</v>
      </c>
      <c r="S17" s="2">
        <f>knicks_players_all_stats[[#This Row],[OREB22]]/10</f>
        <v>19</v>
      </c>
      <c r="T17" s="2">
        <f>knicks_players_all_stats[[#This Row],[DREB33]]/10</f>
        <v>34</v>
      </c>
      <c r="U17" s="2">
        <f>knicks_players_all_stats[[#This Row],[REB44]]/10</f>
        <v>53</v>
      </c>
      <c r="V17">
        <v>190</v>
      </c>
      <c r="W17">
        <v>340</v>
      </c>
      <c r="X17">
        <v>530</v>
      </c>
      <c r="Y17" s="22">
        <f>knicks_players_all_stats[[#This Row],[REB]]/knicks_players_all_stats[[#This Row],[GP]]</f>
        <v>1.1777777777777778</v>
      </c>
      <c r="Z17" s="2">
        <v>5</v>
      </c>
      <c r="AA17" s="6">
        <f>knicks_players_all_stats[[#This Row],[AST]]/knicks_players_all_stats[[#This Row],[GP]]</f>
        <v>0.1111111111111111</v>
      </c>
      <c r="AB17" s="2">
        <f>knicks_players_all_stats[[#This Row],[STL2]]/10</f>
        <v>5</v>
      </c>
      <c r="AC17" s="2">
        <v>50</v>
      </c>
      <c r="AD17" s="6">
        <f>knicks_players_all_stats[[#This Row],[STL]]/knicks_players_all_stats[[#This Row],[GP]]</f>
        <v>0.1111111111111111</v>
      </c>
      <c r="AE17">
        <v>110</v>
      </c>
      <c r="AF17" s="2">
        <f>knicks_players_all_stats[[#This Row],[BLK2]]/10</f>
        <v>11</v>
      </c>
      <c r="AG17" s="6">
        <f>knicks_players_all_stats[[#This Row],[BLK]]/knicks_players_all_stats[[#This Row],[GP]]</f>
        <v>0.24444444444444444</v>
      </c>
      <c r="AH17">
        <v>100</v>
      </c>
      <c r="AI17" s="6">
        <f>knicks_players_all_stats[[#This Row],[BLKPG]]+knicks_players_all_stats[[#This Row],[STLPG]]+knicks_players_all_stats[[#This Row],[REBPG]]</f>
        <v>1.5333333333333332</v>
      </c>
      <c r="AJ17" s="2">
        <f>knicks_players_all_stats[[#This Row],[TOV2]]/10</f>
        <v>10</v>
      </c>
      <c r="AK17" s="6">
        <f>knicks_players_all_stats[[#This Row],[TOV]]/knicks_players_all_stats[[#This Row],[GP]]</f>
        <v>0.22222222222222221</v>
      </c>
      <c r="AL17" s="2">
        <v>47</v>
      </c>
      <c r="AM17" s="2">
        <f>knicks_players_all_stats[[#This Row],[PF]]/knicks_players_all_stats[[#This Row],[GP]]</f>
        <v>1.0444444444444445</v>
      </c>
      <c r="AN17" s="2">
        <v>29</v>
      </c>
      <c r="AO17" s="6">
        <f>knicks_players_all_stats[[#This Row],[PTS]]/knicks_players_all_stats[[#This Row],[GP]]</f>
        <v>0.64444444444444449</v>
      </c>
    </row>
    <row r="18" spans="1:41" customFormat="1" x14ac:dyDescent="0.3">
      <c r="A18" s="3" t="s">
        <v>1501</v>
      </c>
      <c r="B18" s="3" t="s">
        <v>1330</v>
      </c>
      <c r="C18" s="3" t="str">
        <f>knicks_players_all_stats[[#This Row],[NAME]]&amp;" ("&amp;knicks_players_all_stats[[#This Row],[SEASON]]&amp;")"</f>
        <v>Marcus Camby (2001-02)</v>
      </c>
      <c r="D18" s="3">
        <f>knicks_players_all_stats[[#This Row],[PLAYER_AGE]]/10</f>
        <v>28</v>
      </c>
      <c r="E18">
        <v>280</v>
      </c>
      <c r="F18" s="2">
        <v>29</v>
      </c>
      <c r="G18" s="2">
        <v>10070</v>
      </c>
      <c r="H1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415</v>
      </c>
      <c r="I18" s="6">
        <f>knicks_players_all_stats[[#This Row],[VALORATION]]/knicks_players_all_stats[[#This Row],[GP]]</f>
        <v>14.310344827586206</v>
      </c>
      <c r="J18" s="2">
        <v>130</v>
      </c>
      <c r="K18" s="2">
        <v>290</v>
      </c>
      <c r="L18" s="4">
        <f>knicks_players_all_stats[[#This Row],[FGM]]/knicks_players_all_stats[[#This Row],[FGA]]</f>
        <v>0.44827586206896552</v>
      </c>
      <c r="M18" s="2">
        <v>0</v>
      </c>
      <c r="N18" s="2">
        <v>10</v>
      </c>
      <c r="O18" s="4">
        <f>knicks_players_all_stats[[#This Row],[FG3M]]/knicks_players_all_stats[[#This Row],[FG3A]]</f>
        <v>0</v>
      </c>
      <c r="P18" s="2">
        <v>62</v>
      </c>
      <c r="Q18" s="2">
        <v>99</v>
      </c>
      <c r="R18" s="5">
        <f>knicks_players_all_stats[[#This Row],[FTM]]/knicks_players_all_stats[[#This Row],[FTA]]</f>
        <v>0.6262626262626263</v>
      </c>
      <c r="S18" s="2">
        <f>knicks_players_all_stats[[#This Row],[OREB22]]/10</f>
        <v>89</v>
      </c>
      <c r="T18" s="2">
        <f>knicks_players_all_stats[[#This Row],[DREB33]]/10</f>
        <v>233</v>
      </c>
      <c r="U18" s="2">
        <f>knicks_players_all_stats[[#This Row],[REB44]]/10</f>
        <v>322</v>
      </c>
      <c r="V18">
        <v>890</v>
      </c>
      <c r="W18">
        <v>2330</v>
      </c>
      <c r="X18">
        <v>3220</v>
      </c>
      <c r="Y18" s="22">
        <f>knicks_players_all_stats[[#This Row],[REB]]/knicks_players_all_stats[[#This Row],[GP]]</f>
        <v>11.103448275862069</v>
      </c>
      <c r="Z18" s="2">
        <v>33</v>
      </c>
      <c r="AA18" s="6">
        <f>knicks_players_all_stats[[#This Row],[AST]]/knicks_players_all_stats[[#This Row],[GP]]</f>
        <v>1.1379310344827587</v>
      </c>
      <c r="AB18" s="2">
        <f>knicks_players_all_stats[[#This Row],[STL2]]/10</f>
        <v>34</v>
      </c>
      <c r="AC18" s="2">
        <v>340</v>
      </c>
      <c r="AD18" s="6">
        <f>knicks_players_all_stats[[#This Row],[STL]]/knicks_players_all_stats[[#This Row],[GP]]</f>
        <v>1.1724137931034482</v>
      </c>
      <c r="AE18">
        <v>500</v>
      </c>
      <c r="AF18" s="2">
        <f>knicks_players_all_stats[[#This Row],[BLK2]]/10</f>
        <v>50</v>
      </c>
      <c r="AG18" s="6">
        <f>knicks_players_all_stats[[#This Row],[BLK]]/knicks_players_all_stats[[#This Row],[GP]]</f>
        <v>1.7241379310344827</v>
      </c>
      <c r="AH18">
        <v>420</v>
      </c>
      <c r="AI18" s="6">
        <f>knicks_players_all_stats[[#This Row],[BLKPG]]+knicks_players_all_stats[[#This Row],[STLPG]]+knicks_players_all_stats[[#This Row],[REBPG]]</f>
        <v>14</v>
      </c>
      <c r="AJ18" s="2">
        <f>knicks_players_all_stats[[#This Row],[TOV2]]/10</f>
        <v>42</v>
      </c>
      <c r="AK18" s="6">
        <f>knicks_players_all_stats[[#This Row],[TOV]]/knicks_players_all_stats[[#This Row],[GP]]</f>
        <v>1.4482758620689655</v>
      </c>
      <c r="AL18" s="2">
        <v>107</v>
      </c>
      <c r="AM18" s="2">
        <f>knicks_players_all_stats[[#This Row],[PF]]/knicks_players_all_stats[[#This Row],[GP]]</f>
        <v>3.6896551724137931</v>
      </c>
      <c r="AN18" s="2">
        <v>322</v>
      </c>
      <c r="AO18" s="6">
        <f>knicks_players_all_stats[[#This Row],[PTS]]/knicks_players_all_stats[[#This Row],[GP]]</f>
        <v>11.103448275862069</v>
      </c>
    </row>
    <row r="19" spans="1:41" customFormat="1" x14ac:dyDescent="0.3">
      <c r="A19" s="3" t="s">
        <v>1790</v>
      </c>
      <c r="B19" s="3" t="s">
        <v>1330</v>
      </c>
      <c r="C19" s="3" t="str">
        <f>knicks_players_all_stats[[#This Row],[NAME]]&amp;" ("&amp;knicks_players_all_stats[[#This Row],[SEASON]]&amp;")"</f>
        <v>Kurt Thomas (2001-02)</v>
      </c>
      <c r="D19" s="3">
        <f>knicks_players_all_stats[[#This Row],[PLAYER_AGE]]/10</f>
        <v>29</v>
      </c>
      <c r="E19">
        <v>290</v>
      </c>
      <c r="F19" s="2">
        <v>82</v>
      </c>
      <c r="G19" s="2">
        <v>27690</v>
      </c>
      <c r="H1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1109</v>
      </c>
      <c r="I19" s="6">
        <f>knicks_players_all_stats[[#This Row],[VALORATION]]/knicks_players_all_stats[[#This Row],[GP]]</f>
        <v>13.524390243902438</v>
      </c>
      <c r="J19" s="2">
        <v>463</v>
      </c>
      <c r="K19" s="2">
        <v>938</v>
      </c>
      <c r="L19" s="2">
        <v>494</v>
      </c>
      <c r="M19" s="2">
        <v>10</v>
      </c>
      <c r="N19" s="2">
        <v>60</v>
      </c>
      <c r="O19" s="4">
        <f>knicks_players_all_stats[[#This Row],[FG3M]]/knicks_players_all_stats[[#This Row],[FG3A]]</f>
        <v>0.16666666666666666</v>
      </c>
      <c r="P19" s="2">
        <v>216</v>
      </c>
      <c r="Q19" s="2">
        <v>265</v>
      </c>
      <c r="R19" s="5">
        <f>knicks_players_all_stats[[#This Row],[FTM]]/knicks_players_all_stats[[#This Row],[FTA]]</f>
        <v>0.81509433962264155</v>
      </c>
      <c r="S19" s="2">
        <f>knicks_players_all_stats[[#This Row],[OREB22]]/10</f>
        <v>214</v>
      </c>
      <c r="T19" s="2">
        <f>knicks_players_all_stats[[#This Row],[DREB33]]/10</f>
        <v>533</v>
      </c>
      <c r="U19" s="2">
        <f>knicks_players_all_stats[[#This Row],[REB44]]/10</f>
        <v>747</v>
      </c>
      <c r="V19">
        <v>2140</v>
      </c>
      <c r="W19">
        <v>5330</v>
      </c>
      <c r="X19">
        <v>7470</v>
      </c>
      <c r="Y19" s="22">
        <f>knicks_players_all_stats[[#This Row],[REB]]/knicks_players_all_stats[[#This Row],[GP]]</f>
        <v>9.1097560975609753</v>
      </c>
      <c r="Z19" s="2">
        <v>87</v>
      </c>
      <c r="AA19" s="6">
        <f>knicks_players_all_stats[[#This Row],[AST]]/knicks_players_all_stats[[#This Row],[GP]]</f>
        <v>1.0609756097560976</v>
      </c>
      <c r="AB19" s="2">
        <f>knicks_players_all_stats[[#This Row],[STL2]]/10</f>
        <v>71</v>
      </c>
      <c r="AC19" s="2">
        <v>710</v>
      </c>
      <c r="AD19" s="6">
        <f>knicks_players_all_stats[[#This Row],[STL]]/knicks_players_all_stats[[#This Row],[GP]]</f>
        <v>0.86585365853658536</v>
      </c>
      <c r="AE19">
        <v>790</v>
      </c>
      <c r="AF19" s="2">
        <f>knicks_players_all_stats[[#This Row],[BLK2]]/10</f>
        <v>79</v>
      </c>
      <c r="AG19" s="6">
        <f>knicks_players_all_stats[[#This Row],[BLK]]/knicks_players_all_stats[[#This Row],[GP]]</f>
        <v>0.96341463414634143</v>
      </c>
      <c r="AH19">
        <v>1530</v>
      </c>
      <c r="AI19" s="6">
        <f>knicks_players_all_stats[[#This Row],[BLKPG]]+knicks_players_all_stats[[#This Row],[STLPG]]+knicks_players_all_stats[[#This Row],[REBPG]]</f>
        <v>10.939024390243901</v>
      </c>
      <c r="AJ19" s="2">
        <f>knicks_players_all_stats[[#This Row],[TOV2]]/10</f>
        <v>153</v>
      </c>
      <c r="AK19" s="6">
        <f>knicks_players_all_stats[[#This Row],[TOV]]/knicks_players_all_stats[[#This Row],[GP]]</f>
        <v>1.8658536585365855</v>
      </c>
      <c r="AL19" s="2">
        <v>341</v>
      </c>
      <c r="AM19" s="2">
        <f>knicks_players_all_stats[[#This Row],[PF]]/knicks_players_all_stats[[#This Row],[GP]]</f>
        <v>4.1585365853658534</v>
      </c>
      <c r="AN19" s="2">
        <v>1143</v>
      </c>
      <c r="AO19" s="6">
        <f>knicks_players_all_stats[[#This Row],[PTS]]/knicks_players_all_stats[[#This Row],[GP]]</f>
        <v>13.939024390243903</v>
      </c>
    </row>
    <row r="20" spans="1:41" customFormat="1" x14ac:dyDescent="0.3">
      <c r="A20" s="3" t="s">
        <v>1600</v>
      </c>
      <c r="B20" s="3" t="s">
        <v>1330</v>
      </c>
      <c r="C20" s="3" t="str">
        <f>knicks_players_all_stats[[#This Row],[NAME]]&amp;" ("&amp;knicks_players_all_stats[[#This Row],[SEASON]]&amp;")"</f>
        <v>Latrell Sprewell (2001-02)</v>
      </c>
      <c r="D20" s="3">
        <f>knicks_players_all_stats[[#This Row],[PLAYER_AGE]]/10</f>
        <v>31</v>
      </c>
      <c r="E20">
        <v>310</v>
      </c>
      <c r="F20" s="2">
        <v>81</v>
      </c>
      <c r="G20" s="2">
        <v>33280</v>
      </c>
      <c r="H2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1002</v>
      </c>
      <c r="I20" s="6">
        <f>knicks_players_all_stats[[#This Row],[VALORATION]]/knicks_players_all_stats[[#This Row],[GP]]</f>
        <v>12.37037037037037</v>
      </c>
      <c r="J20" s="2">
        <v>573</v>
      </c>
      <c r="K20" s="2">
        <v>1419</v>
      </c>
      <c r="L20" s="4">
        <f>knicks_players_all_stats[[#This Row],[FGM]]/knicks_players_all_stats[[#This Row],[FGA]]</f>
        <v>0.40380549682875266</v>
      </c>
      <c r="M20" s="2">
        <v>1450</v>
      </c>
      <c r="N20" s="2">
        <v>4030</v>
      </c>
      <c r="O20" s="4">
        <f>knicks_players_all_stats[[#This Row],[FG3M]]/knicks_players_all_stats[[#This Row],[FG3A]]</f>
        <v>0.35980148883374691</v>
      </c>
      <c r="P20" s="2">
        <v>284</v>
      </c>
      <c r="Q20" s="2">
        <v>346</v>
      </c>
      <c r="R20" s="5">
        <f>knicks_players_all_stats[[#This Row],[FTM]]/knicks_players_all_stats[[#This Row],[FTA]]</f>
        <v>0.82080924855491333</v>
      </c>
      <c r="S20" s="2">
        <f>knicks_players_all_stats[[#This Row],[OREB22]]/10</f>
        <v>59</v>
      </c>
      <c r="T20" s="2">
        <f>knicks_players_all_stats[[#This Row],[DREB33]]/10</f>
        <v>239</v>
      </c>
      <c r="U20" s="2">
        <f>knicks_players_all_stats[[#This Row],[REB44]]/10</f>
        <v>298</v>
      </c>
      <c r="V20">
        <v>590</v>
      </c>
      <c r="W20">
        <v>2390</v>
      </c>
      <c r="X20">
        <v>2980</v>
      </c>
      <c r="Y20" s="22">
        <f>knicks_players_all_stats[[#This Row],[REB]]/knicks_players_all_stats[[#This Row],[GP]]</f>
        <v>3.6790123456790123</v>
      </c>
      <c r="Z20" s="2">
        <v>313</v>
      </c>
      <c r="AA20" s="6">
        <f>knicks_players_all_stats[[#This Row],[AST]]/knicks_players_all_stats[[#This Row],[GP]]</f>
        <v>3.8641975308641974</v>
      </c>
      <c r="AB20" s="2">
        <f>knicks_players_all_stats[[#This Row],[STL2]]/10</f>
        <v>94</v>
      </c>
      <c r="AC20" s="2">
        <v>940</v>
      </c>
      <c r="AD20" s="6">
        <f>knicks_players_all_stats[[#This Row],[STL]]/knicks_players_all_stats[[#This Row],[GP]]</f>
        <v>1.1604938271604939</v>
      </c>
      <c r="AE20">
        <v>140</v>
      </c>
      <c r="AF20" s="2">
        <f>knicks_players_all_stats[[#This Row],[BLK2]]/10</f>
        <v>14</v>
      </c>
      <c r="AG20" s="6">
        <f>knicks_players_all_stats[[#This Row],[BLK]]/knicks_players_all_stats[[#This Row],[GP]]</f>
        <v>0.1728395061728395</v>
      </c>
      <c r="AH20">
        <v>2230</v>
      </c>
      <c r="AI20" s="6">
        <f>knicks_players_all_stats[[#This Row],[BLKPG]]+knicks_players_all_stats[[#This Row],[STLPG]]+knicks_players_all_stats[[#This Row],[REBPG]]</f>
        <v>5.0123456790123457</v>
      </c>
      <c r="AJ20" s="2">
        <f>knicks_players_all_stats[[#This Row],[TOV2]]/10</f>
        <v>223</v>
      </c>
      <c r="AK20" s="6">
        <f>knicks_players_all_stats[[#This Row],[TOV]]/knicks_players_all_stats[[#This Row],[GP]]</f>
        <v>2.7530864197530862</v>
      </c>
      <c r="AL20" s="2">
        <v>161</v>
      </c>
      <c r="AM20" s="2">
        <f>knicks_players_all_stats[[#This Row],[PF]]/knicks_players_all_stats[[#This Row],[GP]]</f>
        <v>1.9876543209876543</v>
      </c>
      <c r="AN20" s="2">
        <v>1575</v>
      </c>
      <c r="AO20" s="6">
        <f>knicks_players_all_stats[[#This Row],[PTS]]/knicks_players_all_stats[[#This Row],[GP]]</f>
        <v>19.444444444444443</v>
      </c>
    </row>
    <row r="21" spans="1:41" customFormat="1" x14ac:dyDescent="0.3">
      <c r="A21" s="3" t="s">
        <v>1757</v>
      </c>
      <c r="B21" s="3" t="s">
        <v>1330</v>
      </c>
      <c r="C21" s="3" t="str">
        <f>knicks_players_all_stats[[#This Row],[NAME]]&amp;" ("&amp;knicks_players_all_stats[[#This Row],[SEASON]]&amp;")"</f>
        <v>Mark Jackson (2001-02)</v>
      </c>
      <c r="D21" s="3">
        <f>knicks_players_all_stats[[#This Row],[PLAYER_AGE]]/10</f>
        <v>37</v>
      </c>
      <c r="E21">
        <v>370</v>
      </c>
      <c r="F21" s="2">
        <v>82</v>
      </c>
      <c r="G21" s="2">
        <v>23670</v>
      </c>
      <c r="H2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1008</v>
      </c>
      <c r="I21" s="6">
        <f>knicks_players_all_stats[[#This Row],[VALORATION]]/knicks_players_all_stats[[#This Row],[GP]]</f>
        <v>12.292682926829269</v>
      </c>
      <c r="J21" s="2">
        <v>260</v>
      </c>
      <c r="K21" s="2">
        <v>592</v>
      </c>
      <c r="L21" s="2">
        <v>439</v>
      </c>
      <c r="M21" s="2">
        <v>790</v>
      </c>
      <c r="N21" s="2">
        <v>1950</v>
      </c>
      <c r="O21" s="4">
        <f>knicks_players_all_stats[[#This Row],[FG3M]]/knicks_players_all_stats[[#This Row],[FG3A]]</f>
        <v>0.40512820512820513</v>
      </c>
      <c r="P21" s="2">
        <v>87</v>
      </c>
      <c r="Q21" s="2">
        <v>110</v>
      </c>
      <c r="R21" s="5">
        <f>knicks_players_all_stats[[#This Row],[FTM]]/knicks_players_all_stats[[#This Row],[FTA]]</f>
        <v>0.79090909090909089</v>
      </c>
      <c r="S21" s="2">
        <f>knicks_players_all_stats[[#This Row],[OREB22]]/10</f>
        <v>56</v>
      </c>
      <c r="T21" s="2">
        <f>knicks_players_all_stats[[#This Row],[DREB33]]/10</f>
        <v>253</v>
      </c>
      <c r="U21" s="2">
        <f>knicks_players_all_stats[[#This Row],[REB44]]/10</f>
        <v>309</v>
      </c>
      <c r="V21">
        <v>560</v>
      </c>
      <c r="W21">
        <v>2530</v>
      </c>
      <c r="X21">
        <v>3090</v>
      </c>
      <c r="Y21" s="22">
        <f>knicks_players_all_stats[[#This Row],[REB]]/knicks_players_all_stats[[#This Row],[GP]]</f>
        <v>3.7682926829268291</v>
      </c>
      <c r="Z21" s="2">
        <v>605</v>
      </c>
      <c r="AA21" s="6">
        <f>knicks_players_all_stats[[#This Row],[AST]]/knicks_players_all_stats[[#This Row],[GP]]</f>
        <v>7.3780487804878048</v>
      </c>
      <c r="AB21" s="2">
        <f>knicks_players_all_stats[[#This Row],[STL2]]/10</f>
        <v>74</v>
      </c>
      <c r="AC21" s="2">
        <v>740</v>
      </c>
      <c r="AD21" s="6">
        <f>knicks_players_all_stats[[#This Row],[STL]]/knicks_players_all_stats[[#This Row],[GP]]</f>
        <v>0.90243902439024393</v>
      </c>
      <c r="AE21">
        <v>10</v>
      </c>
      <c r="AF21" s="2">
        <f>knicks_players_all_stats[[#This Row],[BLK2]]/10</f>
        <v>1</v>
      </c>
      <c r="AG21" s="6">
        <f>knicks_players_all_stats[[#This Row],[BLK]]/knicks_players_all_stats[[#This Row],[GP]]</f>
        <v>1.2195121951219513E-2</v>
      </c>
      <c r="AH21">
        <v>1500</v>
      </c>
      <c r="AI21" s="6">
        <f>knicks_players_all_stats[[#This Row],[BLKPG]]+knicks_players_all_stats[[#This Row],[STLPG]]+knicks_players_all_stats[[#This Row],[REBPG]]</f>
        <v>4.6829268292682924</v>
      </c>
      <c r="AJ21" s="2">
        <f>knicks_players_all_stats[[#This Row],[TOV2]]/10</f>
        <v>150</v>
      </c>
      <c r="AK21" s="6">
        <f>knicks_players_all_stats[[#This Row],[TOV]]/knicks_players_all_stats[[#This Row],[GP]]</f>
        <v>1.8292682926829269</v>
      </c>
      <c r="AL21" s="2">
        <v>162</v>
      </c>
      <c r="AM21" s="2">
        <f>knicks_players_all_stats[[#This Row],[PF]]/knicks_players_all_stats[[#This Row],[GP]]</f>
        <v>1.975609756097561</v>
      </c>
      <c r="AN21" s="2">
        <v>686</v>
      </c>
      <c r="AO21" s="6">
        <f>knicks_players_all_stats[[#This Row],[PTS]]/knicks_players_all_stats[[#This Row],[GP]]</f>
        <v>8.3658536585365848</v>
      </c>
    </row>
    <row r="22" spans="1:41" customFormat="1" x14ac:dyDescent="0.3">
      <c r="A22" s="3" t="s">
        <v>1463</v>
      </c>
      <c r="B22" s="3" t="s">
        <v>1330</v>
      </c>
      <c r="C22" s="3" t="str">
        <f>knicks_players_all_stats[[#This Row],[NAME]]&amp;" ("&amp;knicks_players_all_stats[[#This Row],[SEASON]]&amp;")"</f>
        <v>Allan Houston (2001-02)</v>
      </c>
      <c r="D22" s="3">
        <f>knicks_players_all_stats[[#This Row],[PLAYER_AGE]]/10</f>
        <v>31</v>
      </c>
      <c r="E22">
        <v>310</v>
      </c>
      <c r="F22" s="2">
        <v>77</v>
      </c>
      <c r="G22" s="2">
        <v>29150</v>
      </c>
      <c r="H2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944</v>
      </c>
      <c r="I22" s="6">
        <f>knicks_players_all_stats[[#This Row],[VALORATION]]/knicks_players_all_stats[[#This Row],[GP]]</f>
        <v>12.25974025974026</v>
      </c>
      <c r="J22" s="2">
        <v>568</v>
      </c>
      <c r="K22" s="2">
        <v>1301</v>
      </c>
      <c r="L22" s="4">
        <f>knicks_players_all_stats[[#This Row],[FGM]]/knicks_players_all_stats[[#This Row],[FGA]]</f>
        <v>0.43658724058416604</v>
      </c>
      <c r="M22" s="2">
        <v>1360</v>
      </c>
      <c r="N22" s="2">
        <v>3460</v>
      </c>
      <c r="O22" s="4">
        <f>knicks_players_all_stats[[#This Row],[FG3M]]/knicks_players_all_stats[[#This Row],[FG3A]]</f>
        <v>0.39306358381502893</v>
      </c>
      <c r="P22" s="2">
        <v>295</v>
      </c>
      <c r="Q22" s="2">
        <v>339</v>
      </c>
      <c r="R22" s="5">
        <f>knicks_players_all_stats[[#This Row],[FTM]]/knicks_players_all_stats[[#This Row],[FTA]]</f>
        <v>0.87020648967551617</v>
      </c>
      <c r="S22" s="2">
        <f>knicks_players_all_stats[[#This Row],[OREB22]]/10</f>
        <v>37</v>
      </c>
      <c r="T22" s="2">
        <f>knicks_players_all_stats[[#This Row],[DREB33]]/10</f>
        <v>215</v>
      </c>
      <c r="U22" s="2">
        <f>knicks_players_all_stats[[#This Row],[REB44]]/10</f>
        <v>252</v>
      </c>
      <c r="V22">
        <v>370</v>
      </c>
      <c r="W22">
        <v>2150</v>
      </c>
      <c r="X22">
        <v>2520</v>
      </c>
      <c r="Y22" s="22">
        <f>knicks_players_all_stats[[#This Row],[REB]]/knicks_players_all_stats[[#This Row],[GP]]</f>
        <v>3.2727272727272729</v>
      </c>
      <c r="Z22" s="2">
        <v>190</v>
      </c>
      <c r="AA22" s="6">
        <f>knicks_players_all_stats[[#This Row],[AST]]/knicks_players_all_stats[[#This Row],[GP]]</f>
        <v>2.4675324675324677</v>
      </c>
      <c r="AB22" s="2">
        <f>knicks_players_all_stats[[#This Row],[STL2]]/10</f>
        <v>54</v>
      </c>
      <c r="AC22" s="2">
        <v>540</v>
      </c>
      <c r="AD22" s="6">
        <f>knicks_players_all_stats[[#This Row],[STL]]/knicks_players_all_stats[[#This Row],[GP]]</f>
        <v>0.70129870129870131</v>
      </c>
      <c r="AE22">
        <v>100</v>
      </c>
      <c r="AF22" s="2">
        <f>knicks_players_all_stats[[#This Row],[BLK2]]/10</f>
        <v>10</v>
      </c>
      <c r="AG22" s="6">
        <f>knicks_players_all_stats[[#This Row],[BLK]]/knicks_players_all_stats[[#This Row],[GP]]</f>
        <v>0.12987012987012986</v>
      </c>
      <c r="AH22">
        <v>1700</v>
      </c>
      <c r="AI22" s="6">
        <f>knicks_players_all_stats[[#This Row],[BLKPG]]+knicks_players_all_stats[[#This Row],[STLPG]]+knicks_players_all_stats[[#This Row],[REBPG]]</f>
        <v>4.1038961038961039</v>
      </c>
      <c r="AJ22" s="2">
        <f>knicks_players_all_stats[[#This Row],[TOV2]]/10</f>
        <v>170</v>
      </c>
      <c r="AK22" s="6">
        <f>knicks_players_all_stats[[#This Row],[TOV]]/knicks_players_all_stats[[#This Row],[GP]]</f>
        <v>2.2077922077922079</v>
      </c>
      <c r="AL22" s="2">
        <v>182</v>
      </c>
      <c r="AM22" s="2">
        <f>knicks_players_all_stats[[#This Row],[PF]]/knicks_players_all_stats[[#This Row],[GP]]</f>
        <v>2.3636363636363638</v>
      </c>
      <c r="AN22" s="2">
        <v>1567</v>
      </c>
      <c r="AO22" s="6">
        <f>knicks_players_all_stats[[#This Row],[PTS]]/knicks_players_all_stats[[#This Row],[GP]]</f>
        <v>20.350649350649352</v>
      </c>
    </row>
    <row r="23" spans="1:41" customFormat="1" x14ac:dyDescent="0.3">
      <c r="A23" s="3" t="s">
        <v>1853</v>
      </c>
      <c r="B23" s="3" t="s">
        <v>1330</v>
      </c>
      <c r="C23" s="3" t="str">
        <f>knicks_players_all_stats[[#This Row],[NAME]]&amp;" ("&amp;knicks_players_all_stats[[#This Row],[SEASON]]&amp;")"</f>
        <v>Clar. Weatherspoon (2001-02)</v>
      </c>
      <c r="D23" s="3">
        <f>knicks_players_all_stats[[#This Row],[PLAYER_AGE]]/10</f>
        <v>31</v>
      </c>
      <c r="E23">
        <v>310</v>
      </c>
      <c r="F23" s="2">
        <v>56</v>
      </c>
      <c r="G23" s="2">
        <v>17260</v>
      </c>
      <c r="H2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627</v>
      </c>
      <c r="I23" s="6">
        <f>knicks_players_all_stats[[#This Row],[VALORATION]]/knicks_players_all_stats[[#This Row],[GP]]</f>
        <v>11.196428571428571</v>
      </c>
      <c r="J23" s="2">
        <v>189</v>
      </c>
      <c r="K23" s="2">
        <v>452</v>
      </c>
      <c r="L23" s="2">
        <v>418</v>
      </c>
      <c r="M23" s="2">
        <v>0</v>
      </c>
      <c r="N23" s="2">
        <v>0</v>
      </c>
      <c r="O23" s="4" t="e">
        <f>knicks_players_all_stats[[#This Row],[FG3M]]/knicks_players_all_stats[[#This Row],[FG3A]]</f>
        <v>#DIV/0!</v>
      </c>
      <c r="P23" s="2">
        <v>116</v>
      </c>
      <c r="Q23" s="2">
        <v>146</v>
      </c>
      <c r="R23" s="5">
        <f>knicks_players_all_stats[[#This Row],[FTM]]/knicks_players_all_stats[[#This Row],[FTA]]</f>
        <v>0.79452054794520544</v>
      </c>
      <c r="S23" s="2">
        <f>knicks_players_all_stats[[#This Row],[OREB22]]/10</f>
        <v>149</v>
      </c>
      <c r="T23" s="2">
        <f>knicks_players_all_stats[[#This Row],[DREB33]]/10</f>
        <v>311</v>
      </c>
      <c r="U23" s="2">
        <f>knicks_players_all_stats[[#This Row],[REB44]]/10</f>
        <v>460</v>
      </c>
      <c r="V23">
        <v>1490</v>
      </c>
      <c r="W23">
        <v>3110</v>
      </c>
      <c r="X23">
        <v>4600</v>
      </c>
      <c r="Y23" s="22">
        <f>knicks_players_all_stats[[#This Row],[REB]]/knicks_players_all_stats[[#This Row],[GP]]</f>
        <v>8.2142857142857135</v>
      </c>
      <c r="Z23" s="2">
        <v>60</v>
      </c>
      <c r="AA23" s="6">
        <f>knicks_players_all_stats[[#This Row],[AST]]/knicks_players_all_stats[[#This Row],[GP]]</f>
        <v>1.0714285714285714</v>
      </c>
      <c r="AB23" s="2">
        <f>knicks_players_all_stats[[#This Row],[STL2]]/10</f>
        <v>37</v>
      </c>
      <c r="AC23" s="2">
        <v>370</v>
      </c>
      <c r="AD23" s="6">
        <f>knicks_players_all_stats[[#This Row],[STL]]/knicks_players_all_stats[[#This Row],[GP]]</f>
        <v>0.6607142857142857</v>
      </c>
      <c r="AE23">
        <v>480</v>
      </c>
      <c r="AF23" s="2">
        <f>knicks_players_all_stats[[#This Row],[BLK2]]/10</f>
        <v>48</v>
      </c>
      <c r="AG23" s="6">
        <f>knicks_players_all_stats[[#This Row],[BLK]]/knicks_players_all_stats[[#This Row],[GP]]</f>
        <v>0.8571428571428571</v>
      </c>
      <c r="AH23">
        <v>470</v>
      </c>
      <c r="AI23" s="6">
        <f>knicks_players_all_stats[[#This Row],[BLKPG]]+knicks_players_all_stats[[#This Row],[STLPG]]+knicks_players_all_stats[[#This Row],[REBPG]]</f>
        <v>9.7321428571428559</v>
      </c>
      <c r="AJ23" s="2">
        <f>knicks_players_all_stats[[#This Row],[TOV2]]/10</f>
        <v>47</v>
      </c>
      <c r="AK23" s="6">
        <f>knicks_players_all_stats[[#This Row],[TOV]]/knicks_players_all_stats[[#This Row],[GP]]</f>
        <v>0.8392857142857143</v>
      </c>
      <c r="AL23" s="2">
        <v>132</v>
      </c>
      <c r="AM23" s="2">
        <f>knicks_players_all_stats[[#This Row],[PF]]/knicks_players_all_stats[[#This Row],[GP]]</f>
        <v>2.3571428571428572</v>
      </c>
      <c r="AN23" s="2">
        <v>494</v>
      </c>
      <c r="AO23" s="6">
        <f>knicks_players_all_stats[[#This Row],[PTS]]/knicks_players_all_stats[[#This Row],[GP]]</f>
        <v>8.8214285714285712</v>
      </c>
    </row>
    <row r="24" spans="1:41" customFormat="1" x14ac:dyDescent="0.3">
      <c r="A24" s="3" t="s">
        <v>1822</v>
      </c>
      <c r="B24" s="3" t="s">
        <v>1330</v>
      </c>
      <c r="C24" s="3" t="str">
        <f>knicks_players_all_stats[[#This Row],[NAME]]&amp;" ("&amp;knicks_players_all_stats[[#This Row],[SEASON]]&amp;")"</f>
        <v>Charlie Ward (2001-02)</v>
      </c>
      <c r="D24" s="3">
        <f>knicks_players_all_stats[[#This Row],[PLAYER_AGE]]/10</f>
        <v>31</v>
      </c>
      <c r="E24">
        <v>310</v>
      </c>
      <c r="F24" s="2">
        <v>63</v>
      </c>
      <c r="G24" s="2">
        <v>10580</v>
      </c>
      <c r="H2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362</v>
      </c>
      <c r="I24" s="6">
        <f>knicks_players_all_stats[[#This Row],[VALORATION]]/knicks_players_all_stats[[#This Row],[GP]]</f>
        <v>5.746031746031746</v>
      </c>
      <c r="J24" s="2">
        <v>113</v>
      </c>
      <c r="K24" s="2">
        <v>303</v>
      </c>
      <c r="L24" s="2">
        <v>373</v>
      </c>
      <c r="M24" s="2">
        <v>530</v>
      </c>
      <c r="N24" s="2">
        <v>1640</v>
      </c>
      <c r="O24" s="4">
        <f>knicks_players_all_stats[[#This Row],[FG3M]]/knicks_players_all_stats[[#This Row],[FG3A]]</f>
        <v>0.32317073170731708</v>
      </c>
      <c r="P24" s="2">
        <v>47</v>
      </c>
      <c r="Q24" s="2">
        <v>58</v>
      </c>
      <c r="R24" s="5">
        <f>knicks_players_all_stats[[#This Row],[FTM]]/knicks_players_all_stats[[#This Row],[FTA]]</f>
        <v>0.81034482758620685</v>
      </c>
      <c r="S24" s="2">
        <f>knicks_players_all_stats[[#This Row],[OREB22]]/10</f>
        <v>15</v>
      </c>
      <c r="T24" s="2">
        <f>knicks_players_all_stats[[#This Row],[DREB33]]/10</f>
        <v>112</v>
      </c>
      <c r="U24" s="2">
        <f>knicks_players_all_stats[[#This Row],[REB44]]/10</f>
        <v>127</v>
      </c>
      <c r="V24">
        <v>150</v>
      </c>
      <c r="W24">
        <v>1120</v>
      </c>
      <c r="X24">
        <v>1270</v>
      </c>
      <c r="Y24" s="22">
        <f>knicks_players_all_stats[[#This Row],[REB]]/knicks_players_all_stats[[#This Row],[GP]]</f>
        <v>2.0158730158730158</v>
      </c>
      <c r="Z24" s="2">
        <v>203</v>
      </c>
      <c r="AA24" s="6">
        <f>knicks_players_all_stats[[#This Row],[AST]]/knicks_players_all_stats[[#This Row],[GP]]</f>
        <v>3.2222222222222223</v>
      </c>
      <c r="AB24" s="2">
        <f>knicks_players_all_stats[[#This Row],[STL2]]/10</f>
        <v>68</v>
      </c>
      <c r="AC24" s="2">
        <v>680</v>
      </c>
      <c r="AD24" s="6">
        <f>knicks_players_all_stats[[#This Row],[STL]]/knicks_players_all_stats[[#This Row],[GP]]</f>
        <v>1.0793650793650793</v>
      </c>
      <c r="AE24">
        <v>140</v>
      </c>
      <c r="AF24" s="2">
        <f>knicks_players_all_stats[[#This Row],[BLK2]]/10</f>
        <v>14</v>
      </c>
      <c r="AG24" s="6">
        <f>knicks_players_all_stats[[#This Row],[BLK]]/knicks_players_all_stats[[#This Row],[GP]]</f>
        <v>0.22222222222222221</v>
      </c>
      <c r="AH24">
        <v>750</v>
      </c>
      <c r="AI24" s="6">
        <f>knicks_players_all_stats[[#This Row],[BLKPG]]+knicks_players_all_stats[[#This Row],[STLPG]]+knicks_players_all_stats[[#This Row],[REBPG]]</f>
        <v>3.3174603174603172</v>
      </c>
      <c r="AJ24" s="2">
        <f>knicks_players_all_stats[[#This Row],[TOV2]]/10</f>
        <v>75</v>
      </c>
      <c r="AK24" s="6">
        <f>knicks_players_all_stats[[#This Row],[TOV]]/knicks_players_all_stats[[#This Row],[GP]]</f>
        <v>1.1904761904761905</v>
      </c>
      <c r="AL24" s="2">
        <v>100</v>
      </c>
      <c r="AM24" s="2">
        <f>knicks_players_all_stats[[#This Row],[PF]]/knicks_players_all_stats[[#This Row],[GP]]</f>
        <v>1.5873015873015872</v>
      </c>
      <c r="AN24" s="2">
        <v>326</v>
      </c>
      <c r="AO24" s="6">
        <f>knicks_players_all_stats[[#This Row],[PTS]]/knicks_players_all_stats[[#This Row],[GP]]</f>
        <v>5.1746031746031749</v>
      </c>
    </row>
    <row r="25" spans="1:41" x14ac:dyDescent="0.3">
      <c r="A25" s="3" t="s">
        <v>1566</v>
      </c>
      <c r="B25" s="3" t="s">
        <v>1330</v>
      </c>
      <c r="C25" s="3" t="str">
        <f>knicks_players_all_stats[[#This Row],[NAME]]&amp;" ("&amp;knicks_players_all_stats[[#This Row],[SEASON]]&amp;")"</f>
        <v>Othella Harrington (2001-02)</v>
      </c>
      <c r="D25" s="3">
        <f>knicks_players_all_stats[[#This Row],[PLAYER_AGE]]/10</f>
        <v>28</v>
      </c>
      <c r="E25">
        <v>280</v>
      </c>
      <c r="F25" s="2">
        <v>77</v>
      </c>
      <c r="G25" s="2">
        <v>15640</v>
      </c>
      <c r="H2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440</v>
      </c>
      <c r="I25" s="6">
        <f>knicks_players_all_stats[[#This Row],[VALORATION]]/knicks_players_all_stats[[#This Row],[GP]]</f>
        <v>5.7142857142857144</v>
      </c>
      <c r="J25" s="2">
        <v>237</v>
      </c>
      <c r="K25" s="2">
        <v>450</v>
      </c>
      <c r="L25" s="4">
        <f>knicks_players_all_stats[[#This Row],[FGM]]/knicks_players_all_stats[[#This Row],[FGA]]</f>
        <v>0.52666666666666662</v>
      </c>
      <c r="M25" s="2">
        <v>0</v>
      </c>
      <c r="N25" s="2">
        <v>20</v>
      </c>
      <c r="O25" s="4">
        <f>knicks_players_all_stats[[#This Row],[FG3M]]/knicks_players_all_stats[[#This Row],[FG3A]]</f>
        <v>0</v>
      </c>
      <c r="P25" s="2">
        <v>122</v>
      </c>
      <c r="Q25" s="2">
        <v>172</v>
      </c>
      <c r="R25" s="5">
        <f>knicks_players_all_stats[[#This Row],[FTM]]/knicks_players_all_stats[[#This Row],[FTA]]</f>
        <v>0.70930232558139539</v>
      </c>
      <c r="S25" s="2">
        <f>knicks_players_all_stats[[#This Row],[OREB22]]/10</f>
        <v>125</v>
      </c>
      <c r="T25" s="2">
        <f>knicks_players_all_stats[[#This Row],[DREB33]]/10</f>
        <v>224</v>
      </c>
      <c r="U25" s="2">
        <f>knicks_players_all_stats[[#This Row],[REB44]]/10</f>
        <v>349</v>
      </c>
      <c r="V25">
        <v>1250</v>
      </c>
      <c r="W25">
        <v>2240</v>
      </c>
      <c r="X25">
        <v>3490</v>
      </c>
      <c r="Y25" s="22">
        <f>knicks_players_all_stats[[#This Row],[REB]]/knicks_players_all_stats[[#This Row],[GP]]</f>
        <v>4.5324675324675328</v>
      </c>
      <c r="Z25" s="2">
        <v>37</v>
      </c>
      <c r="AA25" s="6">
        <f>knicks_players_all_stats[[#This Row],[AST]]/knicks_players_all_stats[[#This Row],[GP]]</f>
        <v>0.48051948051948051</v>
      </c>
      <c r="AB25" s="2">
        <f>knicks_players_all_stats[[#This Row],[STL2]]/10</f>
        <v>30</v>
      </c>
      <c r="AC25" s="2">
        <v>300</v>
      </c>
      <c r="AD25" s="6">
        <f>knicks_players_all_stats[[#This Row],[STL]]/knicks_players_all_stats[[#This Row],[GP]]</f>
        <v>0.38961038961038963</v>
      </c>
      <c r="AE25">
        <v>360</v>
      </c>
      <c r="AF25" s="2">
        <f>knicks_players_all_stats[[#This Row],[BLK2]]/10</f>
        <v>36</v>
      </c>
      <c r="AG25" s="6">
        <f>knicks_players_all_stats[[#This Row],[BLK]]/knicks_players_all_stats[[#This Row],[GP]]</f>
        <v>0.46753246753246752</v>
      </c>
      <c r="AH25">
        <v>950</v>
      </c>
      <c r="AI25" s="6">
        <f>knicks_players_all_stats[[#This Row],[BLKPG]]+knicks_players_all_stats[[#This Row],[STLPG]]+knicks_players_all_stats[[#This Row],[REBPG]]</f>
        <v>5.3896103896103895</v>
      </c>
      <c r="AJ25" s="2">
        <f>knicks_players_all_stats[[#This Row],[TOV2]]/10</f>
        <v>95</v>
      </c>
      <c r="AK25" s="6">
        <f>knicks_players_all_stats[[#This Row],[TOV]]/knicks_players_all_stats[[#This Row],[GP]]</f>
        <v>1.2337662337662338</v>
      </c>
      <c r="AL25" s="2">
        <v>250</v>
      </c>
      <c r="AM25" s="2">
        <f>knicks_players_all_stats[[#This Row],[PF]]/knicks_players_all_stats[[#This Row],[GP]]</f>
        <v>3.2467532467532467</v>
      </c>
      <c r="AN25" s="2">
        <v>596</v>
      </c>
      <c r="AO25" s="6">
        <f>knicks_players_all_stats[[#This Row],[PTS]]/knicks_players_all_stats[[#This Row],[GP]]</f>
        <v>7.7402597402597406</v>
      </c>
    </row>
    <row r="26" spans="1:41" x14ac:dyDescent="0.3">
      <c r="A26" s="3" t="s">
        <v>1632</v>
      </c>
      <c r="B26" s="3" t="s">
        <v>1330</v>
      </c>
      <c r="C26" s="3" t="str">
        <f>knicks_players_all_stats[[#This Row],[NAME]]&amp;" ("&amp;knicks_players_all_stats[[#This Row],[SEASON]]&amp;")"</f>
        <v>Shandon Anderson (2001-02)</v>
      </c>
      <c r="D26" s="3">
        <f>knicks_players_all_stats[[#This Row],[PLAYER_AGE]]/10</f>
        <v>28</v>
      </c>
      <c r="E26">
        <v>280</v>
      </c>
      <c r="F26" s="2">
        <v>82</v>
      </c>
      <c r="G26" s="2">
        <v>15960</v>
      </c>
      <c r="H2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311</v>
      </c>
      <c r="I26" s="6">
        <f>knicks_players_all_stats[[#This Row],[VALORATION]]/knicks_players_all_stats[[#This Row],[GP]]</f>
        <v>3.7926829268292681</v>
      </c>
      <c r="J26" s="2">
        <v>149</v>
      </c>
      <c r="K26" s="2">
        <v>373</v>
      </c>
      <c r="L26" s="4">
        <f>knicks_players_all_stats[[#This Row],[FGM]]/knicks_players_all_stats[[#This Row],[FGA]]</f>
        <v>0.39946380697050937</v>
      </c>
      <c r="M26" s="2">
        <v>390</v>
      </c>
      <c r="N26" s="2">
        <v>1410</v>
      </c>
      <c r="O26" s="4">
        <f>knicks_players_all_stats[[#This Row],[FG3M]]/knicks_players_all_stats[[#This Row],[FG3A]]</f>
        <v>0.27659574468085107</v>
      </c>
      <c r="P26" s="2">
        <v>74</v>
      </c>
      <c r="Q26" s="2">
        <v>107</v>
      </c>
      <c r="R26" s="5">
        <f>knicks_players_all_stats[[#This Row],[FTM]]/knicks_players_all_stats[[#This Row],[FTA]]</f>
        <v>0.69158878504672894</v>
      </c>
      <c r="S26" s="2">
        <f>knicks_players_all_stats[[#This Row],[OREB22]]/10</f>
        <v>57</v>
      </c>
      <c r="T26" s="2">
        <f>knicks_players_all_stats[[#This Row],[DREB33]]/10</f>
        <v>192</v>
      </c>
      <c r="U26" s="2">
        <f>knicks_players_all_stats[[#This Row],[REB44]]/10</f>
        <v>249</v>
      </c>
      <c r="V26">
        <v>570</v>
      </c>
      <c r="W26">
        <v>1920</v>
      </c>
      <c r="X26">
        <v>2490</v>
      </c>
      <c r="Y26" s="22">
        <f>knicks_players_all_stats[[#This Row],[REB]]/knicks_players_all_stats[[#This Row],[GP]]</f>
        <v>3.0365853658536586</v>
      </c>
      <c r="Z26" s="2">
        <v>76</v>
      </c>
      <c r="AA26" s="6">
        <f>knicks_players_all_stats[[#This Row],[AST]]/knicks_players_all_stats[[#This Row],[GP]]</f>
        <v>0.92682926829268297</v>
      </c>
      <c r="AB26" s="2">
        <f>knicks_players_all_stats[[#This Row],[STL2]]/10</f>
        <v>48</v>
      </c>
      <c r="AC26" s="2">
        <v>480</v>
      </c>
      <c r="AD26" s="6">
        <f>knicks_players_all_stats[[#This Row],[STL]]/knicks_players_all_stats[[#This Row],[GP]]</f>
        <v>0.58536585365853655</v>
      </c>
      <c r="AE26">
        <v>150</v>
      </c>
      <c r="AF26" s="2">
        <f>knicks_players_all_stats[[#This Row],[BLK2]]/10</f>
        <v>15</v>
      </c>
      <c r="AG26" s="6">
        <f>knicks_players_all_stats[[#This Row],[BLK]]/knicks_players_all_stats[[#This Row],[GP]]</f>
        <v>0.18292682926829268</v>
      </c>
      <c r="AH26">
        <v>970</v>
      </c>
      <c r="AI26" s="6">
        <f>knicks_players_all_stats[[#This Row],[BLKPG]]+knicks_players_all_stats[[#This Row],[STLPG]]+knicks_players_all_stats[[#This Row],[REBPG]]</f>
        <v>3.8048780487804876</v>
      </c>
      <c r="AJ26" s="2">
        <f>knicks_players_all_stats[[#This Row],[TOV2]]/10</f>
        <v>97</v>
      </c>
      <c r="AK26" s="6">
        <f>knicks_players_all_stats[[#This Row],[TOV]]/knicks_players_all_stats[[#This Row],[GP]]</f>
        <v>1.1829268292682926</v>
      </c>
      <c r="AL26" s="2">
        <v>134</v>
      </c>
      <c r="AM26" s="2">
        <f>knicks_players_all_stats[[#This Row],[PF]]/knicks_players_all_stats[[#This Row],[GP]]</f>
        <v>1.6341463414634145</v>
      </c>
      <c r="AN26" s="2">
        <v>411</v>
      </c>
      <c r="AO26" s="6">
        <f>knicks_players_all_stats[[#This Row],[PTS]]/knicks_players_all_stats[[#This Row],[GP]]</f>
        <v>5.0121951219512191</v>
      </c>
    </row>
    <row r="27" spans="1:41" x14ac:dyDescent="0.3">
      <c r="A27" s="3" t="s">
        <v>1544</v>
      </c>
      <c r="B27" s="3" t="s">
        <v>1330</v>
      </c>
      <c r="C27" s="3" t="str">
        <f>knicks_players_all_stats[[#This Row],[NAME]]&amp;" ("&amp;knicks_players_all_stats[[#This Row],[SEASON]]&amp;")"</f>
        <v>Howard Eisley (2001-02)</v>
      </c>
      <c r="D27" s="3">
        <f>knicks_players_all_stats[[#This Row],[PLAYER_AGE]]/10</f>
        <v>29</v>
      </c>
      <c r="E27">
        <v>290</v>
      </c>
      <c r="F27" s="2">
        <v>39</v>
      </c>
      <c r="G27" s="2">
        <v>6100</v>
      </c>
      <c r="H2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113</v>
      </c>
      <c r="I27" s="6">
        <f>knicks_players_all_stats[[#This Row],[VALORATION]]/knicks_players_all_stats[[#This Row],[GP]]</f>
        <v>2.8974358974358974</v>
      </c>
      <c r="J27" s="2">
        <v>59</v>
      </c>
      <c r="K27" s="2">
        <v>175</v>
      </c>
      <c r="L27" s="4">
        <f>knicks_players_all_stats[[#This Row],[FGM]]/knicks_players_all_stats[[#This Row],[FGA]]</f>
        <v>0.33714285714285713</v>
      </c>
      <c r="M27" s="2">
        <v>140</v>
      </c>
      <c r="N27" s="2">
        <v>580</v>
      </c>
      <c r="O27" s="4">
        <f>knicks_players_all_stats[[#This Row],[FG3M]]/knicks_players_all_stats[[#This Row],[FG3A]]</f>
        <v>0.2413793103448276</v>
      </c>
      <c r="P27" s="2">
        <v>39</v>
      </c>
      <c r="Q27" s="2">
        <v>49</v>
      </c>
      <c r="R27" s="5">
        <f>knicks_players_all_stats[[#This Row],[FTM]]/knicks_players_all_stats[[#This Row],[FTA]]</f>
        <v>0.79591836734693877</v>
      </c>
      <c r="S27" s="2">
        <f>knicks_players_all_stats[[#This Row],[OREB22]]/10</f>
        <v>9</v>
      </c>
      <c r="T27" s="2">
        <f>knicks_players_all_stats[[#This Row],[DREB33]]/10</f>
        <v>40</v>
      </c>
      <c r="U27" s="2">
        <f>knicks_players_all_stats[[#This Row],[REB44]]/10</f>
        <v>49</v>
      </c>
      <c r="V27">
        <v>90</v>
      </c>
      <c r="W27">
        <v>400</v>
      </c>
      <c r="X27">
        <v>490</v>
      </c>
      <c r="Y27" s="22">
        <f>knicks_players_all_stats[[#This Row],[REB]]/knicks_players_all_stats[[#This Row],[GP]]</f>
        <v>1.2564102564102564</v>
      </c>
      <c r="Z27" s="2">
        <v>100</v>
      </c>
      <c r="AA27" s="6">
        <f>knicks_players_all_stats[[#This Row],[AST]]/knicks_players_all_stats[[#This Row],[GP]]</f>
        <v>2.5641025641025643</v>
      </c>
      <c r="AB27" s="2">
        <f>knicks_players_all_stats[[#This Row],[STL2]]/10</f>
        <v>24</v>
      </c>
      <c r="AC27" s="2">
        <v>240</v>
      </c>
      <c r="AD27" s="6">
        <f>knicks_players_all_stats[[#This Row],[STL]]/knicks_players_all_stats[[#This Row],[GP]]</f>
        <v>0.61538461538461542</v>
      </c>
      <c r="AE27">
        <v>30</v>
      </c>
      <c r="AF27" s="2">
        <f>knicks_players_all_stats[[#This Row],[BLK2]]/10</f>
        <v>3</v>
      </c>
      <c r="AG27" s="6">
        <f>knicks_players_all_stats[[#This Row],[BLK]]/knicks_players_all_stats[[#This Row],[GP]]</f>
        <v>7.6923076923076927E-2</v>
      </c>
      <c r="AH27">
        <v>530</v>
      </c>
      <c r="AI27" s="6">
        <f>knicks_players_all_stats[[#This Row],[BLKPG]]+knicks_players_all_stats[[#This Row],[STLPG]]+knicks_players_all_stats[[#This Row],[REBPG]]</f>
        <v>1.9487179487179487</v>
      </c>
      <c r="AJ27" s="2">
        <f>knicks_players_all_stats[[#This Row],[TOV2]]/10</f>
        <v>53</v>
      </c>
      <c r="AK27" s="6">
        <f>knicks_players_all_stats[[#This Row],[TOV]]/knicks_players_all_stats[[#This Row],[GP]]</f>
        <v>1.358974358974359</v>
      </c>
      <c r="AL27" s="2">
        <v>55</v>
      </c>
      <c r="AM27" s="2">
        <f>knicks_players_all_stats[[#This Row],[PF]]/knicks_players_all_stats[[#This Row],[GP]]</f>
        <v>1.4102564102564104</v>
      </c>
      <c r="AN27" s="2">
        <v>171</v>
      </c>
      <c r="AO27" s="6">
        <f>knicks_players_all_stats[[#This Row],[PTS]]/knicks_players_all_stats[[#This Row],[GP]]</f>
        <v>4.384615384615385</v>
      </c>
    </row>
    <row r="28" spans="1:41" customFormat="1" x14ac:dyDescent="0.3">
      <c r="A28" s="3" t="s">
        <v>1592</v>
      </c>
      <c r="B28" s="3" t="s">
        <v>1330</v>
      </c>
      <c r="C28" s="3" t="str">
        <f>knicks_players_all_stats[[#This Row],[NAME]]&amp;" ("&amp;knicks_players_all_stats[[#This Row],[SEASON]]&amp;")"</f>
        <v>Lavor Postell (2001-02)</v>
      </c>
      <c r="D28" s="3">
        <f>knicks_players_all_stats[[#This Row],[PLAYER_AGE]]/10</f>
        <v>24</v>
      </c>
      <c r="E28">
        <v>240</v>
      </c>
      <c r="F28" s="2">
        <v>23</v>
      </c>
      <c r="G28" s="2">
        <v>1780</v>
      </c>
      <c r="H2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36</v>
      </c>
      <c r="I28" s="6">
        <f>knicks_players_all_stats[[#This Row],[VALORATION]]/knicks_players_all_stats[[#This Row],[GP]]</f>
        <v>1.5652173913043479</v>
      </c>
      <c r="J28" s="2">
        <v>28</v>
      </c>
      <c r="K28" s="2">
        <v>84</v>
      </c>
      <c r="L28" s="4">
        <f>knicks_players_all_stats[[#This Row],[FGM]]/knicks_players_all_stats[[#This Row],[FGA]]</f>
        <v>0.33333333333333331</v>
      </c>
      <c r="M28" s="2">
        <v>60</v>
      </c>
      <c r="N28" s="2">
        <v>260</v>
      </c>
      <c r="O28" s="4">
        <f>knicks_players_all_stats[[#This Row],[FG3M]]/knicks_players_all_stats[[#This Row],[FG3A]]</f>
        <v>0.23076923076923078</v>
      </c>
      <c r="P28" s="2">
        <v>31</v>
      </c>
      <c r="Q28" s="2">
        <v>41</v>
      </c>
      <c r="R28" s="5">
        <f>knicks_players_all_stats[[#This Row],[FTM]]/knicks_players_all_stats[[#This Row],[FTA]]</f>
        <v>0.75609756097560976</v>
      </c>
      <c r="S28" s="2">
        <f>knicks_players_all_stats[[#This Row],[OREB22]]/10</f>
        <v>2</v>
      </c>
      <c r="T28" s="2">
        <f>knicks_players_all_stats[[#This Row],[DREB33]]/10</f>
        <v>14</v>
      </c>
      <c r="U28" s="2">
        <f>knicks_players_all_stats[[#This Row],[REB44]]/10</f>
        <v>16</v>
      </c>
      <c r="V28">
        <v>20</v>
      </c>
      <c r="W28">
        <v>140</v>
      </c>
      <c r="X28">
        <v>160</v>
      </c>
      <c r="Y28" s="22">
        <f>knicks_players_all_stats[[#This Row],[REB]]/knicks_players_all_stats[[#This Row],[GP]]</f>
        <v>0.69565217391304346</v>
      </c>
      <c r="Z28" s="2">
        <v>5</v>
      </c>
      <c r="AA28" s="6">
        <f>knicks_players_all_stats[[#This Row],[AST]]/knicks_players_all_stats[[#This Row],[GP]]</f>
        <v>0.21739130434782608</v>
      </c>
      <c r="AB28" s="2">
        <f>knicks_players_all_stats[[#This Row],[STL2]]/10</f>
        <v>6</v>
      </c>
      <c r="AC28" s="2">
        <v>60</v>
      </c>
      <c r="AD28" s="6">
        <f>knicks_players_all_stats[[#This Row],[STL]]/knicks_players_all_stats[[#This Row],[GP]]</f>
        <v>0.2608695652173913</v>
      </c>
      <c r="AE28">
        <v>0</v>
      </c>
      <c r="AF28" s="2">
        <f>knicks_players_all_stats[[#This Row],[BLK2]]/10</f>
        <v>0</v>
      </c>
      <c r="AG28" s="6">
        <f>knicks_players_all_stats[[#This Row],[BLK]]/knicks_players_all_stats[[#This Row],[GP]]</f>
        <v>0</v>
      </c>
      <c r="AH28">
        <v>110</v>
      </c>
      <c r="AI28" s="6">
        <f>knicks_players_all_stats[[#This Row],[BLKPG]]+knicks_players_all_stats[[#This Row],[STLPG]]+knicks_players_all_stats[[#This Row],[REBPG]]</f>
        <v>0.95652173913043481</v>
      </c>
      <c r="AJ28" s="2">
        <f>knicks_players_all_stats[[#This Row],[TOV2]]/10</f>
        <v>11</v>
      </c>
      <c r="AK28" s="6">
        <f>knicks_players_all_stats[[#This Row],[TOV]]/knicks_players_all_stats[[#This Row],[GP]]</f>
        <v>0.47826086956521741</v>
      </c>
      <c r="AL28" s="2">
        <v>7</v>
      </c>
      <c r="AM28" s="2">
        <f>knicks_players_all_stats[[#This Row],[PF]]/knicks_players_all_stats[[#This Row],[GP]]</f>
        <v>0.30434782608695654</v>
      </c>
      <c r="AN28" s="2">
        <v>93</v>
      </c>
      <c r="AO28" s="6">
        <f>knicks_players_all_stats[[#This Row],[PTS]]/knicks_players_all_stats[[#This Row],[GP]]</f>
        <v>4.0434782608695654</v>
      </c>
    </row>
    <row r="29" spans="1:41" customFormat="1" x14ac:dyDescent="0.3">
      <c r="A29" s="3" t="s">
        <v>1625</v>
      </c>
      <c r="B29" s="3" t="s">
        <v>1330</v>
      </c>
      <c r="C29" s="3" t="str">
        <f>knicks_players_all_stats[[#This Row],[NAME]]&amp;" ("&amp;knicks_players_all_stats[[#This Row],[SEASON]]&amp;")"</f>
        <v>Travis Knight (2001-02)</v>
      </c>
      <c r="D29" s="3">
        <f>knicks_players_all_stats[[#This Row],[PLAYER_AGE]]/10</f>
        <v>27</v>
      </c>
      <c r="E29">
        <v>270</v>
      </c>
      <c r="F29" s="2">
        <v>49</v>
      </c>
      <c r="G29" s="2">
        <v>4300</v>
      </c>
      <c r="H2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32</v>
      </c>
      <c r="I29" s="6">
        <f>knicks_players_all_stats[[#This Row],[VALORATION]]/knicks_players_all_stats[[#This Row],[GP]]</f>
        <v>0.65306122448979587</v>
      </c>
      <c r="J29" s="2">
        <v>41</v>
      </c>
      <c r="K29" s="2">
        <v>113</v>
      </c>
      <c r="L29" s="4">
        <f>knicks_players_all_stats[[#This Row],[FGM]]/knicks_players_all_stats[[#This Row],[FGA]]</f>
        <v>0.36283185840707965</v>
      </c>
      <c r="M29" s="2">
        <v>0</v>
      </c>
      <c r="N29" s="2">
        <v>0</v>
      </c>
      <c r="O29" s="4" t="e">
        <f>knicks_players_all_stats[[#This Row],[FG3M]]/knicks_players_all_stats[[#This Row],[FG3A]]</f>
        <v>#DIV/0!</v>
      </c>
      <c r="P29" s="2">
        <v>16</v>
      </c>
      <c r="Q29" s="2">
        <v>21</v>
      </c>
      <c r="R29" s="5">
        <f>knicks_players_all_stats[[#This Row],[FTM]]/knicks_players_all_stats[[#This Row],[FTA]]</f>
        <v>0.76190476190476186</v>
      </c>
      <c r="S29" s="2">
        <f>knicks_players_all_stats[[#This Row],[OREB22]]/10</f>
        <v>48</v>
      </c>
      <c r="T29" s="2">
        <f>knicks_players_all_stats[[#This Row],[DREB33]]/10</f>
        <v>56</v>
      </c>
      <c r="U29" s="2">
        <f>knicks_players_all_stats[[#This Row],[REB44]]/10</f>
        <v>104</v>
      </c>
      <c r="V29">
        <v>480</v>
      </c>
      <c r="W29">
        <v>560</v>
      </c>
      <c r="X29">
        <v>1040</v>
      </c>
      <c r="Y29" s="22">
        <f>knicks_players_all_stats[[#This Row],[REB]]/knicks_players_all_stats[[#This Row],[GP]]</f>
        <v>2.1224489795918369</v>
      </c>
      <c r="Z29" s="2">
        <v>8</v>
      </c>
      <c r="AA29" s="6">
        <f>knicks_players_all_stats[[#This Row],[AST]]/knicks_players_all_stats[[#This Row],[GP]]</f>
        <v>0.16326530612244897</v>
      </c>
      <c r="AB29" s="2">
        <f>knicks_players_all_stats[[#This Row],[STL2]]/10</f>
        <v>11</v>
      </c>
      <c r="AC29" s="2">
        <v>110</v>
      </c>
      <c r="AD29" s="6">
        <f>knicks_players_all_stats[[#This Row],[STL]]/knicks_players_all_stats[[#This Row],[GP]]</f>
        <v>0.22448979591836735</v>
      </c>
      <c r="AE29">
        <v>100</v>
      </c>
      <c r="AF29" s="2">
        <f>knicks_players_all_stats[[#This Row],[BLK2]]/10</f>
        <v>10</v>
      </c>
      <c r="AG29" s="6">
        <f>knicks_players_all_stats[[#This Row],[BLK]]/knicks_players_all_stats[[#This Row],[GP]]</f>
        <v>0.20408163265306123</v>
      </c>
      <c r="AH29">
        <v>270</v>
      </c>
      <c r="AI29" s="6">
        <f>knicks_players_all_stats[[#This Row],[BLKPG]]+knicks_players_all_stats[[#This Row],[STLPG]]+knicks_players_all_stats[[#This Row],[REBPG]]</f>
        <v>2.5510204081632653</v>
      </c>
      <c r="AJ29" s="2">
        <f>knicks_players_all_stats[[#This Row],[TOV2]]/10</f>
        <v>27</v>
      </c>
      <c r="AK29" s="6">
        <f>knicks_players_all_stats[[#This Row],[TOV]]/knicks_players_all_stats[[#This Row],[GP]]</f>
        <v>0.55102040816326525</v>
      </c>
      <c r="AL29" s="2">
        <v>95</v>
      </c>
      <c r="AM29" s="2">
        <f>knicks_players_all_stats[[#This Row],[PF]]/knicks_players_all_stats[[#This Row],[GP]]</f>
        <v>1.9387755102040816</v>
      </c>
      <c r="AN29" s="2">
        <v>98</v>
      </c>
      <c r="AO29" s="6">
        <f>knicks_players_all_stats[[#This Row],[PTS]]/knicks_players_all_stats[[#This Row],[GP]]</f>
        <v>2</v>
      </c>
    </row>
    <row r="30" spans="1:41" customFormat="1" x14ac:dyDescent="0.3">
      <c r="A30" s="3" t="s">
        <v>1331</v>
      </c>
      <c r="B30" s="3" t="s">
        <v>1330</v>
      </c>
      <c r="C30" s="3" t="str">
        <f>knicks_players_all_stats[[#This Row],[NAME]]&amp;" ("&amp;knicks_players_all_stats[[#This Row],[SEASON]]&amp;")"</f>
        <v>Larry Robinson (2001-02)</v>
      </c>
      <c r="D30" s="3">
        <f>knicks_players_all_stats[[#This Row],[PLAYER_AGE]]/10</f>
        <v>34</v>
      </c>
      <c r="E30">
        <v>340</v>
      </c>
      <c r="F30" s="2">
        <v>2</v>
      </c>
      <c r="G30" s="2">
        <v>110</v>
      </c>
      <c r="H3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</v>
      </c>
      <c r="I30" s="6">
        <f>knicks_players_all_stats[[#This Row],[VALORATION]]/knicks_players_all_stats[[#This Row],[GP]]</f>
        <v>0.5</v>
      </c>
      <c r="J30" s="2">
        <v>1</v>
      </c>
      <c r="K30" s="2">
        <v>4</v>
      </c>
      <c r="L30" s="4">
        <f>knicks_players_all_stats[[#This Row],[FGM]]/knicks_players_all_stats[[#This Row],[FGA]]</f>
        <v>0.25</v>
      </c>
      <c r="M30" s="2">
        <v>10</v>
      </c>
      <c r="N30" s="2">
        <v>20</v>
      </c>
      <c r="O30" s="4">
        <f>knicks_players_all_stats[[#This Row],[FG3M]]/knicks_players_all_stats[[#This Row],[FG3A]]</f>
        <v>0.5</v>
      </c>
      <c r="P30" s="2">
        <v>0</v>
      </c>
      <c r="Q30" s="2">
        <v>0</v>
      </c>
      <c r="R30" s="5" t="e">
        <f>knicks_players_all_stats[[#This Row],[FTM]]/knicks_players_all_stats[[#This Row],[FTA]]</f>
        <v>#DIV/0!</v>
      </c>
      <c r="S30" s="2">
        <f>knicks_players_all_stats[[#This Row],[OREB22]]/10</f>
        <v>0</v>
      </c>
      <c r="T30" s="2">
        <f>knicks_players_all_stats[[#This Row],[DREB33]]/10</f>
        <v>2</v>
      </c>
      <c r="U30" s="2">
        <f>knicks_players_all_stats[[#This Row],[REB44]]/10</f>
        <v>2</v>
      </c>
      <c r="V30">
        <v>0</v>
      </c>
      <c r="W30">
        <v>20</v>
      </c>
      <c r="X30">
        <v>20</v>
      </c>
      <c r="Y30" s="22">
        <f>knicks_players_all_stats[[#This Row],[REB]]/knicks_players_all_stats[[#This Row],[GP]]</f>
        <v>1</v>
      </c>
      <c r="Z30" s="2">
        <v>0</v>
      </c>
      <c r="AA30" s="6">
        <f>knicks_players_all_stats[[#This Row],[AST]]/knicks_players_all_stats[[#This Row],[GP]]</f>
        <v>0</v>
      </c>
      <c r="AB30" s="2">
        <f>knicks_players_all_stats[[#This Row],[STL2]]/10</f>
        <v>0</v>
      </c>
      <c r="AC30" s="2">
        <v>0</v>
      </c>
      <c r="AD30" s="6">
        <f>knicks_players_all_stats[[#This Row],[STL]]/knicks_players_all_stats[[#This Row],[GP]]</f>
        <v>0</v>
      </c>
      <c r="AE30">
        <v>0</v>
      </c>
      <c r="AF30" s="2">
        <f>knicks_players_all_stats[[#This Row],[BLK2]]/10</f>
        <v>0</v>
      </c>
      <c r="AG30" s="6">
        <f>knicks_players_all_stats[[#This Row],[BLK]]/knicks_players_all_stats[[#This Row],[GP]]</f>
        <v>0</v>
      </c>
      <c r="AH30">
        <v>0</v>
      </c>
      <c r="AI30" s="6">
        <f>knicks_players_all_stats[[#This Row],[BLKPG]]+knicks_players_all_stats[[#This Row],[STLPG]]+knicks_players_all_stats[[#This Row],[REBPG]]</f>
        <v>1</v>
      </c>
      <c r="AJ30" s="2">
        <f>knicks_players_all_stats[[#This Row],[TOV2]]/10</f>
        <v>0</v>
      </c>
      <c r="AK30" s="6">
        <f>knicks_players_all_stats[[#This Row],[TOV]]/knicks_players_all_stats[[#This Row],[GP]]</f>
        <v>0</v>
      </c>
      <c r="AL30" s="2">
        <v>1</v>
      </c>
      <c r="AM30" s="2">
        <f>knicks_players_all_stats[[#This Row],[PF]]/knicks_players_all_stats[[#This Row],[GP]]</f>
        <v>0.5</v>
      </c>
      <c r="AN30" s="2">
        <v>3</v>
      </c>
      <c r="AO30" s="6">
        <f>knicks_players_all_stats[[#This Row],[PTS]]/knicks_players_all_stats[[#This Row],[GP]]</f>
        <v>1.5</v>
      </c>
    </row>
    <row r="31" spans="1:41" x14ac:dyDescent="0.3">
      <c r="A31" s="3" t="s">
        <v>1673</v>
      </c>
      <c r="B31" s="3" t="s">
        <v>1330</v>
      </c>
      <c r="C31" s="3" t="str">
        <f>knicks_players_all_stats[[#This Row],[NAME]]&amp;" ("&amp;knicks_players_all_stats[[#This Row],[SEASON]]&amp;")"</f>
        <v>Felton Spencer (2001-02)</v>
      </c>
      <c r="D31" s="3">
        <f>knicks_players_all_stats[[#This Row],[PLAYER_AGE]]/10</f>
        <v>34</v>
      </c>
      <c r="E31">
        <v>340</v>
      </c>
      <c r="F31" s="2">
        <v>32</v>
      </c>
      <c r="G31" s="2">
        <v>2480</v>
      </c>
      <c r="H3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-24</v>
      </c>
      <c r="I31" s="6">
        <f>knicks_players_all_stats[[#This Row],[VALORATION]]/knicks_players_all_stats[[#This Row],[GP]]</f>
        <v>-0.75</v>
      </c>
      <c r="J31" s="2">
        <v>6</v>
      </c>
      <c r="K31" s="2">
        <v>26</v>
      </c>
      <c r="L31" s="2">
        <v>231</v>
      </c>
      <c r="M31" s="2">
        <v>0</v>
      </c>
      <c r="N31" s="2">
        <v>0</v>
      </c>
      <c r="O31" s="4" t="e">
        <f>knicks_players_all_stats[[#This Row],[FG3M]]/knicks_players_all_stats[[#This Row],[FG3A]]</f>
        <v>#DIV/0!</v>
      </c>
      <c r="P31" s="2">
        <v>17</v>
      </c>
      <c r="Q31" s="2">
        <v>33</v>
      </c>
      <c r="R31" s="5">
        <f>knicks_players_all_stats[[#This Row],[FTM]]/knicks_players_all_stats[[#This Row],[FTA]]</f>
        <v>0.51515151515151514</v>
      </c>
      <c r="S31" s="2">
        <f>knicks_players_all_stats[[#This Row],[OREB22]]/10</f>
        <v>16</v>
      </c>
      <c r="T31" s="2">
        <f>knicks_players_all_stats[[#This Row],[DREB33]]/10</f>
        <v>34</v>
      </c>
      <c r="U31" s="2">
        <f>knicks_players_all_stats[[#This Row],[REB44]]/10</f>
        <v>50</v>
      </c>
      <c r="V31">
        <v>160</v>
      </c>
      <c r="W31">
        <v>340</v>
      </c>
      <c r="X31">
        <v>500</v>
      </c>
      <c r="Y31" s="22">
        <f>knicks_players_all_stats[[#This Row],[REB]]/knicks_players_all_stats[[#This Row],[GP]]</f>
        <v>1.5625</v>
      </c>
      <c r="Z31" s="2">
        <v>3</v>
      </c>
      <c r="AA31" s="6">
        <f>knicks_players_all_stats[[#This Row],[AST]]/knicks_players_all_stats[[#This Row],[GP]]</f>
        <v>9.375E-2</v>
      </c>
      <c r="AB31" s="2">
        <f>knicks_players_all_stats[[#This Row],[STL2]]/10</f>
        <v>7</v>
      </c>
      <c r="AC31" s="2">
        <v>70</v>
      </c>
      <c r="AD31" s="6">
        <f>knicks_players_all_stats[[#This Row],[STL]]/knicks_players_all_stats[[#This Row],[GP]]</f>
        <v>0.21875</v>
      </c>
      <c r="AE31">
        <v>80</v>
      </c>
      <c r="AF31" s="2">
        <f>knicks_players_all_stats[[#This Row],[BLK2]]/10</f>
        <v>8</v>
      </c>
      <c r="AG31" s="6">
        <f>knicks_players_all_stats[[#This Row],[BLK]]/knicks_players_all_stats[[#This Row],[GP]]</f>
        <v>0.25</v>
      </c>
      <c r="AH31">
        <v>120</v>
      </c>
      <c r="AI31" s="6">
        <f>knicks_players_all_stats[[#This Row],[BLKPG]]+knicks_players_all_stats[[#This Row],[STLPG]]+knicks_players_all_stats[[#This Row],[REBPG]]</f>
        <v>2.03125</v>
      </c>
      <c r="AJ31" s="2">
        <f>knicks_players_all_stats[[#This Row],[TOV2]]/10</f>
        <v>12</v>
      </c>
      <c r="AK31" s="6">
        <f>knicks_players_all_stats[[#This Row],[TOV]]/knicks_players_all_stats[[#This Row],[GP]]</f>
        <v>0.375</v>
      </c>
      <c r="AL31" s="2">
        <v>73</v>
      </c>
      <c r="AM31" s="2">
        <f>knicks_players_all_stats[[#This Row],[PF]]/knicks_players_all_stats[[#This Row],[GP]]</f>
        <v>2.28125</v>
      </c>
      <c r="AN31" s="2">
        <v>29</v>
      </c>
      <c r="AO31" s="6">
        <f>knicks_players_all_stats[[#This Row],[PTS]]/knicks_players_all_stats[[#This Row],[GP]]</f>
        <v>0.90625</v>
      </c>
    </row>
    <row r="32" spans="1:41" x14ac:dyDescent="0.3">
      <c r="A32" s="3" t="s">
        <v>1463</v>
      </c>
      <c r="B32" s="3" t="s">
        <v>1325</v>
      </c>
      <c r="C32" s="3" t="str">
        <f>knicks_players_all_stats[[#This Row],[NAME]]&amp;" ("&amp;knicks_players_all_stats[[#This Row],[SEASON]]&amp;")"</f>
        <v>Allan Houston (2002-03)</v>
      </c>
      <c r="D32" s="3">
        <f>knicks_players_all_stats[[#This Row],[PLAYER_AGE]]/10</f>
        <v>32</v>
      </c>
      <c r="E32">
        <v>320</v>
      </c>
      <c r="F32" s="2">
        <v>82</v>
      </c>
      <c r="G32" s="2">
        <v>31100</v>
      </c>
      <c r="H3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1143</v>
      </c>
      <c r="I32" s="6">
        <f>knicks_players_all_stats[[#This Row],[VALORATION]]/knicks_players_all_stats[[#This Row],[GP]]</f>
        <v>13.939024390243903</v>
      </c>
      <c r="J32" s="2">
        <v>652</v>
      </c>
      <c r="K32" s="2">
        <v>1465</v>
      </c>
      <c r="L32" s="4">
        <f>knicks_players_all_stats[[#This Row],[FGM]]/knicks_players_all_stats[[#This Row],[FGA]]</f>
        <v>0.44505119453924913</v>
      </c>
      <c r="M32" s="2">
        <v>1780</v>
      </c>
      <c r="N32" s="2">
        <v>4500</v>
      </c>
      <c r="O32" s="4">
        <f>knicks_players_all_stats[[#This Row],[FG3M]]/knicks_players_all_stats[[#This Row],[FG3A]]</f>
        <v>0.39555555555555555</v>
      </c>
      <c r="P32" s="2">
        <v>363</v>
      </c>
      <c r="Q32" s="2">
        <v>395</v>
      </c>
      <c r="R32" s="5">
        <f>knicks_players_all_stats[[#This Row],[FTM]]/knicks_players_all_stats[[#This Row],[FTA]]</f>
        <v>0.91898734177215191</v>
      </c>
      <c r="S32" s="2">
        <f>knicks_players_all_stats[[#This Row],[OREB22]]/10</f>
        <v>26</v>
      </c>
      <c r="T32" s="2">
        <f>knicks_players_all_stats[[#This Row],[DREB33]]/10</f>
        <v>205</v>
      </c>
      <c r="U32" s="2">
        <f>knicks_players_all_stats[[#This Row],[REB44]]/10</f>
        <v>231</v>
      </c>
      <c r="V32">
        <v>260</v>
      </c>
      <c r="W32">
        <v>2050</v>
      </c>
      <c r="X32">
        <v>2310</v>
      </c>
      <c r="Y32" s="22">
        <f>knicks_players_all_stats[[#This Row],[REB]]/knicks_players_all_stats[[#This Row],[GP]]</f>
        <v>2.8170731707317072</v>
      </c>
      <c r="Z32" s="2">
        <v>220</v>
      </c>
      <c r="AA32" s="6">
        <f>knicks_players_all_stats[[#This Row],[AST]]/knicks_players_all_stats[[#This Row],[GP]]</f>
        <v>2.6829268292682928</v>
      </c>
      <c r="AB32" s="2">
        <f>knicks_players_all_stats[[#This Row],[STL2]]/10</f>
        <v>54</v>
      </c>
      <c r="AC32" s="2">
        <v>540</v>
      </c>
      <c r="AD32" s="6">
        <f>knicks_players_all_stats[[#This Row],[STL]]/knicks_players_all_stats[[#This Row],[GP]]</f>
        <v>0.65853658536585369</v>
      </c>
      <c r="AE32">
        <v>70</v>
      </c>
      <c r="AF32" s="2">
        <f>knicks_players_all_stats[[#This Row],[BLK2]]/10</f>
        <v>7</v>
      </c>
      <c r="AG32" s="6">
        <f>knicks_players_all_stats[[#This Row],[BLK]]/knicks_players_all_stats[[#This Row],[GP]]</f>
        <v>8.5365853658536592E-2</v>
      </c>
      <c r="AH32">
        <v>1780</v>
      </c>
      <c r="AI32" s="6">
        <f>knicks_players_all_stats[[#This Row],[BLKPG]]+knicks_players_all_stats[[#This Row],[STLPG]]+knicks_players_all_stats[[#This Row],[REBPG]]</f>
        <v>3.5609756097560972</v>
      </c>
      <c r="AJ32" s="2">
        <f>knicks_players_all_stats[[#This Row],[TOV2]]/10</f>
        <v>178</v>
      </c>
      <c r="AK32" s="6">
        <f>knicks_players_all_stats[[#This Row],[TOV]]/knicks_players_all_stats[[#This Row],[GP]]</f>
        <v>2.1707317073170733</v>
      </c>
      <c r="AL32" s="2">
        <v>191</v>
      </c>
      <c r="AM32" s="2">
        <f>knicks_players_all_stats[[#This Row],[PF]]/knicks_players_all_stats[[#This Row],[GP]]</f>
        <v>2.3292682926829267</v>
      </c>
      <c r="AN32" s="2">
        <v>1845</v>
      </c>
      <c r="AO32" s="6">
        <f>knicks_players_all_stats[[#This Row],[PTS]]/knicks_players_all_stats[[#This Row],[GP]]</f>
        <v>22.5</v>
      </c>
    </row>
    <row r="33" spans="1:41" x14ac:dyDescent="0.3">
      <c r="A33" s="3" t="s">
        <v>1790</v>
      </c>
      <c r="B33" s="3" t="s">
        <v>1325</v>
      </c>
      <c r="C33" s="3" t="str">
        <f>knicks_players_all_stats[[#This Row],[NAME]]&amp;" ("&amp;knicks_players_all_stats[[#This Row],[SEASON]]&amp;")"</f>
        <v>Kurt Thomas (2002-03)</v>
      </c>
      <c r="D33" s="3">
        <f>knicks_players_all_stats[[#This Row],[PLAYER_AGE]]/10</f>
        <v>30</v>
      </c>
      <c r="E33">
        <v>300</v>
      </c>
      <c r="F33" s="2">
        <v>81</v>
      </c>
      <c r="G33" s="2">
        <v>25750</v>
      </c>
      <c r="H3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1052</v>
      </c>
      <c r="I33" s="6">
        <f>knicks_players_all_stats[[#This Row],[VALORATION]]/knicks_players_all_stats[[#This Row],[GP]]</f>
        <v>12.987654320987655</v>
      </c>
      <c r="J33" s="2">
        <v>497</v>
      </c>
      <c r="K33" s="2">
        <v>1028</v>
      </c>
      <c r="L33" s="2">
        <v>483</v>
      </c>
      <c r="M33" s="2">
        <v>20</v>
      </c>
      <c r="N33" s="2">
        <v>30</v>
      </c>
      <c r="O33" s="4">
        <f>knicks_players_all_stats[[#This Row],[FG3M]]/knicks_players_all_stats[[#This Row],[FG3A]]</f>
        <v>0.66666666666666663</v>
      </c>
      <c r="P33" s="2">
        <v>138</v>
      </c>
      <c r="Q33" s="2">
        <v>184</v>
      </c>
      <c r="R33" s="5">
        <f>knicks_players_all_stats[[#This Row],[FTM]]/knicks_players_all_stats[[#This Row],[FTA]]</f>
        <v>0.75</v>
      </c>
      <c r="S33" s="2">
        <f>knicks_players_all_stats[[#This Row],[OREB22]]/10</f>
        <v>160</v>
      </c>
      <c r="T33" s="2">
        <f>knicks_players_all_stats[[#This Row],[DREB33]]/10</f>
        <v>477</v>
      </c>
      <c r="U33" s="2">
        <f>knicks_players_all_stats[[#This Row],[REB44]]/10</f>
        <v>637</v>
      </c>
      <c r="V33">
        <v>1600</v>
      </c>
      <c r="W33">
        <v>4770</v>
      </c>
      <c r="X33">
        <v>6370</v>
      </c>
      <c r="Y33" s="22">
        <f>knicks_players_all_stats[[#This Row],[REB]]/knicks_players_all_stats[[#This Row],[GP]]</f>
        <v>7.8641975308641978</v>
      </c>
      <c r="Z33" s="2">
        <v>162</v>
      </c>
      <c r="AA33" s="6">
        <f>knicks_players_all_stats[[#This Row],[AST]]/knicks_players_all_stats[[#This Row],[GP]]</f>
        <v>2</v>
      </c>
      <c r="AB33" s="2">
        <f>knicks_players_all_stats[[#This Row],[STL2]]/10</f>
        <v>81</v>
      </c>
      <c r="AC33" s="2">
        <v>810</v>
      </c>
      <c r="AD33" s="6">
        <f>knicks_players_all_stats[[#This Row],[STL]]/knicks_players_all_stats[[#This Row],[GP]]</f>
        <v>1</v>
      </c>
      <c r="AE33">
        <v>970</v>
      </c>
      <c r="AF33" s="2">
        <f>knicks_players_all_stats[[#This Row],[BLK2]]/10</f>
        <v>97</v>
      </c>
      <c r="AG33" s="6">
        <f>knicks_players_all_stats[[#This Row],[BLK]]/knicks_players_all_stats[[#This Row],[GP]]</f>
        <v>1.1975308641975309</v>
      </c>
      <c r="AH33">
        <v>1380</v>
      </c>
      <c r="AI33" s="6">
        <f>knicks_players_all_stats[[#This Row],[BLKPG]]+knicks_players_all_stats[[#This Row],[STLPG]]+knicks_players_all_stats[[#This Row],[REBPG]]</f>
        <v>10.061728395061728</v>
      </c>
      <c r="AJ33" s="2">
        <f>knicks_players_all_stats[[#This Row],[TOV2]]/10</f>
        <v>138</v>
      </c>
      <c r="AK33" s="6">
        <f>knicks_players_all_stats[[#This Row],[TOV]]/knicks_players_all_stats[[#This Row],[GP]]</f>
        <v>1.7037037037037037</v>
      </c>
      <c r="AL33" s="2">
        <v>344</v>
      </c>
      <c r="AM33" s="2">
        <f>knicks_players_all_stats[[#This Row],[PF]]/knicks_players_all_stats[[#This Row],[GP]]</f>
        <v>4.2469135802469138</v>
      </c>
      <c r="AN33" s="2">
        <v>1134</v>
      </c>
      <c r="AO33" s="6">
        <f>knicks_players_all_stats[[#This Row],[PTS]]/knicks_players_all_stats[[#This Row],[GP]]</f>
        <v>14</v>
      </c>
    </row>
    <row r="34" spans="1:41" x14ac:dyDescent="0.3">
      <c r="A34" s="3" t="s">
        <v>1600</v>
      </c>
      <c r="B34" s="3" t="s">
        <v>1325</v>
      </c>
      <c r="C34" s="3" t="str">
        <f>knicks_players_all_stats[[#This Row],[NAME]]&amp;" ("&amp;knicks_players_all_stats[[#This Row],[SEASON]]&amp;")"</f>
        <v>Latrell Sprewell (2002-03)</v>
      </c>
      <c r="D34" s="3">
        <f>knicks_players_all_stats[[#This Row],[PLAYER_AGE]]/10</f>
        <v>32</v>
      </c>
      <c r="E34">
        <v>320</v>
      </c>
      <c r="F34" s="2">
        <v>74</v>
      </c>
      <c r="G34" s="2">
        <v>28580</v>
      </c>
      <c r="H3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932</v>
      </c>
      <c r="I34" s="6">
        <f>knicks_players_all_stats[[#This Row],[VALORATION]]/knicks_players_all_stats[[#This Row],[GP]]</f>
        <v>12.594594594594595</v>
      </c>
      <c r="J34" s="2">
        <v>454</v>
      </c>
      <c r="K34" s="2">
        <v>1127</v>
      </c>
      <c r="L34" s="4">
        <f>knicks_players_all_stats[[#This Row],[FGM]]/knicks_players_all_stats[[#This Row],[FGA]]</f>
        <v>0.4028393966282165</v>
      </c>
      <c r="M34" s="2">
        <v>1340</v>
      </c>
      <c r="N34" s="2">
        <v>3600</v>
      </c>
      <c r="O34" s="4">
        <f>knicks_players_all_stats[[#This Row],[FG3M]]/knicks_players_all_stats[[#This Row],[FG3A]]</f>
        <v>0.37222222222222223</v>
      </c>
      <c r="P34" s="2">
        <v>173</v>
      </c>
      <c r="Q34" s="2">
        <v>218</v>
      </c>
      <c r="R34" s="5">
        <f>knicks_players_all_stats[[#This Row],[FTM]]/knicks_players_all_stats[[#This Row],[FTA]]</f>
        <v>0.79357798165137616</v>
      </c>
      <c r="S34" s="2">
        <f>knicks_players_all_stats[[#This Row],[OREB22]]/10</f>
        <v>45</v>
      </c>
      <c r="T34" s="2">
        <f>knicks_players_all_stats[[#This Row],[DREB33]]/10</f>
        <v>240</v>
      </c>
      <c r="U34" s="2">
        <f>knicks_players_all_stats[[#This Row],[REB44]]/10</f>
        <v>285</v>
      </c>
      <c r="V34">
        <v>450</v>
      </c>
      <c r="W34">
        <v>2400</v>
      </c>
      <c r="X34">
        <v>2850</v>
      </c>
      <c r="Y34" s="22">
        <f>knicks_players_all_stats[[#This Row],[REB]]/knicks_players_all_stats[[#This Row],[GP]]</f>
        <v>3.8513513513513513</v>
      </c>
      <c r="Z34" s="2">
        <v>332</v>
      </c>
      <c r="AA34" s="6">
        <f>knicks_players_all_stats[[#This Row],[AST]]/knicks_players_all_stats[[#This Row],[GP]]</f>
        <v>4.4864864864864868</v>
      </c>
      <c r="AB34" s="2">
        <f>knicks_players_all_stats[[#This Row],[STL2]]/10</f>
        <v>102</v>
      </c>
      <c r="AC34" s="2">
        <v>1020</v>
      </c>
      <c r="AD34" s="6">
        <f>knicks_players_all_stats[[#This Row],[STL]]/knicks_players_all_stats[[#This Row],[GP]]</f>
        <v>1.3783783783783783</v>
      </c>
      <c r="AE34">
        <v>220</v>
      </c>
      <c r="AF34" s="2">
        <f>knicks_players_all_stats[[#This Row],[BLK2]]/10</f>
        <v>22</v>
      </c>
      <c r="AG34" s="6">
        <f>knicks_players_all_stats[[#This Row],[BLK]]/knicks_players_all_stats[[#This Row],[GP]]</f>
        <v>0.29729729729729731</v>
      </c>
      <c r="AH34">
        <v>1720</v>
      </c>
      <c r="AI34" s="6">
        <f>knicks_players_all_stats[[#This Row],[BLKPG]]+knicks_players_all_stats[[#This Row],[STLPG]]+knicks_players_all_stats[[#This Row],[REBPG]]</f>
        <v>5.5270270270270272</v>
      </c>
      <c r="AJ34" s="2">
        <f>knicks_players_all_stats[[#This Row],[TOV2]]/10</f>
        <v>172</v>
      </c>
      <c r="AK34" s="6">
        <f>knicks_players_all_stats[[#This Row],[TOV]]/knicks_players_all_stats[[#This Row],[GP]]</f>
        <v>2.3243243243243241</v>
      </c>
      <c r="AL34" s="2">
        <v>134</v>
      </c>
      <c r="AM34" s="2">
        <f>knicks_players_all_stats[[#This Row],[PF]]/knicks_players_all_stats[[#This Row],[GP]]</f>
        <v>1.8108108108108107</v>
      </c>
      <c r="AN34" s="2">
        <v>1215</v>
      </c>
      <c r="AO34" s="6">
        <f>knicks_players_all_stats[[#This Row],[PTS]]/knicks_players_all_stats[[#This Row],[GP]]</f>
        <v>16.418918918918919</v>
      </c>
    </row>
    <row r="35" spans="1:41" x14ac:dyDescent="0.3">
      <c r="A35" s="3" t="s">
        <v>1853</v>
      </c>
      <c r="B35" s="3" t="s">
        <v>1325</v>
      </c>
      <c r="C35" s="3" t="str">
        <f>knicks_players_all_stats[[#This Row],[NAME]]&amp;" ("&amp;knicks_players_all_stats[[#This Row],[SEASON]]&amp;")"</f>
        <v>Clar. Weatherspoon (2002-03)</v>
      </c>
      <c r="D35" s="3">
        <f>knicks_players_all_stats[[#This Row],[PLAYER_AGE]]/10</f>
        <v>32</v>
      </c>
      <c r="E35">
        <v>320</v>
      </c>
      <c r="F35" s="2">
        <v>79</v>
      </c>
      <c r="G35" s="2">
        <v>20260</v>
      </c>
      <c r="H3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783</v>
      </c>
      <c r="I35" s="6">
        <f>knicks_players_all_stats[[#This Row],[VALORATION]]/knicks_players_all_stats[[#This Row],[GP]]</f>
        <v>9.9113924050632907</v>
      </c>
      <c r="J35" s="2">
        <v>186</v>
      </c>
      <c r="K35" s="2">
        <v>414</v>
      </c>
      <c r="L35" s="2">
        <v>449</v>
      </c>
      <c r="M35" s="2">
        <v>0</v>
      </c>
      <c r="N35" s="2">
        <v>0</v>
      </c>
      <c r="O35" s="4" t="e">
        <f>knicks_players_all_stats[[#This Row],[FG3M]]/knicks_players_all_stats[[#This Row],[FG3A]]</f>
        <v>#DIV/0!</v>
      </c>
      <c r="P35" s="2">
        <v>149</v>
      </c>
      <c r="Q35" s="2">
        <v>194</v>
      </c>
      <c r="R35" s="5">
        <f>knicks_players_all_stats[[#This Row],[FTM]]/knicks_players_all_stats[[#This Row],[FTA]]</f>
        <v>0.76804123711340211</v>
      </c>
      <c r="S35" s="2">
        <f>knicks_players_all_stats[[#This Row],[OREB22]]/10</f>
        <v>214</v>
      </c>
      <c r="T35" s="2">
        <f>knicks_players_all_stats[[#This Row],[DREB33]]/10</f>
        <v>385</v>
      </c>
      <c r="U35" s="2">
        <f>knicks_players_all_stats[[#This Row],[REB44]]/10</f>
        <v>599</v>
      </c>
      <c r="V35">
        <v>2140</v>
      </c>
      <c r="W35">
        <v>3850</v>
      </c>
      <c r="X35">
        <v>5990</v>
      </c>
      <c r="Y35" s="22">
        <f>knicks_players_all_stats[[#This Row],[REB]]/knicks_players_all_stats[[#This Row],[GP]]</f>
        <v>7.5822784810126587</v>
      </c>
      <c r="Z35" s="2">
        <v>68</v>
      </c>
      <c r="AA35" s="6">
        <f>knicks_players_all_stats[[#This Row],[AST]]/knicks_players_all_stats[[#This Row],[GP]]</f>
        <v>0.86075949367088611</v>
      </c>
      <c r="AB35" s="2">
        <f>knicks_players_all_stats[[#This Row],[STL2]]/10</f>
        <v>69</v>
      </c>
      <c r="AC35" s="2">
        <v>690</v>
      </c>
      <c r="AD35" s="6">
        <f>knicks_players_all_stats[[#This Row],[STL]]/knicks_players_all_stats[[#This Row],[GP]]</f>
        <v>0.87341772151898733</v>
      </c>
      <c r="AE35">
        <v>360</v>
      </c>
      <c r="AF35" s="2">
        <f>knicks_players_all_stats[[#This Row],[BLK2]]/10</f>
        <v>36</v>
      </c>
      <c r="AG35" s="6">
        <f>knicks_players_all_stats[[#This Row],[BLK]]/knicks_players_all_stats[[#This Row],[GP]]</f>
        <v>0.45569620253164556</v>
      </c>
      <c r="AH35">
        <v>630</v>
      </c>
      <c r="AI35" s="6">
        <f>knicks_players_all_stats[[#This Row],[BLKPG]]+knicks_players_all_stats[[#This Row],[STLPG]]+knicks_players_all_stats[[#This Row],[REBPG]]</f>
        <v>8.9113924050632924</v>
      </c>
      <c r="AJ35" s="2">
        <f>knicks_players_all_stats[[#This Row],[TOV2]]/10</f>
        <v>63</v>
      </c>
      <c r="AK35" s="6">
        <f>knicks_players_all_stats[[#This Row],[TOV]]/knicks_players_all_stats[[#This Row],[GP]]</f>
        <v>0.79746835443037978</v>
      </c>
      <c r="AL35" s="2">
        <v>174</v>
      </c>
      <c r="AM35" s="2">
        <f>knicks_players_all_stats[[#This Row],[PF]]/knicks_players_all_stats[[#This Row],[GP]]</f>
        <v>2.2025316455696204</v>
      </c>
      <c r="AN35" s="2">
        <v>521</v>
      </c>
      <c r="AO35" s="6">
        <f>knicks_players_all_stats[[#This Row],[PTS]]/knicks_players_all_stats[[#This Row],[GP]]</f>
        <v>6.5949367088607591</v>
      </c>
    </row>
    <row r="36" spans="1:41" x14ac:dyDescent="0.3">
      <c r="A36" s="3" t="s">
        <v>1544</v>
      </c>
      <c r="B36" s="3" t="s">
        <v>1325</v>
      </c>
      <c r="C36" s="3" t="str">
        <f>knicks_players_all_stats[[#This Row],[NAME]]&amp;" ("&amp;knicks_players_all_stats[[#This Row],[SEASON]]&amp;")"</f>
        <v>Howard Eisley (2002-03)</v>
      </c>
      <c r="D36" s="3">
        <f>knicks_players_all_stats[[#This Row],[PLAYER_AGE]]/10</f>
        <v>30</v>
      </c>
      <c r="E36">
        <v>300</v>
      </c>
      <c r="F36" s="2">
        <v>82</v>
      </c>
      <c r="G36" s="2">
        <v>22430</v>
      </c>
      <c r="H3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701</v>
      </c>
      <c r="I36" s="6">
        <f>knicks_players_all_stats[[#This Row],[VALORATION]]/knicks_players_all_stats[[#This Row],[GP]]</f>
        <v>8.5487804878048781</v>
      </c>
      <c r="J36" s="2">
        <v>262</v>
      </c>
      <c r="K36" s="2">
        <v>628</v>
      </c>
      <c r="L36" s="4">
        <f>knicks_players_all_stats[[#This Row],[FGM]]/knicks_players_all_stats[[#This Row],[FGA]]</f>
        <v>0.41719745222929938</v>
      </c>
      <c r="M36" s="2">
        <v>1310</v>
      </c>
      <c r="N36" s="2">
        <v>3370</v>
      </c>
      <c r="O36" s="4">
        <f>knicks_players_all_stats[[#This Row],[FG3M]]/knicks_players_all_stats[[#This Row],[FG3A]]</f>
        <v>0.38872403560830859</v>
      </c>
      <c r="P36" s="2">
        <v>89</v>
      </c>
      <c r="Q36" s="2">
        <v>105</v>
      </c>
      <c r="R36" s="5">
        <f>knicks_players_all_stats[[#This Row],[FTM]]/knicks_players_all_stats[[#This Row],[FTA]]</f>
        <v>0.84761904761904761</v>
      </c>
      <c r="S36" s="2">
        <f>knicks_players_all_stats[[#This Row],[OREB22]]/10</f>
        <v>24</v>
      </c>
      <c r="T36" s="2">
        <f>knicks_players_all_stats[[#This Row],[DREB33]]/10</f>
        <v>162</v>
      </c>
      <c r="U36" s="2">
        <f>knicks_players_all_stats[[#This Row],[REB44]]/10</f>
        <v>186</v>
      </c>
      <c r="V36">
        <v>240</v>
      </c>
      <c r="W36">
        <v>1620</v>
      </c>
      <c r="X36">
        <v>1860</v>
      </c>
      <c r="Y36" s="22">
        <f>knicks_players_all_stats[[#This Row],[REB]]/knicks_players_all_stats[[#This Row],[GP]]</f>
        <v>2.2682926829268291</v>
      </c>
      <c r="Z36" s="2">
        <v>444</v>
      </c>
      <c r="AA36" s="6">
        <f>knicks_players_all_stats[[#This Row],[AST]]/knicks_players_all_stats[[#This Row],[GP]]</f>
        <v>5.4146341463414638</v>
      </c>
      <c r="AB36" s="2">
        <f>knicks_players_all_stats[[#This Row],[STL2]]/10</f>
        <v>71</v>
      </c>
      <c r="AC36" s="2">
        <v>710</v>
      </c>
      <c r="AD36" s="6">
        <f>knicks_players_all_stats[[#This Row],[STL]]/knicks_players_all_stats[[#This Row],[GP]]</f>
        <v>0.86585365853658536</v>
      </c>
      <c r="AE36">
        <v>90</v>
      </c>
      <c r="AF36" s="2">
        <f>knicks_players_all_stats[[#This Row],[BLK2]]/10</f>
        <v>9</v>
      </c>
      <c r="AG36" s="6">
        <f>knicks_players_all_stats[[#This Row],[BLK]]/knicks_players_all_stats[[#This Row],[GP]]</f>
        <v>0.10975609756097561</v>
      </c>
      <c r="AH36">
        <v>1490</v>
      </c>
      <c r="AI36" s="6">
        <f>knicks_players_all_stats[[#This Row],[BLKPG]]+knicks_players_all_stats[[#This Row],[STLPG]]+knicks_players_all_stats[[#This Row],[REBPG]]</f>
        <v>3.24390243902439</v>
      </c>
      <c r="AJ36" s="2">
        <f>knicks_players_all_stats[[#This Row],[TOV2]]/10</f>
        <v>149</v>
      </c>
      <c r="AK36" s="6">
        <f>knicks_players_all_stats[[#This Row],[TOV]]/knicks_players_all_stats[[#This Row],[GP]]</f>
        <v>1.8170731707317074</v>
      </c>
      <c r="AL36" s="2">
        <v>222</v>
      </c>
      <c r="AM36" s="2">
        <f>knicks_players_all_stats[[#This Row],[PF]]/knicks_players_all_stats[[#This Row],[GP]]</f>
        <v>2.7073170731707319</v>
      </c>
      <c r="AN36" s="2">
        <v>744</v>
      </c>
      <c r="AO36" s="6">
        <f>knicks_players_all_stats[[#This Row],[PTS]]/knicks_players_all_stats[[#This Row],[GP]]</f>
        <v>9.0731707317073162</v>
      </c>
    </row>
    <row r="37" spans="1:41" x14ac:dyDescent="0.3">
      <c r="A37" s="3" t="s">
        <v>1822</v>
      </c>
      <c r="B37" s="3" t="s">
        <v>1325</v>
      </c>
      <c r="C37" s="3" t="str">
        <f>knicks_players_all_stats[[#This Row],[NAME]]&amp;" ("&amp;knicks_players_all_stats[[#This Row],[SEASON]]&amp;")"</f>
        <v>Charlie Ward (2002-03)</v>
      </c>
      <c r="D37" s="3">
        <f>knicks_players_all_stats[[#This Row],[PLAYER_AGE]]/10</f>
        <v>32</v>
      </c>
      <c r="E37">
        <v>320</v>
      </c>
      <c r="F37" s="2">
        <v>66</v>
      </c>
      <c r="G37" s="2">
        <v>14670</v>
      </c>
      <c r="H3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542</v>
      </c>
      <c r="I37" s="6">
        <f>knicks_players_all_stats[[#This Row],[VALORATION]]/knicks_players_all_stats[[#This Row],[GP]]</f>
        <v>8.2121212121212128</v>
      </c>
      <c r="J37" s="2">
        <v>165</v>
      </c>
      <c r="K37" s="2">
        <v>414</v>
      </c>
      <c r="L37" s="2">
        <v>399</v>
      </c>
      <c r="M37" s="2">
        <v>1010</v>
      </c>
      <c r="N37" s="2">
        <v>2670</v>
      </c>
      <c r="O37" s="4">
        <f>knicks_players_all_stats[[#This Row],[FG3M]]/knicks_players_all_stats[[#This Row],[FG3A]]</f>
        <v>0.37827715355805241</v>
      </c>
      <c r="P37" s="2">
        <v>41</v>
      </c>
      <c r="Q37" s="2">
        <v>53</v>
      </c>
      <c r="R37" s="5">
        <f>knicks_players_all_stats[[#This Row],[FTM]]/knicks_players_all_stats[[#This Row],[FTA]]</f>
        <v>0.77358490566037741</v>
      </c>
      <c r="S37" s="2">
        <f>knicks_players_all_stats[[#This Row],[OREB22]]/10</f>
        <v>25</v>
      </c>
      <c r="T37" s="2">
        <f>knicks_players_all_stats[[#This Row],[DREB33]]/10</f>
        <v>152</v>
      </c>
      <c r="U37" s="2">
        <f>knicks_players_all_stats[[#This Row],[REB44]]/10</f>
        <v>177</v>
      </c>
      <c r="V37">
        <v>250</v>
      </c>
      <c r="W37">
        <v>1520</v>
      </c>
      <c r="X37">
        <v>1770</v>
      </c>
      <c r="Y37" s="22">
        <f>knicks_players_all_stats[[#This Row],[REB]]/knicks_players_all_stats[[#This Row],[GP]]</f>
        <v>2.6818181818181817</v>
      </c>
      <c r="Z37" s="2">
        <v>306</v>
      </c>
      <c r="AA37" s="6">
        <f>knicks_players_all_stats[[#This Row],[AST]]/knicks_players_all_stats[[#This Row],[GP]]</f>
        <v>4.6363636363636367</v>
      </c>
      <c r="AB37" s="2">
        <f>knicks_players_all_stats[[#This Row],[STL2]]/10</f>
        <v>78</v>
      </c>
      <c r="AC37" s="2">
        <v>780</v>
      </c>
      <c r="AD37" s="6">
        <f>knicks_players_all_stats[[#This Row],[STL]]/knicks_players_all_stats[[#This Row],[GP]]</f>
        <v>1.1818181818181819</v>
      </c>
      <c r="AE37">
        <v>110</v>
      </c>
      <c r="AF37" s="2">
        <f>knicks_players_all_stats[[#This Row],[BLK2]]/10</f>
        <v>11</v>
      </c>
      <c r="AG37" s="6">
        <f>knicks_players_all_stats[[#This Row],[BLK]]/knicks_players_all_stats[[#This Row],[GP]]</f>
        <v>0.16666666666666666</v>
      </c>
      <c r="AH37">
        <v>950</v>
      </c>
      <c r="AI37" s="6">
        <f>knicks_players_all_stats[[#This Row],[BLKPG]]+knicks_players_all_stats[[#This Row],[STLPG]]+knicks_players_all_stats[[#This Row],[REBPG]]</f>
        <v>4.0303030303030303</v>
      </c>
      <c r="AJ37" s="2">
        <f>knicks_players_all_stats[[#This Row],[TOV2]]/10</f>
        <v>95</v>
      </c>
      <c r="AK37" s="6">
        <f>knicks_players_all_stats[[#This Row],[TOV]]/knicks_players_all_stats[[#This Row],[GP]]</f>
        <v>1.4393939393939394</v>
      </c>
      <c r="AL37" s="2">
        <v>146</v>
      </c>
      <c r="AM37" s="2">
        <f>knicks_players_all_stats[[#This Row],[PF]]/knicks_players_all_stats[[#This Row],[GP]]</f>
        <v>2.2121212121212119</v>
      </c>
      <c r="AN37" s="2">
        <v>472</v>
      </c>
      <c r="AO37" s="6">
        <f>knicks_players_all_stats[[#This Row],[PTS]]/knicks_players_all_stats[[#This Row],[GP]]</f>
        <v>7.1515151515151514</v>
      </c>
    </row>
    <row r="38" spans="1:41" x14ac:dyDescent="0.3">
      <c r="A38" s="3" t="s">
        <v>1566</v>
      </c>
      <c r="B38" s="3" t="s">
        <v>1325</v>
      </c>
      <c r="C38" s="3" t="str">
        <f>knicks_players_all_stats[[#This Row],[NAME]]&amp;" ("&amp;knicks_players_all_stats[[#This Row],[SEASON]]&amp;")"</f>
        <v>Othella Harrington (2002-03)</v>
      </c>
      <c r="D38" s="3">
        <f>knicks_players_all_stats[[#This Row],[PLAYER_AGE]]/10</f>
        <v>29</v>
      </c>
      <c r="E38">
        <v>290</v>
      </c>
      <c r="F38" s="2">
        <v>74</v>
      </c>
      <c r="G38" s="2">
        <v>18460</v>
      </c>
      <c r="H3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580</v>
      </c>
      <c r="I38" s="6">
        <f>knicks_players_all_stats[[#This Row],[VALORATION]]/knicks_players_all_stats[[#This Row],[GP]]</f>
        <v>7.8378378378378377</v>
      </c>
      <c r="J38" s="2">
        <v>225</v>
      </c>
      <c r="K38" s="2">
        <v>443</v>
      </c>
      <c r="L38" s="4">
        <f>knicks_players_all_stats[[#This Row],[FGM]]/knicks_players_all_stats[[#This Row],[FGA]]</f>
        <v>0.50790067720090293</v>
      </c>
      <c r="M38" s="2">
        <v>0</v>
      </c>
      <c r="N38" s="2">
        <v>0</v>
      </c>
      <c r="O38" s="4" t="e">
        <f>knicks_players_all_stats[[#This Row],[FG3M]]/knicks_players_all_stats[[#This Row],[FG3A]]</f>
        <v>#DIV/0!</v>
      </c>
      <c r="P38" s="2">
        <v>123</v>
      </c>
      <c r="Q38" s="2">
        <v>150</v>
      </c>
      <c r="R38" s="5">
        <f>knicks_players_all_stats[[#This Row],[FTM]]/knicks_players_all_stats[[#This Row],[FTA]]</f>
        <v>0.82</v>
      </c>
      <c r="S38" s="2">
        <f>knicks_players_all_stats[[#This Row],[OREB22]]/10</f>
        <v>165</v>
      </c>
      <c r="T38" s="2">
        <f>knicks_players_all_stats[[#This Row],[DREB33]]/10</f>
        <v>311</v>
      </c>
      <c r="U38" s="2">
        <f>knicks_players_all_stats[[#This Row],[REB44]]/10</f>
        <v>476</v>
      </c>
      <c r="V38">
        <v>1650</v>
      </c>
      <c r="W38">
        <v>3110</v>
      </c>
      <c r="X38">
        <v>4760</v>
      </c>
      <c r="Y38" s="22">
        <f>knicks_players_all_stats[[#This Row],[REB]]/knicks_players_all_stats[[#This Row],[GP]]</f>
        <v>6.4324324324324325</v>
      </c>
      <c r="Z38" s="2">
        <v>62</v>
      </c>
      <c r="AA38" s="6">
        <f>knicks_players_all_stats[[#This Row],[AST]]/knicks_players_all_stats[[#This Row],[GP]]</f>
        <v>0.83783783783783783</v>
      </c>
      <c r="AB38" s="2">
        <f>knicks_players_all_stats[[#This Row],[STL2]]/10</f>
        <v>12</v>
      </c>
      <c r="AC38" s="2">
        <v>120</v>
      </c>
      <c r="AD38" s="6">
        <f>knicks_players_all_stats[[#This Row],[STL]]/knicks_players_all_stats[[#This Row],[GP]]</f>
        <v>0.16216216216216217</v>
      </c>
      <c r="AE38">
        <v>230</v>
      </c>
      <c r="AF38" s="2">
        <f>knicks_players_all_stats[[#This Row],[BLK2]]/10</f>
        <v>23</v>
      </c>
      <c r="AG38" s="6">
        <f>knicks_players_all_stats[[#This Row],[BLK]]/knicks_players_all_stats[[#This Row],[GP]]</f>
        <v>0.3108108108108108</v>
      </c>
      <c r="AH38">
        <v>900</v>
      </c>
      <c r="AI38" s="6">
        <f>knicks_players_all_stats[[#This Row],[BLKPG]]+knicks_players_all_stats[[#This Row],[STLPG]]+knicks_players_all_stats[[#This Row],[REBPG]]</f>
        <v>6.9054054054054053</v>
      </c>
      <c r="AJ38" s="2">
        <f>knicks_players_all_stats[[#This Row],[TOV2]]/10</f>
        <v>90</v>
      </c>
      <c r="AK38" s="6">
        <f>knicks_players_all_stats[[#This Row],[TOV]]/knicks_players_all_stats[[#This Row],[GP]]</f>
        <v>1.2162162162162162</v>
      </c>
      <c r="AL38" s="2">
        <v>231</v>
      </c>
      <c r="AM38" s="2">
        <f>knicks_players_all_stats[[#This Row],[PF]]/knicks_players_all_stats[[#This Row],[GP]]</f>
        <v>3.1216216216216215</v>
      </c>
      <c r="AN38" s="2">
        <v>573</v>
      </c>
      <c r="AO38" s="6">
        <f>knicks_players_all_stats[[#This Row],[PTS]]/knicks_players_all_stats[[#This Row],[GP]]</f>
        <v>7.743243243243243</v>
      </c>
    </row>
    <row r="39" spans="1:41" customFormat="1" x14ac:dyDescent="0.3">
      <c r="A39" s="3" t="s">
        <v>1632</v>
      </c>
      <c r="B39" s="3" t="s">
        <v>1325</v>
      </c>
      <c r="C39" s="3" t="str">
        <f>knicks_players_all_stats[[#This Row],[NAME]]&amp;" ("&amp;knicks_players_all_stats[[#This Row],[SEASON]]&amp;")"</f>
        <v>Shandon Anderson (2002-03)</v>
      </c>
      <c r="D39" s="3">
        <f>knicks_players_all_stats[[#This Row],[PLAYER_AGE]]/10</f>
        <v>29</v>
      </c>
      <c r="E39">
        <v>290</v>
      </c>
      <c r="F39" s="2">
        <v>82</v>
      </c>
      <c r="G39" s="2">
        <v>17290</v>
      </c>
      <c r="H3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490</v>
      </c>
      <c r="I39" s="6">
        <f>knicks_players_all_stats[[#This Row],[VALORATION]]/knicks_players_all_stats[[#This Row],[GP]]</f>
        <v>5.975609756097561</v>
      </c>
      <c r="J39" s="2">
        <v>248</v>
      </c>
      <c r="K39" s="2">
        <v>537</v>
      </c>
      <c r="L39" s="4">
        <f>knicks_players_all_stats[[#This Row],[FGM]]/knicks_players_all_stats[[#This Row],[FGA]]</f>
        <v>0.46182495344506519</v>
      </c>
      <c r="M39" s="2">
        <v>520</v>
      </c>
      <c r="N39" s="2">
        <v>1400</v>
      </c>
      <c r="O39" s="4">
        <f>knicks_players_all_stats[[#This Row],[FG3M]]/knicks_players_all_stats[[#This Row],[FG3A]]</f>
        <v>0.37142857142857144</v>
      </c>
      <c r="P39" s="2">
        <v>139</v>
      </c>
      <c r="Q39" s="2">
        <v>190</v>
      </c>
      <c r="R39" s="5">
        <f>knicks_players_all_stats[[#This Row],[FTM]]/knicks_players_all_stats[[#This Row],[FTA]]</f>
        <v>0.73157894736842111</v>
      </c>
      <c r="S39" s="2">
        <f>knicks_players_all_stats[[#This Row],[OREB22]]/10</f>
        <v>64</v>
      </c>
      <c r="T39" s="2">
        <f>knicks_players_all_stats[[#This Row],[DREB33]]/10</f>
        <v>190</v>
      </c>
      <c r="U39" s="2">
        <f>knicks_players_all_stats[[#This Row],[REB44]]/10</f>
        <v>254</v>
      </c>
      <c r="V39">
        <v>640</v>
      </c>
      <c r="W39">
        <v>1900</v>
      </c>
      <c r="X39">
        <v>2540</v>
      </c>
      <c r="Y39" s="22">
        <f>knicks_players_all_stats[[#This Row],[REB]]/knicks_players_all_stats[[#This Row],[GP]]</f>
        <v>3.0975609756097562</v>
      </c>
      <c r="Z39" s="2">
        <v>87</v>
      </c>
      <c r="AA39" s="6">
        <f>knicks_players_all_stats[[#This Row],[AST]]/knicks_players_all_stats[[#This Row],[GP]]</f>
        <v>1.0609756097560976</v>
      </c>
      <c r="AB39" s="2">
        <f>knicks_players_all_stats[[#This Row],[STL2]]/10</f>
        <v>73</v>
      </c>
      <c r="AC39" s="2">
        <v>730</v>
      </c>
      <c r="AD39" s="6">
        <f>knicks_players_all_stats[[#This Row],[STL]]/knicks_players_all_stats[[#This Row],[GP]]</f>
        <v>0.8902439024390244</v>
      </c>
      <c r="AE39">
        <v>200</v>
      </c>
      <c r="AF39" s="2">
        <f>knicks_players_all_stats[[#This Row],[BLK2]]/10</f>
        <v>20</v>
      </c>
      <c r="AG39" s="6">
        <f>knicks_players_all_stats[[#This Row],[BLK]]/knicks_players_all_stats[[#This Row],[GP]]</f>
        <v>0.24390243902439024</v>
      </c>
      <c r="AH39">
        <v>1140</v>
      </c>
      <c r="AI39" s="6">
        <f>knicks_players_all_stats[[#This Row],[BLKPG]]+knicks_players_all_stats[[#This Row],[STLPG]]+knicks_players_all_stats[[#This Row],[REBPG]]</f>
        <v>4.2317073170731714</v>
      </c>
      <c r="AJ39" s="2">
        <f>knicks_players_all_stats[[#This Row],[TOV2]]/10</f>
        <v>114</v>
      </c>
      <c r="AK39" s="6">
        <f>knicks_players_all_stats[[#This Row],[TOV]]/knicks_players_all_stats[[#This Row],[GP]]</f>
        <v>1.3902439024390243</v>
      </c>
      <c r="AL39" s="2">
        <v>177</v>
      </c>
      <c r="AM39" s="2">
        <f>knicks_players_all_stats[[#This Row],[PF]]/knicks_players_all_stats[[#This Row],[GP]]</f>
        <v>2.1585365853658538</v>
      </c>
      <c r="AN39" s="2">
        <v>687</v>
      </c>
      <c r="AO39" s="6">
        <f>knicks_players_all_stats[[#This Row],[PTS]]/knicks_players_all_stats[[#This Row],[GP]]</f>
        <v>8.3780487804878057</v>
      </c>
    </row>
    <row r="40" spans="1:41" customFormat="1" x14ac:dyDescent="0.3">
      <c r="A40" s="3" t="s">
        <v>1326</v>
      </c>
      <c r="B40" s="3" t="s">
        <v>1325</v>
      </c>
      <c r="C40" s="3" t="str">
        <f>knicks_players_all_stats[[#This Row],[NAME]]&amp;" ("&amp;knicks_players_all_stats[[#This Row],[SEASON]]&amp;")"</f>
        <v>Lee Nailon (2002-03)</v>
      </c>
      <c r="D40" s="3">
        <f>knicks_players_all_stats[[#This Row],[PLAYER_AGE]]/10</f>
        <v>28</v>
      </c>
      <c r="E40">
        <v>280</v>
      </c>
      <c r="F40" s="2">
        <v>38</v>
      </c>
      <c r="G40" s="2">
        <v>4060</v>
      </c>
      <c r="H4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122</v>
      </c>
      <c r="I40" s="6">
        <f>knicks_players_all_stats[[#This Row],[VALORATION]]/knicks_players_all_stats[[#This Row],[GP]]</f>
        <v>3.2105263157894739</v>
      </c>
      <c r="J40" s="2">
        <v>84</v>
      </c>
      <c r="K40" s="2">
        <v>190</v>
      </c>
      <c r="L40" s="4">
        <f>knicks_players_all_stats[[#This Row],[FGM]]/knicks_players_all_stats[[#This Row],[FGA]]</f>
        <v>0.44210526315789472</v>
      </c>
      <c r="M40" s="2">
        <v>0</v>
      </c>
      <c r="N40" s="2">
        <v>10</v>
      </c>
      <c r="O40" s="4">
        <f>knicks_players_all_stats[[#This Row],[FG3M]]/knicks_players_all_stats[[#This Row],[FG3A]]</f>
        <v>0</v>
      </c>
      <c r="P40" s="2">
        <v>42</v>
      </c>
      <c r="Q40" s="2">
        <v>51</v>
      </c>
      <c r="R40" s="5">
        <f>knicks_players_all_stats[[#This Row],[FTM]]/knicks_players_all_stats[[#This Row],[FTA]]</f>
        <v>0.82352941176470584</v>
      </c>
      <c r="S40" s="2">
        <f>knicks_players_all_stats[[#This Row],[OREB22]]/10</f>
        <v>32</v>
      </c>
      <c r="T40" s="2">
        <f>knicks_players_all_stats[[#This Row],[DREB33]]/10</f>
        <v>38</v>
      </c>
      <c r="U40" s="2">
        <f>knicks_players_all_stats[[#This Row],[REB44]]/10</f>
        <v>70</v>
      </c>
      <c r="V40">
        <v>320</v>
      </c>
      <c r="W40">
        <v>380</v>
      </c>
      <c r="X40">
        <v>700</v>
      </c>
      <c r="Y40" s="22">
        <f>knicks_players_all_stats[[#This Row],[REB]]/knicks_players_all_stats[[#This Row],[GP]]</f>
        <v>1.8421052631578947</v>
      </c>
      <c r="Z40" s="2">
        <v>26</v>
      </c>
      <c r="AA40" s="6">
        <f>knicks_players_all_stats[[#This Row],[AST]]/knicks_players_all_stats[[#This Row],[GP]]</f>
        <v>0.68421052631578949</v>
      </c>
      <c r="AB40" s="2">
        <f>knicks_players_all_stats[[#This Row],[STL2]]/10</f>
        <v>6</v>
      </c>
      <c r="AC40" s="2">
        <v>60</v>
      </c>
      <c r="AD40" s="6">
        <f>knicks_players_all_stats[[#This Row],[STL]]/knicks_players_all_stats[[#This Row],[GP]]</f>
        <v>0.15789473684210525</v>
      </c>
      <c r="AE40">
        <v>30</v>
      </c>
      <c r="AF40" s="2">
        <f>knicks_players_all_stats[[#This Row],[BLK2]]/10</f>
        <v>3</v>
      </c>
      <c r="AG40" s="6">
        <f>knicks_players_all_stats[[#This Row],[BLK]]/knicks_players_all_stats[[#This Row],[GP]]</f>
        <v>7.8947368421052627E-2</v>
      </c>
      <c r="AH40">
        <v>320</v>
      </c>
      <c r="AI40" s="6">
        <f>knicks_players_all_stats[[#This Row],[BLKPG]]+knicks_players_all_stats[[#This Row],[STLPG]]+knicks_players_all_stats[[#This Row],[REBPG]]</f>
        <v>2.0789473684210527</v>
      </c>
      <c r="AJ40" s="2">
        <f>knicks_players_all_stats[[#This Row],[TOV2]]/10</f>
        <v>32</v>
      </c>
      <c r="AK40" s="6">
        <f>knicks_players_all_stats[[#This Row],[TOV]]/knicks_players_all_stats[[#This Row],[GP]]</f>
        <v>0.84210526315789469</v>
      </c>
      <c r="AL40" s="2">
        <v>46</v>
      </c>
      <c r="AM40" s="2">
        <f>knicks_players_all_stats[[#This Row],[PF]]/knicks_players_all_stats[[#This Row],[GP]]</f>
        <v>1.2105263157894737</v>
      </c>
      <c r="AN40" s="2">
        <v>210</v>
      </c>
      <c r="AO40" s="6">
        <f>knicks_players_all_stats[[#This Row],[PTS]]/knicks_players_all_stats[[#This Row],[GP]]</f>
        <v>5.5263157894736841</v>
      </c>
    </row>
    <row r="41" spans="1:41" customFormat="1" x14ac:dyDescent="0.3">
      <c r="A41" s="3" t="s">
        <v>1608</v>
      </c>
      <c r="B41" s="3" t="s">
        <v>1325</v>
      </c>
      <c r="C41" s="3" t="str">
        <f>knicks_players_all_stats[[#This Row],[NAME]]&amp;" ("&amp;knicks_players_all_stats[[#This Row],[SEASON]]&amp;")"</f>
        <v>Michael Doleac (2002-03)</v>
      </c>
      <c r="D41" s="3">
        <f>knicks_players_all_stats[[#This Row],[PLAYER_AGE]]/10</f>
        <v>26</v>
      </c>
      <c r="E41">
        <v>260</v>
      </c>
      <c r="F41" s="2">
        <v>75</v>
      </c>
      <c r="G41" s="2">
        <v>10400</v>
      </c>
      <c r="H4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215</v>
      </c>
      <c r="I41" s="6">
        <f>knicks_players_all_stats[[#This Row],[VALORATION]]/knicks_players_all_stats[[#This Row],[GP]]</f>
        <v>2.8666666666666667</v>
      </c>
      <c r="J41" s="2">
        <v>146</v>
      </c>
      <c r="K41" s="2">
        <v>343</v>
      </c>
      <c r="L41" s="4">
        <f>knicks_players_all_stats[[#This Row],[FGM]]/knicks_players_all_stats[[#This Row],[FGA]]</f>
        <v>0.42565597667638483</v>
      </c>
      <c r="M41" s="2">
        <v>0</v>
      </c>
      <c r="N41" s="2">
        <v>0</v>
      </c>
      <c r="O41" s="4" t="e">
        <f>knicks_players_all_stats[[#This Row],[FG3M]]/knicks_players_all_stats[[#This Row],[FG3A]]</f>
        <v>#DIV/0!</v>
      </c>
      <c r="P41" s="2">
        <v>36</v>
      </c>
      <c r="Q41" s="2">
        <v>46</v>
      </c>
      <c r="R41" s="5">
        <f>knicks_players_all_stats[[#This Row],[FTM]]/knicks_players_all_stats[[#This Row],[FTA]]</f>
        <v>0.78260869565217395</v>
      </c>
      <c r="S41" s="2">
        <f>knicks_players_all_stats[[#This Row],[OREB22]]/10</f>
        <v>65</v>
      </c>
      <c r="T41" s="2">
        <f>knicks_players_all_stats[[#This Row],[DREB33]]/10</f>
        <v>154</v>
      </c>
      <c r="U41" s="2">
        <f>knicks_players_all_stats[[#This Row],[REB44]]/10</f>
        <v>219</v>
      </c>
      <c r="V41">
        <v>650</v>
      </c>
      <c r="W41">
        <v>1540</v>
      </c>
      <c r="X41">
        <v>2190</v>
      </c>
      <c r="Y41" s="22">
        <f>knicks_players_all_stats[[#This Row],[REB]]/knicks_players_all_stats[[#This Row],[GP]]</f>
        <v>2.92</v>
      </c>
      <c r="Z41" s="2">
        <v>42</v>
      </c>
      <c r="AA41" s="6">
        <f>knicks_players_all_stats[[#This Row],[AST]]/knicks_players_all_stats[[#This Row],[GP]]</f>
        <v>0.56000000000000005</v>
      </c>
      <c r="AB41" s="2">
        <f>knicks_players_all_stats[[#This Row],[STL2]]/10</f>
        <v>16</v>
      </c>
      <c r="AC41" s="2">
        <v>160</v>
      </c>
      <c r="AD41" s="6">
        <f>knicks_players_all_stats[[#This Row],[STL]]/knicks_players_all_stats[[#This Row],[GP]]</f>
        <v>0.21333333333333335</v>
      </c>
      <c r="AE41">
        <v>160</v>
      </c>
      <c r="AF41" s="2">
        <f>knicks_players_all_stats[[#This Row],[BLK2]]/10</f>
        <v>16</v>
      </c>
      <c r="AG41" s="6">
        <f>knicks_players_all_stats[[#This Row],[BLK]]/knicks_players_all_stats[[#This Row],[GP]]</f>
        <v>0.21333333333333335</v>
      </c>
      <c r="AH41">
        <v>490</v>
      </c>
      <c r="AI41" s="6">
        <f>knicks_players_all_stats[[#This Row],[BLKPG]]+knicks_players_all_stats[[#This Row],[STLPG]]+knicks_players_all_stats[[#This Row],[REBPG]]</f>
        <v>3.3466666666666667</v>
      </c>
      <c r="AJ41" s="2">
        <f>knicks_players_all_stats[[#This Row],[TOV2]]/10</f>
        <v>49</v>
      </c>
      <c r="AK41" s="6">
        <f>knicks_players_all_stats[[#This Row],[TOV]]/knicks_players_all_stats[[#This Row],[GP]]</f>
        <v>0.65333333333333332</v>
      </c>
      <c r="AL41" s="2">
        <v>150</v>
      </c>
      <c r="AM41" s="2">
        <f>knicks_players_all_stats[[#This Row],[PF]]/knicks_players_all_stats[[#This Row],[GP]]</f>
        <v>2</v>
      </c>
      <c r="AN41" s="2">
        <v>328</v>
      </c>
      <c r="AO41" s="6">
        <f>knicks_players_all_stats[[#This Row],[PTS]]/knicks_players_all_stats[[#This Row],[GP]]</f>
        <v>4.3733333333333331</v>
      </c>
    </row>
    <row r="42" spans="1:41" customFormat="1" x14ac:dyDescent="0.3">
      <c r="A42" s="3" t="s">
        <v>1625</v>
      </c>
      <c r="B42" s="3" t="s">
        <v>1325</v>
      </c>
      <c r="C42" s="3" t="str">
        <f>knicks_players_all_stats[[#This Row],[NAME]]&amp;" ("&amp;knicks_players_all_stats[[#This Row],[SEASON]]&amp;")"</f>
        <v>Travis Knight (2002-03)</v>
      </c>
      <c r="D42" s="3">
        <f>knicks_players_all_stats[[#This Row],[PLAYER_AGE]]/10</f>
        <v>28</v>
      </c>
      <c r="E42">
        <v>280</v>
      </c>
      <c r="F42" s="2">
        <v>32</v>
      </c>
      <c r="G42" s="2">
        <v>2870</v>
      </c>
      <c r="H4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56</v>
      </c>
      <c r="I42" s="6">
        <f>knicks_players_all_stats[[#This Row],[VALORATION]]/knicks_players_all_stats[[#This Row],[GP]]</f>
        <v>1.75</v>
      </c>
      <c r="J42" s="2">
        <v>25</v>
      </c>
      <c r="K42" s="2">
        <v>65</v>
      </c>
      <c r="L42" s="4">
        <f>knicks_players_all_stats[[#This Row],[FGM]]/knicks_players_all_stats[[#This Row],[FGA]]</f>
        <v>0.38461538461538464</v>
      </c>
      <c r="M42" s="2">
        <v>0</v>
      </c>
      <c r="N42" s="2">
        <v>10</v>
      </c>
      <c r="O42" s="4">
        <f>knicks_players_all_stats[[#This Row],[FG3M]]/knicks_players_all_stats[[#This Row],[FG3A]]</f>
        <v>0</v>
      </c>
      <c r="P42" s="2">
        <v>10</v>
      </c>
      <c r="Q42" s="2">
        <v>13</v>
      </c>
      <c r="R42" s="5">
        <f>knicks_players_all_stats[[#This Row],[FTM]]/knicks_players_all_stats[[#This Row],[FTA]]</f>
        <v>0.76923076923076927</v>
      </c>
      <c r="S42" s="2">
        <f>knicks_players_all_stats[[#This Row],[OREB22]]/10</f>
        <v>18</v>
      </c>
      <c r="T42" s="2">
        <f>knicks_players_all_stats[[#This Row],[DREB33]]/10</f>
        <v>44</v>
      </c>
      <c r="U42" s="2">
        <f>knicks_players_all_stats[[#This Row],[REB44]]/10</f>
        <v>62</v>
      </c>
      <c r="V42">
        <v>180</v>
      </c>
      <c r="W42">
        <v>440</v>
      </c>
      <c r="X42">
        <v>620</v>
      </c>
      <c r="Y42" s="22">
        <f>knicks_players_all_stats[[#This Row],[REB]]/knicks_players_all_stats[[#This Row],[GP]]</f>
        <v>1.9375</v>
      </c>
      <c r="Z42" s="2">
        <v>14</v>
      </c>
      <c r="AA42" s="6">
        <f>knicks_players_all_stats[[#This Row],[AST]]/knicks_players_all_stats[[#This Row],[GP]]</f>
        <v>0.4375</v>
      </c>
      <c r="AB42" s="2">
        <f>knicks_players_all_stats[[#This Row],[STL2]]/10</f>
        <v>8</v>
      </c>
      <c r="AC42" s="2">
        <v>80</v>
      </c>
      <c r="AD42" s="6">
        <f>knicks_players_all_stats[[#This Row],[STL]]/knicks_players_all_stats[[#This Row],[GP]]</f>
        <v>0.25</v>
      </c>
      <c r="AE42">
        <v>90</v>
      </c>
      <c r="AF42" s="2">
        <f>knicks_players_all_stats[[#This Row],[BLK2]]/10</f>
        <v>9</v>
      </c>
      <c r="AG42" s="6">
        <f>knicks_players_all_stats[[#This Row],[BLK]]/knicks_players_all_stats[[#This Row],[GP]]</f>
        <v>0.28125</v>
      </c>
      <c r="AH42">
        <v>100</v>
      </c>
      <c r="AI42" s="6">
        <f>knicks_players_all_stats[[#This Row],[BLKPG]]+knicks_players_all_stats[[#This Row],[STLPG]]+knicks_players_all_stats[[#This Row],[REBPG]]</f>
        <v>2.46875</v>
      </c>
      <c r="AJ42" s="2">
        <f>knicks_players_all_stats[[#This Row],[TOV2]]/10</f>
        <v>10</v>
      </c>
      <c r="AK42" s="6">
        <f>knicks_players_all_stats[[#This Row],[TOV]]/knicks_players_all_stats[[#This Row],[GP]]</f>
        <v>0.3125</v>
      </c>
      <c r="AL42" s="2">
        <v>44</v>
      </c>
      <c r="AM42" s="2">
        <f>knicks_players_all_stats[[#This Row],[PF]]/knicks_players_all_stats[[#This Row],[GP]]</f>
        <v>1.375</v>
      </c>
      <c r="AN42" s="2">
        <v>60</v>
      </c>
      <c r="AO42" s="6">
        <f>knicks_players_all_stats[[#This Row],[PTS]]/knicks_players_all_stats[[#This Row],[GP]]</f>
        <v>1.875</v>
      </c>
    </row>
    <row r="43" spans="1:41" customFormat="1" x14ac:dyDescent="0.3">
      <c r="A43" s="3" t="s">
        <v>1834</v>
      </c>
      <c r="B43" s="3" t="s">
        <v>1325</v>
      </c>
      <c r="C43" s="3" t="str">
        <f>knicks_players_all_stats[[#This Row],[NAME]]&amp;" ("&amp;knicks_players_all_stats[[#This Row],[SEASON]]&amp;")"</f>
        <v>Frank Williams (2002-03)</v>
      </c>
      <c r="D43" s="3">
        <f>knicks_players_all_stats[[#This Row],[PLAYER_AGE]]/10</f>
        <v>23</v>
      </c>
      <c r="E43">
        <v>230</v>
      </c>
      <c r="F43" s="2">
        <v>21</v>
      </c>
      <c r="G43" s="2">
        <v>1670</v>
      </c>
      <c r="H4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26</v>
      </c>
      <c r="I43" s="6">
        <f>knicks_players_all_stats[[#This Row],[VALORATION]]/knicks_players_all_stats[[#This Row],[GP]]</f>
        <v>1.2380952380952381</v>
      </c>
      <c r="J43" s="2">
        <v>9</v>
      </c>
      <c r="K43" s="2">
        <v>33</v>
      </c>
      <c r="L43" s="2">
        <v>273</v>
      </c>
      <c r="M43" s="2">
        <v>60</v>
      </c>
      <c r="N43" s="2">
        <v>160</v>
      </c>
      <c r="O43" s="4">
        <f>knicks_players_all_stats[[#This Row],[FG3M]]/knicks_players_all_stats[[#This Row],[FG3A]]</f>
        <v>0.375</v>
      </c>
      <c r="P43" s="2">
        <v>4</v>
      </c>
      <c r="Q43" s="2">
        <v>6</v>
      </c>
      <c r="R43" s="5">
        <f>knicks_players_all_stats[[#This Row],[FTM]]/knicks_players_all_stats[[#This Row],[FTA]]</f>
        <v>0.66666666666666663</v>
      </c>
      <c r="S43" s="2">
        <f>knicks_players_all_stats[[#This Row],[OREB22]]/10</f>
        <v>3</v>
      </c>
      <c r="T43" s="2">
        <f>knicks_players_all_stats[[#This Row],[DREB33]]/10</f>
        <v>15</v>
      </c>
      <c r="U43" s="2">
        <f>knicks_players_all_stats[[#This Row],[REB44]]/10</f>
        <v>18</v>
      </c>
      <c r="V43">
        <v>30</v>
      </c>
      <c r="W43">
        <v>150</v>
      </c>
      <c r="X43">
        <v>180</v>
      </c>
      <c r="Y43" s="22">
        <f>knicks_players_all_stats[[#This Row],[REB]]/knicks_players_all_stats[[#This Row],[GP]]</f>
        <v>0.8571428571428571</v>
      </c>
      <c r="Z43" s="2">
        <v>34</v>
      </c>
      <c r="AA43" s="6">
        <f>knicks_players_all_stats[[#This Row],[AST]]/knicks_players_all_stats[[#This Row],[GP]]</f>
        <v>1.6190476190476191</v>
      </c>
      <c r="AB43" s="2">
        <f>knicks_players_all_stats[[#This Row],[STL2]]/10</f>
        <v>7</v>
      </c>
      <c r="AC43" s="2">
        <v>70</v>
      </c>
      <c r="AD43" s="6">
        <f>knicks_players_all_stats[[#This Row],[STL]]/knicks_players_all_stats[[#This Row],[GP]]</f>
        <v>0.33333333333333331</v>
      </c>
      <c r="AE43">
        <v>20</v>
      </c>
      <c r="AF43" s="2">
        <f>knicks_players_all_stats[[#This Row],[BLK2]]/10</f>
        <v>2</v>
      </c>
      <c r="AG43" s="6">
        <f>knicks_players_all_stats[[#This Row],[BLK]]/knicks_players_all_stats[[#This Row],[GP]]</f>
        <v>9.5238095238095233E-2</v>
      </c>
      <c r="AH43">
        <v>170</v>
      </c>
      <c r="AI43" s="6">
        <f>knicks_players_all_stats[[#This Row],[BLKPG]]+knicks_players_all_stats[[#This Row],[STLPG]]+knicks_players_all_stats[[#This Row],[REBPG]]</f>
        <v>1.2857142857142856</v>
      </c>
      <c r="AJ43" s="2">
        <f>knicks_players_all_stats[[#This Row],[TOV2]]/10</f>
        <v>17</v>
      </c>
      <c r="AK43" s="6">
        <f>knicks_players_all_stats[[#This Row],[TOV]]/knicks_players_all_stats[[#This Row],[GP]]</f>
        <v>0.80952380952380953</v>
      </c>
      <c r="AL43" s="2">
        <v>20</v>
      </c>
      <c r="AM43" s="2">
        <f>knicks_players_all_stats[[#This Row],[PF]]/knicks_players_all_stats[[#This Row],[GP]]</f>
        <v>0.95238095238095233</v>
      </c>
      <c r="AN43" s="2">
        <v>28</v>
      </c>
      <c r="AO43" s="6">
        <f>knicks_players_all_stats[[#This Row],[PTS]]/knicks_players_all_stats[[#This Row],[GP]]</f>
        <v>1.3333333333333333</v>
      </c>
    </row>
    <row r="44" spans="1:41" x14ac:dyDescent="0.3">
      <c r="A44" s="3" t="s">
        <v>1592</v>
      </c>
      <c r="B44" s="3" t="s">
        <v>1325</v>
      </c>
      <c r="C44" s="3" t="str">
        <f>knicks_players_all_stats[[#This Row],[NAME]]&amp;" ("&amp;knicks_players_all_stats[[#This Row],[SEASON]]&amp;")"</f>
        <v>Lavor Postell (2002-03)</v>
      </c>
      <c r="D44" s="3">
        <f>knicks_players_all_stats[[#This Row],[PLAYER_AGE]]/10</f>
        <v>25</v>
      </c>
      <c r="E44">
        <v>250</v>
      </c>
      <c r="F44" s="2">
        <v>12</v>
      </c>
      <c r="G44" s="2">
        <v>990</v>
      </c>
      <c r="H4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</v>
      </c>
      <c r="I44" s="6">
        <f>knicks_players_all_stats[[#This Row],[VALORATION]]/knicks_players_all_stats[[#This Row],[GP]]</f>
        <v>0.83333333333333337</v>
      </c>
      <c r="J44" s="2">
        <v>14</v>
      </c>
      <c r="K44" s="2">
        <v>38</v>
      </c>
      <c r="L44" s="4">
        <f>knicks_players_all_stats[[#This Row],[FGM]]/knicks_players_all_stats[[#This Row],[FGA]]</f>
        <v>0.36842105263157893</v>
      </c>
      <c r="M44" s="2">
        <v>20</v>
      </c>
      <c r="N44" s="2">
        <v>70</v>
      </c>
      <c r="O44" s="4">
        <f>knicks_players_all_stats[[#This Row],[FG3M]]/knicks_players_all_stats[[#This Row],[FG3A]]</f>
        <v>0.2857142857142857</v>
      </c>
      <c r="P44" s="2">
        <v>13</v>
      </c>
      <c r="Q44" s="2">
        <v>15</v>
      </c>
      <c r="R44" s="5">
        <f>knicks_players_all_stats[[#This Row],[FTM]]/knicks_players_all_stats[[#This Row],[FTA]]</f>
        <v>0.8666666666666667</v>
      </c>
      <c r="S44" s="2">
        <f>knicks_players_all_stats[[#This Row],[OREB22]]/10</f>
        <v>1</v>
      </c>
      <c r="T44" s="2">
        <f>knicks_players_all_stats[[#This Row],[DREB33]]/10</f>
        <v>3</v>
      </c>
      <c r="U44" s="2">
        <f>knicks_players_all_stats[[#This Row],[REB44]]/10</f>
        <v>4</v>
      </c>
      <c r="V44">
        <v>10</v>
      </c>
      <c r="W44">
        <v>30</v>
      </c>
      <c r="X44">
        <v>40</v>
      </c>
      <c r="Y44" s="22">
        <f>knicks_players_all_stats[[#This Row],[REB]]/knicks_players_all_stats[[#This Row],[GP]]</f>
        <v>0.33333333333333331</v>
      </c>
      <c r="Z44" s="2">
        <v>3</v>
      </c>
      <c r="AA44" s="6">
        <f>knicks_players_all_stats[[#This Row],[AST]]/knicks_players_all_stats[[#This Row],[GP]]</f>
        <v>0.25</v>
      </c>
      <c r="AB44" s="2">
        <f>knicks_players_all_stats[[#This Row],[STL2]]/10</f>
        <v>2</v>
      </c>
      <c r="AC44" s="2">
        <v>20</v>
      </c>
      <c r="AD44" s="6">
        <f>knicks_players_all_stats[[#This Row],[STL]]/knicks_players_all_stats[[#This Row],[GP]]</f>
        <v>0.16666666666666666</v>
      </c>
      <c r="AE44">
        <v>0</v>
      </c>
      <c r="AF44" s="2">
        <f>knicks_players_all_stats[[#This Row],[BLK2]]/10</f>
        <v>0</v>
      </c>
      <c r="AG44" s="6">
        <f>knicks_players_all_stats[[#This Row],[BLK]]/knicks_players_all_stats[[#This Row],[GP]]</f>
        <v>0</v>
      </c>
      <c r="AH44">
        <v>70</v>
      </c>
      <c r="AI44" s="6">
        <f>knicks_players_all_stats[[#This Row],[BLKPG]]+knicks_players_all_stats[[#This Row],[STLPG]]+knicks_players_all_stats[[#This Row],[REBPG]]</f>
        <v>0.5</v>
      </c>
      <c r="AJ44" s="2">
        <f>knicks_players_all_stats[[#This Row],[TOV2]]/10</f>
        <v>7</v>
      </c>
      <c r="AK44" s="6">
        <f>knicks_players_all_stats[[#This Row],[TOV]]/knicks_players_all_stats[[#This Row],[GP]]</f>
        <v>0.58333333333333337</v>
      </c>
      <c r="AL44" s="2">
        <v>9</v>
      </c>
      <c r="AM44" s="2">
        <f>knicks_players_all_stats[[#This Row],[PF]]/knicks_players_all_stats[[#This Row],[GP]]</f>
        <v>0.75</v>
      </c>
      <c r="AN44" s="2">
        <v>43</v>
      </c>
      <c r="AO44" s="6">
        <f>knicks_players_all_stats[[#This Row],[PTS]]/knicks_players_all_stats[[#This Row],[GP]]</f>
        <v>3.5833333333333335</v>
      </c>
    </row>
    <row r="45" spans="1:41" x14ac:dyDescent="0.3">
      <c r="A45" s="3" t="s">
        <v>1498</v>
      </c>
      <c r="B45" s="3" t="s">
        <v>1293</v>
      </c>
      <c r="C45" s="3" t="str">
        <f>knicks_players_all_stats[[#This Row],[NAME]]&amp;" ("&amp;knicks_players_all_stats[[#This Row],[SEASON]]&amp;")"</f>
        <v>Stephon Marbury (2003-04)</v>
      </c>
      <c r="D45" s="3">
        <f>knicks_players_all_stats[[#This Row],[PLAYER_AGE]]/10</f>
        <v>27</v>
      </c>
      <c r="E45">
        <v>270</v>
      </c>
      <c r="F45" s="2">
        <v>47</v>
      </c>
      <c r="G45" s="2">
        <v>18390</v>
      </c>
      <c r="H4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848</v>
      </c>
      <c r="I45" s="6">
        <f>knicks_players_all_stats[[#This Row],[VALORATION]]/knicks_players_all_stats[[#This Row],[GP]]</f>
        <v>18.042553191489361</v>
      </c>
      <c r="J45" s="2">
        <v>336</v>
      </c>
      <c r="K45" s="2">
        <v>780</v>
      </c>
      <c r="L45" s="4">
        <f>knicks_players_all_stats[[#This Row],[FGM]]/knicks_players_all_stats[[#This Row],[FGA]]</f>
        <v>0.43076923076923079</v>
      </c>
      <c r="M45" s="2">
        <v>500</v>
      </c>
      <c r="N45" s="2">
        <v>1560</v>
      </c>
      <c r="O45" s="4">
        <f>knicks_players_all_stats[[#This Row],[FG3M]]/knicks_players_all_stats[[#This Row],[FG3A]]</f>
        <v>0.32051282051282054</v>
      </c>
      <c r="P45" s="2">
        <v>209</v>
      </c>
      <c r="Q45" s="2">
        <v>251</v>
      </c>
      <c r="R45" s="5">
        <f>knicks_players_all_stats[[#This Row],[FTM]]/knicks_players_all_stats[[#This Row],[FTA]]</f>
        <v>0.83266932270916338</v>
      </c>
      <c r="S45" s="2">
        <f>knicks_players_all_stats[[#This Row],[OREB22]]/10</f>
        <v>39</v>
      </c>
      <c r="T45" s="2">
        <f>knicks_players_all_stats[[#This Row],[DREB33]]/10</f>
        <v>107</v>
      </c>
      <c r="U45" s="2">
        <f>knicks_players_all_stats[[#This Row],[REB44]]/10</f>
        <v>146</v>
      </c>
      <c r="V45">
        <v>390</v>
      </c>
      <c r="W45">
        <v>1070</v>
      </c>
      <c r="X45">
        <v>1460</v>
      </c>
      <c r="Y45" s="22">
        <f>knicks_players_all_stats[[#This Row],[REB]]/knicks_players_all_stats[[#This Row],[GP]]</f>
        <v>3.1063829787234041</v>
      </c>
      <c r="Z45" s="2">
        <v>438</v>
      </c>
      <c r="AA45" s="6">
        <f>knicks_players_all_stats[[#This Row],[AST]]/knicks_players_all_stats[[#This Row],[GP]]</f>
        <v>9.3191489361702136</v>
      </c>
      <c r="AB45" s="2">
        <f>knicks_players_all_stats[[#This Row],[STL2]]/10</f>
        <v>65</v>
      </c>
      <c r="AC45" s="2">
        <v>650</v>
      </c>
      <c r="AD45" s="6">
        <f>knicks_players_all_stats[[#This Row],[STL]]/knicks_players_all_stats[[#This Row],[GP]]</f>
        <v>1.3829787234042554</v>
      </c>
      <c r="AE45">
        <v>40</v>
      </c>
      <c r="AF45" s="2">
        <f>knicks_players_all_stats[[#This Row],[BLK2]]/10</f>
        <v>4</v>
      </c>
      <c r="AG45" s="6">
        <f>knicks_players_all_stats[[#This Row],[BLK]]/knicks_players_all_stats[[#This Row],[GP]]</f>
        <v>8.5106382978723402E-2</v>
      </c>
      <c r="AH45">
        <v>1520</v>
      </c>
      <c r="AI45" s="6">
        <f>knicks_players_all_stats[[#This Row],[BLKPG]]+knicks_players_all_stats[[#This Row],[STLPG]]+knicks_players_all_stats[[#This Row],[REBPG]]</f>
        <v>4.5744680851063828</v>
      </c>
      <c r="AJ45" s="2">
        <f>knicks_players_all_stats[[#This Row],[TOV2]]/10</f>
        <v>152</v>
      </c>
      <c r="AK45" s="6">
        <f>knicks_players_all_stats[[#This Row],[TOV]]/knicks_players_all_stats[[#This Row],[GP]]</f>
        <v>3.2340425531914891</v>
      </c>
      <c r="AL45" s="2">
        <v>98</v>
      </c>
      <c r="AM45" s="2">
        <f>knicks_players_all_stats[[#This Row],[PF]]/knicks_players_all_stats[[#This Row],[GP]]</f>
        <v>2.0851063829787235</v>
      </c>
      <c r="AN45" s="2">
        <v>931</v>
      </c>
      <c r="AO45" s="6">
        <f>knicks_players_all_stats[[#This Row],[PTS]]/knicks_players_all_stats[[#This Row],[GP]]</f>
        <v>19.808510638297872</v>
      </c>
    </row>
    <row r="46" spans="1:41" x14ac:dyDescent="0.3">
      <c r="A46" s="3" t="s">
        <v>1810</v>
      </c>
      <c r="B46" s="3" t="s">
        <v>1293</v>
      </c>
      <c r="C46" s="3" t="str">
        <f>knicks_players_all_stats[[#This Row],[NAME]]&amp;" ("&amp;knicks_players_all_stats[[#This Row],[SEASON]]&amp;")"</f>
        <v>Keith Van Horn (2003-04)</v>
      </c>
      <c r="D46" s="3">
        <f>knicks_players_all_stats[[#This Row],[PLAYER_AGE]]/10</f>
        <v>28</v>
      </c>
      <c r="E46">
        <v>280</v>
      </c>
      <c r="F46" s="2">
        <v>47</v>
      </c>
      <c r="G46" s="2">
        <v>15780</v>
      </c>
      <c r="H4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619</v>
      </c>
      <c r="I46" s="6">
        <f>knicks_players_all_stats[[#This Row],[VALORATION]]/knicks_players_all_stats[[#This Row],[GP]]</f>
        <v>13.170212765957446</v>
      </c>
      <c r="J46" s="2">
        <v>273</v>
      </c>
      <c r="K46" s="2">
        <v>613</v>
      </c>
      <c r="L46" s="2">
        <v>445</v>
      </c>
      <c r="M46" s="2">
        <v>600</v>
      </c>
      <c r="N46" s="2">
        <v>1610</v>
      </c>
      <c r="O46" s="4">
        <f>knicks_players_all_stats[[#This Row],[FG3M]]/knicks_players_all_stats[[#This Row],[FG3A]]</f>
        <v>0.37267080745341613</v>
      </c>
      <c r="P46" s="2">
        <v>163</v>
      </c>
      <c r="Q46" s="2">
        <v>199</v>
      </c>
      <c r="R46" s="5">
        <f>knicks_players_all_stats[[#This Row],[FTM]]/knicks_players_all_stats[[#This Row],[FTA]]</f>
        <v>0.81909547738693467</v>
      </c>
      <c r="S46" s="2">
        <f>knicks_players_all_stats[[#This Row],[OREB22]]/10</f>
        <v>98</v>
      </c>
      <c r="T46" s="2">
        <f>knicks_players_all_stats[[#This Row],[DREB33]]/10</f>
        <v>245</v>
      </c>
      <c r="U46" s="2">
        <f>knicks_players_all_stats[[#This Row],[REB44]]/10</f>
        <v>343</v>
      </c>
      <c r="V46">
        <v>980</v>
      </c>
      <c r="W46">
        <v>2450</v>
      </c>
      <c r="X46">
        <v>3430</v>
      </c>
      <c r="Y46" s="22">
        <f>knicks_players_all_stats[[#This Row],[REB]]/knicks_players_all_stats[[#This Row],[GP]]</f>
        <v>7.2978723404255321</v>
      </c>
      <c r="Z46" s="2">
        <v>83</v>
      </c>
      <c r="AA46" s="6">
        <f>knicks_players_all_stats[[#This Row],[AST]]/knicks_players_all_stats[[#This Row],[GP]]</f>
        <v>1.7659574468085106</v>
      </c>
      <c r="AB46" s="2">
        <f>knicks_players_all_stats[[#This Row],[STL2]]/10</f>
        <v>52</v>
      </c>
      <c r="AC46" s="2">
        <v>520</v>
      </c>
      <c r="AD46" s="6">
        <f>knicks_players_all_stats[[#This Row],[STL]]/knicks_players_all_stats[[#This Row],[GP]]</f>
        <v>1.1063829787234043</v>
      </c>
      <c r="AE46">
        <v>180</v>
      </c>
      <c r="AF46" s="2">
        <f>knicks_players_all_stats[[#This Row],[BLK2]]/10</f>
        <v>18</v>
      </c>
      <c r="AG46" s="6">
        <f>knicks_players_all_stats[[#This Row],[BLK]]/knicks_players_all_stats[[#This Row],[GP]]</f>
        <v>0.38297872340425532</v>
      </c>
      <c r="AH46">
        <v>1190</v>
      </c>
      <c r="AI46" s="6">
        <f>knicks_players_all_stats[[#This Row],[BLKPG]]+knicks_players_all_stats[[#This Row],[STLPG]]+knicks_players_all_stats[[#This Row],[REBPG]]</f>
        <v>8.787234042553191</v>
      </c>
      <c r="AJ46" s="2">
        <f>knicks_players_all_stats[[#This Row],[TOV2]]/10</f>
        <v>119</v>
      </c>
      <c r="AK46" s="6">
        <f>knicks_players_all_stats[[#This Row],[TOV]]/knicks_players_all_stats[[#This Row],[GP]]</f>
        <v>2.5319148936170213</v>
      </c>
      <c r="AL46" s="2">
        <v>151</v>
      </c>
      <c r="AM46" s="2">
        <f>knicks_players_all_stats[[#This Row],[PF]]/knicks_players_all_stats[[#This Row],[GP]]</f>
        <v>3.2127659574468086</v>
      </c>
      <c r="AN46" s="2">
        <v>769</v>
      </c>
      <c r="AO46" s="6">
        <f>knicks_players_all_stats[[#This Row],[PTS]]/knicks_players_all_stats[[#This Row],[GP]]</f>
        <v>16.361702127659573</v>
      </c>
    </row>
    <row r="47" spans="1:41" x14ac:dyDescent="0.3">
      <c r="A47" s="3" t="s">
        <v>1790</v>
      </c>
      <c r="B47" s="3" t="s">
        <v>1293</v>
      </c>
      <c r="C47" s="3" t="str">
        <f>knicks_players_all_stats[[#This Row],[NAME]]&amp;" ("&amp;knicks_players_all_stats[[#This Row],[SEASON]]&amp;")"</f>
        <v>Kurt Thomas (2003-04)</v>
      </c>
      <c r="D47" s="3">
        <f>knicks_players_all_stats[[#This Row],[PLAYER_AGE]]/10</f>
        <v>31</v>
      </c>
      <c r="E47">
        <v>310</v>
      </c>
      <c r="F47" s="2">
        <v>80</v>
      </c>
      <c r="G47" s="2">
        <v>25490</v>
      </c>
      <c r="H4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949</v>
      </c>
      <c r="I47" s="6">
        <f>knicks_players_all_stats[[#This Row],[VALORATION]]/knicks_players_all_stats[[#This Row],[GP]]</f>
        <v>11.862500000000001</v>
      </c>
      <c r="J47" s="2">
        <v>392</v>
      </c>
      <c r="K47" s="2">
        <v>829</v>
      </c>
      <c r="L47" s="2">
        <v>473</v>
      </c>
      <c r="M47" s="2">
        <v>0</v>
      </c>
      <c r="N47" s="2">
        <v>30</v>
      </c>
      <c r="O47" s="4">
        <f>knicks_players_all_stats[[#This Row],[FG3M]]/knicks_players_all_stats[[#This Row],[FG3A]]</f>
        <v>0</v>
      </c>
      <c r="P47" s="2">
        <v>106</v>
      </c>
      <c r="Q47" s="2">
        <v>127</v>
      </c>
      <c r="R47" s="5">
        <f>knicks_players_all_stats[[#This Row],[FTM]]/knicks_players_all_stats[[#This Row],[FTA]]</f>
        <v>0.83464566929133854</v>
      </c>
      <c r="S47" s="2">
        <f>knicks_players_all_stats[[#This Row],[OREB22]]/10</f>
        <v>145</v>
      </c>
      <c r="T47" s="2">
        <f>knicks_players_all_stats[[#This Row],[DREB33]]/10</f>
        <v>517</v>
      </c>
      <c r="U47" s="2">
        <f>knicks_players_all_stats[[#This Row],[REB44]]/10</f>
        <v>662</v>
      </c>
      <c r="V47">
        <v>1450</v>
      </c>
      <c r="W47">
        <v>5170</v>
      </c>
      <c r="X47">
        <v>6620</v>
      </c>
      <c r="Y47" s="22">
        <f>knicks_players_all_stats[[#This Row],[REB]]/knicks_players_all_stats[[#This Row],[GP]]</f>
        <v>8.2750000000000004</v>
      </c>
      <c r="Z47" s="2">
        <v>149</v>
      </c>
      <c r="AA47" s="6">
        <f>knicks_players_all_stats[[#This Row],[AST]]/knicks_players_all_stats[[#This Row],[GP]]</f>
        <v>1.8625</v>
      </c>
      <c r="AB47" s="2">
        <f>knicks_players_all_stats[[#This Row],[STL2]]/10</f>
        <v>56</v>
      </c>
      <c r="AC47" s="2">
        <v>560</v>
      </c>
      <c r="AD47" s="6">
        <f>knicks_players_all_stats[[#This Row],[STL]]/knicks_players_all_stats[[#This Row],[GP]]</f>
        <v>0.7</v>
      </c>
      <c r="AE47">
        <v>800</v>
      </c>
      <c r="AF47" s="2">
        <f>knicks_players_all_stats[[#This Row],[BLK2]]/10</f>
        <v>80</v>
      </c>
      <c r="AG47" s="6">
        <f>knicks_players_all_stats[[#This Row],[BLK]]/knicks_players_all_stats[[#This Row],[GP]]</f>
        <v>1</v>
      </c>
      <c r="AH47">
        <v>1320</v>
      </c>
      <c r="AI47" s="6">
        <f>knicks_players_all_stats[[#This Row],[BLKPG]]+knicks_players_all_stats[[#This Row],[STLPG]]+knicks_players_all_stats[[#This Row],[REBPG]]</f>
        <v>9.9749999999999996</v>
      </c>
      <c r="AJ47" s="2">
        <f>knicks_players_all_stats[[#This Row],[TOV2]]/10</f>
        <v>132</v>
      </c>
      <c r="AK47" s="6">
        <f>knicks_players_all_stats[[#This Row],[TOV]]/knicks_players_all_stats[[#This Row],[GP]]</f>
        <v>1.65</v>
      </c>
      <c r="AL47" s="2">
        <v>298</v>
      </c>
      <c r="AM47" s="2">
        <f>knicks_players_all_stats[[#This Row],[PF]]/knicks_players_all_stats[[#This Row],[GP]]</f>
        <v>3.7250000000000001</v>
      </c>
      <c r="AN47" s="2">
        <v>890</v>
      </c>
      <c r="AO47" s="6">
        <f>knicks_players_all_stats[[#This Row],[PTS]]/knicks_players_all_stats[[#This Row],[GP]]</f>
        <v>11.125</v>
      </c>
    </row>
    <row r="48" spans="1:41" x14ac:dyDescent="0.3">
      <c r="A48" s="3" t="s">
        <v>1364</v>
      </c>
      <c r="B48" s="3" t="s">
        <v>1293</v>
      </c>
      <c r="C48" s="3" t="str">
        <f>knicks_players_all_stats[[#This Row],[NAME]]&amp;" ("&amp;knicks_players_all_stats[[#This Row],[SEASON]]&amp;")"</f>
        <v>Nazr Mohammed (2003-04)</v>
      </c>
      <c r="D48" s="3">
        <f>knicks_players_all_stats[[#This Row],[PLAYER_AGE]]/10</f>
        <v>26</v>
      </c>
      <c r="E48">
        <v>260</v>
      </c>
      <c r="F48" s="2">
        <v>27</v>
      </c>
      <c r="G48" s="2">
        <v>6730</v>
      </c>
      <c r="H4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293</v>
      </c>
      <c r="I48" s="6">
        <f>knicks_players_all_stats[[#This Row],[VALORATION]]/knicks_players_all_stats[[#This Row],[GP]]</f>
        <v>10.851851851851851</v>
      </c>
      <c r="J48" s="2">
        <v>108</v>
      </c>
      <c r="K48" s="2">
        <v>192</v>
      </c>
      <c r="L48" s="4">
        <f>knicks_players_all_stats[[#This Row],[FGM]]/knicks_players_all_stats[[#This Row],[FGA]]</f>
        <v>0.5625</v>
      </c>
      <c r="M48" s="2">
        <v>0</v>
      </c>
      <c r="N48" s="2">
        <v>0</v>
      </c>
      <c r="O48" s="4" t="e">
        <f>knicks_players_all_stats[[#This Row],[FG3M]]/knicks_players_all_stats[[#This Row],[FG3A]]</f>
        <v>#DIV/0!</v>
      </c>
      <c r="P48" s="2">
        <v>31</v>
      </c>
      <c r="Q48" s="2">
        <v>59</v>
      </c>
      <c r="R48" s="5">
        <f>knicks_players_all_stats[[#This Row],[FTM]]/knicks_players_all_stats[[#This Row],[FTA]]</f>
        <v>0.52542372881355937</v>
      </c>
      <c r="S48" s="2">
        <f>knicks_players_all_stats[[#This Row],[OREB22]]/10</f>
        <v>77</v>
      </c>
      <c r="T48" s="2">
        <f>knicks_players_all_stats[[#This Row],[DREB33]]/10</f>
        <v>130</v>
      </c>
      <c r="U48" s="2">
        <f>knicks_players_all_stats[[#This Row],[REB44]]/10</f>
        <v>207</v>
      </c>
      <c r="V48">
        <v>770</v>
      </c>
      <c r="W48">
        <v>1300</v>
      </c>
      <c r="X48">
        <v>2070</v>
      </c>
      <c r="Y48" s="22">
        <f>knicks_players_all_stats[[#This Row],[REB]]/knicks_players_all_stats[[#This Row],[GP]]</f>
        <v>7.666666666666667</v>
      </c>
      <c r="Z48" s="2">
        <v>16</v>
      </c>
      <c r="AA48" s="6">
        <f>knicks_players_all_stats[[#This Row],[AST]]/knicks_players_all_stats[[#This Row],[GP]]</f>
        <v>0.59259259259259256</v>
      </c>
      <c r="AB48" s="2">
        <f>knicks_players_all_stats[[#This Row],[STL2]]/10</f>
        <v>33</v>
      </c>
      <c r="AC48" s="2">
        <v>330</v>
      </c>
      <c r="AD48" s="6">
        <f>knicks_players_all_stats[[#This Row],[STL]]/knicks_players_all_stats[[#This Row],[GP]]</f>
        <v>1.2222222222222223</v>
      </c>
      <c r="AE48">
        <v>250</v>
      </c>
      <c r="AF48" s="2">
        <f>knicks_players_all_stats[[#This Row],[BLK2]]/10</f>
        <v>25</v>
      </c>
      <c r="AG48" s="6">
        <f>knicks_players_all_stats[[#This Row],[BLK]]/knicks_players_all_stats[[#This Row],[GP]]</f>
        <v>0.92592592592592593</v>
      </c>
      <c r="AH48">
        <v>410</v>
      </c>
      <c r="AI48" s="6">
        <f>knicks_players_all_stats[[#This Row],[BLKPG]]+knicks_players_all_stats[[#This Row],[STLPG]]+knicks_players_all_stats[[#This Row],[REBPG]]</f>
        <v>9.8148148148148149</v>
      </c>
      <c r="AJ48" s="2">
        <f>knicks_players_all_stats[[#This Row],[TOV2]]/10</f>
        <v>41</v>
      </c>
      <c r="AK48" s="6">
        <f>knicks_players_all_stats[[#This Row],[TOV]]/knicks_players_all_stats[[#This Row],[GP]]</f>
        <v>1.5185185185185186</v>
      </c>
      <c r="AL48" s="2">
        <v>82</v>
      </c>
      <c r="AM48" s="2">
        <f>knicks_players_all_stats[[#This Row],[PF]]/knicks_players_all_stats[[#This Row],[GP]]</f>
        <v>3.0370370370370372</v>
      </c>
      <c r="AN48" s="2">
        <v>247</v>
      </c>
      <c r="AO48" s="6">
        <f>knicks_players_all_stats[[#This Row],[PTS]]/knicks_players_all_stats[[#This Row],[GP]]</f>
        <v>9.1481481481481488</v>
      </c>
    </row>
    <row r="49" spans="1:41" x14ac:dyDescent="0.3">
      <c r="A49" s="3" t="s">
        <v>1792</v>
      </c>
      <c r="B49" s="3" t="s">
        <v>1293</v>
      </c>
      <c r="C49" s="3" t="str">
        <f>knicks_players_all_stats[[#This Row],[NAME]]&amp;" ("&amp;knicks_players_all_stats[[#This Row],[SEASON]]&amp;")"</f>
        <v>Tim Thomas (2003-04)</v>
      </c>
      <c r="D49" s="3">
        <f>knicks_players_all_stats[[#This Row],[PLAYER_AGE]]/10</f>
        <v>27</v>
      </c>
      <c r="E49">
        <v>270</v>
      </c>
      <c r="F49" s="2">
        <v>24</v>
      </c>
      <c r="G49" s="2">
        <v>7460</v>
      </c>
      <c r="H4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260</v>
      </c>
      <c r="I49" s="6">
        <f>knicks_players_all_stats[[#This Row],[VALORATION]]/knicks_players_all_stats[[#This Row],[GP]]</f>
        <v>10.833333333333334</v>
      </c>
      <c r="J49" s="2">
        <v>137</v>
      </c>
      <c r="K49" s="2">
        <v>303</v>
      </c>
      <c r="L49" s="2">
        <v>452</v>
      </c>
      <c r="M49" s="2">
        <v>260</v>
      </c>
      <c r="N49" s="2">
        <v>640</v>
      </c>
      <c r="O49" s="4">
        <f>knicks_players_all_stats[[#This Row],[FG3M]]/knicks_players_all_stats[[#This Row],[FG3A]]</f>
        <v>0.40625</v>
      </c>
      <c r="P49" s="2">
        <v>78</v>
      </c>
      <c r="Q49" s="2">
        <v>96</v>
      </c>
      <c r="R49" s="5">
        <f>knicks_players_all_stats[[#This Row],[FTM]]/knicks_players_all_stats[[#This Row],[FTA]]</f>
        <v>0.8125</v>
      </c>
      <c r="S49" s="2">
        <f>knicks_players_all_stats[[#This Row],[OREB22]]/10</f>
        <v>26</v>
      </c>
      <c r="T49" s="2">
        <f>knicks_players_all_stats[[#This Row],[DREB33]]/10</f>
        <v>89</v>
      </c>
      <c r="U49" s="2">
        <f>knicks_players_all_stats[[#This Row],[REB44]]/10</f>
        <v>115</v>
      </c>
      <c r="V49">
        <v>260</v>
      </c>
      <c r="W49">
        <v>890</v>
      </c>
      <c r="X49">
        <v>1150</v>
      </c>
      <c r="Y49" s="22">
        <f>knicks_players_all_stats[[#This Row],[REB]]/knicks_players_all_stats[[#This Row],[GP]]</f>
        <v>4.791666666666667</v>
      </c>
      <c r="Z49" s="2">
        <v>34</v>
      </c>
      <c r="AA49" s="6">
        <f>knicks_players_all_stats[[#This Row],[AST]]/knicks_players_all_stats[[#This Row],[GP]]</f>
        <v>1.4166666666666667</v>
      </c>
      <c r="AB49" s="2">
        <f>knicks_players_all_stats[[#This Row],[STL2]]/10</f>
        <v>24</v>
      </c>
      <c r="AC49" s="2">
        <v>240</v>
      </c>
      <c r="AD49" s="6">
        <f>knicks_players_all_stats[[#This Row],[STL]]/knicks_players_all_stats[[#This Row],[GP]]</f>
        <v>1</v>
      </c>
      <c r="AE49">
        <v>50</v>
      </c>
      <c r="AF49" s="2">
        <f>knicks_players_all_stats[[#This Row],[BLK2]]/10</f>
        <v>5</v>
      </c>
      <c r="AG49" s="6">
        <f>knicks_players_all_stats[[#This Row],[BLK]]/knicks_players_all_stats[[#This Row],[GP]]</f>
        <v>0.20833333333333334</v>
      </c>
      <c r="AH49">
        <v>430</v>
      </c>
      <c r="AI49" s="6">
        <f>knicks_players_all_stats[[#This Row],[BLKPG]]+knicks_players_all_stats[[#This Row],[STLPG]]+knicks_players_all_stats[[#This Row],[REBPG]]</f>
        <v>6</v>
      </c>
      <c r="AJ49" s="2">
        <f>knicks_players_all_stats[[#This Row],[TOV2]]/10</f>
        <v>43</v>
      </c>
      <c r="AK49" s="6">
        <f>knicks_players_all_stats[[#This Row],[TOV]]/knicks_players_all_stats[[#This Row],[GP]]</f>
        <v>1.7916666666666667</v>
      </c>
      <c r="AL49" s="2">
        <v>69</v>
      </c>
      <c r="AM49" s="2">
        <f>knicks_players_all_stats[[#This Row],[PF]]/knicks_players_all_stats[[#This Row],[GP]]</f>
        <v>2.875</v>
      </c>
      <c r="AN49" s="2">
        <v>378</v>
      </c>
      <c r="AO49" s="6">
        <f>knicks_players_all_stats[[#This Row],[PTS]]/knicks_players_all_stats[[#This Row],[GP]]</f>
        <v>15.75</v>
      </c>
    </row>
    <row r="50" spans="1:41" x14ac:dyDescent="0.3">
      <c r="A50" s="3" t="s">
        <v>1463</v>
      </c>
      <c r="B50" s="3" t="s">
        <v>1293</v>
      </c>
      <c r="C50" s="3" t="str">
        <f>knicks_players_all_stats[[#This Row],[NAME]]&amp;" ("&amp;knicks_players_all_stats[[#This Row],[SEASON]]&amp;")"</f>
        <v>Allan Houston (2003-04)</v>
      </c>
      <c r="D50" s="3">
        <f>knicks_players_all_stats[[#This Row],[PLAYER_AGE]]/10</f>
        <v>33</v>
      </c>
      <c r="E50">
        <v>330</v>
      </c>
      <c r="F50" s="2">
        <v>50</v>
      </c>
      <c r="G50" s="2">
        <v>17970</v>
      </c>
      <c r="H5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521</v>
      </c>
      <c r="I50" s="6">
        <f>knicks_players_all_stats[[#This Row],[VALORATION]]/knicks_players_all_stats[[#This Row],[GP]]</f>
        <v>10.42</v>
      </c>
      <c r="J50" s="2">
        <v>340</v>
      </c>
      <c r="K50" s="2">
        <v>781</v>
      </c>
      <c r="L50" s="4">
        <f>knicks_players_all_stats[[#This Row],[FGM]]/knicks_players_all_stats[[#This Row],[FGA]]</f>
        <v>0.4353393085787452</v>
      </c>
      <c r="M50" s="2">
        <v>870</v>
      </c>
      <c r="N50" s="2">
        <v>2020</v>
      </c>
      <c r="O50" s="4">
        <f>knicks_players_all_stats[[#This Row],[FG3M]]/knicks_players_all_stats[[#This Row],[FG3A]]</f>
        <v>0.43069306930693069</v>
      </c>
      <c r="P50" s="2">
        <v>157</v>
      </c>
      <c r="Q50" s="2">
        <v>172</v>
      </c>
      <c r="R50" s="5">
        <f>knicks_players_all_stats[[#This Row],[FTM]]/knicks_players_all_stats[[#This Row],[FTA]]</f>
        <v>0.91279069767441856</v>
      </c>
      <c r="S50" s="2">
        <f>knicks_players_all_stats[[#This Row],[OREB22]]/10</f>
        <v>20</v>
      </c>
      <c r="T50" s="2">
        <f>knicks_players_all_stats[[#This Row],[DREB33]]/10</f>
        <v>101</v>
      </c>
      <c r="U50" s="2">
        <f>knicks_players_all_stats[[#This Row],[REB44]]/10</f>
        <v>121</v>
      </c>
      <c r="V50">
        <v>200</v>
      </c>
      <c r="W50">
        <v>1010</v>
      </c>
      <c r="X50">
        <v>1210</v>
      </c>
      <c r="Y50" s="22">
        <f>knicks_players_all_stats[[#This Row],[REB]]/knicks_players_all_stats[[#This Row],[GP]]</f>
        <v>2.42</v>
      </c>
      <c r="Z50" s="2">
        <v>99</v>
      </c>
      <c r="AA50" s="6">
        <f>knicks_players_all_stats[[#This Row],[AST]]/knicks_players_all_stats[[#This Row],[GP]]</f>
        <v>1.98</v>
      </c>
      <c r="AB50" s="2">
        <f>knicks_players_all_stats[[#This Row],[STL2]]/10</f>
        <v>38</v>
      </c>
      <c r="AC50" s="2">
        <v>380</v>
      </c>
      <c r="AD50" s="6">
        <f>knicks_players_all_stats[[#This Row],[STL]]/knicks_players_all_stats[[#This Row],[GP]]</f>
        <v>0.76</v>
      </c>
      <c r="AE50">
        <v>20</v>
      </c>
      <c r="AF50" s="2">
        <f>knicks_players_all_stats[[#This Row],[BLK2]]/10</f>
        <v>2</v>
      </c>
      <c r="AG50" s="6">
        <f>knicks_players_all_stats[[#This Row],[BLK]]/knicks_players_all_stats[[#This Row],[GP]]</f>
        <v>0.04</v>
      </c>
      <c r="AH50">
        <v>1020</v>
      </c>
      <c r="AI50" s="6">
        <f>knicks_players_all_stats[[#This Row],[BLKPG]]+knicks_players_all_stats[[#This Row],[STLPG]]+knicks_players_all_stats[[#This Row],[REBPG]]</f>
        <v>3.2199999999999998</v>
      </c>
      <c r="AJ50" s="2">
        <f>knicks_players_all_stats[[#This Row],[TOV2]]/10</f>
        <v>102</v>
      </c>
      <c r="AK50" s="6">
        <f>knicks_players_all_stats[[#This Row],[TOV]]/knicks_players_all_stats[[#This Row],[GP]]</f>
        <v>2.04</v>
      </c>
      <c r="AL50" s="2">
        <v>105</v>
      </c>
      <c r="AM50" s="2">
        <f>knicks_players_all_stats[[#This Row],[PF]]/knicks_players_all_stats[[#This Row],[GP]]</f>
        <v>2.1</v>
      </c>
      <c r="AN50" s="2">
        <v>924</v>
      </c>
      <c r="AO50" s="6">
        <f>knicks_players_all_stats[[#This Row],[PTS]]/knicks_players_all_stats[[#This Row],[GP]]</f>
        <v>18.48</v>
      </c>
    </row>
    <row r="51" spans="1:41" x14ac:dyDescent="0.3">
      <c r="A51" s="3" t="s">
        <v>1822</v>
      </c>
      <c r="B51" s="3" t="s">
        <v>1293</v>
      </c>
      <c r="C51" s="3" t="str">
        <f>knicks_players_all_stats[[#This Row],[NAME]]&amp;" ("&amp;knicks_players_all_stats[[#This Row],[SEASON]]&amp;")"</f>
        <v>Charlie Ward (2003-04)</v>
      </c>
      <c r="D51" s="3">
        <f>knicks_players_all_stats[[#This Row],[PLAYER_AGE]]/10</f>
        <v>33</v>
      </c>
      <c r="E51">
        <v>330</v>
      </c>
      <c r="F51" s="2">
        <v>35</v>
      </c>
      <c r="G51" s="2">
        <v>8280</v>
      </c>
      <c r="H5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333</v>
      </c>
      <c r="I51" s="6">
        <f>knicks_players_all_stats[[#This Row],[VALORATION]]/knicks_players_all_stats[[#This Row],[GP]]</f>
        <v>9.5142857142857142</v>
      </c>
      <c r="J51" s="2">
        <v>115</v>
      </c>
      <c r="K51" s="2">
        <v>260</v>
      </c>
      <c r="L51" s="2">
        <v>442</v>
      </c>
      <c r="M51" s="2">
        <v>590</v>
      </c>
      <c r="N51" s="2">
        <v>1380</v>
      </c>
      <c r="O51" s="4">
        <f>knicks_players_all_stats[[#This Row],[FG3M]]/knicks_players_all_stats[[#This Row],[FG3A]]</f>
        <v>0.42753623188405798</v>
      </c>
      <c r="P51" s="2">
        <v>16</v>
      </c>
      <c r="Q51" s="2">
        <v>21</v>
      </c>
      <c r="R51" s="5">
        <f>knicks_players_all_stats[[#This Row],[FTM]]/knicks_players_all_stats[[#This Row],[FTA]]</f>
        <v>0.76190476190476186</v>
      </c>
      <c r="S51" s="2">
        <f>knicks_players_all_stats[[#This Row],[OREB22]]/10</f>
        <v>10</v>
      </c>
      <c r="T51" s="2">
        <f>knicks_players_all_stats[[#This Row],[DREB33]]/10</f>
        <v>86</v>
      </c>
      <c r="U51" s="2">
        <f>knicks_players_all_stats[[#This Row],[REB44]]/10</f>
        <v>96</v>
      </c>
      <c r="V51">
        <v>100</v>
      </c>
      <c r="W51">
        <v>860</v>
      </c>
      <c r="X51">
        <v>960</v>
      </c>
      <c r="Y51" s="22">
        <f>knicks_players_all_stats[[#This Row],[REB]]/knicks_players_all_stats[[#This Row],[GP]]</f>
        <v>2.7428571428571429</v>
      </c>
      <c r="Z51" s="2">
        <v>170</v>
      </c>
      <c r="AA51" s="6">
        <f>knicks_players_all_stats[[#This Row],[AST]]/knicks_players_all_stats[[#This Row],[GP]]</f>
        <v>4.8571428571428568</v>
      </c>
      <c r="AB51" s="2">
        <f>knicks_players_all_stats[[#This Row],[STL2]]/10</f>
        <v>47</v>
      </c>
      <c r="AC51" s="2">
        <v>470</v>
      </c>
      <c r="AD51" s="6">
        <f>knicks_players_all_stats[[#This Row],[STL]]/knicks_players_all_stats[[#This Row],[GP]]</f>
        <v>1.3428571428571427</v>
      </c>
      <c r="AE51">
        <v>80</v>
      </c>
      <c r="AF51" s="2">
        <f>knicks_players_all_stats[[#This Row],[BLK2]]/10</f>
        <v>8</v>
      </c>
      <c r="AG51" s="6">
        <f>knicks_players_all_stats[[#This Row],[BLK]]/knicks_players_all_stats[[#This Row],[GP]]</f>
        <v>0.22857142857142856</v>
      </c>
      <c r="AH51">
        <v>690</v>
      </c>
      <c r="AI51" s="6">
        <f>knicks_players_all_stats[[#This Row],[BLKPG]]+knicks_players_all_stats[[#This Row],[STLPG]]+knicks_players_all_stats[[#This Row],[REBPG]]</f>
        <v>4.3142857142857141</v>
      </c>
      <c r="AJ51" s="2">
        <f>knicks_players_all_stats[[#This Row],[TOV2]]/10</f>
        <v>69</v>
      </c>
      <c r="AK51" s="6">
        <f>knicks_players_all_stats[[#This Row],[TOV]]/knicks_players_all_stats[[#This Row],[GP]]</f>
        <v>1.9714285714285715</v>
      </c>
      <c r="AL51" s="2">
        <v>74</v>
      </c>
      <c r="AM51" s="2">
        <f>knicks_players_all_stats[[#This Row],[PF]]/knicks_players_all_stats[[#This Row],[GP]]</f>
        <v>2.1142857142857143</v>
      </c>
      <c r="AN51" s="2">
        <v>305</v>
      </c>
      <c r="AO51" s="6">
        <f>knicks_players_all_stats[[#This Row],[PTS]]/knicks_players_all_stats[[#This Row],[GP]]</f>
        <v>8.7142857142857135</v>
      </c>
    </row>
    <row r="52" spans="1:41" x14ac:dyDescent="0.3">
      <c r="A52" s="3" t="s">
        <v>1334</v>
      </c>
      <c r="B52" s="3" t="s">
        <v>1293</v>
      </c>
      <c r="C52" s="3" t="str">
        <f>knicks_players_all_stats[[#This Row],[NAME]]&amp;" ("&amp;knicks_players_all_stats[[#This Row],[SEASON]]&amp;")"</f>
        <v>Dikembe Mutombo (2003-04)</v>
      </c>
      <c r="D52" s="3">
        <f>knicks_players_all_stats[[#This Row],[PLAYER_AGE]]/10</f>
        <v>38</v>
      </c>
      <c r="E52">
        <v>380</v>
      </c>
      <c r="F52" s="2">
        <v>65</v>
      </c>
      <c r="G52" s="2">
        <v>14970</v>
      </c>
      <c r="H5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578</v>
      </c>
      <c r="I52" s="6">
        <f>knicks_players_all_stats[[#This Row],[VALORATION]]/knicks_players_all_stats[[#This Row],[GP]]</f>
        <v>8.8923076923076927</v>
      </c>
      <c r="J52" s="2">
        <v>141</v>
      </c>
      <c r="K52" s="2">
        <v>295</v>
      </c>
      <c r="L52" s="4">
        <f>knicks_players_all_stats[[#This Row],[FGM]]/knicks_players_all_stats[[#This Row],[FGA]]</f>
        <v>0.47796610169491527</v>
      </c>
      <c r="M52" s="2">
        <v>0</v>
      </c>
      <c r="N52" s="2">
        <v>0</v>
      </c>
      <c r="O52" s="4" t="e">
        <f>knicks_players_all_stats[[#This Row],[FG3M]]/knicks_players_all_stats[[#This Row],[FG3A]]</f>
        <v>#DIV/0!</v>
      </c>
      <c r="P52" s="2">
        <v>81</v>
      </c>
      <c r="Q52" s="2">
        <v>119</v>
      </c>
      <c r="R52" s="5">
        <f>knicks_players_all_stats[[#This Row],[FTM]]/knicks_players_all_stats[[#This Row],[FTA]]</f>
        <v>0.68067226890756305</v>
      </c>
      <c r="S52" s="2">
        <f>knicks_players_all_stats[[#This Row],[OREB22]]/10</f>
        <v>145</v>
      </c>
      <c r="T52" s="2">
        <f>knicks_players_all_stats[[#This Row],[DREB33]]/10</f>
        <v>292</v>
      </c>
      <c r="U52" s="2">
        <f>knicks_players_all_stats[[#This Row],[REB44]]/10</f>
        <v>437</v>
      </c>
      <c r="V52">
        <v>1450</v>
      </c>
      <c r="W52">
        <v>2920</v>
      </c>
      <c r="X52">
        <v>4370</v>
      </c>
      <c r="Y52" s="22">
        <f>knicks_players_all_stats[[#This Row],[REB]]/knicks_players_all_stats[[#This Row],[GP]]</f>
        <v>6.7230769230769232</v>
      </c>
      <c r="Z52" s="2">
        <v>25</v>
      </c>
      <c r="AA52" s="6">
        <f>knicks_players_all_stats[[#This Row],[AST]]/knicks_players_all_stats[[#This Row],[GP]]</f>
        <v>0.38461538461538464</v>
      </c>
      <c r="AB52" s="2">
        <f>knicks_players_all_stats[[#This Row],[STL2]]/10</f>
        <v>17</v>
      </c>
      <c r="AC52" s="2">
        <v>170</v>
      </c>
      <c r="AD52" s="6">
        <f>knicks_players_all_stats[[#This Row],[STL]]/knicks_players_all_stats[[#This Row],[GP]]</f>
        <v>0.26153846153846155</v>
      </c>
      <c r="AE52">
        <v>1230</v>
      </c>
      <c r="AF52" s="2">
        <f>knicks_players_all_stats[[#This Row],[BLK2]]/10</f>
        <v>123</v>
      </c>
      <c r="AG52" s="6">
        <f>knicks_players_all_stats[[#This Row],[BLK]]/knicks_players_all_stats[[#This Row],[GP]]</f>
        <v>1.8923076923076922</v>
      </c>
      <c r="AH52">
        <v>540</v>
      </c>
      <c r="AI52" s="6">
        <f>knicks_players_all_stats[[#This Row],[BLKPG]]+knicks_players_all_stats[[#This Row],[STLPG]]+knicks_players_all_stats[[#This Row],[REBPG]]</f>
        <v>8.8769230769230774</v>
      </c>
      <c r="AJ52" s="2">
        <f>knicks_players_all_stats[[#This Row],[TOV2]]/10</f>
        <v>54</v>
      </c>
      <c r="AK52" s="6">
        <f>knicks_players_all_stats[[#This Row],[TOV]]/knicks_players_all_stats[[#This Row],[GP]]</f>
        <v>0.83076923076923082</v>
      </c>
      <c r="AL52" s="2">
        <v>141</v>
      </c>
      <c r="AM52" s="2">
        <f>knicks_players_all_stats[[#This Row],[PF]]/knicks_players_all_stats[[#This Row],[GP]]</f>
        <v>2.1692307692307691</v>
      </c>
      <c r="AN52" s="2">
        <v>363</v>
      </c>
      <c r="AO52" s="6">
        <f>knicks_players_all_stats[[#This Row],[PTS]]/knicks_players_all_stats[[#This Row],[GP]]</f>
        <v>5.5846153846153843</v>
      </c>
    </row>
    <row r="53" spans="1:41" x14ac:dyDescent="0.3">
      <c r="A53" s="3" t="s">
        <v>1426</v>
      </c>
      <c r="B53" s="3" t="s">
        <v>1293</v>
      </c>
      <c r="C53" s="3" t="str">
        <f>knicks_players_all_stats[[#This Row],[NAME]]&amp;" ("&amp;knicks_players_all_stats[[#This Row],[SEASON]]&amp;")"</f>
        <v>Antonio McDyess (2003-04)</v>
      </c>
      <c r="D53" s="3">
        <f>knicks_players_all_stats[[#This Row],[PLAYER_AGE]]/10</f>
        <v>29</v>
      </c>
      <c r="E53">
        <v>290</v>
      </c>
      <c r="F53" s="2">
        <v>18</v>
      </c>
      <c r="G53" s="2">
        <v>4220</v>
      </c>
      <c r="H5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148</v>
      </c>
      <c r="I53" s="6">
        <f>knicks_players_all_stats[[#This Row],[VALORATION]]/knicks_players_all_stats[[#This Row],[GP]]</f>
        <v>8.2222222222222214</v>
      </c>
      <c r="J53" s="2">
        <v>65</v>
      </c>
      <c r="K53" s="2">
        <v>142</v>
      </c>
      <c r="L53" s="4">
        <f>knicks_players_all_stats[[#This Row],[FGM]]/knicks_players_all_stats[[#This Row],[FGA]]</f>
        <v>0.45774647887323944</v>
      </c>
      <c r="M53" s="2">
        <v>0</v>
      </c>
      <c r="N53" s="2">
        <v>0</v>
      </c>
      <c r="O53" s="4" t="e">
        <f>knicks_players_all_stats[[#This Row],[FG3M]]/knicks_players_all_stats[[#This Row],[FG3A]]</f>
        <v>#DIV/0!</v>
      </c>
      <c r="P53" s="2">
        <v>22</v>
      </c>
      <c r="Q53" s="2">
        <v>38</v>
      </c>
      <c r="R53" s="5">
        <f>knicks_players_all_stats[[#This Row],[FTM]]/knicks_players_all_stats[[#This Row],[FTA]]</f>
        <v>0.57894736842105265</v>
      </c>
      <c r="S53" s="2">
        <f>knicks_players_all_stats[[#This Row],[OREB22]]/10</f>
        <v>31</v>
      </c>
      <c r="T53" s="2">
        <f>knicks_players_all_stats[[#This Row],[DREB33]]/10</f>
        <v>88</v>
      </c>
      <c r="U53" s="2">
        <f>knicks_players_all_stats[[#This Row],[REB44]]/10</f>
        <v>119</v>
      </c>
      <c r="V53">
        <v>310</v>
      </c>
      <c r="W53">
        <v>880</v>
      </c>
      <c r="X53">
        <v>1190</v>
      </c>
      <c r="Y53" s="22">
        <f>knicks_players_all_stats[[#This Row],[REB]]/knicks_players_all_stats[[#This Row],[GP]]</f>
        <v>6.6111111111111107</v>
      </c>
      <c r="Z53" s="2">
        <v>20</v>
      </c>
      <c r="AA53" s="6">
        <f>knicks_players_all_stats[[#This Row],[AST]]/knicks_players_all_stats[[#This Row],[GP]]</f>
        <v>1.1111111111111112</v>
      </c>
      <c r="AB53" s="2">
        <f>knicks_players_all_stats[[#This Row],[STL2]]/10</f>
        <v>12</v>
      </c>
      <c r="AC53" s="2">
        <v>120</v>
      </c>
      <c r="AD53" s="6">
        <f>knicks_players_all_stats[[#This Row],[STL]]/knicks_players_all_stats[[#This Row],[GP]]</f>
        <v>0.66666666666666663</v>
      </c>
      <c r="AE53">
        <v>110</v>
      </c>
      <c r="AF53" s="2">
        <f>knicks_players_all_stats[[#This Row],[BLK2]]/10</f>
        <v>11</v>
      </c>
      <c r="AG53" s="6">
        <f>knicks_players_all_stats[[#This Row],[BLK]]/knicks_players_all_stats[[#This Row],[GP]]</f>
        <v>0.61111111111111116</v>
      </c>
      <c r="AH53">
        <v>270</v>
      </c>
      <c r="AI53" s="6">
        <f>knicks_players_all_stats[[#This Row],[BLKPG]]+knicks_players_all_stats[[#This Row],[STLPG]]+knicks_players_all_stats[[#This Row],[REBPG]]</f>
        <v>7.8888888888888884</v>
      </c>
      <c r="AJ53" s="2">
        <f>knicks_players_all_stats[[#This Row],[TOV2]]/10</f>
        <v>27</v>
      </c>
      <c r="AK53" s="6">
        <f>knicks_players_all_stats[[#This Row],[TOV]]/knicks_players_all_stats[[#This Row],[GP]]</f>
        <v>1.5</v>
      </c>
      <c r="AL53" s="2">
        <v>46</v>
      </c>
      <c r="AM53" s="2">
        <f>knicks_players_all_stats[[#This Row],[PF]]/knicks_players_all_stats[[#This Row],[GP]]</f>
        <v>2.5555555555555554</v>
      </c>
      <c r="AN53" s="2">
        <v>152</v>
      </c>
      <c r="AO53" s="6">
        <f>knicks_players_all_stats[[#This Row],[PTS]]/knicks_players_all_stats[[#This Row],[GP]]</f>
        <v>8.4444444444444446</v>
      </c>
    </row>
    <row r="54" spans="1:41" x14ac:dyDescent="0.3">
      <c r="A54" s="3" t="s">
        <v>1612</v>
      </c>
      <c r="B54" s="3" t="s">
        <v>1293</v>
      </c>
      <c r="C54" s="3" t="str">
        <f>knicks_players_all_stats[[#This Row],[NAME]]&amp;" ("&amp;knicks_players_all_stats[[#This Row],[SEASON]]&amp;")"</f>
        <v>Anfernee Hardaway (2003-04)</v>
      </c>
      <c r="D54" s="3">
        <f>knicks_players_all_stats[[#This Row],[PLAYER_AGE]]/10</f>
        <v>32</v>
      </c>
      <c r="E54">
        <v>320</v>
      </c>
      <c r="F54" s="2">
        <v>42</v>
      </c>
      <c r="G54" s="2">
        <v>12190</v>
      </c>
      <c r="H5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310</v>
      </c>
      <c r="I54" s="6">
        <f>knicks_players_all_stats[[#This Row],[VALORATION]]/knicks_players_all_stats[[#This Row],[GP]]</f>
        <v>7.3809523809523814</v>
      </c>
      <c r="J54" s="2">
        <v>159</v>
      </c>
      <c r="K54" s="2">
        <v>408</v>
      </c>
      <c r="L54" s="4">
        <f>knicks_players_all_stats[[#This Row],[FGM]]/knicks_players_all_stats[[#This Row],[FGA]]</f>
        <v>0.38970588235294118</v>
      </c>
      <c r="M54" s="2">
        <v>160</v>
      </c>
      <c r="N54" s="2">
        <v>440</v>
      </c>
      <c r="O54" s="4">
        <f>knicks_players_all_stats[[#This Row],[FG3M]]/knicks_players_all_stats[[#This Row],[FG3A]]</f>
        <v>0.36363636363636365</v>
      </c>
      <c r="P54" s="2">
        <v>69</v>
      </c>
      <c r="Q54" s="2">
        <v>89</v>
      </c>
      <c r="R54" s="5">
        <f>knicks_players_all_stats[[#This Row],[FTM]]/knicks_players_all_stats[[#This Row],[FTA]]</f>
        <v>0.7752808988764045</v>
      </c>
      <c r="S54" s="2">
        <f>knicks_players_all_stats[[#This Row],[OREB22]]/10</f>
        <v>42</v>
      </c>
      <c r="T54" s="2">
        <f>knicks_players_all_stats[[#This Row],[DREB33]]/10</f>
        <v>147</v>
      </c>
      <c r="U54" s="2">
        <f>knicks_players_all_stats[[#This Row],[REB44]]/10</f>
        <v>189</v>
      </c>
      <c r="V54">
        <v>420</v>
      </c>
      <c r="W54">
        <v>1470</v>
      </c>
      <c r="X54">
        <v>1890</v>
      </c>
      <c r="Y54" s="22">
        <f>knicks_players_all_stats[[#This Row],[REB]]/knicks_players_all_stats[[#This Row],[GP]]</f>
        <v>4.5</v>
      </c>
      <c r="Z54" s="2">
        <v>79</v>
      </c>
      <c r="AA54" s="6">
        <f>knicks_players_all_stats[[#This Row],[AST]]/knicks_players_all_stats[[#This Row],[GP]]</f>
        <v>1.8809523809523809</v>
      </c>
      <c r="AB54" s="2">
        <f>knicks_players_all_stats[[#This Row],[STL2]]/10</f>
        <v>42</v>
      </c>
      <c r="AC54" s="2">
        <v>420</v>
      </c>
      <c r="AD54" s="6">
        <f>knicks_players_all_stats[[#This Row],[STL]]/knicks_players_all_stats[[#This Row],[GP]]</f>
        <v>1</v>
      </c>
      <c r="AE54">
        <v>120</v>
      </c>
      <c r="AF54" s="2">
        <f>knicks_players_all_stats[[#This Row],[BLK2]]/10</f>
        <v>12</v>
      </c>
      <c r="AG54" s="6">
        <f>knicks_players_all_stats[[#This Row],[BLK]]/knicks_players_all_stats[[#This Row],[GP]]</f>
        <v>0.2857142857142857</v>
      </c>
      <c r="AH54">
        <v>650</v>
      </c>
      <c r="AI54" s="6">
        <f>knicks_players_all_stats[[#This Row],[BLKPG]]+knicks_players_all_stats[[#This Row],[STLPG]]+knicks_players_all_stats[[#This Row],[REBPG]]</f>
        <v>5.7857142857142856</v>
      </c>
      <c r="AJ54" s="2">
        <f>knicks_players_all_stats[[#This Row],[TOV2]]/10</f>
        <v>65</v>
      </c>
      <c r="AK54" s="6">
        <f>knicks_players_all_stats[[#This Row],[TOV]]/knicks_players_all_stats[[#This Row],[GP]]</f>
        <v>1.5476190476190477</v>
      </c>
      <c r="AL54" s="2">
        <v>81</v>
      </c>
      <c r="AM54" s="2">
        <f>knicks_players_all_stats[[#This Row],[PF]]/knicks_players_all_stats[[#This Row],[GP]]</f>
        <v>1.9285714285714286</v>
      </c>
      <c r="AN54" s="2">
        <v>403</v>
      </c>
      <c r="AO54" s="6">
        <f>knicks_players_all_stats[[#This Row],[PTS]]/knicks_players_all_stats[[#This Row],[GP]]</f>
        <v>9.5952380952380949</v>
      </c>
    </row>
    <row r="55" spans="1:41" x14ac:dyDescent="0.3">
      <c r="A55" s="3" t="s">
        <v>1544</v>
      </c>
      <c r="B55" s="3" t="s">
        <v>1293</v>
      </c>
      <c r="C55" s="3" t="str">
        <f>knicks_players_all_stats[[#This Row],[NAME]]&amp;" ("&amp;knicks_players_all_stats[[#This Row],[SEASON]]&amp;")"</f>
        <v>Howard Eisley (2003-04)</v>
      </c>
      <c r="D55" s="3">
        <f>knicks_players_all_stats[[#This Row],[PLAYER_AGE]]/10</f>
        <v>31</v>
      </c>
      <c r="E55">
        <v>310</v>
      </c>
      <c r="F55" s="2">
        <v>33</v>
      </c>
      <c r="G55" s="2">
        <v>7300</v>
      </c>
      <c r="H5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214</v>
      </c>
      <c r="I55" s="6">
        <f>knicks_players_all_stats[[#This Row],[VALORATION]]/knicks_players_all_stats[[#This Row],[GP]]</f>
        <v>6.4848484848484844</v>
      </c>
      <c r="J55" s="2">
        <v>80</v>
      </c>
      <c r="K55" s="2">
        <v>202</v>
      </c>
      <c r="L55" s="4">
        <f>knicks_players_all_stats[[#This Row],[FGM]]/knicks_players_all_stats[[#This Row],[FGA]]</f>
        <v>0.39603960396039606</v>
      </c>
      <c r="M55" s="2">
        <v>280</v>
      </c>
      <c r="N55" s="2">
        <v>850</v>
      </c>
      <c r="O55" s="4">
        <f>knicks_players_all_stats[[#This Row],[FG3M]]/knicks_players_all_stats[[#This Row],[FG3A]]</f>
        <v>0.32941176470588235</v>
      </c>
      <c r="P55" s="2">
        <v>32</v>
      </c>
      <c r="Q55" s="2">
        <v>36</v>
      </c>
      <c r="R55" s="5">
        <f>knicks_players_all_stats[[#This Row],[FTM]]/knicks_players_all_stats[[#This Row],[FTA]]</f>
        <v>0.88888888888888884</v>
      </c>
      <c r="S55" s="2">
        <f>knicks_players_all_stats[[#This Row],[OREB22]]/10</f>
        <v>7</v>
      </c>
      <c r="T55" s="2">
        <f>knicks_players_all_stats[[#This Row],[DREB33]]/10</f>
        <v>59</v>
      </c>
      <c r="U55" s="2">
        <f>knicks_players_all_stats[[#This Row],[REB44]]/10</f>
        <v>66</v>
      </c>
      <c r="V55">
        <v>70</v>
      </c>
      <c r="W55">
        <v>590</v>
      </c>
      <c r="X55">
        <v>660</v>
      </c>
      <c r="Y55" s="22">
        <f>knicks_players_all_stats[[#This Row],[REB]]/knicks_players_all_stats[[#This Row],[GP]]</f>
        <v>2</v>
      </c>
      <c r="Z55" s="2">
        <v>156</v>
      </c>
      <c r="AA55" s="6">
        <f>knicks_players_all_stats[[#This Row],[AST]]/knicks_players_all_stats[[#This Row],[GP]]</f>
        <v>4.7272727272727275</v>
      </c>
      <c r="AB55" s="2">
        <f>knicks_players_all_stats[[#This Row],[STL2]]/10</f>
        <v>30</v>
      </c>
      <c r="AC55" s="2">
        <v>300</v>
      </c>
      <c r="AD55" s="6">
        <f>knicks_players_all_stats[[#This Row],[STL]]/knicks_players_all_stats[[#This Row],[GP]]</f>
        <v>0.90909090909090906</v>
      </c>
      <c r="AE55">
        <v>30</v>
      </c>
      <c r="AF55" s="2">
        <f>knicks_players_all_stats[[#This Row],[BLK2]]/10</f>
        <v>3</v>
      </c>
      <c r="AG55" s="6">
        <f>knicks_players_all_stats[[#This Row],[BLK]]/knicks_players_all_stats[[#This Row],[GP]]</f>
        <v>9.0909090909090912E-2</v>
      </c>
      <c r="AH55">
        <v>500</v>
      </c>
      <c r="AI55" s="6">
        <f>knicks_players_all_stats[[#This Row],[BLKPG]]+knicks_players_all_stats[[#This Row],[STLPG]]+knicks_players_all_stats[[#This Row],[REBPG]]</f>
        <v>3</v>
      </c>
      <c r="AJ55" s="2">
        <f>knicks_players_all_stats[[#This Row],[TOV2]]/10</f>
        <v>50</v>
      </c>
      <c r="AK55" s="6">
        <f>knicks_players_all_stats[[#This Row],[TOV]]/knicks_players_all_stats[[#This Row],[GP]]</f>
        <v>1.5151515151515151</v>
      </c>
      <c r="AL55" s="2">
        <v>85</v>
      </c>
      <c r="AM55" s="2">
        <f>knicks_players_all_stats[[#This Row],[PF]]/knicks_players_all_stats[[#This Row],[GP]]</f>
        <v>2.5757575757575757</v>
      </c>
      <c r="AN55" s="2">
        <v>220</v>
      </c>
      <c r="AO55" s="6">
        <f>knicks_players_all_stats[[#This Row],[PTS]]/knicks_players_all_stats[[#This Row],[GP]]</f>
        <v>6.666666666666667</v>
      </c>
    </row>
    <row r="56" spans="1:41" x14ac:dyDescent="0.3">
      <c r="A56" s="3" t="s">
        <v>1608</v>
      </c>
      <c r="B56" s="3" t="s">
        <v>1293</v>
      </c>
      <c r="C56" s="3" t="str">
        <f>knicks_players_all_stats[[#This Row],[NAME]]&amp;" ("&amp;knicks_players_all_stats[[#This Row],[SEASON]]&amp;")"</f>
        <v>Michael Doleac (2003-04)</v>
      </c>
      <c r="D56" s="3">
        <f>knicks_players_all_stats[[#This Row],[PLAYER_AGE]]/10</f>
        <v>27</v>
      </c>
      <c r="E56">
        <v>270</v>
      </c>
      <c r="F56" s="2">
        <v>46</v>
      </c>
      <c r="G56" s="2">
        <v>6810</v>
      </c>
      <c r="H5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246</v>
      </c>
      <c r="I56" s="6">
        <f>knicks_players_all_stats[[#This Row],[VALORATION]]/knicks_players_all_stats[[#This Row],[GP]]</f>
        <v>5.3478260869565215</v>
      </c>
      <c r="J56" s="2">
        <v>100</v>
      </c>
      <c r="K56" s="2">
        <v>225</v>
      </c>
      <c r="L56" s="4">
        <f>knicks_players_all_stats[[#This Row],[FGM]]/knicks_players_all_stats[[#This Row],[FGA]]</f>
        <v>0.44444444444444442</v>
      </c>
      <c r="M56" s="2">
        <v>0</v>
      </c>
      <c r="N56" s="2">
        <v>0</v>
      </c>
      <c r="O56" s="4" t="e">
        <f>knicks_players_all_stats[[#This Row],[FG3M]]/knicks_players_all_stats[[#This Row],[FG3A]]</f>
        <v>#DIV/0!</v>
      </c>
      <c r="P56" s="2">
        <v>31</v>
      </c>
      <c r="Q56" s="2">
        <v>36</v>
      </c>
      <c r="R56" s="5">
        <f>knicks_players_all_stats[[#This Row],[FTM]]/knicks_players_all_stats[[#This Row],[FTA]]</f>
        <v>0.86111111111111116</v>
      </c>
      <c r="S56" s="2">
        <f>knicks_players_all_stats[[#This Row],[OREB22]]/10</f>
        <v>60</v>
      </c>
      <c r="T56" s="2">
        <f>knicks_players_all_stats[[#This Row],[DREB33]]/10</f>
        <v>129</v>
      </c>
      <c r="U56" s="2">
        <f>knicks_players_all_stats[[#This Row],[REB44]]/10</f>
        <v>189</v>
      </c>
      <c r="V56">
        <v>600</v>
      </c>
      <c r="W56">
        <v>1290</v>
      </c>
      <c r="X56">
        <v>1890</v>
      </c>
      <c r="Y56" s="22">
        <f>knicks_players_all_stats[[#This Row],[REB]]/knicks_players_all_stats[[#This Row],[GP]]</f>
        <v>4.1086956521739131</v>
      </c>
      <c r="Z56" s="2">
        <v>30</v>
      </c>
      <c r="AA56" s="6">
        <f>knicks_players_all_stats[[#This Row],[AST]]/knicks_players_all_stats[[#This Row],[GP]]</f>
        <v>0.65217391304347827</v>
      </c>
      <c r="AB56" s="2">
        <f>knicks_players_all_stats[[#This Row],[STL2]]/10</f>
        <v>17</v>
      </c>
      <c r="AC56" s="2">
        <v>170</v>
      </c>
      <c r="AD56" s="6">
        <f>knicks_players_all_stats[[#This Row],[STL]]/knicks_players_all_stats[[#This Row],[GP]]</f>
        <v>0.36956521739130432</v>
      </c>
      <c r="AE56">
        <v>300</v>
      </c>
      <c r="AF56" s="2">
        <f>knicks_players_all_stats[[#This Row],[BLK2]]/10</f>
        <v>30</v>
      </c>
      <c r="AG56" s="6">
        <f>knicks_players_all_stats[[#This Row],[BLK]]/knicks_players_all_stats[[#This Row],[GP]]</f>
        <v>0.65217391304347827</v>
      </c>
      <c r="AH56">
        <v>370</v>
      </c>
      <c r="AI56" s="6">
        <f>knicks_players_all_stats[[#This Row],[BLKPG]]+knicks_players_all_stats[[#This Row],[STLPG]]+knicks_players_all_stats[[#This Row],[REBPG]]</f>
        <v>5.1304347826086953</v>
      </c>
      <c r="AJ56" s="2">
        <f>knicks_players_all_stats[[#This Row],[TOV2]]/10</f>
        <v>37</v>
      </c>
      <c r="AK56" s="6">
        <f>knicks_players_all_stats[[#This Row],[TOV]]/knicks_players_all_stats[[#This Row],[GP]]</f>
        <v>0.80434782608695654</v>
      </c>
      <c r="AL56" s="2">
        <v>84</v>
      </c>
      <c r="AM56" s="2">
        <f>knicks_players_all_stats[[#This Row],[PF]]/knicks_players_all_stats[[#This Row],[GP]]</f>
        <v>1.826086956521739</v>
      </c>
      <c r="AN56" s="2">
        <v>231</v>
      </c>
      <c r="AO56" s="6">
        <f>knicks_players_all_stats[[#This Row],[PTS]]/knicks_players_all_stats[[#This Row],[GP]]</f>
        <v>5.0217391304347823</v>
      </c>
    </row>
    <row r="57" spans="1:41" x14ac:dyDescent="0.3">
      <c r="A57" s="3" t="s">
        <v>1853</v>
      </c>
      <c r="B57" s="3" t="s">
        <v>1293</v>
      </c>
      <c r="C57" s="3" t="str">
        <f>knicks_players_all_stats[[#This Row],[NAME]]&amp;" ("&amp;knicks_players_all_stats[[#This Row],[SEASON]]&amp;")"</f>
        <v>Clar. Weatherspoon (2003-04)</v>
      </c>
      <c r="D57" s="3">
        <f>knicks_players_all_stats[[#This Row],[PLAYER_AGE]]/10</f>
        <v>33</v>
      </c>
      <c r="E57">
        <v>330</v>
      </c>
      <c r="F57" s="2">
        <v>15</v>
      </c>
      <c r="G57" s="2">
        <v>2180</v>
      </c>
      <c r="H5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76</v>
      </c>
      <c r="I57" s="6">
        <f>knicks_players_all_stats[[#This Row],[VALORATION]]/knicks_players_all_stats[[#This Row],[GP]]</f>
        <v>5.0666666666666664</v>
      </c>
      <c r="J57" s="2">
        <v>18</v>
      </c>
      <c r="K57" s="2">
        <v>40</v>
      </c>
      <c r="L57" s="2">
        <v>45</v>
      </c>
      <c r="M57" s="2">
        <v>0</v>
      </c>
      <c r="N57" s="2">
        <v>0</v>
      </c>
      <c r="O57" s="4" t="e">
        <f>knicks_players_all_stats[[#This Row],[FG3M]]/knicks_players_all_stats[[#This Row],[FG3A]]</f>
        <v>#DIV/0!</v>
      </c>
      <c r="P57" s="2">
        <v>18</v>
      </c>
      <c r="Q57" s="2">
        <v>19</v>
      </c>
      <c r="R57" s="5">
        <f>knicks_players_all_stats[[#This Row],[FTM]]/knicks_players_all_stats[[#This Row],[FTA]]</f>
        <v>0.94736842105263153</v>
      </c>
      <c r="S57" s="2">
        <f>knicks_players_all_stats[[#This Row],[OREB22]]/10</f>
        <v>14</v>
      </c>
      <c r="T57" s="2">
        <f>knicks_players_all_stats[[#This Row],[DREB33]]/10</f>
        <v>36</v>
      </c>
      <c r="U57" s="2">
        <f>knicks_players_all_stats[[#This Row],[REB44]]/10</f>
        <v>50</v>
      </c>
      <c r="V57">
        <v>140</v>
      </c>
      <c r="W57">
        <v>360</v>
      </c>
      <c r="X57">
        <v>500</v>
      </c>
      <c r="Y57" s="22">
        <f>knicks_players_all_stats[[#This Row],[REB]]/knicks_players_all_stats[[#This Row],[GP]]</f>
        <v>3.3333333333333335</v>
      </c>
      <c r="Z57" s="2">
        <v>13</v>
      </c>
      <c r="AA57" s="6">
        <f>knicks_players_all_stats[[#This Row],[AST]]/knicks_players_all_stats[[#This Row],[GP]]</f>
        <v>0.8666666666666667</v>
      </c>
      <c r="AB57" s="2">
        <f>knicks_players_all_stats[[#This Row],[STL2]]/10</f>
        <v>8</v>
      </c>
      <c r="AC57" s="2">
        <v>80</v>
      </c>
      <c r="AD57" s="6">
        <f>knicks_players_all_stats[[#This Row],[STL]]/knicks_players_all_stats[[#This Row],[GP]]</f>
        <v>0.53333333333333333</v>
      </c>
      <c r="AE57">
        <v>20</v>
      </c>
      <c r="AF57" s="2">
        <f>knicks_players_all_stats[[#This Row],[BLK2]]/10</f>
        <v>2</v>
      </c>
      <c r="AG57" s="6">
        <f>knicks_players_all_stats[[#This Row],[BLK]]/knicks_players_all_stats[[#This Row],[GP]]</f>
        <v>0.13333333333333333</v>
      </c>
      <c r="AH57">
        <v>90</v>
      </c>
      <c r="AI57" s="6">
        <f>knicks_players_all_stats[[#This Row],[BLKPG]]+knicks_players_all_stats[[#This Row],[STLPG]]+knicks_players_all_stats[[#This Row],[REBPG]]</f>
        <v>4</v>
      </c>
      <c r="AJ57" s="2">
        <f>knicks_players_all_stats[[#This Row],[TOV2]]/10</f>
        <v>9</v>
      </c>
      <c r="AK57" s="6">
        <f>knicks_players_all_stats[[#This Row],[TOV]]/knicks_players_all_stats[[#This Row],[GP]]</f>
        <v>0.6</v>
      </c>
      <c r="AL57" s="2">
        <v>19</v>
      </c>
      <c r="AM57" s="2">
        <f>knicks_players_all_stats[[#This Row],[PF]]/knicks_players_all_stats[[#This Row],[GP]]</f>
        <v>1.2666666666666666</v>
      </c>
      <c r="AN57" s="2">
        <v>54</v>
      </c>
      <c r="AO57" s="6">
        <f>knicks_players_all_stats[[#This Row],[PTS]]/knicks_players_all_stats[[#This Row],[GP]]</f>
        <v>3.6</v>
      </c>
    </row>
    <row r="58" spans="1:41" x14ac:dyDescent="0.3">
      <c r="A58" s="3" t="s">
        <v>1632</v>
      </c>
      <c r="B58" s="3" t="s">
        <v>1293</v>
      </c>
      <c r="C58" s="3" t="str">
        <f>knicks_players_all_stats[[#This Row],[NAME]]&amp;" ("&amp;knicks_players_all_stats[[#This Row],[SEASON]]&amp;")"</f>
        <v>Shandon Anderson (2003-04)</v>
      </c>
      <c r="D58" s="3">
        <f>knicks_players_all_stats[[#This Row],[PLAYER_AGE]]/10</f>
        <v>30</v>
      </c>
      <c r="E58">
        <v>300</v>
      </c>
      <c r="F58" s="2">
        <v>80</v>
      </c>
      <c r="G58" s="2">
        <v>19720</v>
      </c>
      <c r="H5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400</v>
      </c>
      <c r="I58" s="6">
        <f>knicks_players_all_stats[[#This Row],[VALORATION]]/knicks_players_all_stats[[#This Row],[GP]]</f>
        <v>5</v>
      </c>
      <c r="J58" s="2">
        <v>238</v>
      </c>
      <c r="K58" s="2">
        <v>564</v>
      </c>
      <c r="L58" s="4">
        <f>knicks_players_all_stats[[#This Row],[FGM]]/knicks_players_all_stats[[#This Row],[FGA]]</f>
        <v>0.42198581560283688</v>
      </c>
      <c r="M58" s="2">
        <v>360</v>
      </c>
      <c r="N58" s="2">
        <v>1280</v>
      </c>
      <c r="O58" s="4">
        <f>knicks_players_all_stats[[#This Row],[FG3M]]/knicks_players_all_stats[[#This Row],[FG3A]]</f>
        <v>0.28125</v>
      </c>
      <c r="P58" s="2">
        <v>123</v>
      </c>
      <c r="Q58" s="2">
        <v>161</v>
      </c>
      <c r="R58" s="5">
        <f>knicks_players_all_stats[[#This Row],[FTM]]/knicks_players_all_stats[[#This Row],[FTA]]</f>
        <v>0.7639751552795031</v>
      </c>
      <c r="S58" s="2">
        <f>knicks_players_all_stats[[#This Row],[OREB22]]/10</f>
        <v>53</v>
      </c>
      <c r="T58" s="2">
        <f>knicks_players_all_stats[[#This Row],[DREB33]]/10</f>
        <v>169</v>
      </c>
      <c r="U58" s="2">
        <f>knicks_players_all_stats[[#This Row],[REB44]]/10</f>
        <v>222</v>
      </c>
      <c r="V58">
        <v>530</v>
      </c>
      <c r="W58">
        <v>1690</v>
      </c>
      <c r="X58">
        <v>2220</v>
      </c>
      <c r="Y58" s="22">
        <f>knicks_players_all_stats[[#This Row],[REB]]/knicks_players_all_stats[[#This Row],[GP]]</f>
        <v>2.7749999999999999</v>
      </c>
      <c r="Z58" s="2">
        <v>122</v>
      </c>
      <c r="AA58" s="6">
        <f>knicks_players_all_stats[[#This Row],[AST]]/knicks_players_all_stats[[#This Row],[GP]]</f>
        <v>1.5249999999999999</v>
      </c>
      <c r="AB58" s="2">
        <f>knicks_players_all_stats[[#This Row],[STL2]]/10</f>
        <v>68</v>
      </c>
      <c r="AC58" s="2">
        <v>680</v>
      </c>
      <c r="AD58" s="6">
        <f>knicks_players_all_stats[[#This Row],[STL]]/knicks_players_all_stats[[#This Row],[GP]]</f>
        <v>0.85</v>
      </c>
      <c r="AE58">
        <v>170</v>
      </c>
      <c r="AF58" s="2">
        <f>knicks_players_all_stats[[#This Row],[BLK2]]/10</f>
        <v>17</v>
      </c>
      <c r="AG58" s="6">
        <f>knicks_players_all_stats[[#This Row],[BLK]]/knicks_players_all_stats[[#This Row],[GP]]</f>
        <v>0.21249999999999999</v>
      </c>
      <c r="AH58">
        <v>1180</v>
      </c>
      <c r="AI58" s="6">
        <f>knicks_players_all_stats[[#This Row],[BLKPG]]+knicks_players_all_stats[[#This Row],[STLPG]]+knicks_players_all_stats[[#This Row],[REBPG]]</f>
        <v>3.8374999999999999</v>
      </c>
      <c r="AJ58" s="2">
        <f>knicks_players_all_stats[[#This Row],[TOV2]]/10</f>
        <v>118</v>
      </c>
      <c r="AK58" s="6">
        <f>knicks_players_all_stats[[#This Row],[TOV]]/knicks_players_all_stats[[#This Row],[GP]]</f>
        <v>1.4750000000000001</v>
      </c>
      <c r="AL58" s="2">
        <v>182</v>
      </c>
      <c r="AM58" s="2">
        <f>knicks_players_all_stats[[#This Row],[PF]]/knicks_players_all_stats[[#This Row],[GP]]</f>
        <v>2.2749999999999999</v>
      </c>
      <c r="AN58" s="2">
        <v>635</v>
      </c>
      <c r="AO58" s="6">
        <f>knicks_players_all_stats[[#This Row],[PTS]]/knicks_players_all_stats[[#This Row],[GP]]</f>
        <v>7.9375</v>
      </c>
    </row>
    <row r="59" spans="1:41" x14ac:dyDescent="0.3">
      <c r="A59" s="3" t="s">
        <v>1786</v>
      </c>
      <c r="B59" s="3" t="s">
        <v>1293</v>
      </c>
      <c r="C59" s="3" t="str">
        <f>knicks_players_all_stats[[#This Row],[NAME]]&amp;" ("&amp;knicks_players_all_stats[[#This Row],[SEASON]]&amp;")"</f>
        <v>Michael Sweetney (2003-04)</v>
      </c>
      <c r="D59" s="3">
        <f>knicks_players_all_stats[[#This Row],[PLAYER_AGE]]/10</f>
        <v>21</v>
      </c>
      <c r="E59">
        <v>210</v>
      </c>
      <c r="F59" s="2">
        <v>42</v>
      </c>
      <c r="G59" s="2">
        <v>4950</v>
      </c>
      <c r="H5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205</v>
      </c>
      <c r="I59" s="6">
        <f>knicks_players_all_stats[[#This Row],[VALORATION]]/knicks_players_all_stats[[#This Row],[GP]]</f>
        <v>4.8809523809523814</v>
      </c>
      <c r="J59" s="2">
        <v>69</v>
      </c>
      <c r="K59" s="2">
        <v>140</v>
      </c>
      <c r="L59" s="2">
        <v>493</v>
      </c>
      <c r="M59" s="2">
        <v>0</v>
      </c>
      <c r="N59" s="2">
        <v>10</v>
      </c>
      <c r="O59" s="4">
        <f>knicks_players_all_stats[[#This Row],[FG3M]]/knicks_players_all_stats[[#This Row],[FG3A]]</f>
        <v>0</v>
      </c>
      <c r="P59" s="2">
        <v>42</v>
      </c>
      <c r="Q59" s="2">
        <v>58</v>
      </c>
      <c r="R59" s="5">
        <f>knicks_players_all_stats[[#This Row],[FTM]]/knicks_players_all_stats[[#This Row],[FTA]]</f>
        <v>0.72413793103448276</v>
      </c>
      <c r="S59" s="2">
        <f>knicks_players_all_stats[[#This Row],[OREB22]]/10</f>
        <v>68</v>
      </c>
      <c r="T59" s="2">
        <f>knicks_players_all_stats[[#This Row],[DREB33]]/10</f>
        <v>89</v>
      </c>
      <c r="U59" s="2">
        <f>knicks_players_all_stats[[#This Row],[REB44]]/10</f>
        <v>157</v>
      </c>
      <c r="V59">
        <v>680</v>
      </c>
      <c r="W59">
        <v>890</v>
      </c>
      <c r="X59">
        <v>1570</v>
      </c>
      <c r="Y59" s="22">
        <f>knicks_players_all_stats[[#This Row],[REB]]/knicks_players_all_stats[[#This Row],[GP]]</f>
        <v>3.7380952380952381</v>
      </c>
      <c r="Z59" s="2">
        <v>14</v>
      </c>
      <c r="AA59" s="6">
        <f>knicks_players_all_stats[[#This Row],[AST]]/knicks_players_all_stats[[#This Row],[GP]]</f>
        <v>0.33333333333333331</v>
      </c>
      <c r="AB59" s="2">
        <f>knicks_players_all_stats[[#This Row],[STL2]]/10</f>
        <v>18</v>
      </c>
      <c r="AC59" s="2">
        <v>180</v>
      </c>
      <c r="AD59" s="6">
        <f>knicks_players_all_stats[[#This Row],[STL]]/knicks_players_all_stats[[#This Row],[GP]]</f>
        <v>0.42857142857142855</v>
      </c>
      <c r="AE59">
        <v>120</v>
      </c>
      <c r="AF59" s="2">
        <f>knicks_players_all_stats[[#This Row],[BLK2]]/10</f>
        <v>12</v>
      </c>
      <c r="AG59" s="6">
        <f>knicks_players_all_stats[[#This Row],[BLK]]/knicks_players_all_stats[[#This Row],[GP]]</f>
        <v>0.2857142857142857</v>
      </c>
      <c r="AH59">
        <v>320</v>
      </c>
      <c r="AI59" s="6">
        <f>knicks_players_all_stats[[#This Row],[BLKPG]]+knicks_players_all_stats[[#This Row],[STLPG]]+knicks_players_all_stats[[#This Row],[REBPG]]</f>
        <v>4.4523809523809526</v>
      </c>
      <c r="AJ59" s="2">
        <f>knicks_players_all_stats[[#This Row],[TOV2]]/10</f>
        <v>32</v>
      </c>
      <c r="AK59" s="6">
        <f>knicks_players_all_stats[[#This Row],[TOV]]/knicks_players_all_stats[[#This Row],[GP]]</f>
        <v>0.76190476190476186</v>
      </c>
      <c r="AL59" s="2">
        <v>57</v>
      </c>
      <c r="AM59" s="2">
        <f>knicks_players_all_stats[[#This Row],[PF]]/knicks_players_all_stats[[#This Row],[GP]]</f>
        <v>1.3571428571428572</v>
      </c>
      <c r="AN59" s="2">
        <v>180</v>
      </c>
      <c r="AO59" s="6">
        <f>knicks_players_all_stats[[#This Row],[PTS]]/knicks_players_all_stats[[#This Row],[GP]]</f>
        <v>4.2857142857142856</v>
      </c>
    </row>
    <row r="60" spans="1:41" x14ac:dyDescent="0.3">
      <c r="A60" s="3" t="s">
        <v>1294</v>
      </c>
      <c r="B60" s="3" t="s">
        <v>1293</v>
      </c>
      <c r="C60" s="3" t="str">
        <f>knicks_players_all_stats[[#This Row],[NAME]]&amp;" ("&amp;knicks_players_all_stats[[#This Row],[SEASON]]&amp;")"</f>
        <v>Moochie Norris (2003-04)</v>
      </c>
      <c r="D60" s="3">
        <f>knicks_players_all_stats[[#This Row],[PLAYER_AGE]]/10</f>
        <v>30</v>
      </c>
      <c r="E60">
        <v>300</v>
      </c>
      <c r="F60" s="2">
        <v>36</v>
      </c>
      <c r="G60" s="2">
        <v>4460</v>
      </c>
      <c r="H6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136</v>
      </c>
      <c r="I60" s="6">
        <f>knicks_players_all_stats[[#This Row],[VALORATION]]/knicks_players_all_stats[[#This Row],[GP]]</f>
        <v>3.7777777777777777</v>
      </c>
      <c r="J60" s="2">
        <v>53</v>
      </c>
      <c r="K60" s="2">
        <v>130</v>
      </c>
      <c r="L60" s="4">
        <f>knicks_players_all_stats[[#This Row],[FGM]]/knicks_players_all_stats[[#This Row],[FGA]]</f>
        <v>0.40769230769230769</v>
      </c>
      <c r="M60" s="2">
        <v>120</v>
      </c>
      <c r="N60" s="2">
        <v>350</v>
      </c>
      <c r="O60" s="4">
        <f>knicks_players_all_stats[[#This Row],[FG3M]]/knicks_players_all_stats[[#This Row],[FG3A]]</f>
        <v>0.34285714285714286</v>
      </c>
      <c r="P60" s="2">
        <v>36</v>
      </c>
      <c r="Q60" s="2">
        <v>47</v>
      </c>
      <c r="R60" s="5">
        <f>knicks_players_all_stats[[#This Row],[FTM]]/knicks_players_all_stats[[#This Row],[FTA]]</f>
        <v>0.76595744680851063</v>
      </c>
      <c r="S60" s="2">
        <f>knicks_players_all_stats[[#This Row],[OREB22]]/10</f>
        <v>8</v>
      </c>
      <c r="T60" s="2">
        <f>knicks_players_all_stats[[#This Row],[DREB33]]/10</f>
        <v>27</v>
      </c>
      <c r="U60" s="2">
        <f>knicks_players_all_stats[[#This Row],[REB44]]/10</f>
        <v>35</v>
      </c>
      <c r="V60">
        <v>80</v>
      </c>
      <c r="W60">
        <v>270</v>
      </c>
      <c r="X60">
        <v>350</v>
      </c>
      <c r="Y60" s="22">
        <f>knicks_players_all_stats[[#This Row],[REB]]/knicks_players_all_stats[[#This Row],[GP]]</f>
        <v>0.97222222222222221</v>
      </c>
      <c r="Z60" s="2">
        <v>73</v>
      </c>
      <c r="AA60" s="6">
        <f>knicks_players_all_stats[[#This Row],[AST]]/knicks_players_all_stats[[#This Row],[GP]]</f>
        <v>2.0277777777777777</v>
      </c>
      <c r="AB60" s="2">
        <f>knicks_players_all_stats[[#This Row],[STL2]]/10</f>
        <v>28</v>
      </c>
      <c r="AC60" s="2">
        <v>280</v>
      </c>
      <c r="AD60" s="6">
        <f>knicks_players_all_stats[[#This Row],[STL]]/knicks_players_all_stats[[#This Row],[GP]]</f>
        <v>0.77777777777777779</v>
      </c>
      <c r="AE60">
        <v>30</v>
      </c>
      <c r="AF60" s="2">
        <f>knicks_players_all_stats[[#This Row],[BLK2]]/10</f>
        <v>3</v>
      </c>
      <c r="AG60" s="6">
        <f>knicks_players_all_stats[[#This Row],[BLK]]/knicks_players_all_stats[[#This Row],[GP]]</f>
        <v>8.3333333333333329E-2</v>
      </c>
      <c r="AH60">
        <v>340</v>
      </c>
      <c r="AI60" s="6">
        <f>knicks_players_all_stats[[#This Row],[BLKPG]]+knicks_players_all_stats[[#This Row],[STLPG]]+knicks_players_all_stats[[#This Row],[REBPG]]</f>
        <v>1.8333333333333335</v>
      </c>
      <c r="AJ60" s="2">
        <f>knicks_players_all_stats[[#This Row],[TOV2]]/10</f>
        <v>34</v>
      </c>
      <c r="AK60" s="6">
        <f>knicks_players_all_stats[[#This Row],[TOV]]/knicks_players_all_stats[[#This Row],[GP]]</f>
        <v>0.94444444444444442</v>
      </c>
      <c r="AL60" s="2">
        <v>35</v>
      </c>
      <c r="AM60" s="2">
        <f>knicks_players_all_stats[[#This Row],[PF]]/knicks_players_all_stats[[#This Row],[GP]]</f>
        <v>0.97222222222222221</v>
      </c>
      <c r="AN60" s="2">
        <v>154</v>
      </c>
      <c r="AO60" s="6">
        <f>knicks_players_all_stats[[#This Row],[PTS]]/knicks_players_all_stats[[#This Row],[GP]]</f>
        <v>4.2777777777777777</v>
      </c>
    </row>
    <row r="61" spans="1:41" customFormat="1" x14ac:dyDescent="0.3">
      <c r="A61" s="3" t="s">
        <v>1712</v>
      </c>
      <c r="B61" s="3" t="s">
        <v>1293</v>
      </c>
      <c r="C61" s="3" t="str">
        <f>knicks_players_all_stats[[#This Row],[NAME]]&amp;" ("&amp;knicks_players_all_stats[[#This Row],[SEASON]]&amp;")"</f>
        <v>DerMarr Johnson (2003-04)</v>
      </c>
      <c r="D61" s="3">
        <f>knicks_players_all_stats[[#This Row],[PLAYER_AGE]]/10</f>
        <v>24</v>
      </c>
      <c r="E61">
        <v>240</v>
      </c>
      <c r="F61" s="2">
        <v>21</v>
      </c>
      <c r="G61" s="2">
        <v>2870</v>
      </c>
      <c r="H6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66</v>
      </c>
      <c r="I61" s="6">
        <f>knicks_players_all_stats[[#This Row],[VALORATION]]/knicks_players_all_stats[[#This Row],[GP]]</f>
        <v>3.1428571428571428</v>
      </c>
      <c r="J61" s="2">
        <v>36</v>
      </c>
      <c r="K61" s="2">
        <v>97</v>
      </c>
      <c r="L61" s="2">
        <v>371</v>
      </c>
      <c r="M61" s="2">
        <v>130</v>
      </c>
      <c r="N61" s="2">
        <v>360</v>
      </c>
      <c r="O61" s="4">
        <f>knicks_players_all_stats[[#This Row],[FG3M]]/knicks_players_all_stats[[#This Row],[FG3A]]</f>
        <v>0.3611111111111111</v>
      </c>
      <c r="P61" s="2">
        <v>28</v>
      </c>
      <c r="Q61" s="2">
        <v>31</v>
      </c>
      <c r="R61" s="5">
        <f>knicks_players_all_stats[[#This Row],[FTM]]/knicks_players_all_stats[[#This Row],[FTA]]</f>
        <v>0.90322580645161288</v>
      </c>
      <c r="S61" s="2">
        <f>knicks_players_all_stats[[#This Row],[OREB22]]/10</f>
        <v>5</v>
      </c>
      <c r="T61" s="2">
        <f>knicks_players_all_stats[[#This Row],[DREB33]]/10</f>
        <v>34</v>
      </c>
      <c r="U61" s="2">
        <f>knicks_players_all_stats[[#This Row],[REB44]]/10</f>
        <v>39</v>
      </c>
      <c r="V61">
        <v>50</v>
      </c>
      <c r="W61">
        <v>340</v>
      </c>
      <c r="X61">
        <v>390</v>
      </c>
      <c r="Y61" s="22">
        <f>knicks_players_all_stats[[#This Row],[REB]]/knicks_players_all_stats[[#This Row],[GP]]</f>
        <v>1.8571428571428572</v>
      </c>
      <c r="Z61" s="2">
        <v>11</v>
      </c>
      <c r="AA61" s="6">
        <f>knicks_players_all_stats[[#This Row],[AST]]/knicks_players_all_stats[[#This Row],[GP]]</f>
        <v>0.52380952380952384</v>
      </c>
      <c r="AB61" s="2">
        <f>knicks_players_all_stats[[#This Row],[STL2]]/10</f>
        <v>8</v>
      </c>
      <c r="AC61" s="2">
        <v>80</v>
      </c>
      <c r="AD61" s="6">
        <f>knicks_players_all_stats[[#This Row],[STL]]/knicks_players_all_stats[[#This Row],[GP]]</f>
        <v>0.38095238095238093</v>
      </c>
      <c r="AE61">
        <v>70</v>
      </c>
      <c r="AF61" s="2">
        <f>knicks_players_all_stats[[#This Row],[BLK2]]/10</f>
        <v>7</v>
      </c>
      <c r="AG61" s="6">
        <f>knicks_players_all_stats[[#This Row],[BLK]]/knicks_players_all_stats[[#This Row],[GP]]</f>
        <v>0.33333333333333331</v>
      </c>
      <c r="AH61">
        <v>160</v>
      </c>
      <c r="AI61" s="6">
        <f>knicks_players_all_stats[[#This Row],[BLKPG]]+knicks_players_all_stats[[#This Row],[STLPG]]+knicks_players_all_stats[[#This Row],[REBPG]]</f>
        <v>2.5714285714285712</v>
      </c>
      <c r="AJ61" s="2">
        <f>knicks_players_all_stats[[#This Row],[TOV2]]/10</f>
        <v>16</v>
      </c>
      <c r="AK61" s="6">
        <f>knicks_players_all_stats[[#This Row],[TOV]]/knicks_players_all_stats[[#This Row],[GP]]</f>
        <v>0.76190476190476186</v>
      </c>
      <c r="AL61" s="2">
        <v>32</v>
      </c>
      <c r="AM61" s="2">
        <f>knicks_players_all_stats[[#This Row],[PF]]/knicks_players_all_stats[[#This Row],[GP]]</f>
        <v>1.5238095238095237</v>
      </c>
      <c r="AN61" s="2">
        <v>113</v>
      </c>
      <c r="AO61" s="6">
        <f>knicks_players_all_stats[[#This Row],[PTS]]/knicks_players_all_stats[[#This Row],[GP]]</f>
        <v>5.3809523809523814</v>
      </c>
    </row>
    <row r="62" spans="1:41" customFormat="1" x14ac:dyDescent="0.3">
      <c r="A62" s="3" t="s">
        <v>1388</v>
      </c>
      <c r="B62" s="3" t="s">
        <v>1293</v>
      </c>
      <c r="C62" s="3" t="str">
        <f>knicks_players_all_stats[[#This Row],[NAME]]&amp;" ("&amp;knicks_players_all_stats[[#This Row],[SEASON]]&amp;")"</f>
        <v>Vin Baker (2003-04)</v>
      </c>
      <c r="D62" s="3">
        <f>knicks_players_all_stats[[#This Row],[PLAYER_AGE]]/10</f>
        <v>32</v>
      </c>
      <c r="E62">
        <v>320</v>
      </c>
      <c r="F62" s="2">
        <v>17</v>
      </c>
      <c r="G62" s="2">
        <v>3130</v>
      </c>
      <c r="H6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52</v>
      </c>
      <c r="I62" s="6">
        <f>knicks_players_all_stats[[#This Row],[VALORATION]]/knicks_players_all_stats[[#This Row],[GP]]</f>
        <v>3.0588235294117645</v>
      </c>
      <c r="J62" s="2">
        <v>40</v>
      </c>
      <c r="K62" s="2">
        <v>99</v>
      </c>
      <c r="L62" s="4">
        <f>knicks_players_all_stats[[#This Row],[FGM]]/knicks_players_all_stats[[#This Row],[FGA]]</f>
        <v>0.40404040404040403</v>
      </c>
      <c r="M62" s="2">
        <v>10</v>
      </c>
      <c r="N62" s="2">
        <v>20</v>
      </c>
      <c r="O62" s="4">
        <f>knicks_players_all_stats[[#This Row],[FG3M]]/knicks_players_all_stats[[#This Row],[FG3A]]</f>
        <v>0.5</v>
      </c>
      <c r="P62" s="2">
        <v>32</v>
      </c>
      <c r="Q62" s="2">
        <v>45</v>
      </c>
      <c r="R62" s="5">
        <f>knicks_players_all_stats[[#This Row],[FTM]]/knicks_players_all_stats[[#This Row],[FTA]]</f>
        <v>0.71111111111111114</v>
      </c>
      <c r="S62" s="2">
        <f>knicks_players_all_stats[[#This Row],[OREB22]]/10</f>
        <v>36</v>
      </c>
      <c r="T62" s="2">
        <f>knicks_players_all_stats[[#This Row],[DREB33]]/10</f>
        <v>34</v>
      </c>
      <c r="U62" s="2">
        <f>knicks_players_all_stats[[#This Row],[REB44]]/10</f>
        <v>70</v>
      </c>
      <c r="V62">
        <v>360</v>
      </c>
      <c r="W62">
        <v>340</v>
      </c>
      <c r="X62">
        <v>700</v>
      </c>
      <c r="Y62" s="22">
        <f>knicks_players_all_stats[[#This Row],[REB]]/knicks_players_all_stats[[#This Row],[GP]]</f>
        <v>4.117647058823529</v>
      </c>
      <c r="Z62" s="2">
        <v>12</v>
      </c>
      <c r="AA62" s="6">
        <f>knicks_players_all_stats[[#This Row],[AST]]/knicks_players_all_stats[[#This Row],[GP]]</f>
        <v>0.70588235294117652</v>
      </c>
      <c r="AB62" s="2">
        <f>knicks_players_all_stats[[#This Row],[STL2]]/10</f>
        <v>7</v>
      </c>
      <c r="AC62" s="2">
        <v>70</v>
      </c>
      <c r="AD62" s="6">
        <f>knicks_players_all_stats[[#This Row],[STL]]/knicks_players_all_stats[[#This Row],[GP]]</f>
        <v>0.41176470588235292</v>
      </c>
      <c r="AE62">
        <v>90</v>
      </c>
      <c r="AF62" s="2">
        <f>knicks_players_all_stats[[#This Row],[BLK2]]/10</f>
        <v>9</v>
      </c>
      <c r="AG62" s="6">
        <f>knicks_players_all_stats[[#This Row],[BLK]]/knicks_players_all_stats[[#This Row],[GP]]</f>
        <v>0.52941176470588236</v>
      </c>
      <c r="AH62">
        <v>250</v>
      </c>
      <c r="AI62" s="6">
        <f>knicks_players_all_stats[[#This Row],[BLKPG]]+knicks_players_all_stats[[#This Row],[STLPG]]+knicks_players_all_stats[[#This Row],[REBPG]]</f>
        <v>5.0588235294117645</v>
      </c>
      <c r="AJ62" s="2">
        <f>knicks_players_all_stats[[#This Row],[TOV2]]/10</f>
        <v>25</v>
      </c>
      <c r="AK62" s="6">
        <f>knicks_players_all_stats[[#This Row],[TOV]]/knicks_players_all_stats[[#This Row],[GP]]</f>
        <v>1.4705882352941178</v>
      </c>
      <c r="AL62" s="2">
        <v>62</v>
      </c>
      <c r="AM62" s="2">
        <f>knicks_players_all_stats[[#This Row],[PF]]/knicks_players_all_stats[[#This Row],[GP]]</f>
        <v>3.6470588235294117</v>
      </c>
      <c r="AN62" s="2">
        <v>113</v>
      </c>
      <c r="AO62" s="6">
        <f>knicks_players_all_stats[[#This Row],[PTS]]/knicks_players_all_stats[[#This Row],[GP]]</f>
        <v>6.6470588235294121</v>
      </c>
    </row>
    <row r="63" spans="1:41" customFormat="1" x14ac:dyDescent="0.3">
      <c r="A63" s="3" t="s">
        <v>1566</v>
      </c>
      <c r="B63" s="3" t="s">
        <v>1293</v>
      </c>
      <c r="C63" s="3" t="str">
        <f>knicks_players_all_stats[[#This Row],[NAME]]&amp;" ("&amp;knicks_players_all_stats[[#This Row],[SEASON]]&amp;")"</f>
        <v>Othella Harrington (2003-04)</v>
      </c>
      <c r="D63" s="3">
        <f>knicks_players_all_stats[[#This Row],[PLAYER_AGE]]/10</f>
        <v>30</v>
      </c>
      <c r="E63">
        <v>300</v>
      </c>
      <c r="F63" s="2">
        <v>56</v>
      </c>
      <c r="G63" s="2">
        <v>8710</v>
      </c>
      <c r="H6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169</v>
      </c>
      <c r="I63" s="6">
        <f>knicks_players_all_stats[[#This Row],[VALORATION]]/knicks_players_all_stats[[#This Row],[GP]]</f>
        <v>3.0178571428571428</v>
      </c>
      <c r="J63" s="2">
        <v>100</v>
      </c>
      <c r="K63" s="2">
        <v>202</v>
      </c>
      <c r="L63" s="4">
        <f>knicks_players_all_stats[[#This Row],[FGM]]/knicks_players_all_stats[[#This Row],[FGA]]</f>
        <v>0.49504950495049505</v>
      </c>
      <c r="M63" s="2">
        <v>0</v>
      </c>
      <c r="N63" s="2">
        <v>0</v>
      </c>
      <c r="O63" s="4" t="e">
        <f>knicks_players_all_stats[[#This Row],[FG3M]]/knicks_players_all_stats[[#This Row],[FG3A]]</f>
        <v>#DIV/0!</v>
      </c>
      <c r="P63" s="2">
        <v>58</v>
      </c>
      <c r="Q63" s="2">
        <v>78</v>
      </c>
      <c r="R63" s="5">
        <f>knicks_players_all_stats[[#This Row],[FTM]]/knicks_players_all_stats[[#This Row],[FTA]]</f>
        <v>0.74358974358974361</v>
      </c>
      <c r="S63" s="2">
        <f>knicks_players_all_stats[[#This Row],[OREB22]]/10</f>
        <v>58</v>
      </c>
      <c r="T63" s="2">
        <f>knicks_players_all_stats[[#This Row],[DREB33]]/10</f>
        <v>119</v>
      </c>
      <c r="U63" s="2">
        <f>knicks_players_all_stats[[#This Row],[REB44]]/10</f>
        <v>177</v>
      </c>
      <c r="V63">
        <v>580</v>
      </c>
      <c r="W63">
        <v>1190</v>
      </c>
      <c r="X63">
        <v>1770</v>
      </c>
      <c r="Y63" s="22">
        <f>knicks_players_all_stats[[#This Row],[REB]]/knicks_players_all_stats[[#This Row],[GP]]</f>
        <v>3.1607142857142856</v>
      </c>
      <c r="Z63" s="2">
        <v>29</v>
      </c>
      <c r="AA63" s="6">
        <f>knicks_players_all_stats[[#This Row],[AST]]/knicks_players_all_stats[[#This Row],[GP]]</f>
        <v>0.5178571428571429</v>
      </c>
      <c r="AB63" s="2">
        <f>knicks_players_all_stats[[#This Row],[STL2]]/10</f>
        <v>12</v>
      </c>
      <c r="AC63" s="2">
        <v>120</v>
      </c>
      <c r="AD63" s="6">
        <f>knicks_players_all_stats[[#This Row],[STL]]/knicks_players_all_stats[[#This Row],[GP]]</f>
        <v>0.21428571428571427</v>
      </c>
      <c r="AE63">
        <v>140</v>
      </c>
      <c r="AF63" s="2">
        <f>knicks_players_all_stats[[#This Row],[BLK2]]/10</f>
        <v>14</v>
      </c>
      <c r="AG63" s="6">
        <f>knicks_players_all_stats[[#This Row],[BLK]]/knicks_players_all_stats[[#This Row],[GP]]</f>
        <v>0.25</v>
      </c>
      <c r="AH63">
        <v>650</v>
      </c>
      <c r="AI63" s="6">
        <f>knicks_players_all_stats[[#This Row],[BLKPG]]+knicks_players_all_stats[[#This Row],[STLPG]]+knicks_players_all_stats[[#This Row],[REBPG]]</f>
        <v>3.625</v>
      </c>
      <c r="AJ63" s="2">
        <f>knicks_players_all_stats[[#This Row],[TOV2]]/10</f>
        <v>65</v>
      </c>
      <c r="AK63" s="6">
        <f>knicks_players_all_stats[[#This Row],[TOV]]/knicks_players_all_stats[[#This Row],[GP]]</f>
        <v>1.1607142857142858</v>
      </c>
      <c r="AL63" s="2">
        <v>134</v>
      </c>
      <c r="AM63" s="2">
        <f>knicks_players_all_stats[[#This Row],[PF]]/knicks_players_all_stats[[#This Row],[GP]]</f>
        <v>2.3928571428571428</v>
      </c>
      <c r="AN63" s="2">
        <v>258</v>
      </c>
      <c r="AO63" s="6">
        <f>knicks_players_all_stats[[#This Row],[PTS]]/knicks_players_all_stats[[#This Row],[GP]]</f>
        <v>4.6071428571428568</v>
      </c>
    </row>
    <row r="64" spans="1:41" customFormat="1" x14ac:dyDescent="0.3">
      <c r="A64" s="3" t="s">
        <v>1834</v>
      </c>
      <c r="B64" s="3" t="s">
        <v>1293</v>
      </c>
      <c r="C64" s="3" t="str">
        <f>knicks_players_all_stats[[#This Row],[NAME]]&amp;" ("&amp;knicks_players_all_stats[[#This Row],[SEASON]]&amp;")"</f>
        <v>Frank Williams (2003-04)</v>
      </c>
      <c r="D64" s="3">
        <f>knicks_players_all_stats[[#This Row],[PLAYER_AGE]]/10</f>
        <v>24</v>
      </c>
      <c r="E64">
        <v>240</v>
      </c>
      <c r="F64" s="2">
        <v>56</v>
      </c>
      <c r="G64" s="2">
        <v>7110</v>
      </c>
      <c r="H6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168</v>
      </c>
      <c r="I64" s="6">
        <f>knicks_players_all_stats[[#This Row],[VALORATION]]/knicks_players_all_stats[[#This Row],[GP]]</f>
        <v>3</v>
      </c>
      <c r="J64" s="2">
        <v>80</v>
      </c>
      <c r="K64" s="2">
        <v>208</v>
      </c>
      <c r="L64" s="2">
        <v>385</v>
      </c>
      <c r="M64" s="2">
        <v>180</v>
      </c>
      <c r="N64" s="2">
        <v>600</v>
      </c>
      <c r="O64" s="4">
        <f>knicks_players_all_stats[[#This Row],[FG3M]]/knicks_players_all_stats[[#This Row],[FG3A]]</f>
        <v>0.3</v>
      </c>
      <c r="P64" s="2">
        <v>41</v>
      </c>
      <c r="Q64" s="2">
        <v>48</v>
      </c>
      <c r="R64" s="5">
        <f>knicks_players_all_stats[[#This Row],[FTM]]/knicks_players_all_stats[[#This Row],[FTA]]</f>
        <v>0.85416666666666663</v>
      </c>
      <c r="S64" s="2">
        <f>knicks_players_all_stats[[#This Row],[OREB22]]/10</f>
        <v>8</v>
      </c>
      <c r="T64" s="2">
        <f>knicks_players_all_stats[[#This Row],[DREB33]]/10</f>
        <v>45</v>
      </c>
      <c r="U64" s="2">
        <f>knicks_players_all_stats[[#This Row],[REB44]]/10</f>
        <v>53</v>
      </c>
      <c r="V64">
        <v>80</v>
      </c>
      <c r="W64">
        <v>450</v>
      </c>
      <c r="X64">
        <v>530</v>
      </c>
      <c r="Y64" s="22">
        <f>knicks_players_all_stats[[#This Row],[REB]]/knicks_players_all_stats[[#This Row],[GP]]</f>
        <v>0.9464285714285714</v>
      </c>
      <c r="Z64" s="2">
        <v>121</v>
      </c>
      <c r="AA64" s="6">
        <f>knicks_players_all_stats[[#This Row],[AST]]/knicks_players_all_stats[[#This Row],[GP]]</f>
        <v>2.1607142857142856</v>
      </c>
      <c r="AB64" s="2">
        <f>knicks_players_all_stats[[#This Row],[STL2]]/10</f>
        <v>25</v>
      </c>
      <c r="AC64" s="2">
        <v>250</v>
      </c>
      <c r="AD64" s="6">
        <f>knicks_players_all_stats[[#This Row],[STL]]/knicks_players_all_stats[[#This Row],[GP]]</f>
        <v>0.44642857142857145</v>
      </c>
      <c r="AE64">
        <v>60</v>
      </c>
      <c r="AF64" s="2">
        <f>knicks_players_all_stats[[#This Row],[BLK2]]/10</f>
        <v>6</v>
      </c>
      <c r="AG64" s="6">
        <f>knicks_players_all_stats[[#This Row],[BLK]]/knicks_players_all_stats[[#This Row],[GP]]</f>
        <v>0.10714285714285714</v>
      </c>
      <c r="AH64">
        <v>630</v>
      </c>
      <c r="AI64" s="6">
        <f>knicks_players_all_stats[[#This Row],[BLKPG]]+knicks_players_all_stats[[#This Row],[STLPG]]+knicks_players_all_stats[[#This Row],[REBPG]]</f>
        <v>1.5</v>
      </c>
      <c r="AJ64" s="2">
        <f>knicks_players_all_stats[[#This Row],[TOV2]]/10</f>
        <v>63</v>
      </c>
      <c r="AK64" s="6">
        <f>knicks_players_all_stats[[#This Row],[TOV]]/knicks_players_all_stats[[#This Row],[GP]]</f>
        <v>1.125</v>
      </c>
      <c r="AL64" s="2">
        <v>58</v>
      </c>
      <c r="AM64" s="2">
        <f>knicks_players_all_stats[[#This Row],[PF]]/knicks_players_all_stats[[#This Row],[GP]]</f>
        <v>1.0357142857142858</v>
      </c>
      <c r="AN64" s="2">
        <v>219</v>
      </c>
      <c r="AO64" s="6">
        <f>knicks_players_all_stats[[#This Row],[PTS]]/knicks_players_all_stats[[#This Row],[GP]]</f>
        <v>3.9107142857142856</v>
      </c>
    </row>
    <row r="65" spans="1:41" customFormat="1" x14ac:dyDescent="0.3">
      <c r="A65" s="3" t="s">
        <v>1784</v>
      </c>
      <c r="B65" s="3" t="s">
        <v>1293</v>
      </c>
      <c r="C65" s="3" t="str">
        <f>knicks_players_all_stats[[#This Row],[NAME]]&amp;" ("&amp;knicks_players_all_stats[[#This Row],[SEASON]]&amp;")"</f>
        <v>Bruno Sundov (2003-04)</v>
      </c>
      <c r="D65" s="3">
        <f>knicks_players_all_stats[[#This Row],[PLAYER_AGE]]/10</f>
        <v>24</v>
      </c>
      <c r="E65">
        <v>240</v>
      </c>
      <c r="F65" s="2">
        <v>1</v>
      </c>
      <c r="G65" s="2">
        <v>40</v>
      </c>
      <c r="H6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</v>
      </c>
      <c r="I65" s="6">
        <f>knicks_players_all_stats[[#This Row],[VALORATION]]/knicks_players_all_stats[[#This Row],[GP]]</f>
        <v>1</v>
      </c>
      <c r="J65" s="2">
        <v>1</v>
      </c>
      <c r="K65" s="2">
        <v>1</v>
      </c>
      <c r="L65" s="2">
        <v>10</v>
      </c>
      <c r="M65" s="2">
        <v>0</v>
      </c>
      <c r="N65" s="2">
        <v>0</v>
      </c>
      <c r="O65" s="4" t="e">
        <f>knicks_players_all_stats[[#This Row],[FG3M]]/knicks_players_all_stats[[#This Row],[FG3A]]</f>
        <v>#DIV/0!</v>
      </c>
      <c r="P65" s="2">
        <v>0</v>
      </c>
      <c r="Q65" s="2">
        <v>0</v>
      </c>
      <c r="R65" s="5" t="e">
        <f>knicks_players_all_stats[[#This Row],[FTM]]/knicks_players_all_stats[[#This Row],[FTA]]</f>
        <v>#DIV/0!</v>
      </c>
      <c r="S65" s="2">
        <f>knicks_players_all_stats[[#This Row],[OREB22]]/10</f>
        <v>0</v>
      </c>
      <c r="T65" s="2">
        <f>knicks_players_all_stats[[#This Row],[DREB33]]/10</f>
        <v>0</v>
      </c>
      <c r="U65" s="2">
        <f>knicks_players_all_stats[[#This Row],[REB44]]/10</f>
        <v>0</v>
      </c>
      <c r="V65">
        <v>0</v>
      </c>
      <c r="W65">
        <v>0</v>
      </c>
      <c r="X65">
        <v>0</v>
      </c>
      <c r="Y65" s="22">
        <f>knicks_players_all_stats[[#This Row],[REB]]/knicks_players_all_stats[[#This Row],[GP]]</f>
        <v>0</v>
      </c>
      <c r="Z65" s="2">
        <v>1</v>
      </c>
      <c r="AA65" s="6">
        <f>knicks_players_all_stats[[#This Row],[AST]]/knicks_players_all_stats[[#This Row],[GP]]</f>
        <v>1</v>
      </c>
      <c r="AB65" s="2">
        <f>knicks_players_all_stats[[#This Row],[STL2]]/10</f>
        <v>0</v>
      </c>
      <c r="AC65" s="2">
        <v>0</v>
      </c>
      <c r="AD65" s="6">
        <f>knicks_players_all_stats[[#This Row],[STL]]/knicks_players_all_stats[[#This Row],[GP]]</f>
        <v>0</v>
      </c>
      <c r="AE65">
        <v>0</v>
      </c>
      <c r="AF65" s="2">
        <f>knicks_players_all_stats[[#This Row],[BLK2]]/10</f>
        <v>0</v>
      </c>
      <c r="AG65" s="6">
        <f>knicks_players_all_stats[[#This Row],[BLK]]/knicks_players_all_stats[[#This Row],[GP]]</f>
        <v>0</v>
      </c>
      <c r="AH65">
        <v>0</v>
      </c>
      <c r="AI65" s="6">
        <f>knicks_players_all_stats[[#This Row],[BLKPG]]+knicks_players_all_stats[[#This Row],[STLPG]]+knicks_players_all_stats[[#This Row],[REBPG]]</f>
        <v>0</v>
      </c>
      <c r="AJ65" s="2">
        <f>knicks_players_all_stats[[#This Row],[TOV2]]/10</f>
        <v>0</v>
      </c>
      <c r="AK65" s="6">
        <f>knicks_players_all_stats[[#This Row],[TOV]]/knicks_players_all_stats[[#This Row],[GP]]</f>
        <v>0</v>
      </c>
      <c r="AL65" s="2">
        <v>2</v>
      </c>
      <c r="AM65" s="2">
        <f>knicks_players_all_stats[[#This Row],[PF]]/knicks_players_all_stats[[#This Row],[GP]]</f>
        <v>2</v>
      </c>
      <c r="AN65" s="2">
        <v>2</v>
      </c>
      <c r="AO65" s="6">
        <f>knicks_players_all_stats[[#This Row],[PTS]]/knicks_players_all_stats[[#This Row],[GP]]</f>
        <v>2</v>
      </c>
    </row>
    <row r="66" spans="1:41" x14ac:dyDescent="0.3">
      <c r="A66" s="3" t="s">
        <v>1800</v>
      </c>
      <c r="B66" s="3" t="s">
        <v>1293</v>
      </c>
      <c r="C66" s="3" t="str">
        <f>knicks_players_all_stats[[#This Row],[NAME]]&amp;" ("&amp;knicks_players_all_stats[[#This Row],[SEASON]]&amp;")"</f>
        <v>Cezary Trybanski (2003-04)</v>
      </c>
      <c r="D66" s="3">
        <f>knicks_players_all_stats[[#This Row],[PLAYER_AGE]]/10</f>
        <v>24</v>
      </c>
      <c r="E66">
        <v>240</v>
      </c>
      <c r="F66" s="2">
        <v>3</v>
      </c>
      <c r="G66" s="2">
        <v>50</v>
      </c>
      <c r="H6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-3</v>
      </c>
      <c r="I66" s="6">
        <f>knicks_players_all_stats[[#This Row],[VALORATION]]/knicks_players_all_stats[[#This Row],[GP]]</f>
        <v>-1</v>
      </c>
      <c r="J66" s="2">
        <v>0</v>
      </c>
      <c r="K66" s="2">
        <v>2</v>
      </c>
      <c r="L66" s="2">
        <v>0</v>
      </c>
      <c r="M66" s="2">
        <v>0</v>
      </c>
      <c r="N66" s="2">
        <v>0</v>
      </c>
      <c r="O66" s="4" t="e">
        <f>knicks_players_all_stats[[#This Row],[FG3M]]/knicks_players_all_stats[[#This Row],[FG3A]]</f>
        <v>#DIV/0!</v>
      </c>
      <c r="P66" s="2">
        <v>1</v>
      </c>
      <c r="Q66" s="2">
        <v>2</v>
      </c>
      <c r="R66" s="5">
        <f>knicks_players_all_stats[[#This Row],[FTM]]/knicks_players_all_stats[[#This Row],[FTA]]</f>
        <v>0.5</v>
      </c>
      <c r="S66" s="2">
        <f>knicks_players_all_stats[[#This Row],[OREB22]]/10</f>
        <v>0</v>
      </c>
      <c r="T66" s="2">
        <f>knicks_players_all_stats[[#This Row],[DREB33]]/10</f>
        <v>0</v>
      </c>
      <c r="U66" s="2">
        <f>knicks_players_all_stats[[#This Row],[REB44]]/10</f>
        <v>0</v>
      </c>
      <c r="V66">
        <v>0</v>
      </c>
      <c r="W66">
        <v>0</v>
      </c>
      <c r="X66">
        <v>0</v>
      </c>
      <c r="Y66" s="22">
        <f>knicks_players_all_stats[[#This Row],[REB]]/knicks_players_all_stats[[#This Row],[GP]]</f>
        <v>0</v>
      </c>
      <c r="Z66" s="2">
        <v>0</v>
      </c>
      <c r="AA66" s="6">
        <f>knicks_players_all_stats[[#This Row],[AST]]/knicks_players_all_stats[[#This Row],[GP]]</f>
        <v>0</v>
      </c>
      <c r="AB66" s="2">
        <f>knicks_players_all_stats[[#This Row],[STL2]]/10</f>
        <v>1</v>
      </c>
      <c r="AC66" s="2">
        <v>10</v>
      </c>
      <c r="AD66" s="6">
        <f>knicks_players_all_stats[[#This Row],[STL]]/knicks_players_all_stats[[#This Row],[GP]]</f>
        <v>0.33333333333333331</v>
      </c>
      <c r="AE66">
        <v>0</v>
      </c>
      <c r="AF66" s="2">
        <f>knicks_players_all_stats[[#This Row],[BLK2]]/10</f>
        <v>0</v>
      </c>
      <c r="AG66" s="6">
        <f>knicks_players_all_stats[[#This Row],[BLK]]/knicks_players_all_stats[[#This Row],[GP]]</f>
        <v>0</v>
      </c>
      <c r="AH66">
        <v>0</v>
      </c>
      <c r="AI66" s="6">
        <f>knicks_players_all_stats[[#This Row],[BLKPG]]+knicks_players_all_stats[[#This Row],[STLPG]]+knicks_players_all_stats[[#This Row],[REBPG]]</f>
        <v>0.33333333333333331</v>
      </c>
      <c r="AJ66" s="2">
        <f>knicks_players_all_stats[[#This Row],[TOV2]]/10</f>
        <v>0</v>
      </c>
      <c r="AK66" s="6">
        <f>knicks_players_all_stats[[#This Row],[TOV]]/knicks_players_all_stats[[#This Row],[GP]]</f>
        <v>0</v>
      </c>
      <c r="AL66" s="2">
        <v>2</v>
      </c>
      <c r="AM66" s="2">
        <f>knicks_players_all_stats[[#This Row],[PF]]/knicks_players_all_stats[[#This Row],[GP]]</f>
        <v>0.66666666666666663</v>
      </c>
      <c r="AN66" s="2">
        <v>1</v>
      </c>
      <c r="AO66" s="6">
        <f>knicks_players_all_stats[[#This Row],[PTS]]/knicks_players_all_stats[[#This Row],[GP]]</f>
        <v>0.33333333333333331</v>
      </c>
    </row>
    <row r="67" spans="1:41" customFormat="1" x14ac:dyDescent="0.3">
      <c r="A67" s="3" t="s">
        <v>1498</v>
      </c>
      <c r="B67" s="3" t="s">
        <v>1295</v>
      </c>
      <c r="C67" s="3" t="str">
        <f>knicks_players_all_stats[[#This Row],[NAME]]&amp;" ("&amp;knicks_players_all_stats[[#This Row],[SEASON]]&amp;")"</f>
        <v>Stephon Marbury (2004-05)</v>
      </c>
      <c r="D67" s="3">
        <f>knicks_players_all_stats[[#This Row],[PLAYER_AGE]]/10</f>
        <v>28</v>
      </c>
      <c r="E67">
        <v>280</v>
      </c>
      <c r="F67" s="2">
        <v>82</v>
      </c>
      <c r="G67" s="2">
        <v>32810</v>
      </c>
      <c r="H6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1611</v>
      </c>
      <c r="I67" s="6">
        <f>knicks_players_all_stats[[#This Row],[VALORATION]]/knicks_players_all_stats[[#This Row],[GP]]</f>
        <v>19.646341463414632</v>
      </c>
      <c r="J67" s="2">
        <v>604</v>
      </c>
      <c r="K67" s="2">
        <v>1308</v>
      </c>
      <c r="L67" s="4">
        <f>knicks_players_all_stats[[#This Row],[FGM]]/knicks_players_all_stats[[#This Row],[FGA]]</f>
        <v>0.46177370030581039</v>
      </c>
      <c r="M67" s="2">
        <v>1150</v>
      </c>
      <c r="N67" s="2">
        <v>3250</v>
      </c>
      <c r="O67" s="4">
        <f>knicks_players_all_stats[[#This Row],[FG3M]]/knicks_players_all_stats[[#This Row],[FG3A]]</f>
        <v>0.35384615384615387</v>
      </c>
      <c r="P67" s="2">
        <v>458</v>
      </c>
      <c r="Q67" s="2">
        <v>549</v>
      </c>
      <c r="R67" s="5">
        <f>knicks_players_all_stats[[#This Row],[FTM]]/knicks_players_all_stats[[#This Row],[FTA]]</f>
        <v>0.83424408014571949</v>
      </c>
      <c r="S67" s="2">
        <f>knicks_players_all_stats[[#This Row],[OREB22]]/10</f>
        <v>50</v>
      </c>
      <c r="T67" s="2">
        <f>knicks_players_all_stats[[#This Row],[DREB33]]/10</f>
        <v>198</v>
      </c>
      <c r="U67" s="2">
        <f>knicks_players_all_stats[[#This Row],[REB44]]/10</f>
        <v>248</v>
      </c>
      <c r="V67">
        <v>500</v>
      </c>
      <c r="W67">
        <v>1980</v>
      </c>
      <c r="X67">
        <v>2480</v>
      </c>
      <c r="Y67" s="22">
        <f>knicks_players_all_stats[[#This Row],[REB]]/knicks_players_all_stats[[#This Row],[GP]]</f>
        <v>3.024390243902439</v>
      </c>
      <c r="Z67" s="2">
        <v>668</v>
      </c>
      <c r="AA67" s="6">
        <f>knicks_players_all_stats[[#This Row],[AST]]/knicks_players_all_stats[[#This Row],[GP]]</f>
        <v>8.1463414634146343</v>
      </c>
      <c r="AB67" s="2">
        <f>knicks_players_all_stats[[#This Row],[STL2]]/10</f>
        <v>122</v>
      </c>
      <c r="AC67" s="2">
        <v>1220</v>
      </c>
      <c r="AD67" s="6">
        <f>knicks_players_all_stats[[#This Row],[STL]]/knicks_players_all_stats[[#This Row],[GP]]</f>
        <v>1.4878048780487805</v>
      </c>
      <c r="AE67">
        <v>60</v>
      </c>
      <c r="AF67" s="2">
        <f>knicks_players_all_stats[[#This Row],[BLK2]]/10</f>
        <v>6</v>
      </c>
      <c r="AG67" s="6">
        <f>knicks_players_all_stats[[#This Row],[BLK]]/knicks_players_all_stats[[#This Row],[GP]]</f>
        <v>7.3170731707317069E-2</v>
      </c>
      <c r="AH67">
        <v>2330</v>
      </c>
      <c r="AI67" s="6">
        <f>knicks_players_all_stats[[#This Row],[BLKPG]]+knicks_players_all_stats[[#This Row],[STLPG]]+knicks_players_all_stats[[#This Row],[REBPG]]</f>
        <v>4.5853658536585371</v>
      </c>
      <c r="AJ67" s="2">
        <f>knicks_players_all_stats[[#This Row],[TOV2]]/10</f>
        <v>233</v>
      </c>
      <c r="AK67" s="6">
        <f>knicks_players_all_stats[[#This Row],[TOV]]/knicks_players_all_stats[[#This Row],[GP]]</f>
        <v>2.8414634146341462</v>
      </c>
      <c r="AL67" s="2">
        <v>186</v>
      </c>
      <c r="AM67" s="2">
        <f>knicks_players_all_stats[[#This Row],[PF]]/knicks_players_all_stats[[#This Row],[GP]]</f>
        <v>2.2682926829268291</v>
      </c>
      <c r="AN67" s="2">
        <v>1781</v>
      </c>
      <c r="AO67" s="6">
        <f>knicks_players_all_stats[[#This Row],[PTS]]/knicks_players_all_stats[[#This Row],[GP]]</f>
        <v>21.719512195121951</v>
      </c>
    </row>
    <row r="68" spans="1:41" customFormat="1" x14ac:dyDescent="0.3">
      <c r="A68" s="3" t="s">
        <v>1790</v>
      </c>
      <c r="B68" s="3" t="s">
        <v>1295</v>
      </c>
      <c r="C68" s="3" t="str">
        <f>knicks_players_all_stats[[#This Row],[NAME]]&amp;" ("&amp;knicks_players_all_stats[[#This Row],[SEASON]]&amp;")"</f>
        <v>Kurt Thomas (2004-05)</v>
      </c>
      <c r="D68" s="3">
        <f>knicks_players_all_stats[[#This Row],[PLAYER_AGE]]/10</f>
        <v>32</v>
      </c>
      <c r="E68">
        <v>320</v>
      </c>
      <c r="F68" s="2">
        <v>80</v>
      </c>
      <c r="G68" s="2">
        <v>28550</v>
      </c>
      <c r="H6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1152</v>
      </c>
      <c r="I68" s="6">
        <f>knicks_players_all_stats[[#This Row],[VALORATION]]/knicks_players_all_stats[[#This Row],[GP]]</f>
        <v>14.4</v>
      </c>
      <c r="J68" s="2">
        <v>424</v>
      </c>
      <c r="K68" s="2">
        <v>901</v>
      </c>
      <c r="L68" s="2">
        <v>471</v>
      </c>
      <c r="M68" s="2">
        <v>20</v>
      </c>
      <c r="N68" s="2">
        <v>40</v>
      </c>
      <c r="O68" s="4">
        <f>knicks_players_all_stats[[#This Row],[FG3M]]/knicks_players_all_stats[[#This Row],[FG3A]]</f>
        <v>0.5</v>
      </c>
      <c r="P68" s="2">
        <v>66</v>
      </c>
      <c r="Q68" s="2">
        <v>84</v>
      </c>
      <c r="R68" s="5">
        <f>knicks_players_all_stats[[#This Row],[FTM]]/knicks_players_all_stats[[#This Row],[FTA]]</f>
        <v>0.7857142857142857</v>
      </c>
      <c r="S68" s="2">
        <f>knicks_players_all_stats[[#This Row],[OREB22]]/10</f>
        <v>170</v>
      </c>
      <c r="T68" s="2">
        <f>knicks_players_all_stats[[#This Row],[DREB33]]/10</f>
        <v>661</v>
      </c>
      <c r="U68" s="2">
        <f>knicks_players_all_stats[[#This Row],[REB44]]/10</f>
        <v>831</v>
      </c>
      <c r="V68">
        <v>1700</v>
      </c>
      <c r="W68">
        <v>6610</v>
      </c>
      <c r="X68">
        <v>8310</v>
      </c>
      <c r="Y68" s="22">
        <f>knicks_players_all_stats[[#This Row],[REB]]/knicks_players_all_stats[[#This Row],[GP]]</f>
        <v>10.387499999999999</v>
      </c>
      <c r="Z68" s="2">
        <v>160</v>
      </c>
      <c r="AA68" s="6">
        <f>knicks_players_all_stats[[#This Row],[AST]]/knicks_players_all_stats[[#This Row],[GP]]</f>
        <v>2</v>
      </c>
      <c r="AB68" s="2">
        <f>knicks_players_all_stats[[#This Row],[STL2]]/10</f>
        <v>70</v>
      </c>
      <c r="AC68" s="2">
        <v>700</v>
      </c>
      <c r="AD68" s="6">
        <f>knicks_players_all_stats[[#This Row],[STL]]/knicks_players_all_stats[[#This Row],[GP]]</f>
        <v>0.875</v>
      </c>
      <c r="AE68">
        <v>790</v>
      </c>
      <c r="AF68" s="2">
        <f>knicks_players_all_stats[[#This Row],[BLK2]]/10</f>
        <v>79</v>
      </c>
      <c r="AG68" s="6">
        <f>knicks_players_all_stats[[#This Row],[BLK]]/knicks_players_all_stats[[#This Row],[GP]]</f>
        <v>0.98750000000000004</v>
      </c>
      <c r="AH68">
        <v>990</v>
      </c>
      <c r="AI68" s="6">
        <f>knicks_players_all_stats[[#This Row],[BLKPG]]+knicks_players_all_stats[[#This Row],[STLPG]]+knicks_players_all_stats[[#This Row],[REBPG]]</f>
        <v>12.25</v>
      </c>
      <c r="AJ68" s="2">
        <f>knicks_players_all_stats[[#This Row],[TOV2]]/10</f>
        <v>99</v>
      </c>
      <c r="AK68" s="6">
        <f>knicks_players_all_stats[[#This Row],[TOV]]/knicks_players_all_stats[[#This Row],[GP]]</f>
        <v>1.2375</v>
      </c>
      <c r="AL68" s="2">
        <v>310</v>
      </c>
      <c r="AM68" s="2">
        <f>knicks_players_all_stats[[#This Row],[PF]]/knicks_players_all_stats[[#This Row],[GP]]</f>
        <v>3.875</v>
      </c>
      <c r="AN68" s="2">
        <v>916</v>
      </c>
      <c r="AO68" s="6">
        <f>knicks_players_all_stats[[#This Row],[PTS]]/knicks_players_all_stats[[#This Row],[GP]]</f>
        <v>11.45</v>
      </c>
    </row>
    <row r="69" spans="1:41" customFormat="1" x14ac:dyDescent="0.3">
      <c r="A69" s="3" t="s">
        <v>1697</v>
      </c>
      <c r="B69" s="3" t="s">
        <v>1295</v>
      </c>
      <c r="C69" s="3" t="str">
        <f>knicks_players_all_stats[[#This Row],[NAME]]&amp;" ("&amp;knicks_players_all_stats[[#This Row],[SEASON]]&amp;")"</f>
        <v>Jamal Crawford (2004-05)</v>
      </c>
      <c r="D69" s="3">
        <f>knicks_players_all_stats[[#This Row],[PLAYER_AGE]]/10</f>
        <v>25</v>
      </c>
      <c r="E69">
        <v>250</v>
      </c>
      <c r="F69" s="2">
        <v>70</v>
      </c>
      <c r="G69" s="2">
        <v>26880</v>
      </c>
      <c r="H6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880</v>
      </c>
      <c r="I69" s="6">
        <f>knicks_players_all_stats[[#This Row],[VALORATION]]/knicks_players_all_stats[[#This Row],[GP]]</f>
        <v>12.571428571428571</v>
      </c>
      <c r="J69" s="2">
        <v>437</v>
      </c>
      <c r="K69" s="2">
        <v>1097</v>
      </c>
      <c r="L69" s="2">
        <v>398</v>
      </c>
      <c r="M69" s="2">
        <v>1850</v>
      </c>
      <c r="N69" s="2">
        <v>5120</v>
      </c>
      <c r="O69" s="4">
        <f>knicks_players_all_stats[[#This Row],[FG3M]]/knicks_players_all_stats[[#This Row],[FG3A]]</f>
        <v>0.361328125</v>
      </c>
      <c r="P69" s="2">
        <v>182</v>
      </c>
      <c r="Q69" s="2">
        <v>216</v>
      </c>
      <c r="R69" s="5">
        <f>knicks_players_all_stats[[#This Row],[FTM]]/knicks_players_all_stats[[#This Row],[FTA]]</f>
        <v>0.84259259259259256</v>
      </c>
      <c r="S69" s="2">
        <f>knicks_players_all_stats[[#This Row],[OREB22]]/10</f>
        <v>33</v>
      </c>
      <c r="T69" s="2">
        <f>knicks_players_all_stats[[#This Row],[DREB33]]/10</f>
        <v>170</v>
      </c>
      <c r="U69" s="2">
        <f>knicks_players_all_stats[[#This Row],[REB44]]/10</f>
        <v>203</v>
      </c>
      <c r="V69">
        <v>330</v>
      </c>
      <c r="W69">
        <v>1700</v>
      </c>
      <c r="X69">
        <v>2030</v>
      </c>
      <c r="Y69" s="22">
        <f>knicks_players_all_stats[[#This Row],[REB]]/knicks_players_all_stats[[#This Row],[GP]]</f>
        <v>2.9</v>
      </c>
      <c r="Z69" s="2">
        <v>302</v>
      </c>
      <c r="AA69" s="6">
        <f>knicks_players_all_stats[[#This Row],[AST]]/knicks_players_all_stats[[#This Row],[GP]]</f>
        <v>4.3142857142857141</v>
      </c>
      <c r="AB69" s="2">
        <f>knicks_players_all_stats[[#This Row],[STL2]]/10</f>
        <v>92</v>
      </c>
      <c r="AC69" s="2">
        <v>920</v>
      </c>
      <c r="AD69" s="6">
        <f>knicks_players_all_stats[[#This Row],[STL]]/knicks_players_all_stats[[#This Row],[GP]]</f>
        <v>1.3142857142857143</v>
      </c>
      <c r="AE69">
        <v>190</v>
      </c>
      <c r="AF69" s="2">
        <f>knicks_players_all_stats[[#This Row],[BLK2]]/10</f>
        <v>19</v>
      </c>
      <c r="AG69" s="6">
        <f>knicks_players_all_stats[[#This Row],[BLK]]/knicks_players_all_stats[[#This Row],[GP]]</f>
        <v>0.27142857142857141</v>
      </c>
      <c r="AH69">
        <v>1480</v>
      </c>
      <c r="AI69" s="6">
        <f>knicks_players_all_stats[[#This Row],[BLKPG]]+knicks_players_all_stats[[#This Row],[STLPG]]+knicks_players_all_stats[[#This Row],[REBPG]]</f>
        <v>4.4857142857142858</v>
      </c>
      <c r="AJ69" s="2">
        <f>knicks_players_all_stats[[#This Row],[TOV2]]/10</f>
        <v>148</v>
      </c>
      <c r="AK69" s="6">
        <f>knicks_players_all_stats[[#This Row],[TOV]]/knicks_players_all_stats[[#This Row],[GP]]</f>
        <v>2.1142857142857143</v>
      </c>
      <c r="AL69" s="2">
        <v>135</v>
      </c>
      <c r="AM69" s="2">
        <f>knicks_players_all_stats[[#This Row],[PF]]/knicks_players_all_stats[[#This Row],[GP]]</f>
        <v>1.9285714285714286</v>
      </c>
      <c r="AN69" s="2">
        <v>1241</v>
      </c>
      <c r="AO69" s="6">
        <f>knicks_players_all_stats[[#This Row],[PTS]]/knicks_players_all_stats[[#This Row],[GP]]</f>
        <v>17.728571428571428</v>
      </c>
    </row>
    <row r="70" spans="1:41" customFormat="1" x14ac:dyDescent="0.3">
      <c r="A70" s="3" t="s">
        <v>1364</v>
      </c>
      <c r="B70" s="3" t="s">
        <v>1295</v>
      </c>
      <c r="C70" s="3" t="str">
        <f>knicks_players_all_stats[[#This Row],[NAME]]&amp;" ("&amp;knicks_players_all_stats[[#This Row],[SEASON]]&amp;")"</f>
        <v>Nazr Mohammed (2004-05)</v>
      </c>
      <c r="D70" s="3">
        <f>knicks_players_all_stats[[#This Row],[PLAYER_AGE]]/10</f>
        <v>27</v>
      </c>
      <c r="E70">
        <v>270</v>
      </c>
      <c r="F70" s="2">
        <v>54</v>
      </c>
      <c r="G70" s="2">
        <v>15190</v>
      </c>
      <c r="H7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631</v>
      </c>
      <c r="I70" s="6">
        <f>knicks_players_all_stats[[#This Row],[VALORATION]]/knicks_players_all_stats[[#This Row],[GP]]</f>
        <v>11.685185185185185</v>
      </c>
      <c r="J70" s="2">
        <v>234</v>
      </c>
      <c r="K70" s="2">
        <v>460</v>
      </c>
      <c r="L70" s="4">
        <f>knicks_players_all_stats[[#This Row],[FGM]]/knicks_players_all_stats[[#This Row],[FGA]]</f>
        <v>0.50869565217391299</v>
      </c>
      <c r="M70" s="2">
        <v>0</v>
      </c>
      <c r="N70" s="2">
        <v>10</v>
      </c>
      <c r="O70" s="4">
        <f>knicks_players_all_stats[[#This Row],[FG3M]]/knicks_players_all_stats[[#This Row],[FG3A]]</f>
        <v>0</v>
      </c>
      <c r="P70" s="2">
        <v>121</v>
      </c>
      <c r="Q70" s="2">
        <v>171</v>
      </c>
      <c r="R70" s="5">
        <f>knicks_players_all_stats[[#This Row],[FTM]]/knicks_players_all_stats[[#This Row],[FTA]]</f>
        <v>0.70760233918128657</v>
      </c>
      <c r="S70" s="2">
        <f>knicks_players_all_stats[[#This Row],[OREB22]]/10</f>
        <v>169</v>
      </c>
      <c r="T70" s="2">
        <f>knicks_players_all_stats[[#This Row],[DREB33]]/10</f>
        <v>270</v>
      </c>
      <c r="U70" s="2">
        <f>knicks_players_all_stats[[#This Row],[REB44]]/10</f>
        <v>439</v>
      </c>
      <c r="V70">
        <v>1690</v>
      </c>
      <c r="W70">
        <v>2700</v>
      </c>
      <c r="X70">
        <v>4390</v>
      </c>
      <c r="Y70" s="22">
        <f>knicks_players_all_stats[[#This Row],[REB]]/knicks_players_all_stats[[#This Row],[GP]]</f>
        <v>8.1296296296296298</v>
      </c>
      <c r="Z70" s="2">
        <v>26</v>
      </c>
      <c r="AA70" s="6">
        <f>knicks_players_all_stats[[#This Row],[AST]]/knicks_players_all_stats[[#This Row],[GP]]</f>
        <v>0.48148148148148145</v>
      </c>
      <c r="AB70" s="2">
        <f>knicks_players_all_stats[[#This Row],[STL2]]/10</f>
        <v>53</v>
      </c>
      <c r="AC70" s="2">
        <v>530</v>
      </c>
      <c r="AD70" s="6">
        <f>knicks_players_all_stats[[#This Row],[STL]]/knicks_players_all_stats[[#This Row],[GP]]</f>
        <v>0.98148148148148151</v>
      </c>
      <c r="AE70">
        <v>530</v>
      </c>
      <c r="AF70" s="2">
        <f>knicks_players_all_stats[[#This Row],[BLK2]]/10</f>
        <v>53</v>
      </c>
      <c r="AG70" s="6">
        <f>knicks_players_all_stats[[#This Row],[BLK]]/knicks_players_all_stats[[#This Row],[GP]]</f>
        <v>0.98148148148148151</v>
      </c>
      <c r="AH70">
        <v>810</v>
      </c>
      <c r="AI70" s="6">
        <f>knicks_players_all_stats[[#This Row],[BLKPG]]+knicks_players_all_stats[[#This Row],[STLPG]]+knicks_players_all_stats[[#This Row],[REBPG]]</f>
        <v>10.092592592592593</v>
      </c>
      <c r="AJ70" s="2">
        <f>knicks_players_all_stats[[#This Row],[TOV2]]/10</f>
        <v>81</v>
      </c>
      <c r="AK70" s="6">
        <f>knicks_players_all_stats[[#This Row],[TOV]]/knicks_players_all_stats[[#This Row],[GP]]</f>
        <v>1.5</v>
      </c>
      <c r="AL70" s="2">
        <v>172</v>
      </c>
      <c r="AM70" s="2">
        <f>knicks_players_all_stats[[#This Row],[PF]]/knicks_players_all_stats[[#This Row],[GP]]</f>
        <v>3.1851851851851851</v>
      </c>
      <c r="AN70" s="2">
        <v>589</v>
      </c>
      <c r="AO70" s="6">
        <f>knicks_players_all_stats[[#This Row],[PTS]]/knicks_players_all_stats[[#This Row],[GP]]</f>
        <v>10.907407407407407</v>
      </c>
    </row>
    <row r="71" spans="1:41" customFormat="1" x14ac:dyDescent="0.3">
      <c r="A71" s="3" t="s">
        <v>1786</v>
      </c>
      <c r="B71" s="3" t="s">
        <v>1295</v>
      </c>
      <c r="C71" s="3" t="str">
        <f>knicks_players_all_stats[[#This Row],[NAME]]&amp;" ("&amp;knicks_players_all_stats[[#This Row],[SEASON]]&amp;")"</f>
        <v>Michael Sweetney (2004-05)</v>
      </c>
      <c r="D71" s="3">
        <f>knicks_players_all_stats[[#This Row],[PLAYER_AGE]]/10</f>
        <v>22</v>
      </c>
      <c r="E71">
        <v>220</v>
      </c>
      <c r="F71" s="2">
        <v>77</v>
      </c>
      <c r="G71" s="2">
        <v>15090</v>
      </c>
      <c r="H7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567</v>
      </c>
      <c r="I71" s="6">
        <f>knicks_players_all_stats[[#This Row],[VALORATION]]/knicks_players_all_stats[[#This Row],[GP]]</f>
        <v>7.3636363636363633</v>
      </c>
      <c r="J71" s="2">
        <v>237</v>
      </c>
      <c r="K71" s="2">
        <v>446</v>
      </c>
      <c r="L71" s="2">
        <v>531</v>
      </c>
      <c r="M71" s="2">
        <v>0</v>
      </c>
      <c r="N71" s="2">
        <v>10</v>
      </c>
      <c r="O71" s="4">
        <f>knicks_players_all_stats[[#This Row],[FG3M]]/knicks_players_all_stats[[#This Row],[FG3A]]</f>
        <v>0</v>
      </c>
      <c r="P71" s="2">
        <v>176</v>
      </c>
      <c r="Q71" s="2">
        <v>235</v>
      </c>
      <c r="R71" s="5">
        <f>knicks_players_all_stats[[#This Row],[FTM]]/knicks_players_all_stats[[#This Row],[FTA]]</f>
        <v>0.74893617021276593</v>
      </c>
      <c r="S71" s="2">
        <f>knicks_players_all_stats[[#This Row],[OREB22]]/10</f>
        <v>169</v>
      </c>
      <c r="T71" s="2">
        <f>knicks_players_all_stats[[#This Row],[DREB33]]/10</f>
        <v>249</v>
      </c>
      <c r="U71" s="2">
        <f>knicks_players_all_stats[[#This Row],[REB44]]/10</f>
        <v>418</v>
      </c>
      <c r="V71">
        <v>1690</v>
      </c>
      <c r="W71">
        <v>2490</v>
      </c>
      <c r="X71">
        <v>4180</v>
      </c>
      <c r="Y71" s="22">
        <f>knicks_players_all_stats[[#This Row],[REB]]/knicks_players_all_stats[[#This Row],[GP]]</f>
        <v>5.4285714285714288</v>
      </c>
      <c r="Z71" s="2">
        <v>44</v>
      </c>
      <c r="AA71" s="6">
        <f>knicks_players_all_stats[[#This Row],[AST]]/knicks_players_all_stats[[#This Row],[GP]]</f>
        <v>0.5714285714285714</v>
      </c>
      <c r="AB71" s="2">
        <f>knicks_players_all_stats[[#This Row],[STL2]]/10</f>
        <v>27</v>
      </c>
      <c r="AC71" s="2">
        <v>270</v>
      </c>
      <c r="AD71" s="6">
        <f>knicks_players_all_stats[[#This Row],[STL]]/knicks_players_all_stats[[#This Row],[GP]]</f>
        <v>0.35064935064935066</v>
      </c>
      <c r="AE71">
        <v>280</v>
      </c>
      <c r="AF71" s="2">
        <f>knicks_players_all_stats[[#This Row],[BLK2]]/10</f>
        <v>28</v>
      </c>
      <c r="AG71" s="6">
        <f>knicks_players_all_stats[[#This Row],[BLK]]/knicks_players_all_stats[[#This Row],[GP]]</f>
        <v>0.36363636363636365</v>
      </c>
      <c r="AH71">
        <v>1080</v>
      </c>
      <c r="AI71" s="6">
        <f>knicks_players_all_stats[[#This Row],[BLKPG]]+knicks_players_all_stats[[#This Row],[STLPG]]+knicks_players_all_stats[[#This Row],[REBPG]]</f>
        <v>6.1428571428571432</v>
      </c>
      <c r="AJ71" s="2">
        <f>knicks_players_all_stats[[#This Row],[TOV2]]/10</f>
        <v>108</v>
      </c>
      <c r="AK71" s="6">
        <f>knicks_players_all_stats[[#This Row],[TOV]]/knicks_players_all_stats[[#This Row],[GP]]</f>
        <v>1.4025974025974026</v>
      </c>
      <c r="AL71" s="2">
        <v>224</v>
      </c>
      <c r="AM71" s="2">
        <f>knicks_players_all_stats[[#This Row],[PF]]/knicks_players_all_stats[[#This Row],[GP]]</f>
        <v>2.9090909090909092</v>
      </c>
      <c r="AN71" s="2">
        <v>650</v>
      </c>
      <c r="AO71" s="6">
        <f>knicks_players_all_stats[[#This Row],[PTS]]/knicks_players_all_stats[[#This Row],[GP]]</f>
        <v>8.4415584415584419</v>
      </c>
    </row>
    <row r="72" spans="1:41" customFormat="1" x14ac:dyDescent="0.3">
      <c r="A72" s="3" t="s">
        <v>1792</v>
      </c>
      <c r="B72" s="3" t="s">
        <v>1295</v>
      </c>
      <c r="C72" s="3" t="str">
        <f>knicks_players_all_stats[[#This Row],[NAME]]&amp;" ("&amp;knicks_players_all_stats[[#This Row],[SEASON]]&amp;")"</f>
        <v>Tim Thomas (2004-05)</v>
      </c>
      <c r="D72" s="3">
        <f>knicks_players_all_stats[[#This Row],[PLAYER_AGE]]/10</f>
        <v>28</v>
      </c>
      <c r="E72">
        <v>280</v>
      </c>
      <c r="F72" s="2">
        <v>71</v>
      </c>
      <c r="G72" s="2">
        <v>19400</v>
      </c>
      <c r="H7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481</v>
      </c>
      <c r="I72" s="6">
        <f>knicks_players_all_stats[[#This Row],[VALORATION]]/knicks_players_all_stats[[#This Row],[GP]]</f>
        <v>6.774647887323944</v>
      </c>
      <c r="J72" s="2">
        <v>315</v>
      </c>
      <c r="K72" s="2">
        <v>718</v>
      </c>
      <c r="L72" s="2">
        <v>439</v>
      </c>
      <c r="M72" s="2">
        <v>850</v>
      </c>
      <c r="N72" s="2">
        <v>2080</v>
      </c>
      <c r="O72" s="4">
        <f>knicks_players_all_stats[[#This Row],[FG3M]]/knicks_players_all_stats[[#This Row],[FG3A]]</f>
        <v>0.40865384615384615</v>
      </c>
      <c r="P72" s="2">
        <v>136</v>
      </c>
      <c r="Q72" s="2">
        <v>173</v>
      </c>
      <c r="R72" s="5">
        <f>knicks_players_all_stats[[#This Row],[FTM]]/knicks_players_all_stats[[#This Row],[FTA]]</f>
        <v>0.78612716763005785</v>
      </c>
      <c r="S72" s="2">
        <f>knicks_players_all_stats[[#This Row],[OREB22]]/10</f>
        <v>45</v>
      </c>
      <c r="T72" s="2">
        <f>knicks_players_all_stats[[#This Row],[DREB33]]/10</f>
        <v>192</v>
      </c>
      <c r="U72" s="2">
        <f>knicks_players_all_stats[[#This Row],[REB44]]/10</f>
        <v>237</v>
      </c>
      <c r="V72">
        <v>450</v>
      </c>
      <c r="W72">
        <v>1920</v>
      </c>
      <c r="X72">
        <v>2370</v>
      </c>
      <c r="Y72" s="22">
        <f>knicks_players_all_stats[[#This Row],[REB]]/knicks_players_all_stats[[#This Row],[GP]]</f>
        <v>3.3380281690140845</v>
      </c>
      <c r="Z72" s="2">
        <v>110</v>
      </c>
      <c r="AA72" s="6">
        <f>knicks_players_all_stats[[#This Row],[AST]]/knicks_players_all_stats[[#This Row],[GP]]</f>
        <v>1.5492957746478873</v>
      </c>
      <c r="AB72" s="2">
        <f>knicks_players_all_stats[[#This Row],[STL2]]/10</f>
        <v>41</v>
      </c>
      <c r="AC72" s="2">
        <v>410</v>
      </c>
      <c r="AD72" s="6">
        <f>knicks_players_all_stats[[#This Row],[STL]]/knicks_players_all_stats[[#This Row],[GP]]</f>
        <v>0.57746478873239437</v>
      </c>
      <c r="AE72">
        <v>170</v>
      </c>
      <c r="AF72" s="2">
        <f>knicks_players_all_stats[[#This Row],[BLK2]]/10</f>
        <v>17</v>
      </c>
      <c r="AG72" s="6">
        <f>knicks_players_all_stats[[#This Row],[BLK]]/knicks_players_all_stats[[#This Row],[GP]]</f>
        <v>0.23943661971830985</v>
      </c>
      <c r="AH72">
        <v>1130</v>
      </c>
      <c r="AI72" s="6">
        <f>knicks_players_all_stats[[#This Row],[BLKPG]]+knicks_players_all_stats[[#This Row],[STLPG]]+knicks_players_all_stats[[#This Row],[REBPG]]</f>
        <v>4.154929577464789</v>
      </c>
      <c r="AJ72" s="2">
        <f>knicks_players_all_stats[[#This Row],[TOV2]]/10</f>
        <v>113</v>
      </c>
      <c r="AK72" s="6">
        <f>knicks_players_all_stats[[#This Row],[TOV]]/knicks_players_all_stats[[#This Row],[GP]]</f>
        <v>1.591549295774648</v>
      </c>
      <c r="AL72" s="2">
        <v>222</v>
      </c>
      <c r="AM72" s="2">
        <f>knicks_players_all_stats[[#This Row],[PF]]/knicks_players_all_stats[[#This Row],[GP]]</f>
        <v>3.1267605633802815</v>
      </c>
      <c r="AN72" s="2">
        <v>851</v>
      </c>
      <c r="AO72" s="6">
        <f>knicks_players_all_stats[[#This Row],[PTS]]/knicks_players_all_stats[[#This Row],[GP]]</f>
        <v>11.985915492957746</v>
      </c>
    </row>
    <row r="73" spans="1:41" x14ac:dyDescent="0.3">
      <c r="A73" s="3" t="s">
        <v>1463</v>
      </c>
      <c r="B73" s="3" t="s">
        <v>1295</v>
      </c>
      <c r="C73" s="3" t="str">
        <f>knicks_players_all_stats[[#This Row],[NAME]]&amp;" ("&amp;knicks_players_all_stats[[#This Row],[SEASON]]&amp;")"</f>
        <v>Allan Houston (2004-05)</v>
      </c>
      <c r="D73" s="3">
        <f>knicks_players_all_stats[[#This Row],[PLAYER_AGE]]/10</f>
        <v>34</v>
      </c>
      <c r="E73">
        <v>340</v>
      </c>
      <c r="F73" s="2">
        <v>20</v>
      </c>
      <c r="G73" s="2">
        <v>5320</v>
      </c>
      <c r="H7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124</v>
      </c>
      <c r="I73" s="6">
        <f>knicks_players_all_stats[[#This Row],[VALORATION]]/knicks_players_all_stats[[#This Row],[GP]]</f>
        <v>6.2</v>
      </c>
      <c r="J73" s="2">
        <v>85</v>
      </c>
      <c r="K73" s="2">
        <v>205</v>
      </c>
      <c r="L73" s="4">
        <f>knicks_players_all_stats[[#This Row],[FGM]]/knicks_players_all_stats[[#This Row],[FGA]]</f>
        <v>0.41463414634146339</v>
      </c>
      <c r="M73" s="2">
        <v>310</v>
      </c>
      <c r="N73" s="2">
        <v>800</v>
      </c>
      <c r="O73" s="4">
        <f>knicks_players_all_stats[[#This Row],[FG3M]]/knicks_players_all_stats[[#This Row],[FG3A]]</f>
        <v>0.38750000000000001</v>
      </c>
      <c r="P73" s="2">
        <v>36</v>
      </c>
      <c r="Q73" s="2">
        <v>43</v>
      </c>
      <c r="R73" s="5">
        <f>knicks_players_all_stats[[#This Row],[FTM]]/knicks_players_all_stats[[#This Row],[FTA]]</f>
        <v>0.83720930232558144</v>
      </c>
      <c r="S73" s="2">
        <f>knicks_players_all_stats[[#This Row],[OREB22]]/10</f>
        <v>4</v>
      </c>
      <c r="T73" s="2">
        <f>knicks_players_all_stats[[#This Row],[DREB33]]/10</f>
        <v>19</v>
      </c>
      <c r="U73" s="2">
        <f>knicks_players_all_stats[[#This Row],[REB44]]/10</f>
        <v>23</v>
      </c>
      <c r="V73">
        <v>40</v>
      </c>
      <c r="W73">
        <v>190</v>
      </c>
      <c r="X73">
        <v>230</v>
      </c>
      <c r="Y73" s="22">
        <f>knicks_players_all_stats[[#This Row],[REB]]/knicks_players_all_stats[[#This Row],[GP]]</f>
        <v>1.1499999999999999</v>
      </c>
      <c r="Z73" s="2">
        <v>42</v>
      </c>
      <c r="AA73" s="6">
        <f>knicks_players_all_stats[[#This Row],[AST]]/knicks_players_all_stats[[#This Row],[GP]]</f>
        <v>2.1</v>
      </c>
      <c r="AB73" s="2">
        <f>knicks_players_all_stats[[#This Row],[STL2]]/10</f>
        <v>8</v>
      </c>
      <c r="AC73" s="2">
        <v>80</v>
      </c>
      <c r="AD73" s="6">
        <f>knicks_players_all_stats[[#This Row],[STL]]/knicks_players_all_stats[[#This Row],[GP]]</f>
        <v>0.4</v>
      </c>
      <c r="AE73">
        <v>20</v>
      </c>
      <c r="AF73" s="2">
        <f>knicks_players_all_stats[[#This Row],[BLK2]]/10</f>
        <v>2</v>
      </c>
      <c r="AG73" s="6">
        <f>knicks_players_all_stats[[#This Row],[BLK]]/knicks_players_all_stats[[#This Row],[GP]]</f>
        <v>0.1</v>
      </c>
      <c r="AH73">
        <v>210</v>
      </c>
      <c r="AI73" s="6">
        <f>knicks_players_all_stats[[#This Row],[BLKPG]]+knicks_players_all_stats[[#This Row],[STLPG]]+knicks_players_all_stats[[#This Row],[REBPG]]</f>
        <v>1.65</v>
      </c>
      <c r="AJ73" s="2">
        <f>knicks_players_all_stats[[#This Row],[TOV2]]/10</f>
        <v>21</v>
      </c>
      <c r="AK73" s="6">
        <f>knicks_players_all_stats[[#This Row],[TOV]]/knicks_players_all_stats[[#This Row],[GP]]</f>
        <v>1.05</v>
      </c>
      <c r="AL73" s="2">
        <v>40</v>
      </c>
      <c r="AM73" s="2">
        <f>knicks_players_all_stats[[#This Row],[PF]]/knicks_players_all_stats[[#This Row],[GP]]</f>
        <v>2</v>
      </c>
      <c r="AN73" s="2">
        <v>237</v>
      </c>
      <c r="AO73" s="6">
        <f>knicks_players_all_stats[[#This Row],[PTS]]/knicks_players_all_stats[[#This Row],[GP]]</f>
        <v>11.85</v>
      </c>
    </row>
    <row r="74" spans="1:41" x14ac:dyDescent="0.3">
      <c r="A74" s="3" t="s">
        <v>1368</v>
      </c>
      <c r="B74" s="3" t="s">
        <v>1295</v>
      </c>
      <c r="C74" s="3" t="str">
        <f>knicks_players_all_stats[[#This Row],[NAME]]&amp;" ("&amp;knicks_players_all_stats[[#This Row],[SEASON]]&amp;")"</f>
        <v>Trevor Ariza (2004-05)</v>
      </c>
      <c r="D74" s="3">
        <f>knicks_players_all_stats[[#This Row],[PLAYER_AGE]]/10</f>
        <v>20</v>
      </c>
      <c r="E74">
        <v>200</v>
      </c>
      <c r="F74" s="2">
        <v>80</v>
      </c>
      <c r="G74" s="2">
        <v>13850</v>
      </c>
      <c r="H7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390</v>
      </c>
      <c r="I74" s="6">
        <f>knicks_players_all_stats[[#This Row],[VALORATION]]/knicks_players_all_stats[[#This Row],[GP]]</f>
        <v>4.875</v>
      </c>
      <c r="J74" s="2">
        <v>172</v>
      </c>
      <c r="K74" s="2">
        <v>389</v>
      </c>
      <c r="L74" s="4">
        <f>knicks_players_all_stats[[#This Row],[FGM]]/knicks_players_all_stats[[#This Row],[FGA]]</f>
        <v>0.44215938303341901</v>
      </c>
      <c r="M74" s="2">
        <v>30</v>
      </c>
      <c r="N74" s="2">
        <v>130</v>
      </c>
      <c r="O74" s="4">
        <f>knicks_players_all_stats[[#This Row],[FG3M]]/knicks_players_all_stats[[#This Row],[FG3A]]</f>
        <v>0.23076923076923078</v>
      </c>
      <c r="P74" s="2">
        <v>121</v>
      </c>
      <c r="Q74" s="2">
        <v>174</v>
      </c>
      <c r="R74" s="5">
        <f>knicks_players_all_stats[[#This Row],[FTM]]/knicks_players_all_stats[[#This Row],[FTA]]</f>
        <v>0.6954022988505747</v>
      </c>
      <c r="S74" s="2">
        <f>knicks_players_all_stats[[#This Row],[OREB22]]/10</f>
        <v>89</v>
      </c>
      <c r="T74" s="2">
        <f>knicks_players_all_stats[[#This Row],[DREB33]]/10</f>
        <v>153</v>
      </c>
      <c r="U74" s="2">
        <f>knicks_players_all_stats[[#This Row],[REB44]]/10</f>
        <v>242</v>
      </c>
      <c r="V74">
        <v>890</v>
      </c>
      <c r="W74">
        <v>1530</v>
      </c>
      <c r="X74">
        <v>2420</v>
      </c>
      <c r="Y74" s="22">
        <f>knicks_players_all_stats[[#This Row],[REB]]/knicks_players_all_stats[[#This Row],[GP]]</f>
        <v>3.0249999999999999</v>
      </c>
      <c r="Z74" s="2">
        <v>85</v>
      </c>
      <c r="AA74" s="6">
        <f>knicks_players_all_stats[[#This Row],[AST]]/knicks_players_all_stats[[#This Row],[GP]]</f>
        <v>1.0625</v>
      </c>
      <c r="AB74" s="2">
        <f>knicks_players_all_stats[[#This Row],[STL2]]/10</f>
        <v>70</v>
      </c>
      <c r="AC74" s="2">
        <v>700</v>
      </c>
      <c r="AD74" s="6">
        <f>knicks_players_all_stats[[#This Row],[STL]]/knicks_players_all_stats[[#This Row],[GP]]</f>
        <v>0.875</v>
      </c>
      <c r="AE74">
        <v>180</v>
      </c>
      <c r="AF74" s="2">
        <f>knicks_players_all_stats[[#This Row],[BLK2]]/10</f>
        <v>18</v>
      </c>
      <c r="AG74" s="6">
        <f>knicks_players_all_stats[[#This Row],[BLK]]/knicks_players_all_stats[[#This Row],[GP]]</f>
        <v>0.22500000000000001</v>
      </c>
      <c r="AH74">
        <v>730</v>
      </c>
      <c r="AI74" s="6">
        <f>knicks_players_all_stats[[#This Row],[BLKPG]]+knicks_players_all_stats[[#This Row],[STLPG]]+knicks_players_all_stats[[#This Row],[REBPG]]</f>
        <v>4.125</v>
      </c>
      <c r="AJ74" s="2">
        <f>knicks_players_all_stats[[#This Row],[TOV2]]/10</f>
        <v>73</v>
      </c>
      <c r="AK74" s="6">
        <f>knicks_players_all_stats[[#This Row],[TOV]]/knicks_players_all_stats[[#This Row],[GP]]</f>
        <v>0.91249999999999998</v>
      </c>
      <c r="AL74" s="2">
        <v>150</v>
      </c>
      <c r="AM74" s="2">
        <f>knicks_players_all_stats[[#This Row],[PF]]/knicks_players_all_stats[[#This Row],[GP]]</f>
        <v>1.875</v>
      </c>
      <c r="AN74" s="2">
        <v>468</v>
      </c>
      <c r="AO74" s="6">
        <f>knicks_players_all_stats[[#This Row],[PTS]]/knicks_players_all_stats[[#This Row],[GP]]</f>
        <v>5.85</v>
      </c>
    </row>
    <row r="75" spans="1:41" x14ac:dyDescent="0.3">
      <c r="A75" s="3" t="s">
        <v>1663</v>
      </c>
      <c r="B75" s="3" t="s">
        <v>1295</v>
      </c>
      <c r="C75" s="3" t="str">
        <f>knicks_players_all_stats[[#This Row],[NAME]]&amp;" ("&amp;knicks_players_all_stats[[#This Row],[SEASON]]&amp;")"</f>
        <v>Malik Rose (2004-05)</v>
      </c>
      <c r="D75" s="3">
        <f>knicks_players_all_stats[[#This Row],[PLAYER_AGE]]/10</f>
        <v>30</v>
      </c>
      <c r="E75">
        <v>300</v>
      </c>
      <c r="F75" s="2">
        <v>26</v>
      </c>
      <c r="G75" s="2">
        <v>6120</v>
      </c>
      <c r="H7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122</v>
      </c>
      <c r="I75" s="6">
        <f>knicks_players_all_stats[[#This Row],[VALORATION]]/knicks_players_all_stats[[#This Row],[GP]]</f>
        <v>4.6923076923076925</v>
      </c>
      <c r="J75" s="2">
        <v>74</v>
      </c>
      <c r="K75" s="2">
        <v>174</v>
      </c>
      <c r="L75" s="2">
        <v>425</v>
      </c>
      <c r="M75" s="2">
        <v>10</v>
      </c>
      <c r="N75" s="2">
        <v>60</v>
      </c>
      <c r="O75" s="4">
        <f>knicks_players_all_stats[[#This Row],[FG3M]]/knicks_players_all_stats[[#This Row],[FG3A]]</f>
        <v>0.16666666666666666</v>
      </c>
      <c r="P75" s="2">
        <v>68</v>
      </c>
      <c r="Q75" s="2">
        <v>87</v>
      </c>
      <c r="R75" s="5">
        <f>knicks_players_all_stats[[#This Row],[FTM]]/knicks_players_all_stats[[#This Row],[FTA]]</f>
        <v>0.7816091954022989</v>
      </c>
      <c r="S75" s="2">
        <f>knicks_players_all_stats[[#This Row],[OREB22]]/10</f>
        <v>34</v>
      </c>
      <c r="T75" s="2">
        <f>knicks_players_all_stats[[#This Row],[DREB33]]/10</f>
        <v>80</v>
      </c>
      <c r="U75" s="2">
        <f>knicks_players_all_stats[[#This Row],[REB44]]/10</f>
        <v>114</v>
      </c>
      <c r="V75">
        <v>340</v>
      </c>
      <c r="W75">
        <v>800</v>
      </c>
      <c r="X75">
        <v>1140</v>
      </c>
      <c r="Y75" s="22">
        <f>knicks_players_all_stats[[#This Row],[REB]]/knicks_players_all_stats[[#This Row],[GP]]</f>
        <v>4.384615384615385</v>
      </c>
      <c r="Z75" s="2">
        <v>18</v>
      </c>
      <c r="AA75" s="6">
        <f>knicks_players_all_stats[[#This Row],[AST]]/knicks_players_all_stats[[#This Row],[GP]]</f>
        <v>0.69230769230769229</v>
      </c>
      <c r="AB75" s="2">
        <f>knicks_players_all_stats[[#This Row],[STL2]]/10</f>
        <v>15</v>
      </c>
      <c r="AC75" s="2">
        <v>150</v>
      </c>
      <c r="AD75" s="6">
        <f>knicks_players_all_stats[[#This Row],[STL]]/knicks_players_all_stats[[#This Row],[GP]]</f>
        <v>0.57692307692307687</v>
      </c>
      <c r="AE75">
        <v>70</v>
      </c>
      <c r="AF75" s="2">
        <f>knicks_players_all_stats[[#This Row],[BLK2]]/10</f>
        <v>7</v>
      </c>
      <c r="AG75" s="6">
        <f>knicks_players_all_stats[[#This Row],[BLK]]/knicks_players_all_stats[[#This Row],[GP]]</f>
        <v>0.26923076923076922</v>
      </c>
      <c r="AH75">
        <v>460</v>
      </c>
      <c r="AI75" s="6">
        <f>knicks_players_all_stats[[#This Row],[BLKPG]]+knicks_players_all_stats[[#This Row],[STLPG]]+knicks_players_all_stats[[#This Row],[REBPG]]</f>
        <v>5.2307692307692308</v>
      </c>
      <c r="AJ75" s="2">
        <f>knicks_players_all_stats[[#This Row],[TOV2]]/10</f>
        <v>46</v>
      </c>
      <c r="AK75" s="6">
        <f>knicks_players_all_stats[[#This Row],[TOV]]/knicks_players_all_stats[[#This Row],[GP]]</f>
        <v>1.7692307692307692</v>
      </c>
      <c r="AL75" s="2">
        <v>84</v>
      </c>
      <c r="AM75" s="2">
        <f>knicks_players_all_stats[[#This Row],[PF]]/knicks_players_all_stats[[#This Row],[GP]]</f>
        <v>3.2307692307692308</v>
      </c>
      <c r="AN75" s="2">
        <v>217</v>
      </c>
      <c r="AO75" s="6">
        <f>knicks_players_all_stats[[#This Row],[PTS]]/knicks_players_all_stats[[#This Row],[GP]]</f>
        <v>8.3461538461538467</v>
      </c>
    </row>
    <row r="76" spans="1:41" x14ac:dyDescent="0.3">
      <c r="A76" s="3" t="s">
        <v>1612</v>
      </c>
      <c r="B76" s="3" t="s">
        <v>1295</v>
      </c>
      <c r="C76" s="3" t="str">
        <f>knicks_players_all_stats[[#This Row],[NAME]]&amp;" ("&amp;knicks_players_all_stats[[#This Row],[SEASON]]&amp;")"</f>
        <v>Anfernee Hardaway (2004-05)</v>
      </c>
      <c r="D76" s="3">
        <f>knicks_players_all_stats[[#This Row],[PLAYER_AGE]]/10</f>
        <v>33</v>
      </c>
      <c r="E76">
        <v>330</v>
      </c>
      <c r="F76" s="2">
        <v>37</v>
      </c>
      <c r="G76" s="2">
        <v>8950</v>
      </c>
      <c r="H7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172</v>
      </c>
      <c r="I76" s="6">
        <f>knicks_players_all_stats[[#This Row],[VALORATION]]/knicks_players_all_stats[[#This Row],[GP]]</f>
        <v>4.6486486486486482</v>
      </c>
      <c r="J76" s="2">
        <v>110</v>
      </c>
      <c r="K76" s="2">
        <v>260</v>
      </c>
      <c r="L76" s="4">
        <f>knicks_players_all_stats[[#This Row],[FGM]]/knicks_players_all_stats[[#This Row],[FGA]]</f>
        <v>0.42307692307692307</v>
      </c>
      <c r="M76" s="2">
        <v>150</v>
      </c>
      <c r="N76" s="2">
        <v>500</v>
      </c>
      <c r="O76" s="4">
        <f>knicks_players_all_stats[[#This Row],[FG3M]]/knicks_players_all_stats[[#This Row],[FG3A]]</f>
        <v>0.3</v>
      </c>
      <c r="P76" s="2">
        <v>34</v>
      </c>
      <c r="Q76" s="2">
        <v>46</v>
      </c>
      <c r="R76" s="5">
        <f>knicks_players_all_stats[[#This Row],[FTM]]/knicks_players_all_stats[[#This Row],[FTA]]</f>
        <v>0.73913043478260865</v>
      </c>
      <c r="S76" s="2">
        <f>knicks_players_all_stats[[#This Row],[OREB22]]/10</f>
        <v>19</v>
      </c>
      <c r="T76" s="2">
        <f>knicks_players_all_stats[[#This Row],[DREB33]]/10</f>
        <v>70</v>
      </c>
      <c r="U76" s="2">
        <f>knicks_players_all_stats[[#This Row],[REB44]]/10</f>
        <v>89</v>
      </c>
      <c r="V76">
        <v>190</v>
      </c>
      <c r="W76">
        <v>700</v>
      </c>
      <c r="X76">
        <v>890</v>
      </c>
      <c r="Y76" s="22">
        <f>knicks_players_all_stats[[#This Row],[REB]]/knicks_players_all_stats[[#This Row],[GP]]</f>
        <v>2.4054054054054053</v>
      </c>
      <c r="Z76" s="2">
        <v>74</v>
      </c>
      <c r="AA76" s="6">
        <f>knicks_players_all_stats[[#This Row],[AST]]/knicks_players_all_stats[[#This Row],[GP]]</f>
        <v>2</v>
      </c>
      <c r="AB76" s="2">
        <f>knicks_players_all_stats[[#This Row],[STL2]]/10</f>
        <v>28</v>
      </c>
      <c r="AC76" s="2">
        <v>280</v>
      </c>
      <c r="AD76" s="6">
        <f>knicks_players_all_stats[[#This Row],[STL]]/knicks_players_all_stats[[#This Row],[GP]]</f>
        <v>0.7567567567567568</v>
      </c>
      <c r="AE76">
        <v>30</v>
      </c>
      <c r="AF76" s="2">
        <f>knicks_players_all_stats[[#This Row],[BLK2]]/10</f>
        <v>3</v>
      </c>
      <c r="AG76" s="6">
        <f>knicks_players_all_stats[[#This Row],[BLK]]/knicks_players_all_stats[[#This Row],[GP]]</f>
        <v>8.1081081081081086E-2</v>
      </c>
      <c r="AH76">
        <v>500</v>
      </c>
      <c r="AI76" s="6">
        <f>knicks_players_all_stats[[#This Row],[BLKPG]]+knicks_players_all_stats[[#This Row],[STLPG]]+knicks_players_all_stats[[#This Row],[REBPG]]</f>
        <v>3.243243243243243</v>
      </c>
      <c r="AJ76" s="2">
        <f>knicks_players_all_stats[[#This Row],[TOV2]]/10</f>
        <v>50</v>
      </c>
      <c r="AK76" s="6">
        <f>knicks_players_all_stats[[#This Row],[TOV]]/knicks_players_all_stats[[#This Row],[GP]]</f>
        <v>1.3513513513513513</v>
      </c>
      <c r="AL76" s="2">
        <v>79</v>
      </c>
      <c r="AM76" s="2">
        <f>knicks_players_all_stats[[#This Row],[PF]]/knicks_players_all_stats[[#This Row],[GP]]</f>
        <v>2.1351351351351351</v>
      </c>
      <c r="AN76" s="2">
        <v>269</v>
      </c>
      <c r="AO76" s="6">
        <f>knicks_players_all_stats[[#This Row],[PTS]]/knicks_players_all_stats[[#This Row],[GP]]</f>
        <v>7.2702702702702702</v>
      </c>
    </row>
    <row r="77" spans="1:41" x14ac:dyDescent="0.3">
      <c r="A77" s="3" t="s">
        <v>1855</v>
      </c>
      <c r="B77" s="3" t="s">
        <v>1295</v>
      </c>
      <c r="C77" s="3" t="str">
        <f>knicks_players_all_stats[[#This Row],[NAME]]&amp;" ("&amp;knicks_players_all_stats[[#This Row],[SEASON]]&amp;")"</f>
        <v>Jerome Williams (2004-05)</v>
      </c>
      <c r="D77" s="3">
        <f>knicks_players_all_stats[[#This Row],[PLAYER_AGE]]/10</f>
        <v>32</v>
      </c>
      <c r="E77">
        <v>320</v>
      </c>
      <c r="F77" s="2">
        <v>79</v>
      </c>
      <c r="G77" s="2">
        <v>12110</v>
      </c>
      <c r="H7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350</v>
      </c>
      <c r="I77" s="6">
        <f>knicks_players_all_stats[[#This Row],[VALORATION]]/knicks_players_all_stats[[#This Row],[GP]]</f>
        <v>4.4303797468354427</v>
      </c>
      <c r="J77" s="2">
        <v>122</v>
      </c>
      <c r="K77" s="2">
        <v>243</v>
      </c>
      <c r="L77" s="2">
        <v>502</v>
      </c>
      <c r="M77" s="2">
        <v>0</v>
      </c>
      <c r="N77" s="2">
        <v>50</v>
      </c>
      <c r="O77" s="4">
        <f>knicks_players_all_stats[[#This Row],[FG3M]]/knicks_players_all_stats[[#This Row],[FG3A]]</f>
        <v>0</v>
      </c>
      <c r="P77" s="2">
        <v>115</v>
      </c>
      <c r="Q77" s="2">
        <v>172</v>
      </c>
      <c r="R77" s="5">
        <f>knicks_players_all_stats[[#This Row],[FTM]]/knicks_players_all_stats[[#This Row],[FTA]]</f>
        <v>0.66860465116279066</v>
      </c>
      <c r="S77" s="2">
        <f>knicks_players_all_stats[[#This Row],[OREB22]]/10</f>
        <v>115</v>
      </c>
      <c r="T77" s="2">
        <f>knicks_players_all_stats[[#This Row],[DREB33]]/10</f>
        <v>168</v>
      </c>
      <c r="U77" s="2">
        <f>knicks_players_all_stats[[#This Row],[REB44]]/10</f>
        <v>283</v>
      </c>
      <c r="V77">
        <v>1150</v>
      </c>
      <c r="W77">
        <v>1680</v>
      </c>
      <c r="X77">
        <v>2830</v>
      </c>
      <c r="Y77" s="22">
        <f>knicks_players_all_stats[[#This Row],[REB]]/knicks_players_all_stats[[#This Row],[GP]]</f>
        <v>3.5822784810126582</v>
      </c>
      <c r="Z77" s="2">
        <v>41</v>
      </c>
      <c r="AA77" s="6">
        <f>knicks_players_all_stats[[#This Row],[AST]]/knicks_players_all_stats[[#This Row],[GP]]</f>
        <v>0.51898734177215189</v>
      </c>
      <c r="AB77" s="2">
        <f>knicks_players_all_stats[[#This Row],[STL2]]/10</f>
        <v>55</v>
      </c>
      <c r="AC77" s="2">
        <v>550</v>
      </c>
      <c r="AD77" s="6">
        <f>knicks_players_all_stats[[#This Row],[STL]]/knicks_players_all_stats[[#This Row],[GP]]</f>
        <v>0.69620253164556967</v>
      </c>
      <c r="AE77">
        <v>100</v>
      </c>
      <c r="AF77" s="2">
        <f>knicks_players_all_stats[[#This Row],[BLK2]]/10</f>
        <v>10</v>
      </c>
      <c r="AG77" s="6">
        <f>knicks_players_all_stats[[#This Row],[BLK]]/knicks_players_all_stats[[#This Row],[GP]]</f>
        <v>0.12658227848101267</v>
      </c>
      <c r="AH77">
        <v>650</v>
      </c>
      <c r="AI77" s="6">
        <f>knicks_players_all_stats[[#This Row],[BLKPG]]+knicks_players_all_stats[[#This Row],[STLPG]]+knicks_players_all_stats[[#This Row],[REBPG]]</f>
        <v>4.4050632911392409</v>
      </c>
      <c r="AJ77" s="2">
        <f>knicks_players_all_stats[[#This Row],[TOV2]]/10</f>
        <v>65</v>
      </c>
      <c r="AK77" s="6">
        <f>knicks_players_all_stats[[#This Row],[TOV]]/knicks_players_all_stats[[#This Row],[GP]]</f>
        <v>0.82278481012658233</v>
      </c>
      <c r="AL77" s="2">
        <v>155</v>
      </c>
      <c r="AM77" s="2">
        <f>knicks_players_all_stats[[#This Row],[PF]]/knicks_players_all_stats[[#This Row],[GP]]</f>
        <v>1.9620253164556962</v>
      </c>
      <c r="AN77" s="2">
        <v>359</v>
      </c>
      <c r="AO77" s="6">
        <f>knicks_players_all_stats[[#This Row],[PTS]]/knicks_players_all_stats[[#This Row],[GP]]</f>
        <v>4.5443037974683547</v>
      </c>
    </row>
    <row r="78" spans="1:41" x14ac:dyDescent="0.3">
      <c r="A78" s="3" t="s">
        <v>1788</v>
      </c>
      <c r="B78" s="3" t="s">
        <v>1295</v>
      </c>
      <c r="C78" s="3" t="str">
        <f>knicks_players_all_stats[[#This Row],[NAME]]&amp;" ("&amp;knicks_players_all_stats[[#This Row],[SEASON]]&amp;")"</f>
        <v>Maurice Taylor (2004-05)</v>
      </c>
      <c r="D78" s="3">
        <f>knicks_players_all_stats[[#This Row],[PLAYER_AGE]]/10</f>
        <v>28</v>
      </c>
      <c r="E78">
        <v>280</v>
      </c>
      <c r="F78" s="2">
        <v>27</v>
      </c>
      <c r="G78" s="2">
        <v>4310</v>
      </c>
      <c r="H7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117</v>
      </c>
      <c r="I78" s="6">
        <f>knicks_players_all_stats[[#This Row],[VALORATION]]/knicks_players_all_stats[[#This Row],[GP]]</f>
        <v>4.333333333333333</v>
      </c>
      <c r="J78" s="2">
        <v>76</v>
      </c>
      <c r="K78" s="2">
        <v>154</v>
      </c>
      <c r="L78" s="2">
        <v>494</v>
      </c>
      <c r="M78" s="2">
        <v>0</v>
      </c>
      <c r="N78" s="2">
        <v>10</v>
      </c>
      <c r="O78" s="4">
        <f>knicks_players_all_stats[[#This Row],[FG3M]]/knicks_players_all_stats[[#This Row],[FG3A]]</f>
        <v>0</v>
      </c>
      <c r="P78" s="2">
        <v>24</v>
      </c>
      <c r="Q78" s="2">
        <v>43</v>
      </c>
      <c r="R78" s="5">
        <f>knicks_players_all_stats[[#This Row],[FTM]]/knicks_players_all_stats[[#This Row],[FTA]]</f>
        <v>0.55813953488372092</v>
      </c>
      <c r="S78" s="2">
        <f>knicks_players_all_stats[[#This Row],[OREB22]]/10</f>
        <v>26</v>
      </c>
      <c r="T78" s="2">
        <f>knicks_players_all_stats[[#This Row],[DREB33]]/10</f>
        <v>67</v>
      </c>
      <c r="U78" s="2">
        <f>knicks_players_all_stats[[#This Row],[REB44]]/10</f>
        <v>93</v>
      </c>
      <c r="V78">
        <v>260</v>
      </c>
      <c r="W78">
        <v>670</v>
      </c>
      <c r="X78">
        <v>930</v>
      </c>
      <c r="Y78" s="22">
        <f>knicks_players_all_stats[[#This Row],[REB]]/knicks_players_all_stats[[#This Row],[GP]]</f>
        <v>3.4444444444444446</v>
      </c>
      <c r="Z78" s="2">
        <v>14</v>
      </c>
      <c r="AA78" s="6">
        <f>knicks_players_all_stats[[#This Row],[AST]]/knicks_players_all_stats[[#This Row],[GP]]</f>
        <v>0.51851851851851849</v>
      </c>
      <c r="AB78" s="2">
        <f>knicks_players_all_stats[[#This Row],[STL2]]/10</f>
        <v>11</v>
      </c>
      <c r="AC78" s="2">
        <v>110</v>
      </c>
      <c r="AD78" s="6">
        <f>knicks_players_all_stats[[#This Row],[STL]]/knicks_players_all_stats[[#This Row],[GP]]</f>
        <v>0.40740740740740738</v>
      </c>
      <c r="AE78">
        <v>80</v>
      </c>
      <c r="AF78" s="2">
        <f>knicks_players_all_stats[[#This Row],[BLK2]]/10</f>
        <v>8</v>
      </c>
      <c r="AG78" s="6">
        <f>knicks_players_all_stats[[#This Row],[BLK]]/knicks_players_all_stats[[#This Row],[GP]]</f>
        <v>0.29629629629629628</v>
      </c>
      <c r="AH78">
        <v>310</v>
      </c>
      <c r="AI78" s="6">
        <f>knicks_players_all_stats[[#This Row],[BLKPG]]+knicks_players_all_stats[[#This Row],[STLPG]]+knicks_players_all_stats[[#This Row],[REBPG]]</f>
        <v>4.1481481481481488</v>
      </c>
      <c r="AJ78" s="2">
        <f>knicks_players_all_stats[[#This Row],[TOV2]]/10</f>
        <v>31</v>
      </c>
      <c r="AK78" s="6">
        <f>knicks_players_all_stats[[#This Row],[TOV]]/knicks_players_all_stats[[#This Row],[GP]]</f>
        <v>1.1481481481481481</v>
      </c>
      <c r="AL78" s="2">
        <v>57</v>
      </c>
      <c r="AM78" s="2">
        <f>knicks_players_all_stats[[#This Row],[PF]]/knicks_players_all_stats[[#This Row],[GP]]</f>
        <v>2.1111111111111112</v>
      </c>
      <c r="AN78" s="2">
        <v>176</v>
      </c>
      <c r="AO78" s="6">
        <f>knicks_players_all_stats[[#This Row],[PTS]]/knicks_players_all_stats[[#This Row],[GP]]</f>
        <v>6.5185185185185182</v>
      </c>
    </row>
    <row r="79" spans="1:41" customFormat="1" x14ac:dyDescent="0.3">
      <c r="A79" s="3" t="s">
        <v>1519</v>
      </c>
      <c r="B79" s="3" t="s">
        <v>1295</v>
      </c>
      <c r="C79" s="3" t="str">
        <f>knicks_players_all_stats[[#This Row],[NAME]]&amp;" ("&amp;knicks_players_all_stats[[#This Row],[SEASON]]&amp;")"</f>
        <v>Jackie Butler (2004-05)</v>
      </c>
      <c r="D79" s="3">
        <f>knicks_players_all_stats[[#This Row],[PLAYER_AGE]]/10</f>
        <v>20</v>
      </c>
      <c r="E79">
        <v>200</v>
      </c>
      <c r="F79" s="2">
        <v>3</v>
      </c>
      <c r="G79" s="2">
        <v>50</v>
      </c>
      <c r="H7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</v>
      </c>
      <c r="I79" s="6">
        <f>knicks_players_all_stats[[#This Row],[VALORATION]]/knicks_players_all_stats[[#This Row],[GP]]</f>
        <v>3.3333333333333335</v>
      </c>
      <c r="J79" s="2">
        <v>4</v>
      </c>
      <c r="K79" s="2">
        <v>4</v>
      </c>
      <c r="L79" s="4">
        <f>knicks_players_all_stats[[#This Row],[FGM]]/knicks_players_all_stats[[#This Row],[FGA]]</f>
        <v>1</v>
      </c>
      <c r="M79" s="2">
        <v>0</v>
      </c>
      <c r="N79" s="2">
        <v>0</v>
      </c>
      <c r="O79" s="4" t="e">
        <f>knicks_players_all_stats[[#This Row],[FG3M]]/knicks_players_all_stats[[#This Row],[FG3A]]</f>
        <v>#DIV/0!</v>
      </c>
      <c r="P79" s="2">
        <v>2</v>
      </c>
      <c r="Q79" s="2">
        <v>2</v>
      </c>
      <c r="R79" s="5">
        <f>knicks_players_all_stats[[#This Row],[FTM]]/knicks_players_all_stats[[#This Row],[FTA]]</f>
        <v>1</v>
      </c>
      <c r="S79" s="2">
        <f>knicks_players_all_stats[[#This Row],[OREB22]]/10</f>
        <v>0</v>
      </c>
      <c r="T79" s="2">
        <f>knicks_players_all_stats[[#This Row],[DREB33]]/10</f>
        <v>0</v>
      </c>
      <c r="U79" s="2">
        <f>knicks_players_all_stats[[#This Row],[REB44]]/10</f>
        <v>0</v>
      </c>
      <c r="V79">
        <v>0</v>
      </c>
      <c r="W79">
        <v>0</v>
      </c>
      <c r="X79">
        <v>0</v>
      </c>
      <c r="Y79" s="22">
        <f>knicks_players_all_stats[[#This Row],[REB]]/knicks_players_all_stats[[#This Row],[GP]]</f>
        <v>0</v>
      </c>
      <c r="Z79" s="2">
        <v>0</v>
      </c>
      <c r="AA79" s="6">
        <f>knicks_players_all_stats[[#This Row],[AST]]/knicks_players_all_stats[[#This Row],[GP]]</f>
        <v>0</v>
      </c>
      <c r="AB79" s="2">
        <f>knicks_players_all_stats[[#This Row],[STL2]]/10</f>
        <v>1</v>
      </c>
      <c r="AC79" s="2">
        <v>10</v>
      </c>
      <c r="AD79" s="6">
        <f>knicks_players_all_stats[[#This Row],[STL]]/knicks_players_all_stats[[#This Row],[GP]]</f>
        <v>0.33333333333333331</v>
      </c>
      <c r="AE79">
        <v>0</v>
      </c>
      <c r="AF79" s="2">
        <f>knicks_players_all_stats[[#This Row],[BLK2]]/10</f>
        <v>0</v>
      </c>
      <c r="AG79" s="6">
        <f>knicks_players_all_stats[[#This Row],[BLK]]/knicks_players_all_stats[[#This Row],[GP]]</f>
        <v>0</v>
      </c>
      <c r="AH79">
        <v>10</v>
      </c>
      <c r="AI79" s="6">
        <f>knicks_players_all_stats[[#This Row],[BLKPG]]+knicks_players_all_stats[[#This Row],[STLPG]]+knicks_players_all_stats[[#This Row],[REBPG]]</f>
        <v>0.33333333333333331</v>
      </c>
      <c r="AJ79" s="2">
        <f>knicks_players_all_stats[[#This Row],[TOV2]]/10</f>
        <v>1</v>
      </c>
      <c r="AK79" s="6">
        <f>knicks_players_all_stats[[#This Row],[TOV]]/knicks_players_all_stats[[#This Row],[GP]]</f>
        <v>0.33333333333333331</v>
      </c>
      <c r="AL79" s="2">
        <v>0</v>
      </c>
      <c r="AM79" s="2">
        <f>knicks_players_all_stats[[#This Row],[PF]]/knicks_players_all_stats[[#This Row],[GP]]</f>
        <v>0</v>
      </c>
      <c r="AN79" s="2">
        <v>10</v>
      </c>
      <c r="AO79" s="6">
        <f>knicks_players_all_stats[[#This Row],[PTS]]/knicks_players_all_stats[[#This Row],[GP]]</f>
        <v>3.3333333333333335</v>
      </c>
    </row>
    <row r="80" spans="1:41" customFormat="1" x14ac:dyDescent="0.3">
      <c r="A80" s="3" t="s">
        <v>1765</v>
      </c>
      <c r="B80" s="3" t="s">
        <v>1295</v>
      </c>
      <c r="C80" s="3" t="str">
        <f>knicks_players_all_stats[[#This Row],[NAME]]&amp;" ("&amp;knicks_players_all_stats[[#This Row],[SEASON]]&amp;")"</f>
        <v>Jermaine Jackson (2004-05)</v>
      </c>
      <c r="D80" s="3">
        <f>knicks_players_all_stats[[#This Row],[PLAYER_AGE]]/10</f>
        <v>29</v>
      </c>
      <c r="E80">
        <v>290</v>
      </c>
      <c r="F80" s="2">
        <v>21</v>
      </c>
      <c r="G80" s="2">
        <v>2300</v>
      </c>
      <c r="H8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40</v>
      </c>
      <c r="I80" s="6">
        <f>knicks_players_all_stats[[#This Row],[VALORATION]]/knicks_players_all_stats[[#This Row],[GP]]</f>
        <v>1.9047619047619047</v>
      </c>
      <c r="J80" s="2">
        <v>17</v>
      </c>
      <c r="K80" s="2">
        <v>33</v>
      </c>
      <c r="L80" s="2">
        <v>515</v>
      </c>
      <c r="M80" s="2">
        <v>0</v>
      </c>
      <c r="N80" s="2">
        <v>20</v>
      </c>
      <c r="O80" s="4">
        <f>knicks_players_all_stats[[#This Row],[FG3M]]/knicks_players_all_stats[[#This Row],[FG3A]]</f>
        <v>0</v>
      </c>
      <c r="P80" s="2">
        <v>8</v>
      </c>
      <c r="Q80" s="2">
        <v>13</v>
      </c>
      <c r="R80" s="5">
        <f>knicks_players_all_stats[[#This Row],[FTM]]/knicks_players_all_stats[[#This Row],[FTA]]</f>
        <v>0.61538461538461542</v>
      </c>
      <c r="S80" s="2">
        <f>knicks_players_all_stats[[#This Row],[OREB22]]/10</f>
        <v>3</v>
      </c>
      <c r="T80" s="2">
        <f>knicks_players_all_stats[[#This Row],[DREB33]]/10</f>
        <v>20</v>
      </c>
      <c r="U80" s="2">
        <f>knicks_players_all_stats[[#This Row],[REB44]]/10</f>
        <v>23</v>
      </c>
      <c r="V80">
        <v>30</v>
      </c>
      <c r="W80">
        <v>200</v>
      </c>
      <c r="X80">
        <v>230</v>
      </c>
      <c r="Y80" s="22">
        <f>knicks_players_all_stats[[#This Row],[REB]]/knicks_players_all_stats[[#This Row],[GP]]</f>
        <v>1.0952380952380953</v>
      </c>
      <c r="Z80" s="2">
        <v>24</v>
      </c>
      <c r="AA80" s="6">
        <f>knicks_players_all_stats[[#This Row],[AST]]/knicks_players_all_stats[[#This Row],[GP]]</f>
        <v>1.1428571428571428</v>
      </c>
      <c r="AB80" s="2">
        <f>knicks_players_all_stats[[#This Row],[STL2]]/10</f>
        <v>7</v>
      </c>
      <c r="AC80" s="2">
        <v>70</v>
      </c>
      <c r="AD80" s="6">
        <f>knicks_players_all_stats[[#This Row],[STL]]/knicks_players_all_stats[[#This Row],[GP]]</f>
        <v>0.33333333333333331</v>
      </c>
      <c r="AE80">
        <v>10</v>
      </c>
      <c r="AF80" s="2">
        <f>knicks_players_all_stats[[#This Row],[BLK2]]/10</f>
        <v>1</v>
      </c>
      <c r="AG80" s="6">
        <f>knicks_players_all_stats[[#This Row],[BLK]]/knicks_players_all_stats[[#This Row],[GP]]</f>
        <v>4.7619047619047616E-2</v>
      </c>
      <c r="AH80">
        <v>100</v>
      </c>
      <c r="AI80" s="6">
        <f>knicks_players_all_stats[[#This Row],[BLKPG]]+knicks_players_all_stats[[#This Row],[STLPG]]+knicks_players_all_stats[[#This Row],[REBPG]]</f>
        <v>1.4761904761904763</v>
      </c>
      <c r="AJ80" s="2">
        <f>knicks_players_all_stats[[#This Row],[TOV2]]/10</f>
        <v>10</v>
      </c>
      <c r="AK80" s="6">
        <f>knicks_players_all_stats[[#This Row],[TOV]]/knicks_players_all_stats[[#This Row],[GP]]</f>
        <v>0.47619047619047616</v>
      </c>
      <c r="AL80" s="2">
        <v>26</v>
      </c>
      <c r="AM80" s="2">
        <f>knicks_players_all_stats[[#This Row],[PF]]/knicks_players_all_stats[[#This Row],[GP]]</f>
        <v>1.2380952380952381</v>
      </c>
      <c r="AN80" s="2">
        <v>42</v>
      </c>
      <c r="AO80" s="6">
        <f>knicks_players_all_stats[[#This Row],[PTS]]/knicks_players_all_stats[[#This Row],[GP]]</f>
        <v>2</v>
      </c>
    </row>
    <row r="81" spans="1:41" customFormat="1" x14ac:dyDescent="0.3">
      <c r="A81" s="3" t="s">
        <v>1294</v>
      </c>
      <c r="B81" s="3" t="s">
        <v>1295</v>
      </c>
      <c r="C81" s="3" t="str">
        <f>knicks_players_all_stats[[#This Row],[NAME]]&amp;" ("&amp;knicks_players_all_stats[[#This Row],[SEASON]]&amp;")"</f>
        <v>Moochie Norris (2004-05)</v>
      </c>
      <c r="D81" s="3">
        <f>knicks_players_all_stats[[#This Row],[PLAYER_AGE]]/10</f>
        <v>31</v>
      </c>
      <c r="E81">
        <v>310</v>
      </c>
      <c r="F81" s="2">
        <v>32</v>
      </c>
      <c r="G81" s="2">
        <v>3210</v>
      </c>
      <c r="H8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45</v>
      </c>
      <c r="I81" s="6">
        <f>knicks_players_all_stats[[#This Row],[VALORATION]]/knicks_players_all_stats[[#This Row],[GP]]</f>
        <v>1.40625</v>
      </c>
      <c r="J81" s="2">
        <v>32</v>
      </c>
      <c r="K81" s="2">
        <v>93</v>
      </c>
      <c r="L81" s="4">
        <f>knicks_players_all_stats[[#This Row],[FGM]]/knicks_players_all_stats[[#This Row],[FGA]]</f>
        <v>0.34408602150537637</v>
      </c>
      <c r="M81" s="2">
        <v>0</v>
      </c>
      <c r="N81" s="2">
        <v>120</v>
      </c>
      <c r="O81" s="4">
        <f>knicks_players_all_stats[[#This Row],[FG3M]]/knicks_players_all_stats[[#This Row],[FG3A]]</f>
        <v>0</v>
      </c>
      <c r="P81" s="2">
        <v>18</v>
      </c>
      <c r="Q81" s="2">
        <v>22</v>
      </c>
      <c r="R81" s="5">
        <f>knicks_players_all_stats[[#This Row],[FTM]]/knicks_players_all_stats[[#This Row],[FTA]]</f>
        <v>0.81818181818181823</v>
      </c>
      <c r="S81" s="2">
        <f>knicks_players_all_stats[[#This Row],[OREB22]]/10</f>
        <v>9</v>
      </c>
      <c r="T81" s="2">
        <f>knicks_players_all_stats[[#This Row],[DREB33]]/10</f>
        <v>33</v>
      </c>
      <c r="U81" s="2">
        <f>knicks_players_all_stats[[#This Row],[REB44]]/10</f>
        <v>42</v>
      </c>
      <c r="V81">
        <v>90</v>
      </c>
      <c r="W81">
        <v>330</v>
      </c>
      <c r="X81">
        <v>420</v>
      </c>
      <c r="Y81" s="22">
        <f>knicks_players_all_stats[[#This Row],[REB]]/knicks_players_all_stats[[#This Row],[GP]]</f>
        <v>1.3125</v>
      </c>
      <c r="Z81" s="2">
        <v>34</v>
      </c>
      <c r="AA81" s="6">
        <f>knicks_players_all_stats[[#This Row],[AST]]/knicks_players_all_stats[[#This Row],[GP]]</f>
        <v>1.0625</v>
      </c>
      <c r="AB81" s="2">
        <f>knicks_players_all_stats[[#This Row],[STL2]]/10</f>
        <v>17</v>
      </c>
      <c r="AC81" s="2">
        <v>170</v>
      </c>
      <c r="AD81" s="6">
        <f>knicks_players_all_stats[[#This Row],[STL]]/knicks_players_all_stats[[#This Row],[GP]]</f>
        <v>0.53125</v>
      </c>
      <c r="AE81">
        <v>20</v>
      </c>
      <c r="AF81" s="2">
        <f>knicks_players_all_stats[[#This Row],[BLK2]]/10</f>
        <v>2</v>
      </c>
      <c r="AG81" s="6">
        <f>knicks_players_all_stats[[#This Row],[BLK]]/knicks_players_all_stats[[#This Row],[GP]]</f>
        <v>6.25E-2</v>
      </c>
      <c r="AH81">
        <v>250</v>
      </c>
      <c r="AI81" s="6">
        <f>knicks_players_all_stats[[#This Row],[BLKPG]]+knicks_players_all_stats[[#This Row],[STLPG]]+knicks_players_all_stats[[#This Row],[REBPG]]</f>
        <v>1.90625</v>
      </c>
      <c r="AJ81" s="2">
        <f>knicks_players_all_stats[[#This Row],[TOV2]]/10</f>
        <v>25</v>
      </c>
      <c r="AK81" s="6">
        <f>knicks_players_all_stats[[#This Row],[TOV]]/knicks_players_all_stats[[#This Row],[GP]]</f>
        <v>0.78125</v>
      </c>
      <c r="AL81" s="2">
        <v>42</v>
      </c>
      <c r="AM81" s="2">
        <f>knicks_players_all_stats[[#This Row],[PF]]/knicks_players_all_stats[[#This Row],[GP]]</f>
        <v>1.3125</v>
      </c>
      <c r="AN81" s="2">
        <v>82</v>
      </c>
      <c r="AO81" s="6">
        <f>knicks_players_all_stats[[#This Row],[PTS]]/knicks_players_all_stats[[#This Row],[GP]]</f>
        <v>2.5625</v>
      </c>
    </row>
    <row r="82" spans="1:41" customFormat="1" x14ac:dyDescent="0.3">
      <c r="A82" s="3" t="s">
        <v>1624</v>
      </c>
      <c r="B82" s="3" t="s">
        <v>1295</v>
      </c>
      <c r="C82" s="3" t="str">
        <f>knicks_players_all_stats[[#This Row],[NAME]]&amp;" ("&amp;knicks_players_all_stats[[#This Row],[SEASON]]&amp;")"</f>
        <v>Jamison Brewer (2004-05)</v>
      </c>
      <c r="D82" s="3">
        <f>knicks_players_all_stats[[#This Row],[PLAYER_AGE]]/10</f>
        <v>24</v>
      </c>
      <c r="E82">
        <v>240</v>
      </c>
      <c r="F82" s="2">
        <v>18</v>
      </c>
      <c r="G82" s="2">
        <v>1840</v>
      </c>
      <c r="H8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17</v>
      </c>
      <c r="I82" s="6">
        <f>knicks_players_all_stats[[#This Row],[VALORATION]]/knicks_players_all_stats[[#This Row],[GP]]</f>
        <v>0.94444444444444442</v>
      </c>
      <c r="J82" s="2">
        <v>11</v>
      </c>
      <c r="K82" s="2">
        <v>37</v>
      </c>
      <c r="L82" s="4">
        <f>knicks_players_all_stats[[#This Row],[FGM]]/knicks_players_all_stats[[#This Row],[FGA]]</f>
        <v>0.29729729729729731</v>
      </c>
      <c r="M82" s="2">
        <v>30</v>
      </c>
      <c r="N82" s="2">
        <v>150</v>
      </c>
      <c r="O82" s="4">
        <f>knicks_players_all_stats[[#This Row],[FG3M]]/knicks_players_all_stats[[#This Row],[FG3A]]</f>
        <v>0.2</v>
      </c>
      <c r="P82" s="2">
        <v>6</v>
      </c>
      <c r="Q82" s="2">
        <v>13</v>
      </c>
      <c r="R82" s="5">
        <f>knicks_players_all_stats[[#This Row],[FTM]]/knicks_players_all_stats[[#This Row],[FTA]]</f>
        <v>0.46153846153846156</v>
      </c>
      <c r="S82" s="2">
        <f>knicks_players_all_stats[[#This Row],[OREB22]]/10</f>
        <v>6</v>
      </c>
      <c r="T82" s="2">
        <f>knicks_players_all_stats[[#This Row],[DREB33]]/10</f>
        <v>16</v>
      </c>
      <c r="U82" s="2">
        <f>knicks_players_all_stats[[#This Row],[REB44]]/10</f>
        <v>22</v>
      </c>
      <c r="V82">
        <v>60</v>
      </c>
      <c r="W82">
        <v>160</v>
      </c>
      <c r="X82">
        <v>220</v>
      </c>
      <c r="Y82" s="22">
        <f>knicks_players_all_stats[[#This Row],[REB]]/knicks_players_all_stats[[#This Row],[GP]]</f>
        <v>1.2222222222222223</v>
      </c>
      <c r="Z82" s="2">
        <v>12</v>
      </c>
      <c r="AA82" s="6">
        <f>knicks_players_all_stats[[#This Row],[AST]]/knicks_players_all_stats[[#This Row],[GP]]</f>
        <v>0.66666666666666663</v>
      </c>
      <c r="AB82" s="2">
        <f>knicks_players_all_stats[[#This Row],[STL2]]/10</f>
        <v>8</v>
      </c>
      <c r="AC82" s="2">
        <v>80</v>
      </c>
      <c r="AD82" s="6">
        <f>knicks_players_all_stats[[#This Row],[STL]]/knicks_players_all_stats[[#This Row],[GP]]</f>
        <v>0.44444444444444442</v>
      </c>
      <c r="AE82">
        <v>10</v>
      </c>
      <c r="AF82" s="2">
        <f>knicks_players_all_stats[[#This Row],[BLK2]]/10</f>
        <v>1</v>
      </c>
      <c r="AG82" s="6">
        <f>knicks_players_all_stats[[#This Row],[BLK]]/knicks_players_all_stats[[#This Row],[GP]]</f>
        <v>5.5555555555555552E-2</v>
      </c>
      <c r="AH82">
        <v>130</v>
      </c>
      <c r="AI82" s="6">
        <f>knicks_players_all_stats[[#This Row],[BLKPG]]+knicks_players_all_stats[[#This Row],[STLPG]]+knicks_players_all_stats[[#This Row],[REBPG]]</f>
        <v>1.7222222222222223</v>
      </c>
      <c r="AJ82" s="2">
        <f>knicks_players_all_stats[[#This Row],[TOV2]]/10</f>
        <v>13</v>
      </c>
      <c r="AK82" s="6">
        <f>knicks_players_all_stats[[#This Row],[TOV]]/knicks_players_all_stats[[#This Row],[GP]]</f>
        <v>0.72222222222222221</v>
      </c>
      <c r="AL82" s="2">
        <v>11</v>
      </c>
      <c r="AM82" s="2">
        <f>knicks_players_all_stats[[#This Row],[PF]]/knicks_players_all_stats[[#This Row],[GP]]</f>
        <v>0.61111111111111116</v>
      </c>
      <c r="AN82" s="2">
        <v>31</v>
      </c>
      <c r="AO82" s="6">
        <f>knicks_players_all_stats[[#This Row],[PTS]]/knicks_players_all_stats[[#This Row],[GP]]</f>
        <v>1.7222222222222223</v>
      </c>
    </row>
    <row r="83" spans="1:41" x14ac:dyDescent="0.3">
      <c r="A83" s="3" t="s">
        <v>1388</v>
      </c>
      <c r="B83" s="3" t="s">
        <v>1295</v>
      </c>
      <c r="C83" s="3" t="str">
        <f>knicks_players_all_stats[[#This Row],[NAME]]&amp;" ("&amp;knicks_players_all_stats[[#This Row],[SEASON]]&amp;")"</f>
        <v>Vin Baker (2004-05)</v>
      </c>
      <c r="D83" s="3">
        <f>knicks_players_all_stats[[#This Row],[PLAYER_AGE]]/10</f>
        <v>33</v>
      </c>
      <c r="E83">
        <v>330</v>
      </c>
      <c r="F83" s="2">
        <v>24</v>
      </c>
      <c r="G83" s="2">
        <v>1910</v>
      </c>
      <c r="H8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</v>
      </c>
      <c r="I83" s="6">
        <f>knicks_players_all_stats[[#This Row],[VALORATION]]/knicks_players_all_stats[[#This Row],[GP]]</f>
        <v>0.25</v>
      </c>
      <c r="J83" s="2">
        <v>13</v>
      </c>
      <c r="K83" s="2">
        <v>38</v>
      </c>
      <c r="L83" s="4">
        <f>knicks_players_all_stats[[#This Row],[FGM]]/knicks_players_all_stats[[#This Row],[FGA]]</f>
        <v>0.34210526315789475</v>
      </c>
      <c r="M83" s="2">
        <v>0</v>
      </c>
      <c r="N83" s="2">
        <v>10</v>
      </c>
      <c r="O83" s="4">
        <f>knicks_players_all_stats[[#This Row],[FG3M]]/knicks_players_all_stats[[#This Row],[FG3A]]</f>
        <v>0</v>
      </c>
      <c r="P83" s="2">
        <v>7</v>
      </c>
      <c r="Q83" s="2">
        <v>15</v>
      </c>
      <c r="R83" s="5">
        <f>knicks_players_all_stats[[#This Row],[FTM]]/knicks_players_all_stats[[#This Row],[FTA]]</f>
        <v>0.46666666666666667</v>
      </c>
      <c r="S83" s="2">
        <f>knicks_players_all_stats[[#This Row],[OREB22]]/10</f>
        <v>17</v>
      </c>
      <c r="T83" s="2">
        <f>knicks_players_all_stats[[#This Row],[DREB33]]/10</f>
        <v>20</v>
      </c>
      <c r="U83" s="2">
        <f>knicks_players_all_stats[[#This Row],[REB44]]/10</f>
        <v>37</v>
      </c>
      <c r="V83">
        <v>170</v>
      </c>
      <c r="W83">
        <v>200</v>
      </c>
      <c r="X83">
        <v>370</v>
      </c>
      <c r="Y83" s="22">
        <f>knicks_players_all_stats[[#This Row],[REB]]/knicks_players_all_stats[[#This Row],[GP]]</f>
        <v>1.5416666666666667</v>
      </c>
      <c r="Z83" s="2">
        <v>9</v>
      </c>
      <c r="AA83" s="6">
        <f>knicks_players_all_stats[[#This Row],[AST]]/knicks_players_all_stats[[#This Row],[GP]]</f>
        <v>0.375</v>
      </c>
      <c r="AB83" s="2">
        <f>knicks_players_all_stats[[#This Row],[STL2]]/10</f>
        <v>2</v>
      </c>
      <c r="AC83" s="2">
        <v>20</v>
      </c>
      <c r="AD83" s="6">
        <f>knicks_players_all_stats[[#This Row],[STL]]/knicks_players_all_stats[[#This Row],[GP]]</f>
        <v>8.3333333333333329E-2</v>
      </c>
      <c r="AE83">
        <v>40</v>
      </c>
      <c r="AF83" s="2">
        <f>knicks_players_all_stats[[#This Row],[BLK2]]/10</f>
        <v>4</v>
      </c>
      <c r="AG83" s="6">
        <f>knicks_players_all_stats[[#This Row],[BLK]]/knicks_players_all_stats[[#This Row],[GP]]</f>
        <v>0.16666666666666666</v>
      </c>
      <c r="AH83">
        <v>150</v>
      </c>
      <c r="AI83" s="6">
        <f>knicks_players_all_stats[[#This Row],[BLKPG]]+knicks_players_all_stats[[#This Row],[STLPG]]+knicks_players_all_stats[[#This Row],[REBPG]]</f>
        <v>1.7916666666666667</v>
      </c>
      <c r="AJ83" s="2">
        <f>knicks_players_all_stats[[#This Row],[TOV2]]/10</f>
        <v>15</v>
      </c>
      <c r="AK83" s="6">
        <f>knicks_players_all_stats[[#This Row],[TOV]]/knicks_players_all_stats[[#This Row],[GP]]</f>
        <v>0.625</v>
      </c>
      <c r="AL83" s="2">
        <v>31</v>
      </c>
      <c r="AM83" s="2">
        <f>knicks_players_all_stats[[#This Row],[PF]]/knicks_players_all_stats[[#This Row],[GP]]</f>
        <v>1.2916666666666667</v>
      </c>
      <c r="AN83" s="2">
        <v>33</v>
      </c>
      <c r="AO83" s="6">
        <f>knicks_players_all_stats[[#This Row],[PTS]]/knicks_players_all_stats[[#This Row],[GP]]</f>
        <v>1.375</v>
      </c>
    </row>
    <row r="84" spans="1:41" x14ac:dyDescent="0.3">
      <c r="A84" s="3" t="s">
        <v>1784</v>
      </c>
      <c r="B84" s="3" t="s">
        <v>1295</v>
      </c>
      <c r="C84" s="3" t="str">
        <f>knicks_players_all_stats[[#This Row],[NAME]]&amp;" ("&amp;knicks_players_all_stats[[#This Row],[SEASON]]&amp;")"</f>
        <v>Bruno Sundov (2004-05)</v>
      </c>
      <c r="D84" s="3">
        <f>knicks_players_all_stats[[#This Row],[PLAYER_AGE]]/10</f>
        <v>25</v>
      </c>
      <c r="E84">
        <v>250</v>
      </c>
      <c r="F84" s="2">
        <v>21</v>
      </c>
      <c r="G84" s="2">
        <v>730</v>
      </c>
      <c r="H8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-4</v>
      </c>
      <c r="I84" s="6">
        <f>knicks_players_all_stats[[#This Row],[VALORATION]]/knicks_players_all_stats[[#This Row],[GP]]</f>
        <v>-0.19047619047619047</v>
      </c>
      <c r="J84" s="2">
        <v>11</v>
      </c>
      <c r="K84" s="2">
        <v>37</v>
      </c>
      <c r="L84" s="2">
        <v>297</v>
      </c>
      <c r="M84" s="2">
        <v>10</v>
      </c>
      <c r="N84" s="2">
        <v>30</v>
      </c>
      <c r="O84" s="4">
        <f>knicks_players_all_stats[[#This Row],[FG3M]]/knicks_players_all_stats[[#This Row],[FG3A]]</f>
        <v>0.33333333333333331</v>
      </c>
      <c r="P84" s="2">
        <v>2</v>
      </c>
      <c r="Q84" s="2">
        <v>2</v>
      </c>
      <c r="R84" s="5">
        <f>knicks_players_all_stats[[#This Row],[FTM]]/knicks_players_all_stats[[#This Row],[FTA]]</f>
        <v>1</v>
      </c>
      <c r="S84" s="2">
        <f>knicks_players_all_stats[[#This Row],[OREB22]]/10</f>
        <v>6</v>
      </c>
      <c r="T84" s="2">
        <f>knicks_players_all_stats[[#This Row],[DREB33]]/10</f>
        <v>7</v>
      </c>
      <c r="U84" s="2">
        <f>knicks_players_all_stats[[#This Row],[REB44]]/10</f>
        <v>13</v>
      </c>
      <c r="V84">
        <v>60</v>
      </c>
      <c r="W84">
        <v>70</v>
      </c>
      <c r="X84">
        <v>130</v>
      </c>
      <c r="Y84" s="22">
        <f>knicks_players_all_stats[[#This Row],[REB]]/knicks_players_all_stats[[#This Row],[GP]]</f>
        <v>0.61904761904761907</v>
      </c>
      <c r="Z84" s="2">
        <v>2</v>
      </c>
      <c r="AA84" s="6">
        <f>knicks_players_all_stats[[#This Row],[AST]]/knicks_players_all_stats[[#This Row],[GP]]</f>
        <v>9.5238095238095233E-2</v>
      </c>
      <c r="AB84" s="2">
        <f>knicks_players_all_stats[[#This Row],[STL2]]/10</f>
        <v>2</v>
      </c>
      <c r="AC84" s="2">
        <v>20</v>
      </c>
      <c r="AD84" s="6">
        <f>knicks_players_all_stats[[#This Row],[STL]]/knicks_players_all_stats[[#This Row],[GP]]</f>
        <v>9.5238095238095233E-2</v>
      </c>
      <c r="AE84">
        <v>20</v>
      </c>
      <c r="AF84" s="2">
        <f>knicks_players_all_stats[[#This Row],[BLK2]]/10</f>
        <v>2</v>
      </c>
      <c r="AG84" s="6">
        <f>knicks_players_all_stats[[#This Row],[BLK]]/knicks_players_all_stats[[#This Row],[GP]]</f>
        <v>9.5238095238095233E-2</v>
      </c>
      <c r="AH84">
        <v>60</v>
      </c>
      <c r="AI84" s="6">
        <f>knicks_players_all_stats[[#This Row],[BLKPG]]+knicks_players_all_stats[[#This Row],[STLPG]]+knicks_players_all_stats[[#This Row],[REBPG]]</f>
        <v>0.80952380952380953</v>
      </c>
      <c r="AJ84" s="2">
        <f>knicks_players_all_stats[[#This Row],[TOV2]]/10</f>
        <v>6</v>
      </c>
      <c r="AK84" s="6">
        <f>knicks_players_all_stats[[#This Row],[TOV]]/knicks_players_all_stats[[#This Row],[GP]]</f>
        <v>0.2857142857142857</v>
      </c>
      <c r="AL84" s="2">
        <v>16</v>
      </c>
      <c r="AM84" s="2">
        <f>knicks_players_all_stats[[#This Row],[PF]]/knicks_players_all_stats[[#This Row],[GP]]</f>
        <v>0.76190476190476186</v>
      </c>
      <c r="AN84" s="2">
        <v>25</v>
      </c>
      <c r="AO84" s="6">
        <f>knicks_players_all_stats[[#This Row],[PTS]]/knicks_players_all_stats[[#This Row],[GP]]</f>
        <v>1.1904761904761905</v>
      </c>
    </row>
    <row r="85" spans="1:41" customFormat="1" x14ac:dyDescent="0.3">
      <c r="A85" s="3" t="s">
        <v>1632</v>
      </c>
      <c r="B85" s="3" t="s">
        <v>1295</v>
      </c>
      <c r="C85" s="3" t="str">
        <f>knicks_players_all_stats[[#This Row],[NAME]]&amp;" ("&amp;knicks_players_all_stats[[#This Row],[SEASON]]&amp;")"</f>
        <v>Shandon Anderson (2004-05)</v>
      </c>
      <c r="D85" s="3">
        <f>knicks_players_all_stats[[#This Row],[PLAYER_AGE]]/10</f>
        <v>31</v>
      </c>
      <c r="E85">
        <v>310</v>
      </c>
      <c r="F85" s="2">
        <v>1</v>
      </c>
      <c r="G85" s="2">
        <v>200</v>
      </c>
      <c r="H8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-4</v>
      </c>
      <c r="I85" s="6">
        <f>knicks_players_all_stats[[#This Row],[VALORATION]]/knicks_players_all_stats[[#This Row],[GP]]</f>
        <v>-4</v>
      </c>
      <c r="J85" s="2">
        <v>0</v>
      </c>
      <c r="K85" s="2">
        <v>2</v>
      </c>
      <c r="L85" s="4">
        <f>knicks_players_all_stats[[#This Row],[FGM]]/knicks_players_all_stats[[#This Row],[FGA]]</f>
        <v>0</v>
      </c>
      <c r="M85" s="2">
        <v>0</v>
      </c>
      <c r="N85" s="2">
        <v>10</v>
      </c>
      <c r="O85" s="4">
        <f>knicks_players_all_stats[[#This Row],[FG3M]]/knicks_players_all_stats[[#This Row],[FG3A]]</f>
        <v>0</v>
      </c>
      <c r="P85" s="2">
        <v>0</v>
      </c>
      <c r="Q85" s="2">
        <v>0</v>
      </c>
      <c r="R85" s="5" t="e">
        <f>knicks_players_all_stats[[#This Row],[FTM]]/knicks_players_all_stats[[#This Row],[FTA]]</f>
        <v>#DIV/0!</v>
      </c>
      <c r="S85" s="2">
        <f>knicks_players_all_stats[[#This Row],[OREB22]]/10</f>
        <v>1</v>
      </c>
      <c r="T85" s="2">
        <f>knicks_players_all_stats[[#This Row],[DREB33]]/10</f>
        <v>0</v>
      </c>
      <c r="U85" s="2">
        <f>knicks_players_all_stats[[#This Row],[REB44]]/10</f>
        <v>1</v>
      </c>
      <c r="V85">
        <v>10</v>
      </c>
      <c r="W85">
        <v>0</v>
      </c>
      <c r="X85">
        <v>10</v>
      </c>
      <c r="Y85" s="22">
        <f>knicks_players_all_stats[[#This Row],[REB]]/knicks_players_all_stats[[#This Row],[GP]]</f>
        <v>1</v>
      </c>
      <c r="Z85" s="2">
        <v>0</v>
      </c>
      <c r="AA85" s="6">
        <f>knicks_players_all_stats[[#This Row],[AST]]/knicks_players_all_stats[[#This Row],[GP]]</f>
        <v>0</v>
      </c>
      <c r="AB85" s="2">
        <f>knicks_players_all_stats[[#This Row],[STL2]]/10</f>
        <v>0</v>
      </c>
      <c r="AC85" s="2">
        <v>0</v>
      </c>
      <c r="AD85" s="6">
        <f>knicks_players_all_stats[[#This Row],[STL]]/knicks_players_all_stats[[#This Row],[GP]]</f>
        <v>0</v>
      </c>
      <c r="AE85">
        <v>0</v>
      </c>
      <c r="AF85" s="2">
        <f>knicks_players_all_stats[[#This Row],[BLK2]]/10</f>
        <v>0</v>
      </c>
      <c r="AG85" s="6">
        <f>knicks_players_all_stats[[#This Row],[BLK]]/knicks_players_all_stats[[#This Row],[GP]]</f>
        <v>0</v>
      </c>
      <c r="AH85">
        <v>10</v>
      </c>
      <c r="AI85" s="6">
        <f>knicks_players_all_stats[[#This Row],[BLKPG]]+knicks_players_all_stats[[#This Row],[STLPG]]+knicks_players_all_stats[[#This Row],[REBPG]]</f>
        <v>1</v>
      </c>
      <c r="AJ85" s="2">
        <f>knicks_players_all_stats[[#This Row],[TOV2]]/10</f>
        <v>1</v>
      </c>
      <c r="AK85" s="6">
        <f>knicks_players_all_stats[[#This Row],[TOV]]/knicks_players_all_stats[[#This Row],[GP]]</f>
        <v>1</v>
      </c>
      <c r="AL85" s="2">
        <v>2</v>
      </c>
      <c r="AM85" s="2">
        <f>knicks_players_all_stats[[#This Row],[PF]]/knicks_players_all_stats[[#This Row],[GP]]</f>
        <v>2</v>
      </c>
      <c r="AN85" s="2">
        <v>0</v>
      </c>
      <c r="AO85" s="6">
        <f>knicks_players_all_stats[[#This Row],[PTS]]/knicks_players_all_stats[[#This Row],[GP]]</f>
        <v>0</v>
      </c>
    </row>
    <row r="86" spans="1:41" x14ac:dyDescent="0.3">
      <c r="A86" s="3" t="s">
        <v>1498</v>
      </c>
      <c r="B86" s="3" t="s">
        <v>1300</v>
      </c>
      <c r="C86" s="3" t="str">
        <f>knicks_players_all_stats[[#This Row],[NAME]]&amp;" ("&amp;knicks_players_all_stats[[#This Row],[SEASON]]&amp;")"</f>
        <v>Stephon Marbury (2005-06)</v>
      </c>
      <c r="D86" s="3">
        <f>knicks_players_all_stats[[#This Row],[PLAYER_AGE]]/10</f>
        <v>29</v>
      </c>
      <c r="E86">
        <v>290</v>
      </c>
      <c r="F86" s="2">
        <v>60</v>
      </c>
      <c r="G86" s="2">
        <v>21930</v>
      </c>
      <c r="H8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796</v>
      </c>
      <c r="I86" s="6">
        <f>knicks_players_all_stats[[#This Row],[VALORATION]]/knicks_players_all_stats[[#This Row],[GP]]</f>
        <v>13.266666666666667</v>
      </c>
      <c r="J86" s="2">
        <v>349</v>
      </c>
      <c r="K86" s="2">
        <v>774</v>
      </c>
      <c r="L86" s="4">
        <f>knicks_players_all_stats[[#This Row],[FGM]]/knicks_players_all_stats[[#This Row],[FGA]]</f>
        <v>0.45090439276485789</v>
      </c>
      <c r="M86" s="2">
        <v>330</v>
      </c>
      <c r="N86" s="2">
        <v>1040</v>
      </c>
      <c r="O86" s="4">
        <f>knicks_players_all_stats[[#This Row],[FG3M]]/knicks_players_all_stats[[#This Row],[FG3A]]</f>
        <v>0.31730769230769229</v>
      </c>
      <c r="P86" s="2">
        <v>246</v>
      </c>
      <c r="Q86" s="2">
        <v>326</v>
      </c>
      <c r="R86" s="5">
        <f>knicks_players_all_stats[[#This Row],[FTM]]/knicks_players_all_stats[[#This Row],[FTA]]</f>
        <v>0.754601226993865</v>
      </c>
      <c r="S86" s="2">
        <f>knicks_players_all_stats[[#This Row],[OREB22]]/10</f>
        <v>25</v>
      </c>
      <c r="T86" s="2">
        <f>knicks_players_all_stats[[#This Row],[DREB33]]/10</f>
        <v>150</v>
      </c>
      <c r="U86" s="2">
        <f>knicks_players_all_stats[[#This Row],[REB44]]/10</f>
        <v>175</v>
      </c>
      <c r="V86">
        <v>250</v>
      </c>
      <c r="W86">
        <v>1500</v>
      </c>
      <c r="X86">
        <v>1750</v>
      </c>
      <c r="Y86" s="22">
        <f>knicks_players_all_stats[[#This Row],[REB]]/knicks_players_all_stats[[#This Row],[GP]]</f>
        <v>2.9166666666666665</v>
      </c>
      <c r="Z86" s="2">
        <v>382</v>
      </c>
      <c r="AA86" s="6">
        <f>knicks_players_all_stats[[#This Row],[AST]]/knicks_players_all_stats[[#This Row],[GP]]</f>
        <v>6.3666666666666663</v>
      </c>
      <c r="AB86" s="2">
        <f>knicks_players_all_stats[[#This Row],[STL2]]/10</f>
        <v>63</v>
      </c>
      <c r="AC86" s="2">
        <v>630</v>
      </c>
      <c r="AD86" s="6">
        <f>knicks_players_all_stats[[#This Row],[STL]]/knicks_players_all_stats[[#This Row],[GP]]</f>
        <v>1.05</v>
      </c>
      <c r="AE86">
        <v>40</v>
      </c>
      <c r="AF86" s="2">
        <f>knicks_players_all_stats[[#This Row],[BLK2]]/10</f>
        <v>4</v>
      </c>
      <c r="AG86" s="6">
        <f>knicks_players_all_stats[[#This Row],[BLK]]/knicks_players_all_stats[[#This Row],[GP]]</f>
        <v>6.6666666666666666E-2</v>
      </c>
      <c r="AH86">
        <v>1570</v>
      </c>
      <c r="AI86" s="6">
        <f>knicks_players_all_stats[[#This Row],[BLKPG]]+knicks_players_all_stats[[#This Row],[STLPG]]+knicks_players_all_stats[[#This Row],[REBPG]]</f>
        <v>4.0333333333333332</v>
      </c>
      <c r="AJ86" s="2">
        <f>knicks_players_all_stats[[#This Row],[TOV2]]/10</f>
        <v>157</v>
      </c>
      <c r="AK86" s="6">
        <f>knicks_players_all_stats[[#This Row],[TOV]]/knicks_players_all_stats[[#This Row],[GP]]</f>
        <v>2.6166666666666667</v>
      </c>
      <c r="AL86" s="2">
        <v>143</v>
      </c>
      <c r="AM86" s="2">
        <f>knicks_players_all_stats[[#This Row],[PF]]/knicks_players_all_stats[[#This Row],[GP]]</f>
        <v>2.3833333333333333</v>
      </c>
      <c r="AN86" s="2">
        <v>977</v>
      </c>
      <c r="AO86" s="6">
        <f>knicks_players_all_stats[[#This Row],[PTS]]/knicks_players_all_stats[[#This Row],[GP]]</f>
        <v>16.283333333333335</v>
      </c>
    </row>
    <row r="87" spans="1:41" customFormat="1" x14ac:dyDescent="0.3">
      <c r="A87" s="3" t="s">
        <v>1697</v>
      </c>
      <c r="B87" s="3" t="s">
        <v>1300</v>
      </c>
      <c r="C87" s="3" t="str">
        <f>knicks_players_all_stats[[#This Row],[NAME]]&amp;" ("&amp;knicks_players_all_stats[[#This Row],[SEASON]]&amp;")"</f>
        <v>Jamal Crawford (2005-06)</v>
      </c>
      <c r="D87" s="3">
        <f>knicks_players_all_stats[[#This Row],[PLAYER_AGE]]/10</f>
        <v>26</v>
      </c>
      <c r="E87">
        <v>260</v>
      </c>
      <c r="F87" s="2">
        <v>79</v>
      </c>
      <c r="G87" s="2">
        <v>25550</v>
      </c>
      <c r="H8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879</v>
      </c>
      <c r="I87" s="6">
        <f>knicks_players_all_stats[[#This Row],[VALORATION]]/knicks_players_all_stats[[#This Row],[GP]]</f>
        <v>11.126582278481013</v>
      </c>
      <c r="J87" s="2">
        <v>366</v>
      </c>
      <c r="K87" s="2">
        <v>879</v>
      </c>
      <c r="L87" s="2">
        <v>416</v>
      </c>
      <c r="M87" s="2">
        <v>1010</v>
      </c>
      <c r="N87" s="2">
        <v>2930</v>
      </c>
      <c r="O87" s="4">
        <f>knicks_players_all_stats[[#This Row],[FG3M]]/knicks_players_all_stats[[#This Row],[FG3A]]</f>
        <v>0.34470989761092152</v>
      </c>
      <c r="P87" s="2">
        <v>295</v>
      </c>
      <c r="Q87" s="2">
        <v>357</v>
      </c>
      <c r="R87" s="5">
        <f>knicks_players_all_stats[[#This Row],[FTM]]/knicks_players_all_stats[[#This Row],[FTA]]</f>
        <v>0.8263305322128851</v>
      </c>
      <c r="S87" s="2">
        <f>knicks_players_all_stats[[#This Row],[OREB22]]/10</f>
        <v>36</v>
      </c>
      <c r="T87" s="2">
        <f>knicks_players_all_stats[[#This Row],[DREB33]]/10</f>
        <v>212</v>
      </c>
      <c r="U87" s="2">
        <f>knicks_players_all_stats[[#This Row],[REB44]]/10</f>
        <v>248</v>
      </c>
      <c r="V87">
        <v>360</v>
      </c>
      <c r="W87">
        <v>2120</v>
      </c>
      <c r="X87">
        <v>2480</v>
      </c>
      <c r="Y87" s="22">
        <f>knicks_players_all_stats[[#This Row],[REB]]/knicks_players_all_stats[[#This Row],[GP]]</f>
        <v>3.1392405063291138</v>
      </c>
      <c r="Z87" s="2">
        <v>301</v>
      </c>
      <c r="AA87" s="6">
        <f>knicks_players_all_stats[[#This Row],[AST]]/knicks_players_all_stats[[#This Row],[GP]]</f>
        <v>3.8101265822784809</v>
      </c>
      <c r="AB87" s="2">
        <f>knicks_players_all_stats[[#This Row],[STL2]]/10</f>
        <v>87</v>
      </c>
      <c r="AC87" s="2">
        <v>870</v>
      </c>
      <c r="AD87" s="6">
        <f>knicks_players_all_stats[[#This Row],[STL]]/knicks_players_all_stats[[#This Row],[GP]]</f>
        <v>1.1012658227848102</v>
      </c>
      <c r="AE87">
        <v>150</v>
      </c>
      <c r="AF87" s="2">
        <f>knicks_players_all_stats[[#This Row],[BLK2]]/10</f>
        <v>15</v>
      </c>
      <c r="AG87" s="6">
        <f>knicks_players_all_stats[[#This Row],[BLK]]/knicks_players_all_stats[[#This Row],[GP]]</f>
        <v>0.189873417721519</v>
      </c>
      <c r="AH87">
        <v>1750</v>
      </c>
      <c r="AI87" s="6">
        <f>knicks_players_all_stats[[#This Row],[BLKPG]]+knicks_players_all_stats[[#This Row],[STLPG]]+knicks_players_all_stats[[#This Row],[REBPG]]</f>
        <v>4.4303797468354436</v>
      </c>
      <c r="AJ87" s="2">
        <f>knicks_players_all_stats[[#This Row],[TOV2]]/10</f>
        <v>175</v>
      </c>
      <c r="AK87" s="6">
        <f>knicks_players_all_stats[[#This Row],[TOV]]/knicks_players_all_stats[[#This Row],[GP]]</f>
        <v>2.2151898734177213</v>
      </c>
      <c r="AL87" s="2">
        <v>150</v>
      </c>
      <c r="AM87" s="2">
        <f>knicks_players_all_stats[[#This Row],[PF]]/knicks_players_all_stats[[#This Row],[GP]]</f>
        <v>1.8987341772151898</v>
      </c>
      <c r="AN87" s="2">
        <v>1128</v>
      </c>
      <c r="AO87" s="6">
        <f>knicks_players_all_stats[[#This Row],[PTS]]/knicks_players_all_stats[[#This Row],[GP]]</f>
        <v>14.278481012658228</v>
      </c>
    </row>
    <row r="88" spans="1:41" customFormat="1" x14ac:dyDescent="0.3">
      <c r="A88" s="3" t="s">
        <v>1758</v>
      </c>
      <c r="B88" s="3" t="s">
        <v>1300</v>
      </c>
      <c r="C88" s="3" t="str">
        <f>knicks_players_all_stats[[#This Row],[NAME]]&amp;" ("&amp;knicks_players_all_stats[[#This Row],[SEASON]]&amp;")"</f>
        <v>Channing Frye (2005-06)</v>
      </c>
      <c r="D88" s="3">
        <f>knicks_players_all_stats[[#This Row],[PLAYER_AGE]]/10</f>
        <v>23</v>
      </c>
      <c r="E88">
        <v>230</v>
      </c>
      <c r="F88" s="2">
        <v>65</v>
      </c>
      <c r="G88" s="2">
        <v>15720</v>
      </c>
      <c r="H8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634</v>
      </c>
      <c r="I88" s="6">
        <f>knicks_players_all_stats[[#This Row],[VALORATION]]/knicks_players_all_stats[[#This Row],[GP]]</f>
        <v>9.7538461538461547</v>
      </c>
      <c r="J88" s="2">
        <v>305</v>
      </c>
      <c r="K88" s="2">
        <v>640</v>
      </c>
      <c r="L88" s="2">
        <v>477</v>
      </c>
      <c r="M88" s="2">
        <v>30</v>
      </c>
      <c r="N88" s="2">
        <v>90</v>
      </c>
      <c r="O88" s="4">
        <f>knicks_players_all_stats[[#This Row],[FG3M]]/knicks_players_all_stats[[#This Row],[FG3A]]</f>
        <v>0.33333333333333331</v>
      </c>
      <c r="P88" s="2">
        <v>189</v>
      </c>
      <c r="Q88" s="2">
        <v>229</v>
      </c>
      <c r="R88" s="5">
        <f>knicks_players_all_stats[[#This Row],[FTM]]/knicks_players_all_stats[[#This Row],[FTA]]</f>
        <v>0.8253275109170306</v>
      </c>
      <c r="S88" s="2">
        <f>knicks_players_all_stats[[#This Row],[OREB22]]/10</f>
        <v>138</v>
      </c>
      <c r="T88" s="2">
        <f>knicks_players_all_stats[[#This Row],[DREB33]]/10</f>
        <v>236</v>
      </c>
      <c r="U88" s="2">
        <f>knicks_players_all_stats[[#This Row],[REB44]]/10</f>
        <v>374</v>
      </c>
      <c r="V88">
        <v>1380</v>
      </c>
      <c r="W88">
        <v>2360</v>
      </c>
      <c r="X88">
        <v>3740</v>
      </c>
      <c r="Y88" s="22">
        <f>knicks_players_all_stats[[#This Row],[REB]]/knicks_players_all_stats[[#This Row],[GP]]</f>
        <v>5.7538461538461538</v>
      </c>
      <c r="Z88" s="2">
        <v>53</v>
      </c>
      <c r="AA88" s="6">
        <f>knicks_players_all_stats[[#This Row],[AST]]/knicks_players_all_stats[[#This Row],[GP]]</f>
        <v>0.81538461538461537</v>
      </c>
      <c r="AB88" s="2">
        <f>knicks_players_all_stats[[#This Row],[STL2]]/10</f>
        <v>30</v>
      </c>
      <c r="AC88" s="2">
        <v>300</v>
      </c>
      <c r="AD88" s="6">
        <f>knicks_players_all_stats[[#This Row],[STL]]/knicks_players_all_stats[[#This Row],[GP]]</f>
        <v>0.46153846153846156</v>
      </c>
      <c r="AE88">
        <v>470</v>
      </c>
      <c r="AF88" s="2">
        <f>knicks_players_all_stats[[#This Row],[BLK2]]/10</f>
        <v>47</v>
      </c>
      <c r="AG88" s="6">
        <f>knicks_players_all_stats[[#This Row],[BLK]]/knicks_players_all_stats[[#This Row],[GP]]</f>
        <v>0.72307692307692306</v>
      </c>
      <c r="AH88">
        <v>970</v>
      </c>
      <c r="AI88" s="6">
        <f>knicks_players_all_stats[[#This Row],[BLKPG]]+knicks_players_all_stats[[#This Row],[STLPG]]+knicks_players_all_stats[[#This Row],[REBPG]]</f>
        <v>6.9384615384615387</v>
      </c>
      <c r="AJ88" s="2">
        <f>knicks_players_all_stats[[#This Row],[TOV2]]/10</f>
        <v>97</v>
      </c>
      <c r="AK88" s="6">
        <f>knicks_players_all_stats[[#This Row],[TOV]]/knicks_players_all_stats[[#This Row],[GP]]</f>
        <v>1.4923076923076923</v>
      </c>
      <c r="AL88" s="2">
        <v>200</v>
      </c>
      <c r="AM88" s="2">
        <f>knicks_players_all_stats[[#This Row],[PF]]/knicks_players_all_stats[[#This Row],[GP]]</f>
        <v>3.0769230769230771</v>
      </c>
      <c r="AN88" s="2">
        <v>802</v>
      </c>
      <c r="AO88" s="6">
        <f>knicks_players_all_stats[[#This Row],[PTS]]/knicks_players_all_stats[[#This Row],[GP]]</f>
        <v>12.338461538461539</v>
      </c>
    </row>
    <row r="89" spans="1:41" x14ac:dyDescent="0.3">
      <c r="A89" s="3" t="s">
        <v>1329</v>
      </c>
      <c r="B89" s="3" t="s">
        <v>1300</v>
      </c>
      <c r="C89" s="3" t="str">
        <f>knicks_players_all_stats[[#This Row],[NAME]]&amp;" ("&amp;knicks_players_all_stats[[#This Row],[SEASON]]&amp;")"</f>
        <v>Jalen Rose (2005-06)</v>
      </c>
      <c r="D89" s="3">
        <f>knicks_players_all_stats[[#This Row],[PLAYER_AGE]]/10</f>
        <v>33</v>
      </c>
      <c r="E89">
        <v>330</v>
      </c>
      <c r="F89" s="2">
        <v>26</v>
      </c>
      <c r="G89" s="2">
        <v>7460</v>
      </c>
      <c r="H8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240</v>
      </c>
      <c r="I89" s="6">
        <f>knicks_players_all_stats[[#This Row],[VALORATION]]/knicks_players_all_stats[[#This Row],[GP]]</f>
        <v>9.2307692307692299</v>
      </c>
      <c r="J89" s="2">
        <v>110</v>
      </c>
      <c r="K89" s="2">
        <v>239</v>
      </c>
      <c r="L89" s="4">
        <f>knicks_players_all_stats[[#This Row],[FGM]]/knicks_players_all_stats[[#This Row],[FGA]]</f>
        <v>0.46025104602510458</v>
      </c>
      <c r="M89" s="2">
        <v>280</v>
      </c>
      <c r="N89" s="2">
        <v>570</v>
      </c>
      <c r="O89" s="4">
        <f>knicks_players_all_stats[[#This Row],[FG3M]]/knicks_players_all_stats[[#This Row],[FG3A]]</f>
        <v>0.49122807017543857</v>
      </c>
      <c r="P89" s="2">
        <v>82</v>
      </c>
      <c r="Q89" s="2">
        <v>101</v>
      </c>
      <c r="R89" s="5">
        <f>knicks_players_all_stats[[#This Row],[FTM]]/knicks_players_all_stats[[#This Row],[FTA]]</f>
        <v>0.81188118811881194</v>
      </c>
      <c r="S89" s="2">
        <f>knicks_players_all_stats[[#This Row],[OREB22]]/10</f>
        <v>13</v>
      </c>
      <c r="T89" s="2">
        <f>knicks_players_all_stats[[#This Row],[DREB33]]/10</f>
        <v>69</v>
      </c>
      <c r="U89" s="2">
        <f>knicks_players_all_stats[[#This Row],[REB44]]/10</f>
        <v>82</v>
      </c>
      <c r="V89">
        <v>130</v>
      </c>
      <c r="W89">
        <v>690</v>
      </c>
      <c r="X89">
        <v>820</v>
      </c>
      <c r="Y89" s="22">
        <f>knicks_players_all_stats[[#This Row],[REB]]/knicks_players_all_stats[[#This Row],[GP]]</f>
        <v>3.1538461538461537</v>
      </c>
      <c r="Z89" s="2">
        <v>68</v>
      </c>
      <c r="AA89" s="6">
        <f>knicks_players_all_stats[[#This Row],[AST]]/knicks_players_all_stats[[#This Row],[GP]]</f>
        <v>2.6153846153846154</v>
      </c>
      <c r="AB89" s="2">
        <f>knicks_players_all_stats[[#This Row],[STL2]]/10</f>
        <v>10</v>
      </c>
      <c r="AC89" s="2">
        <v>100</v>
      </c>
      <c r="AD89" s="6">
        <f>knicks_players_all_stats[[#This Row],[STL]]/knicks_players_all_stats[[#This Row],[GP]]</f>
        <v>0.38461538461538464</v>
      </c>
      <c r="AE89">
        <v>30</v>
      </c>
      <c r="AF89" s="2">
        <f>knicks_players_all_stats[[#This Row],[BLK2]]/10</f>
        <v>3</v>
      </c>
      <c r="AG89" s="6">
        <f>knicks_players_all_stats[[#This Row],[BLK]]/knicks_players_all_stats[[#This Row],[GP]]</f>
        <v>0.11538461538461539</v>
      </c>
      <c r="AH89">
        <v>500</v>
      </c>
      <c r="AI89" s="6">
        <f>knicks_players_all_stats[[#This Row],[BLKPG]]+knicks_players_all_stats[[#This Row],[STLPG]]+knicks_players_all_stats[[#This Row],[REBPG]]</f>
        <v>3.6538461538461537</v>
      </c>
      <c r="AJ89" s="2">
        <f>knicks_players_all_stats[[#This Row],[TOV2]]/10</f>
        <v>50</v>
      </c>
      <c r="AK89" s="6">
        <f>knicks_players_all_stats[[#This Row],[TOV]]/knicks_players_all_stats[[#This Row],[GP]]</f>
        <v>1.9230769230769231</v>
      </c>
      <c r="AL89" s="2">
        <v>55</v>
      </c>
      <c r="AM89" s="2">
        <f>knicks_players_all_stats[[#This Row],[PF]]/knicks_players_all_stats[[#This Row],[GP]]</f>
        <v>2.1153846153846154</v>
      </c>
      <c r="AN89" s="2">
        <v>330</v>
      </c>
      <c r="AO89" s="6">
        <f>knicks_players_all_stats[[#This Row],[PTS]]/knicks_players_all_stats[[#This Row],[GP]]</f>
        <v>12.692307692307692</v>
      </c>
    </row>
    <row r="90" spans="1:41" x14ac:dyDescent="0.3">
      <c r="A90" s="3" t="s">
        <v>1676</v>
      </c>
      <c r="B90" s="3" t="s">
        <v>1300</v>
      </c>
      <c r="C90" s="3" t="str">
        <f>knicks_players_all_stats[[#This Row],[NAME]]&amp;" ("&amp;knicks_players_all_stats[[#This Row],[SEASON]]&amp;")"</f>
        <v>Eddy Curry (2005-06)</v>
      </c>
      <c r="D90" s="3">
        <f>knicks_players_all_stats[[#This Row],[PLAYER_AGE]]/10</f>
        <v>23</v>
      </c>
      <c r="E90">
        <v>230</v>
      </c>
      <c r="F90" s="2">
        <v>72</v>
      </c>
      <c r="G90" s="2">
        <v>18660</v>
      </c>
      <c r="H9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656</v>
      </c>
      <c r="I90" s="6">
        <f>knicks_players_all_stats[[#This Row],[VALORATION]]/knicks_players_all_stats[[#This Row],[GP]]</f>
        <v>9.1111111111111107</v>
      </c>
      <c r="J90" s="2">
        <v>336</v>
      </c>
      <c r="K90" s="2">
        <v>597</v>
      </c>
      <c r="L90" s="2">
        <v>563</v>
      </c>
      <c r="M90" s="2">
        <v>0</v>
      </c>
      <c r="N90" s="2">
        <v>0</v>
      </c>
      <c r="O90" s="4" t="e">
        <f>knicks_players_all_stats[[#This Row],[FG3M]]/knicks_players_all_stats[[#This Row],[FG3A]]</f>
        <v>#DIV/0!</v>
      </c>
      <c r="P90" s="2">
        <v>307</v>
      </c>
      <c r="Q90" s="2">
        <v>486</v>
      </c>
      <c r="R90" s="5">
        <f>knicks_players_all_stats[[#This Row],[FTM]]/knicks_players_all_stats[[#This Row],[FTA]]</f>
        <v>0.63168724279835387</v>
      </c>
      <c r="S90" s="2">
        <f>knicks_players_all_stats[[#This Row],[OREB22]]/10</f>
        <v>145</v>
      </c>
      <c r="T90" s="2">
        <f>knicks_players_all_stats[[#This Row],[DREB33]]/10</f>
        <v>287</v>
      </c>
      <c r="U90" s="2">
        <f>knicks_players_all_stats[[#This Row],[REB44]]/10</f>
        <v>432</v>
      </c>
      <c r="V90">
        <v>1450</v>
      </c>
      <c r="W90">
        <v>2870</v>
      </c>
      <c r="X90">
        <v>4320</v>
      </c>
      <c r="Y90" s="22">
        <f>knicks_players_all_stats[[#This Row],[REB]]/knicks_players_all_stats[[#This Row],[GP]]</f>
        <v>6</v>
      </c>
      <c r="Z90" s="2">
        <v>19</v>
      </c>
      <c r="AA90" s="6">
        <f>knicks_players_all_stats[[#This Row],[AST]]/knicks_players_all_stats[[#This Row],[GP]]</f>
        <v>0.2638888888888889</v>
      </c>
      <c r="AB90" s="2">
        <f>knicks_players_all_stats[[#This Row],[STL2]]/10</f>
        <v>28</v>
      </c>
      <c r="AC90" s="2">
        <v>280</v>
      </c>
      <c r="AD90" s="6">
        <f>knicks_players_all_stats[[#This Row],[STL]]/knicks_players_all_stats[[#This Row],[GP]]</f>
        <v>0.3888888888888889</v>
      </c>
      <c r="AE90">
        <v>560</v>
      </c>
      <c r="AF90" s="2">
        <f>knicks_players_all_stats[[#This Row],[BLK2]]/10</f>
        <v>56</v>
      </c>
      <c r="AG90" s="6">
        <f>knicks_players_all_stats[[#This Row],[BLK]]/knicks_players_all_stats[[#This Row],[GP]]</f>
        <v>0.77777777777777779</v>
      </c>
      <c r="AH90">
        <v>1790</v>
      </c>
      <c r="AI90" s="6">
        <f>knicks_players_all_stats[[#This Row],[BLKPG]]+knicks_players_all_stats[[#This Row],[STLPG]]+knicks_players_all_stats[[#This Row],[REBPG]]</f>
        <v>7.166666666666667</v>
      </c>
      <c r="AJ90" s="2">
        <f>knicks_players_all_stats[[#This Row],[TOV2]]/10</f>
        <v>179</v>
      </c>
      <c r="AK90" s="6">
        <f>knicks_players_all_stats[[#This Row],[TOV]]/knicks_players_all_stats[[#This Row],[GP]]</f>
        <v>2.4861111111111112</v>
      </c>
      <c r="AL90" s="2">
        <v>239</v>
      </c>
      <c r="AM90" s="2">
        <f>knicks_players_all_stats[[#This Row],[PF]]/knicks_players_all_stats[[#This Row],[GP]]</f>
        <v>3.3194444444444446</v>
      </c>
      <c r="AN90" s="2">
        <v>979</v>
      </c>
      <c r="AO90" s="6">
        <f>knicks_players_all_stats[[#This Row],[PTS]]/knicks_players_all_stats[[#This Row],[GP]]</f>
        <v>13.597222222222221</v>
      </c>
    </row>
    <row r="91" spans="1:41" customFormat="1" x14ac:dyDescent="0.3">
      <c r="A91" s="3" t="s">
        <v>1449</v>
      </c>
      <c r="B91" s="3" t="s">
        <v>1300</v>
      </c>
      <c r="C91" s="3" t="str">
        <f>knicks_players_all_stats[[#This Row],[NAME]]&amp;" ("&amp;knicks_players_all_stats[[#This Row],[SEASON]]&amp;")"</f>
        <v>Steve Francis (2005-06)</v>
      </c>
      <c r="D91" s="3">
        <f>knicks_players_all_stats[[#This Row],[PLAYER_AGE]]/10</f>
        <v>29</v>
      </c>
      <c r="E91">
        <v>290</v>
      </c>
      <c r="F91" s="2">
        <v>24</v>
      </c>
      <c r="G91" s="2">
        <v>6590</v>
      </c>
      <c r="H9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189</v>
      </c>
      <c r="I91" s="6">
        <f>knicks_players_all_stats[[#This Row],[VALORATION]]/knicks_players_all_stats[[#This Row],[GP]]</f>
        <v>7.875</v>
      </c>
      <c r="J91" s="2">
        <v>84</v>
      </c>
      <c r="K91" s="2">
        <v>190</v>
      </c>
      <c r="L91" s="4">
        <f>knicks_players_all_stats[[#This Row],[FGM]]/knicks_players_all_stats[[#This Row],[FGA]]</f>
        <v>0.44210526315789472</v>
      </c>
      <c r="M91" s="2">
        <v>70</v>
      </c>
      <c r="N91" s="2">
        <v>130</v>
      </c>
      <c r="O91" s="4">
        <f>knicks_players_all_stats[[#This Row],[FG3M]]/knicks_players_all_stats[[#This Row],[FG3A]]</f>
        <v>0.53846153846153844</v>
      </c>
      <c r="P91" s="2">
        <v>83</v>
      </c>
      <c r="Q91" s="2">
        <v>109</v>
      </c>
      <c r="R91" s="5">
        <f>knicks_players_all_stats[[#This Row],[FTM]]/knicks_players_all_stats[[#This Row],[FTA]]</f>
        <v>0.76146788990825687</v>
      </c>
      <c r="S91" s="2">
        <f>knicks_players_all_stats[[#This Row],[OREB22]]/10</f>
        <v>14</v>
      </c>
      <c r="T91" s="2">
        <f>knicks_players_all_stats[[#This Row],[DREB33]]/10</f>
        <v>57</v>
      </c>
      <c r="U91" s="2">
        <f>knicks_players_all_stats[[#This Row],[REB44]]/10</f>
        <v>71</v>
      </c>
      <c r="V91">
        <v>140</v>
      </c>
      <c r="W91">
        <v>570</v>
      </c>
      <c r="X91">
        <v>710</v>
      </c>
      <c r="Y91" s="22">
        <f>knicks_players_all_stats[[#This Row],[REB]]/knicks_players_all_stats[[#This Row],[GP]]</f>
        <v>2.9583333333333335</v>
      </c>
      <c r="Z91" s="2">
        <v>83</v>
      </c>
      <c r="AA91" s="6">
        <f>knicks_players_all_stats[[#This Row],[AST]]/knicks_players_all_stats[[#This Row],[GP]]</f>
        <v>3.4583333333333335</v>
      </c>
      <c r="AB91" s="2">
        <f>knicks_players_all_stats[[#This Row],[STL2]]/10</f>
        <v>23</v>
      </c>
      <c r="AC91" s="2">
        <v>230</v>
      </c>
      <c r="AD91" s="6">
        <f>knicks_players_all_stats[[#This Row],[STL]]/knicks_players_all_stats[[#This Row],[GP]]</f>
        <v>0.95833333333333337</v>
      </c>
      <c r="AE91">
        <v>60</v>
      </c>
      <c r="AF91" s="2">
        <f>knicks_players_all_stats[[#This Row],[BLK2]]/10</f>
        <v>6</v>
      </c>
      <c r="AG91" s="6">
        <f>knicks_players_all_stats[[#This Row],[BLK]]/knicks_players_all_stats[[#This Row],[GP]]</f>
        <v>0.25</v>
      </c>
      <c r="AH91">
        <v>580</v>
      </c>
      <c r="AI91" s="6">
        <f>knicks_players_all_stats[[#This Row],[BLKPG]]+knicks_players_all_stats[[#This Row],[STLPG]]+knicks_players_all_stats[[#This Row],[REBPG]]</f>
        <v>4.166666666666667</v>
      </c>
      <c r="AJ91" s="2">
        <f>knicks_players_all_stats[[#This Row],[TOV2]]/10</f>
        <v>58</v>
      </c>
      <c r="AK91" s="6">
        <f>knicks_players_all_stats[[#This Row],[TOV]]/knicks_players_all_stats[[#This Row],[GP]]</f>
        <v>2.4166666666666665</v>
      </c>
      <c r="AL91" s="2">
        <v>62</v>
      </c>
      <c r="AM91" s="2">
        <f>knicks_players_all_stats[[#This Row],[PF]]/knicks_players_all_stats[[#This Row],[GP]]</f>
        <v>2.5833333333333335</v>
      </c>
      <c r="AN91" s="2">
        <v>258</v>
      </c>
      <c r="AO91" s="6">
        <f>knicks_players_all_stats[[#This Row],[PTS]]/knicks_players_all_stats[[#This Row],[GP]]</f>
        <v>10.75</v>
      </c>
    </row>
    <row r="92" spans="1:41" x14ac:dyDescent="0.3">
      <c r="A92" s="3" t="s">
        <v>1547</v>
      </c>
      <c r="B92" s="3" t="s">
        <v>1300</v>
      </c>
      <c r="C92" s="3" t="str">
        <f>knicks_players_all_stats[[#This Row],[NAME]]&amp;" ("&amp;knicks_players_all_stats[[#This Row],[SEASON]]&amp;")"</f>
        <v>David Lee (2005-06)</v>
      </c>
      <c r="D92" s="3">
        <f>knicks_players_all_stats[[#This Row],[PLAYER_AGE]]/10</f>
        <v>23</v>
      </c>
      <c r="E92">
        <v>230</v>
      </c>
      <c r="F92" s="2">
        <v>67</v>
      </c>
      <c r="G92" s="2">
        <v>11290</v>
      </c>
      <c r="H9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421</v>
      </c>
      <c r="I92" s="6">
        <f>knicks_players_all_stats[[#This Row],[VALORATION]]/knicks_players_all_stats[[#This Row],[GP]]</f>
        <v>6.2835820895522385</v>
      </c>
      <c r="J92" s="2">
        <v>137</v>
      </c>
      <c r="K92" s="2">
        <v>230</v>
      </c>
      <c r="L92" s="4">
        <f>knicks_players_all_stats[[#This Row],[FGM]]/knicks_players_all_stats[[#This Row],[FGA]]</f>
        <v>0.59565217391304348</v>
      </c>
      <c r="M92" s="2">
        <v>0</v>
      </c>
      <c r="N92" s="2">
        <v>0</v>
      </c>
      <c r="O92" s="4" t="e">
        <f>knicks_players_all_stats[[#This Row],[FG3M]]/knicks_players_all_stats[[#This Row],[FG3A]]</f>
        <v>#DIV/0!</v>
      </c>
      <c r="P92" s="2">
        <v>71</v>
      </c>
      <c r="Q92" s="2">
        <v>123</v>
      </c>
      <c r="R92" s="5">
        <f>knicks_players_all_stats[[#This Row],[FTM]]/knicks_players_all_stats[[#This Row],[FTA]]</f>
        <v>0.57723577235772361</v>
      </c>
      <c r="S92" s="2">
        <f>knicks_players_all_stats[[#This Row],[OREB22]]/10</f>
        <v>109</v>
      </c>
      <c r="T92" s="2">
        <f>knicks_players_all_stats[[#This Row],[DREB33]]/10</f>
        <v>194</v>
      </c>
      <c r="U92" s="2">
        <f>knicks_players_all_stats[[#This Row],[REB44]]/10</f>
        <v>303</v>
      </c>
      <c r="V92">
        <v>1090</v>
      </c>
      <c r="W92">
        <v>1940</v>
      </c>
      <c r="X92">
        <v>3030</v>
      </c>
      <c r="Y92" s="22">
        <f>knicks_players_all_stats[[#This Row],[REB]]/knicks_players_all_stats[[#This Row],[GP]]</f>
        <v>4.5223880597014929</v>
      </c>
      <c r="Z92" s="2">
        <v>43</v>
      </c>
      <c r="AA92" s="6">
        <f>knicks_players_all_stats[[#This Row],[AST]]/knicks_players_all_stats[[#This Row],[GP]]</f>
        <v>0.64179104477611937</v>
      </c>
      <c r="AB92" s="2">
        <f>knicks_players_all_stats[[#This Row],[STL2]]/10</f>
        <v>30</v>
      </c>
      <c r="AC92" s="2">
        <v>300</v>
      </c>
      <c r="AD92" s="6">
        <f>knicks_players_all_stats[[#This Row],[STL]]/knicks_players_all_stats[[#This Row],[GP]]</f>
        <v>0.44776119402985076</v>
      </c>
      <c r="AE92">
        <v>200</v>
      </c>
      <c r="AF92" s="2">
        <f>knicks_players_all_stats[[#This Row],[BLK2]]/10</f>
        <v>20</v>
      </c>
      <c r="AG92" s="6">
        <f>knicks_players_all_stats[[#This Row],[BLK]]/knicks_players_all_stats[[#This Row],[GP]]</f>
        <v>0.29850746268656714</v>
      </c>
      <c r="AH92">
        <v>510</v>
      </c>
      <c r="AI92" s="6">
        <f>knicks_players_all_stats[[#This Row],[BLKPG]]+knicks_players_all_stats[[#This Row],[STLPG]]+knicks_players_all_stats[[#This Row],[REBPG]]</f>
        <v>5.2686567164179108</v>
      </c>
      <c r="AJ92" s="2">
        <f>knicks_players_all_stats[[#This Row],[TOV2]]/10</f>
        <v>51</v>
      </c>
      <c r="AK92" s="6">
        <f>knicks_players_all_stats[[#This Row],[TOV]]/knicks_players_all_stats[[#This Row],[GP]]</f>
        <v>0.76119402985074625</v>
      </c>
      <c r="AL92" s="2">
        <v>124</v>
      </c>
      <c r="AM92" s="2">
        <f>knicks_players_all_stats[[#This Row],[PF]]/knicks_players_all_stats[[#This Row],[GP]]</f>
        <v>1.8507462686567164</v>
      </c>
      <c r="AN92" s="2">
        <v>345</v>
      </c>
      <c r="AO92" s="6">
        <f>knicks_players_all_stats[[#This Row],[PTS]]/knicks_players_all_stats[[#This Row],[GP]]</f>
        <v>5.1492537313432836</v>
      </c>
    </row>
    <row r="93" spans="1:41" x14ac:dyDescent="0.3">
      <c r="A93" s="3" t="s">
        <v>1848</v>
      </c>
      <c r="B93" s="3" t="s">
        <v>1300</v>
      </c>
      <c r="C93" s="3" t="str">
        <f>knicks_players_all_stats[[#This Row],[NAME]]&amp;" ("&amp;knicks_players_all_stats[[#This Row],[SEASON]]&amp;")"</f>
        <v>Qyntel Woods (2005-06)</v>
      </c>
      <c r="D93" s="3">
        <f>knicks_players_all_stats[[#This Row],[PLAYER_AGE]]/10</f>
        <v>25</v>
      </c>
      <c r="E93">
        <v>250</v>
      </c>
      <c r="F93" s="2">
        <v>49</v>
      </c>
      <c r="G93" s="2">
        <v>10130</v>
      </c>
      <c r="H9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302</v>
      </c>
      <c r="I93" s="6">
        <f>knicks_players_all_stats[[#This Row],[VALORATION]]/knicks_players_all_stats[[#This Row],[GP]]</f>
        <v>6.1632653061224492</v>
      </c>
      <c r="J93" s="2">
        <v>129</v>
      </c>
      <c r="K93" s="2">
        <v>254</v>
      </c>
      <c r="L93" s="2">
        <v>508</v>
      </c>
      <c r="M93" s="2">
        <v>220</v>
      </c>
      <c r="N93" s="2">
        <v>600</v>
      </c>
      <c r="O93" s="4">
        <f>knicks_players_all_stats[[#This Row],[FG3M]]/knicks_players_all_stats[[#This Row],[FG3A]]</f>
        <v>0.36666666666666664</v>
      </c>
      <c r="P93" s="2">
        <v>49</v>
      </c>
      <c r="Q93" s="2">
        <v>76</v>
      </c>
      <c r="R93" s="5">
        <f>knicks_players_all_stats[[#This Row],[FTM]]/knicks_players_all_stats[[#This Row],[FTA]]</f>
        <v>0.64473684210526316</v>
      </c>
      <c r="S93" s="2">
        <f>knicks_players_all_stats[[#This Row],[OREB22]]/10</f>
        <v>44</v>
      </c>
      <c r="T93" s="2">
        <f>knicks_players_all_stats[[#This Row],[DREB33]]/10</f>
        <v>146</v>
      </c>
      <c r="U93" s="2">
        <f>knicks_players_all_stats[[#This Row],[REB44]]/10</f>
        <v>190</v>
      </c>
      <c r="V93">
        <v>440</v>
      </c>
      <c r="W93">
        <v>1460</v>
      </c>
      <c r="X93">
        <v>1900</v>
      </c>
      <c r="Y93" s="22">
        <f>knicks_players_all_stats[[#This Row],[REB]]/knicks_players_all_stats[[#This Row],[GP]]</f>
        <v>3.8775510204081631</v>
      </c>
      <c r="Z93" s="2">
        <v>47</v>
      </c>
      <c r="AA93" s="6">
        <f>knicks_players_all_stats[[#This Row],[AST]]/knicks_players_all_stats[[#This Row],[GP]]</f>
        <v>0.95918367346938771</v>
      </c>
      <c r="AB93" s="2">
        <f>knicks_players_all_stats[[#This Row],[STL2]]/10</f>
        <v>32</v>
      </c>
      <c r="AC93" s="2">
        <v>320</v>
      </c>
      <c r="AD93" s="6">
        <f>knicks_players_all_stats[[#This Row],[STL]]/knicks_players_all_stats[[#This Row],[GP]]</f>
        <v>0.65306122448979587</v>
      </c>
      <c r="AE93">
        <v>130</v>
      </c>
      <c r="AF93" s="2">
        <f>knicks_players_all_stats[[#This Row],[BLK2]]/10</f>
        <v>13</v>
      </c>
      <c r="AG93" s="6">
        <f>knicks_players_all_stats[[#This Row],[BLK]]/knicks_players_all_stats[[#This Row],[GP]]</f>
        <v>0.26530612244897961</v>
      </c>
      <c r="AH93">
        <v>610</v>
      </c>
      <c r="AI93" s="6">
        <f>knicks_players_all_stats[[#This Row],[BLKPG]]+knicks_players_all_stats[[#This Row],[STLPG]]+knicks_players_all_stats[[#This Row],[REBPG]]</f>
        <v>4.795918367346939</v>
      </c>
      <c r="AJ93" s="2">
        <f>knicks_players_all_stats[[#This Row],[TOV2]]/10</f>
        <v>61</v>
      </c>
      <c r="AK93" s="6">
        <f>knicks_players_all_stats[[#This Row],[TOV]]/knicks_players_all_stats[[#This Row],[GP]]</f>
        <v>1.2448979591836735</v>
      </c>
      <c r="AL93" s="2">
        <v>96</v>
      </c>
      <c r="AM93" s="2">
        <f>knicks_players_all_stats[[#This Row],[PF]]/knicks_players_all_stats[[#This Row],[GP]]</f>
        <v>1.9591836734693877</v>
      </c>
      <c r="AN93" s="2">
        <v>329</v>
      </c>
      <c r="AO93" s="6">
        <f>knicks_players_all_stats[[#This Row],[PTS]]/knicks_players_all_stats[[#This Row],[GP]]</f>
        <v>6.7142857142857144</v>
      </c>
    </row>
    <row r="94" spans="1:41" x14ac:dyDescent="0.3">
      <c r="A94" s="3" t="s">
        <v>1773</v>
      </c>
      <c r="B94" s="3" t="s">
        <v>1300</v>
      </c>
      <c r="C94" s="3" t="str">
        <f>knicks_players_all_stats[[#This Row],[NAME]]&amp;" ("&amp;knicks_players_all_stats[[#This Row],[SEASON]]&amp;")"</f>
        <v>Quentin Richardson (2005-06)</v>
      </c>
      <c r="D94" s="3">
        <f>knicks_players_all_stats[[#This Row],[PLAYER_AGE]]/10</f>
        <v>26</v>
      </c>
      <c r="E94">
        <v>260</v>
      </c>
      <c r="F94" s="2">
        <v>55</v>
      </c>
      <c r="G94" s="2">
        <v>14420</v>
      </c>
      <c r="H9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298</v>
      </c>
      <c r="I94" s="6">
        <f>knicks_players_all_stats[[#This Row],[VALORATION]]/knicks_players_all_stats[[#This Row],[GP]]</f>
        <v>5.418181818181818</v>
      </c>
      <c r="J94" s="2">
        <v>163</v>
      </c>
      <c r="K94" s="2">
        <v>459</v>
      </c>
      <c r="L94" s="2">
        <v>355</v>
      </c>
      <c r="M94" s="2">
        <v>640</v>
      </c>
      <c r="N94" s="2">
        <v>1880</v>
      </c>
      <c r="O94" s="4">
        <f>knicks_players_all_stats[[#This Row],[FG3M]]/knicks_players_all_stats[[#This Row],[FG3A]]</f>
        <v>0.34042553191489361</v>
      </c>
      <c r="P94" s="2">
        <v>61</v>
      </c>
      <c r="Q94" s="2">
        <v>91</v>
      </c>
      <c r="R94" s="5">
        <f>knicks_players_all_stats[[#This Row],[FTM]]/knicks_players_all_stats[[#This Row],[FTA]]</f>
        <v>0.67032967032967028</v>
      </c>
      <c r="S94" s="2">
        <f>knicks_players_all_stats[[#This Row],[OREB22]]/10</f>
        <v>65</v>
      </c>
      <c r="T94" s="2">
        <f>knicks_players_all_stats[[#This Row],[DREB33]]/10</f>
        <v>165</v>
      </c>
      <c r="U94" s="2">
        <f>knicks_players_all_stats[[#This Row],[REB44]]/10</f>
        <v>230</v>
      </c>
      <c r="V94">
        <v>650</v>
      </c>
      <c r="W94">
        <v>1650</v>
      </c>
      <c r="X94">
        <v>2300</v>
      </c>
      <c r="Y94" s="22">
        <f>knicks_players_all_stats[[#This Row],[REB]]/knicks_players_all_stats[[#This Row],[GP]]</f>
        <v>4.1818181818181817</v>
      </c>
      <c r="Z94" s="2">
        <v>88</v>
      </c>
      <c r="AA94" s="6">
        <f>knicks_players_all_stats[[#This Row],[AST]]/knicks_players_all_stats[[#This Row],[GP]]</f>
        <v>1.6</v>
      </c>
      <c r="AB94" s="2">
        <f>knicks_players_all_stats[[#This Row],[STL2]]/10</f>
        <v>39</v>
      </c>
      <c r="AC94" s="2">
        <v>390</v>
      </c>
      <c r="AD94" s="6">
        <f>knicks_players_all_stats[[#This Row],[STL]]/knicks_players_all_stats[[#This Row],[GP]]</f>
        <v>0.70909090909090911</v>
      </c>
      <c r="AE94">
        <v>60</v>
      </c>
      <c r="AF94" s="2">
        <f>knicks_players_all_stats[[#This Row],[BLK2]]/10</f>
        <v>6</v>
      </c>
      <c r="AG94" s="6">
        <f>knicks_players_all_stats[[#This Row],[BLK]]/knicks_players_all_stats[[#This Row],[GP]]</f>
        <v>0.10909090909090909</v>
      </c>
      <c r="AH94">
        <v>560</v>
      </c>
      <c r="AI94" s="6">
        <f>knicks_players_all_stats[[#This Row],[BLKPG]]+knicks_players_all_stats[[#This Row],[STLPG]]+knicks_players_all_stats[[#This Row],[REBPG]]</f>
        <v>5</v>
      </c>
      <c r="AJ94" s="2">
        <f>knicks_players_all_stats[[#This Row],[TOV2]]/10</f>
        <v>56</v>
      </c>
      <c r="AK94" s="6">
        <f>knicks_players_all_stats[[#This Row],[TOV]]/knicks_players_all_stats[[#This Row],[GP]]</f>
        <v>1.0181818181818181</v>
      </c>
      <c r="AL94" s="2">
        <v>134</v>
      </c>
      <c r="AM94" s="2">
        <f>knicks_players_all_stats[[#This Row],[PF]]/knicks_players_all_stats[[#This Row],[GP]]</f>
        <v>2.4363636363636365</v>
      </c>
      <c r="AN94" s="2">
        <v>451</v>
      </c>
      <c r="AO94" s="6">
        <f>knicks_players_all_stats[[#This Row],[PTS]]/knicks_players_all_stats[[#This Row],[GP]]</f>
        <v>8.1999999999999993</v>
      </c>
    </row>
    <row r="95" spans="1:41" x14ac:dyDescent="0.3">
      <c r="A95" s="3" t="s">
        <v>1301</v>
      </c>
      <c r="B95" s="3" t="s">
        <v>1300</v>
      </c>
      <c r="C95" s="3" t="str">
        <f>knicks_players_all_stats[[#This Row],[NAME]]&amp;" ("&amp;knicks_players_all_stats[[#This Row],[SEASON]]&amp;")"</f>
        <v>Nate Robinson (2005-06)</v>
      </c>
      <c r="D95" s="3">
        <f>knicks_players_all_stats[[#This Row],[PLAYER_AGE]]/10</f>
        <v>22</v>
      </c>
      <c r="E95">
        <v>220</v>
      </c>
      <c r="F95" s="2">
        <v>72</v>
      </c>
      <c r="G95" s="2">
        <v>15440</v>
      </c>
      <c r="H9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344</v>
      </c>
      <c r="I95" s="6">
        <f>knicks_players_all_stats[[#This Row],[VALORATION]]/knicks_players_all_stats[[#This Row],[GP]]</f>
        <v>4.7777777777777777</v>
      </c>
      <c r="J95" s="2">
        <v>230</v>
      </c>
      <c r="K95" s="2">
        <v>565</v>
      </c>
      <c r="L95" s="4">
        <f>knicks_players_all_stats[[#This Row],[FGM]]/knicks_players_all_stats[[#This Row],[FGA]]</f>
        <v>0.40707964601769914</v>
      </c>
      <c r="M95" s="2">
        <v>580</v>
      </c>
      <c r="N95" s="2">
        <v>1460</v>
      </c>
      <c r="O95" s="4">
        <f>knicks_players_all_stats[[#This Row],[FG3M]]/knicks_players_all_stats[[#This Row],[FG3A]]</f>
        <v>0.39726027397260272</v>
      </c>
      <c r="P95" s="2">
        <v>152</v>
      </c>
      <c r="Q95" s="2">
        <v>202</v>
      </c>
      <c r="R95" s="5">
        <f>knicks_players_all_stats[[#This Row],[FTM]]/knicks_players_all_stats[[#This Row],[FTA]]</f>
        <v>0.75247524752475248</v>
      </c>
      <c r="S95" s="2">
        <f>knicks_players_all_stats[[#This Row],[OREB22]]/10</f>
        <v>56</v>
      </c>
      <c r="T95" s="2">
        <f>knicks_players_all_stats[[#This Row],[DREB33]]/10</f>
        <v>111</v>
      </c>
      <c r="U95" s="2">
        <f>knicks_players_all_stats[[#This Row],[REB44]]/10</f>
        <v>167</v>
      </c>
      <c r="V95">
        <v>560</v>
      </c>
      <c r="W95">
        <v>1110</v>
      </c>
      <c r="X95">
        <v>1670</v>
      </c>
      <c r="Y95" s="22">
        <f>knicks_players_all_stats[[#This Row],[REB]]/knicks_players_all_stats[[#This Row],[GP]]</f>
        <v>2.3194444444444446</v>
      </c>
      <c r="Z95" s="2">
        <v>147</v>
      </c>
      <c r="AA95" s="6">
        <f>knicks_players_all_stats[[#This Row],[AST]]/knicks_players_all_stats[[#This Row],[GP]]</f>
        <v>2.0416666666666665</v>
      </c>
      <c r="AB95" s="2">
        <f>knicks_players_all_stats[[#This Row],[STL2]]/10</f>
        <v>59</v>
      </c>
      <c r="AC95" s="2">
        <v>590</v>
      </c>
      <c r="AD95" s="6">
        <f>knicks_players_all_stats[[#This Row],[STL]]/knicks_players_all_stats[[#This Row],[GP]]</f>
        <v>0.81944444444444442</v>
      </c>
      <c r="AE95">
        <v>10</v>
      </c>
      <c r="AF95" s="2">
        <f>knicks_players_all_stats[[#This Row],[BLK2]]/10</f>
        <v>1</v>
      </c>
      <c r="AG95" s="6">
        <f>knicks_players_all_stats[[#This Row],[BLK]]/knicks_players_all_stats[[#This Row],[GP]]</f>
        <v>1.3888888888888888E-2</v>
      </c>
      <c r="AH95">
        <v>1140</v>
      </c>
      <c r="AI95" s="6">
        <f>knicks_players_all_stats[[#This Row],[BLKPG]]+knicks_players_all_stats[[#This Row],[STLPG]]+knicks_players_all_stats[[#This Row],[REBPG]]</f>
        <v>3.1527777777777777</v>
      </c>
      <c r="AJ95" s="2">
        <f>knicks_players_all_stats[[#This Row],[TOV2]]/10</f>
        <v>114</v>
      </c>
      <c r="AK95" s="6">
        <f>knicks_players_all_stats[[#This Row],[TOV]]/knicks_players_all_stats[[#This Row],[GP]]</f>
        <v>1.5833333333333333</v>
      </c>
      <c r="AL95" s="2">
        <v>201</v>
      </c>
      <c r="AM95" s="2">
        <f>knicks_players_all_stats[[#This Row],[PF]]/knicks_players_all_stats[[#This Row],[GP]]</f>
        <v>2.7916666666666665</v>
      </c>
      <c r="AN95" s="2">
        <v>670</v>
      </c>
      <c r="AO95" s="6">
        <f>knicks_players_all_stats[[#This Row],[PTS]]/knicks_players_all_stats[[#This Row],[GP]]</f>
        <v>9.3055555555555554</v>
      </c>
    </row>
    <row r="96" spans="1:41" x14ac:dyDescent="0.3">
      <c r="A96" s="3" t="s">
        <v>1519</v>
      </c>
      <c r="B96" s="3" t="s">
        <v>1300</v>
      </c>
      <c r="C96" s="3" t="str">
        <f>knicks_players_all_stats[[#This Row],[NAME]]&amp;" ("&amp;knicks_players_all_stats[[#This Row],[SEASON]]&amp;")"</f>
        <v>Jackie Butler (2005-06)</v>
      </c>
      <c r="D96" s="3">
        <f>knicks_players_all_stats[[#This Row],[PLAYER_AGE]]/10</f>
        <v>21</v>
      </c>
      <c r="E96">
        <v>210</v>
      </c>
      <c r="F96" s="2">
        <v>55</v>
      </c>
      <c r="G96" s="2">
        <v>7400</v>
      </c>
      <c r="H9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242</v>
      </c>
      <c r="I96" s="6">
        <f>knicks_players_all_stats[[#This Row],[VALORATION]]/knicks_players_all_stats[[#This Row],[GP]]</f>
        <v>4.4000000000000004</v>
      </c>
      <c r="J96" s="2">
        <v>117</v>
      </c>
      <c r="K96" s="2">
        <v>215</v>
      </c>
      <c r="L96" s="4">
        <f>knicks_players_all_stats[[#This Row],[FGM]]/knicks_players_all_stats[[#This Row],[FGA]]</f>
        <v>0.54418604651162794</v>
      </c>
      <c r="M96" s="2">
        <v>0</v>
      </c>
      <c r="N96" s="2">
        <v>0</v>
      </c>
      <c r="O96" s="4" t="e">
        <f>knicks_players_all_stats[[#This Row],[FG3M]]/knicks_players_all_stats[[#This Row],[FG3A]]</f>
        <v>#DIV/0!</v>
      </c>
      <c r="P96" s="2">
        <v>58</v>
      </c>
      <c r="Q96" s="2">
        <v>77</v>
      </c>
      <c r="R96" s="5">
        <f>knicks_players_all_stats[[#This Row],[FTM]]/knicks_players_all_stats[[#This Row],[FTA]]</f>
        <v>0.75324675324675328</v>
      </c>
      <c r="S96" s="2">
        <f>knicks_players_all_stats[[#This Row],[OREB22]]/10</f>
        <v>67</v>
      </c>
      <c r="T96" s="2">
        <f>knicks_players_all_stats[[#This Row],[DREB33]]/10</f>
        <v>116</v>
      </c>
      <c r="U96" s="2">
        <f>knicks_players_all_stats[[#This Row],[REB44]]/10</f>
        <v>183</v>
      </c>
      <c r="V96">
        <v>670</v>
      </c>
      <c r="W96">
        <v>1160</v>
      </c>
      <c r="X96">
        <v>1830</v>
      </c>
      <c r="Y96" s="22">
        <f>knicks_players_all_stats[[#This Row],[REB]]/knicks_players_all_stats[[#This Row],[GP]]</f>
        <v>3.3272727272727272</v>
      </c>
      <c r="Z96" s="2">
        <v>25</v>
      </c>
      <c r="AA96" s="6">
        <f>knicks_players_all_stats[[#This Row],[AST]]/knicks_players_all_stats[[#This Row],[GP]]</f>
        <v>0.45454545454545453</v>
      </c>
      <c r="AB96" s="2">
        <f>knicks_players_all_stats[[#This Row],[STL2]]/10</f>
        <v>17</v>
      </c>
      <c r="AC96" s="2">
        <v>170</v>
      </c>
      <c r="AD96" s="6">
        <f>knicks_players_all_stats[[#This Row],[STL]]/knicks_players_all_stats[[#This Row],[GP]]</f>
        <v>0.30909090909090908</v>
      </c>
      <c r="AE96">
        <v>310</v>
      </c>
      <c r="AF96" s="2">
        <f>knicks_players_all_stats[[#This Row],[BLK2]]/10</f>
        <v>31</v>
      </c>
      <c r="AG96" s="6">
        <f>knicks_players_all_stats[[#This Row],[BLK]]/knicks_players_all_stats[[#This Row],[GP]]</f>
        <v>0.5636363636363636</v>
      </c>
      <c r="AH96">
        <v>620</v>
      </c>
      <c r="AI96" s="6">
        <f>knicks_players_all_stats[[#This Row],[BLKPG]]+knicks_players_all_stats[[#This Row],[STLPG]]+knicks_players_all_stats[[#This Row],[REBPG]]</f>
        <v>4.2</v>
      </c>
      <c r="AJ96" s="2">
        <f>knicks_players_all_stats[[#This Row],[TOV2]]/10</f>
        <v>62</v>
      </c>
      <c r="AK96" s="6">
        <f>knicks_players_all_stats[[#This Row],[TOV]]/knicks_players_all_stats[[#This Row],[GP]]</f>
        <v>1.1272727272727272</v>
      </c>
      <c r="AL96" s="2">
        <v>127</v>
      </c>
      <c r="AM96" s="2">
        <f>knicks_players_all_stats[[#This Row],[PF]]/knicks_players_all_stats[[#This Row],[GP]]</f>
        <v>2.3090909090909091</v>
      </c>
      <c r="AN96" s="2">
        <v>292</v>
      </c>
      <c r="AO96" s="6">
        <f>knicks_players_all_stats[[#This Row],[PTS]]/knicks_players_all_stats[[#This Row],[GP]]</f>
        <v>5.3090909090909095</v>
      </c>
    </row>
    <row r="97" spans="1:41" customFormat="1" x14ac:dyDescent="0.3">
      <c r="A97" s="3" t="s">
        <v>1368</v>
      </c>
      <c r="B97" s="3" t="s">
        <v>1300</v>
      </c>
      <c r="C97" s="3" t="str">
        <f>knicks_players_all_stats[[#This Row],[NAME]]&amp;" ("&amp;knicks_players_all_stats[[#This Row],[SEASON]]&amp;")"</f>
        <v>Trevor Ariza (2005-06)</v>
      </c>
      <c r="D97" s="3">
        <f>knicks_players_all_stats[[#This Row],[PLAYER_AGE]]/10</f>
        <v>20</v>
      </c>
      <c r="E97">
        <v>200</v>
      </c>
      <c r="F97" s="2">
        <v>36</v>
      </c>
      <c r="G97" s="2">
        <v>7090</v>
      </c>
      <c r="H9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156</v>
      </c>
      <c r="I97" s="6">
        <f>knicks_players_all_stats[[#This Row],[VALORATION]]/knicks_players_all_stats[[#This Row],[GP]]</f>
        <v>4.333333333333333</v>
      </c>
      <c r="J97" s="2">
        <v>61</v>
      </c>
      <c r="K97" s="2">
        <v>146</v>
      </c>
      <c r="L97" s="4">
        <f>knicks_players_all_stats[[#This Row],[FGM]]/knicks_players_all_stats[[#This Row],[FGA]]</f>
        <v>0.4178082191780822</v>
      </c>
      <c r="M97" s="2">
        <v>10</v>
      </c>
      <c r="N97" s="2">
        <v>30</v>
      </c>
      <c r="O97" s="4">
        <f>knicks_players_all_stats[[#This Row],[FG3M]]/knicks_players_all_stats[[#This Row],[FG3A]]</f>
        <v>0.33333333333333331</v>
      </c>
      <c r="P97" s="2">
        <v>42</v>
      </c>
      <c r="Q97" s="2">
        <v>77</v>
      </c>
      <c r="R97" s="5">
        <f>knicks_players_all_stats[[#This Row],[FTM]]/knicks_players_all_stats[[#This Row],[FTA]]</f>
        <v>0.54545454545454541</v>
      </c>
      <c r="S97" s="2">
        <f>knicks_players_all_stats[[#This Row],[OREB22]]/10</f>
        <v>49</v>
      </c>
      <c r="T97" s="2">
        <f>knicks_players_all_stats[[#This Row],[DREB33]]/10</f>
        <v>88</v>
      </c>
      <c r="U97" s="2">
        <f>knicks_players_all_stats[[#This Row],[REB44]]/10</f>
        <v>137</v>
      </c>
      <c r="V97">
        <v>490</v>
      </c>
      <c r="W97">
        <v>880</v>
      </c>
      <c r="X97">
        <v>1370</v>
      </c>
      <c r="Y97" s="22">
        <f>knicks_players_all_stats[[#This Row],[REB]]/knicks_players_all_stats[[#This Row],[GP]]</f>
        <v>3.8055555555555554</v>
      </c>
      <c r="Z97" s="2">
        <v>46</v>
      </c>
      <c r="AA97" s="6">
        <f>knicks_players_all_stats[[#This Row],[AST]]/knicks_players_all_stats[[#This Row],[GP]]</f>
        <v>1.2777777777777777</v>
      </c>
      <c r="AB97" s="2">
        <f>knicks_players_all_stats[[#This Row],[STL2]]/10</f>
        <v>43</v>
      </c>
      <c r="AC97" s="2">
        <v>430</v>
      </c>
      <c r="AD97" s="6">
        <f>knicks_players_all_stats[[#This Row],[STL]]/knicks_players_all_stats[[#This Row],[GP]]</f>
        <v>1.1944444444444444</v>
      </c>
      <c r="AE97">
        <v>90</v>
      </c>
      <c r="AF97" s="2">
        <f>knicks_players_all_stats[[#This Row],[BLK2]]/10</f>
        <v>9</v>
      </c>
      <c r="AG97" s="6">
        <f>knicks_players_all_stats[[#This Row],[BLK]]/knicks_players_all_stats[[#This Row],[GP]]</f>
        <v>0.25</v>
      </c>
      <c r="AH97">
        <v>460</v>
      </c>
      <c r="AI97" s="6">
        <f>knicks_players_all_stats[[#This Row],[BLKPG]]+knicks_players_all_stats[[#This Row],[STLPG]]+knicks_players_all_stats[[#This Row],[REBPG]]</f>
        <v>5.25</v>
      </c>
      <c r="AJ97" s="2">
        <f>knicks_players_all_stats[[#This Row],[TOV2]]/10</f>
        <v>46</v>
      </c>
      <c r="AK97" s="6">
        <f>knicks_players_all_stats[[#This Row],[TOV]]/knicks_players_all_stats[[#This Row],[GP]]</f>
        <v>1.2777777777777777</v>
      </c>
      <c r="AL97" s="2">
        <v>78</v>
      </c>
      <c r="AM97" s="2">
        <f>knicks_players_all_stats[[#This Row],[PF]]/knicks_players_all_stats[[#This Row],[GP]]</f>
        <v>2.1666666666666665</v>
      </c>
      <c r="AN97" s="2">
        <v>165</v>
      </c>
      <c r="AO97" s="6">
        <f>knicks_players_all_stats[[#This Row],[PTS]]/knicks_players_all_stats[[#This Row],[GP]]</f>
        <v>4.583333333333333</v>
      </c>
    </row>
    <row r="98" spans="1:41" x14ac:dyDescent="0.3">
      <c r="A98" s="3" t="s">
        <v>1384</v>
      </c>
      <c r="B98" s="3" t="s">
        <v>1300</v>
      </c>
      <c r="C98" s="3" t="str">
        <f>knicks_players_all_stats[[#This Row],[NAME]]&amp;" ("&amp;knicks_players_all_stats[[#This Row],[SEASON]]&amp;")"</f>
        <v>Matt Barnes (2005-06)</v>
      </c>
      <c r="D98" s="3">
        <f>knicks_players_all_stats[[#This Row],[PLAYER_AGE]]/10</f>
        <v>26</v>
      </c>
      <c r="E98">
        <v>260</v>
      </c>
      <c r="F98" s="2">
        <v>6</v>
      </c>
      <c r="G98" s="2">
        <v>930</v>
      </c>
      <c r="H9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26</v>
      </c>
      <c r="I98" s="6">
        <f>knicks_players_all_stats[[#This Row],[VALORATION]]/knicks_players_all_stats[[#This Row],[GP]]</f>
        <v>4.333333333333333</v>
      </c>
      <c r="J98" s="2">
        <v>11</v>
      </c>
      <c r="K98" s="2">
        <v>30</v>
      </c>
      <c r="L98" s="4">
        <f>knicks_players_all_stats[[#This Row],[FGM]]/knicks_players_all_stats[[#This Row],[FGA]]</f>
        <v>0.36666666666666664</v>
      </c>
      <c r="M98" s="2">
        <v>10</v>
      </c>
      <c r="N98" s="2">
        <v>40</v>
      </c>
      <c r="O98" s="4">
        <f>knicks_players_all_stats[[#This Row],[FG3M]]/knicks_players_all_stats[[#This Row],[FG3A]]</f>
        <v>0.25</v>
      </c>
      <c r="P98" s="2">
        <v>3</v>
      </c>
      <c r="Q98" s="2">
        <v>4</v>
      </c>
      <c r="R98" s="5">
        <f>knicks_players_all_stats[[#This Row],[FTM]]/knicks_players_all_stats[[#This Row],[FTA]]</f>
        <v>0.75</v>
      </c>
      <c r="S98" s="2">
        <f>knicks_players_all_stats[[#This Row],[OREB22]]/10</f>
        <v>7</v>
      </c>
      <c r="T98" s="2">
        <f>knicks_players_all_stats[[#This Row],[DREB33]]/10</f>
        <v>17</v>
      </c>
      <c r="U98" s="2">
        <f>knicks_players_all_stats[[#This Row],[REB44]]/10</f>
        <v>24</v>
      </c>
      <c r="V98">
        <v>70</v>
      </c>
      <c r="W98">
        <v>170</v>
      </c>
      <c r="X98">
        <v>240</v>
      </c>
      <c r="Y98" s="22">
        <f>knicks_players_all_stats[[#This Row],[REB]]/knicks_players_all_stats[[#This Row],[GP]]</f>
        <v>4</v>
      </c>
      <c r="Z98" s="2">
        <v>6</v>
      </c>
      <c r="AA98" s="6">
        <f>knicks_players_all_stats[[#This Row],[AST]]/knicks_players_all_stats[[#This Row],[GP]]</f>
        <v>1</v>
      </c>
      <c r="AB98" s="2">
        <f>knicks_players_all_stats[[#This Row],[STL2]]/10</f>
        <v>4</v>
      </c>
      <c r="AC98" s="2">
        <v>40</v>
      </c>
      <c r="AD98" s="6">
        <f>knicks_players_all_stats[[#This Row],[STL]]/knicks_players_all_stats[[#This Row],[GP]]</f>
        <v>0.66666666666666663</v>
      </c>
      <c r="AE98">
        <v>0</v>
      </c>
      <c r="AF98" s="2">
        <f>knicks_players_all_stats[[#This Row],[BLK2]]/10</f>
        <v>0</v>
      </c>
      <c r="AG98" s="6">
        <f>knicks_players_all_stats[[#This Row],[BLK]]/knicks_players_all_stats[[#This Row],[GP]]</f>
        <v>0</v>
      </c>
      <c r="AH98">
        <v>60</v>
      </c>
      <c r="AI98" s="6">
        <f>knicks_players_all_stats[[#This Row],[BLKPG]]+knicks_players_all_stats[[#This Row],[STLPG]]+knicks_players_all_stats[[#This Row],[REBPG]]</f>
        <v>4.666666666666667</v>
      </c>
      <c r="AJ98" s="2">
        <f>knicks_players_all_stats[[#This Row],[TOV2]]/10</f>
        <v>6</v>
      </c>
      <c r="AK98" s="6">
        <f>knicks_players_all_stats[[#This Row],[TOV]]/knicks_players_all_stats[[#This Row],[GP]]</f>
        <v>1</v>
      </c>
      <c r="AL98" s="2">
        <v>8</v>
      </c>
      <c r="AM98" s="2">
        <f>knicks_players_all_stats[[#This Row],[PF]]/knicks_players_all_stats[[#This Row],[GP]]</f>
        <v>1.3333333333333333</v>
      </c>
      <c r="AN98" s="2">
        <v>26</v>
      </c>
      <c r="AO98" s="6">
        <f>knicks_players_all_stats[[#This Row],[PTS]]/knicks_players_all_stats[[#This Row],[GP]]</f>
        <v>4.333333333333333</v>
      </c>
    </row>
    <row r="99" spans="1:41" x14ac:dyDescent="0.3">
      <c r="A99" s="3" t="s">
        <v>1662</v>
      </c>
      <c r="B99" s="3" t="s">
        <v>1300</v>
      </c>
      <c r="C99" s="3" t="str">
        <f>knicks_players_all_stats[[#This Row],[NAME]]&amp;" ("&amp;knicks_players_all_stats[[#This Row],[SEASON]]&amp;")"</f>
        <v>Antonio Davis (2005-06)</v>
      </c>
      <c r="D99" s="3">
        <f>knicks_players_all_stats[[#This Row],[PLAYER_AGE]]/10</f>
        <v>37</v>
      </c>
      <c r="E99">
        <v>370</v>
      </c>
      <c r="F99" s="2">
        <v>36</v>
      </c>
      <c r="G99" s="2">
        <v>7490</v>
      </c>
      <c r="H9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147</v>
      </c>
      <c r="I99" s="6">
        <f>knicks_players_all_stats[[#This Row],[VALORATION]]/knicks_players_all_stats[[#This Row],[GP]]</f>
        <v>4.083333333333333</v>
      </c>
      <c r="J99" s="2">
        <v>68</v>
      </c>
      <c r="K99" s="2">
        <v>159</v>
      </c>
      <c r="L99" s="2">
        <v>428</v>
      </c>
      <c r="M99" s="2">
        <v>0</v>
      </c>
      <c r="N99" s="2">
        <v>10</v>
      </c>
      <c r="O99" s="4">
        <f>knicks_players_all_stats[[#This Row],[FG3M]]/knicks_players_all_stats[[#This Row],[FG3A]]</f>
        <v>0</v>
      </c>
      <c r="P99" s="2">
        <v>45</v>
      </c>
      <c r="Q99" s="2">
        <v>61</v>
      </c>
      <c r="R99" s="5">
        <f>knicks_players_all_stats[[#This Row],[FTM]]/knicks_players_all_stats[[#This Row],[FTA]]</f>
        <v>0.73770491803278693</v>
      </c>
      <c r="S99" s="2">
        <f>knicks_players_all_stats[[#This Row],[OREB22]]/10</f>
        <v>75</v>
      </c>
      <c r="T99" s="2">
        <f>knicks_players_all_stats[[#This Row],[DREB33]]/10</f>
        <v>97</v>
      </c>
      <c r="U99" s="2">
        <f>knicks_players_all_stats[[#This Row],[REB44]]/10</f>
        <v>172</v>
      </c>
      <c r="V99">
        <v>750</v>
      </c>
      <c r="W99">
        <v>970</v>
      </c>
      <c r="X99">
        <v>1720</v>
      </c>
      <c r="Y99" s="22">
        <f>knicks_players_all_stats[[#This Row],[REB]]/knicks_players_all_stats[[#This Row],[GP]]</f>
        <v>4.7777777777777777</v>
      </c>
      <c r="Z99" s="2">
        <v>14</v>
      </c>
      <c r="AA99" s="6">
        <f>knicks_players_all_stats[[#This Row],[AST]]/knicks_players_all_stats[[#This Row],[GP]]</f>
        <v>0.3888888888888889</v>
      </c>
      <c r="AB99" s="2">
        <f>knicks_players_all_stats[[#This Row],[STL2]]/10</f>
        <v>20</v>
      </c>
      <c r="AC99" s="2">
        <v>200</v>
      </c>
      <c r="AD99" s="6">
        <f>knicks_players_all_stats[[#This Row],[STL]]/knicks_players_all_stats[[#This Row],[GP]]</f>
        <v>0.55555555555555558</v>
      </c>
      <c r="AE99">
        <v>90</v>
      </c>
      <c r="AF99" s="2">
        <f>knicks_players_all_stats[[#This Row],[BLK2]]/10</f>
        <v>9</v>
      </c>
      <c r="AG99" s="6">
        <f>knicks_players_all_stats[[#This Row],[BLK]]/knicks_players_all_stats[[#This Row],[GP]]</f>
        <v>0.25</v>
      </c>
      <c r="AH99">
        <v>430</v>
      </c>
      <c r="AI99" s="6">
        <f>knicks_players_all_stats[[#This Row],[BLKPG]]+knicks_players_all_stats[[#This Row],[STLPG]]+knicks_players_all_stats[[#This Row],[REBPG]]</f>
        <v>5.583333333333333</v>
      </c>
      <c r="AJ99" s="2">
        <f>knicks_players_all_stats[[#This Row],[TOV2]]/10</f>
        <v>43</v>
      </c>
      <c r="AK99" s="6">
        <f>knicks_players_all_stats[[#This Row],[TOV]]/knicks_players_all_stats[[#This Row],[GP]]</f>
        <v>1.1944444444444444</v>
      </c>
      <c r="AL99" s="2">
        <v>99</v>
      </c>
      <c r="AM99" s="2">
        <f>knicks_players_all_stats[[#This Row],[PF]]/knicks_players_all_stats[[#This Row],[GP]]</f>
        <v>2.75</v>
      </c>
      <c r="AN99" s="2">
        <v>181</v>
      </c>
      <c r="AO99" s="6">
        <f>knicks_players_all_stats[[#This Row],[PTS]]/knicks_players_all_stats[[#This Row],[GP]]</f>
        <v>5.0277777777777777</v>
      </c>
    </row>
    <row r="100" spans="1:41" x14ac:dyDescent="0.3">
      <c r="A100" s="3" t="s">
        <v>1663</v>
      </c>
      <c r="B100" s="3" t="s">
        <v>1300</v>
      </c>
      <c r="C100" s="3" t="str">
        <f>knicks_players_all_stats[[#This Row],[NAME]]&amp;" ("&amp;knicks_players_all_stats[[#This Row],[SEASON]]&amp;")"</f>
        <v>Malik Rose (2005-06)</v>
      </c>
      <c r="D100" s="3">
        <f>knicks_players_all_stats[[#This Row],[PLAYER_AGE]]/10</f>
        <v>31</v>
      </c>
      <c r="E100">
        <v>310</v>
      </c>
      <c r="F100" s="2">
        <v>72</v>
      </c>
      <c r="G100" s="2">
        <v>11190</v>
      </c>
      <c r="H10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270</v>
      </c>
      <c r="I100" s="6">
        <f>knicks_players_all_stats[[#This Row],[VALORATION]]/knicks_players_all_stats[[#This Row],[GP]]</f>
        <v>3.75</v>
      </c>
      <c r="J100" s="2">
        <v>105</v>
      </c>
      <c r="K100" s="2">
        <v>281</v>
      </c>
      <c r="L100" s="2">
        <v>374</v>
      </c>
      <c r="M100" s="2">
        <v>10</v>
      </c>
      <c r="N100" s="2">
        <v>10</v>
      </c>
      <c r="O100" s="4">
        <f>knicks_players_all_stats[[#This Row],[FG3M]]/knicks_players_all_stats[[#This Row],[FG3A]]</f>
        <v>1</v>
      </c>
      <c r="P100" s="2">
        <v>107</v>
      </c>
      <c r="Q100" s="2">
        <v>137</v>
      </c>
      <c r="R100" s="5">
        <f>knicks_players_all_stats[[#This Row],[FTM]]/knicks_players_all_stats[[#This Row],[FTA]]</f>
        <v>0.78102189781021902</v>
      </c>
      <c r="S100" s="2">
        <f>knicks_players_all_stats[[#This Row],[OREB22]]/10</f>
        <v>84</v>
      </c>
      <c r="T100" s="2">
        <f>knicks_players_all_stats[[#This Row],[DREB33]]/10</f>
        <v>175</v>
      </c>
      <c r="U100" s="2">
        <f>knicks_players_all_stats[[#This Row],[REB44]]/10</f>
        <v>259</v>
      </c>
      <c r="V100">
        <v>840</v>
      </c>
      <c r="W100">
        <v>1750</v>
      </c>
      <c r="X100">
        <v>2590</v>
      </c>
      <c r="Y100" s="22">
        <f>knicks_players_all_stats[[#This Row],[REB]]/knicks_players_all_stats[[#This Row],[GP]]</f>
        <v>3.5972222222222223</v>
      </c>
      <c r="Z100" s="2">
        <v>67</v>
      </c>
      <c r="AA100" s="6">
        <f>knicks_players_all_stats[[#This Row],[AST]]/knicks_players_all_stats[[#This Row],[GP]]</f>
        <v>0.93055555555555558</v>
      </c>
      <c r="AB100" s="2">
        <f>knicks_players_all_stats[[#This Row],[STL2]]/10</f>
        <v>43</v>
      </c>
      <c r="AC100" s="2">
        <v>430</v>
      </c>
      <c r="AD100" s="6">
        <f>knicks_players_all_stats[[#This Row],[STL]]/knicks_players_all_stats[[#This Row],[GP]]</f>
        <v>0.59722222222222221</v>
      </c>
      <c r="AE100">
        <v>140</v>
      </c>
      <c r="AF100" s="2">
        <f>knicks_players_all_stats[[#This Row],[BLK2]]/10</f>
        <v>14</v>
      </c>
      <c r="AG100" s="6">
        <f>knicks_players_all_stats[[#This Row],[BLK]]/knicks_players_all_stats[[#This Row],[GP]]</f>
        <v>0.19444444444444445</v>
      </c>
      <c r="AH100">
        <v>800</v>
      </c>
      <c r="AI100" s="6">
        <f>knicks_players_all_stats[[#This Row],[BLKPG]]+knicks_players_all_stats[[#This Row],[STLPG]]+knicks_players_all_stats[[#This Row],[REBPG]]</f>
        <v>4.3888888888888893</v>
      </c>
      <c r="AJ100" s="2">
        <f>knicks_players_all_stats[[#This Row],[TOV2]]/10</f>
        <v>80</v>
      </c>
      <c r="AK100" s="6">
        <f>knicks_players_all_stats[[#This Row],[TOV]]/knicks_players_all_stats[[#This Row],[GP]]</f>
        <v>1.1111111111111112</v>
      </c>
      <c r="AL100" s="2">
        <v>145</v>
      </c>
      <c r="AM100" s="2">
        <f>knicks_players_all_stats[[#This Row],[PF]]/knicks_players_all_stats[[#This Row],[GP]]</f>
        <v>2.0138888888888888</v>
      </c>
      <c r="AN100" s="2">
        <v>318</v>
      </c>
      <c r="AO100" s="6">
        <f>knicks_players_all_stats[[#This Row],[PTS]]/knicks_players_all_stats[[#This Row],[GP]]</f>
        <v>4.416666666666667</v>
      </c>
    </row>
    <row r="101" spans="1:41" x14ac:dyDescent="0.3">
      <c r="A101" s="3" t="s">
        <v>1788</v>
      </c>
      <c r="B101" s="3" t="s">
        <v>1300</v>
      </c>
      <c r="C101" s="3" t="str">
        <f>knicks_players_all_stats[[#This Row],[NAME]]&amp;" ("&amp;knicks_players_all_stats[[#This Row],[SEASON]]&amp;")"</f>
        <v>Maurice Taylor (2005-06)</v>
      </c>
      <c r="D101" s="3">
        <f>knicks_players_all_stats[[#This Row],[PLAYER_AGE]]/10</f>
        <v>29</v>
      </c>
      <c r="E101">
        <v>290</v>
      </c>
      <c r="F101" s="2">
        <v>67</v>
      </c>
      <c r="G101" s="2">
        <v>12100</v>
      </c>
      <c r="H10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227</v>
      </c>
      <c r="I101" s="6">
        <f>knicks_players_all_stats[[#This Row],[VALORATION]]/knicks_players_all_stats[[#This Row],[GP]]</f>
        <v>3.3880597014925371</v>
      </c>
      <c r="J101" s="2">
        <v>182</v>
      </c>
      <c r="K101" s="2">
        <v>389</v>
      </c>
      <c r="L101" s="2">
        <v>468</v>
      </c>
      <c r="M101" s="2">
        <v>0</v>
      </c>
      <c r="N101" s="2">
        <v>10</v>
      </c>
      <c r="O101" s="4">
        <f>knicks_players_all_stats[[#This Row],[FG3M]]/knicks_players_all_stats[[#This Row],[FG3A]]</f>
        <v>0</v>
      </c>
      <c r="P101" s="2">
        <v>58</v>
      </c>
      <c r="Q101" s="2">
        <v>83</v>
      </c>
      <c r="R101" s="5">
        <f>knicks_players_all_stats[[#This Row],[FTM]]/knicks_players_all_stats[[#This Row],[FTA]]</f>
        <v>0.6987951807228916</v>
      </c>
      <c r="S101" s="2">
        <f>knicks_players_all_stats[[#This Row],[OREB22]]/10</f>
        <v>65</v>
      </c>
      <c r="T101" s="2">
        <f>knicks_players_all_stats[[#This Row],[DREB33]]/10</f>
        <v>164</v>
      </c>
      <c r="U101" s="2">
        <f>knicks_players_all_stats[[#This Row],[REB44]]/10</f>
        <v>229</v>
      </c>
      <c r="V101">
        <v>650</v>
      </c>
      <c r="W101">
        <v>1640</v>
      </c>
      <c r="X101">
        <v>2290</v>
      </c>
      <c r="Y101" s="22">
        <f>knicks_players_all_stats[[#This Row],[REB]]/knicks_players_all_stats[[#This Row],[GP]]</f>
        <v>3.4179104477611939</v>
      </c>
      <c r="Z101" s="2">
        <v>53</v>
      </c>
      <c r="AA101" s="6">
        <f>knicks_players_all_stats[[#This Row],[AST]]/knicks_players_all_stats[[#This Row],[GP]]</f>
        <v>0.79104477611940294</v>
      </c>
      <c r="AB101" s="2">
        <f>knicks_players_all_stats[[#This Row],[STL2]]/10</f>
        <v>21</v>
      </c>
      <c r="AC101" s="2">
        <v>210</v>
      </c>
      <c r="AD101" s="6">
        <f>knicks_players_all_stats[[#This Row],[STL]]/knicks_players_all_stats[[#This Row],[GP]]</f>
        <v>0.31343283582089554</v>
      </c>
      <c r="AE101">
        <v>140</v>
      </c>
      <c r="AF101" s="2">
        <f>knicks_players_all_stats[[#This Row],[BLK2]]/10</f>
        <v>14</v>
      </c>
      <c r="AG101" s="6">
        <f>knicks_players_all_stats[[#This Row],[BLK]]/knicks_players_all_stats[[#This Row],[GP]]</f>
        <v>0.20895522388059701</v>
      </c>
      <c r="AH101">
        <v>1030</v>
      </c>
      <c r="AI101" s="6">
        <f>knicks_players_all_stats[[#This Row],[BLKPG]]+knicks_players_all_stats[[#This Row],[STLPG]]+knicks_players_all_stats[[#This Row],[REBPG]]</f>
        <v>3.9402985074626864</v>
      </c>
      <c r="AJ101" s="2">
        <f>knicks_players_all_stats[[#This Row],[TOV2]]/10</f>
        <v>103</v>
      </c>
      <c r="AK101" s="6">
        <f>knicks_players_all_stats[[#This Row],[TOV]]/knicks_players_all_stats[[#This Row],[GP]]</f>
        <v>1.5373134328358209</v>
      </c>
      <c r="AL101" s="2">
        <v>177</v>
      </c>
      <c r="AM101" s="2">
        <f>knicks_players_all_stats[[#This Row],[PF]]/knicks_players_all_stats[[#This Row],[GP]]</f>
        <v>2.6417910447761193</v>
      </c>
      <c r="AN101" s="2">
        <v>422</v>
      </c>
      <c r="AO101" s="6">
        <f>knicks_players_all_stats[[#This Row],[PTS]]/knicks_players_all_stats[[#This Row],[GP]]</f>
        <v>6.2985074626865671</v>
      </c>
    </row>
    <row r="102" spans="1:41" customFormat="1" x14ac:dyDescent="0.3">
      <c r="A102" s="3" t="s">
        <v>1806</v>
      </c>
      <c r="B102" s="3" t="s">
        <v>1300</v>
      </c>
      <c r="C102" s="3" t="str">
        <f>knicks_players_all_stats[[#This Row],[NAME]]&amp;" ("&amp;knicks_players_all_stats[[#This Row],[SEASON]]&amp;")"</f>
        <v>Ime Udoka (2005-06)</v>
      </c>
      <c r="D102" s="3">
        <f>knicks_players_all_stats[[#This Row],[PLAYER_AGE]]/10</f>
        <v>28</v>
      </c>
      <c r="E102">
        <v>280</v>
      </c>
      <c r="F102" s="2">
        <v>8</v>
      </c>
      <c r="G102" s="2">
        <v>1140</v>
      </c>
      <c r="H10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18</v>
      </c>
      <c r="I102" s="6">
        <f>knicks_players_all_stats[[#This Row],[VALORATION]]/knicks_players_all_stats[[#This Row],[GP]]</f>
        <v>2.25</v>
      </c>
      <c r="J102" s="2">
        <v>9</v>
      </c>
      <c r="K102" s="2">
        <v>24</v>
      </c>
      <c r="L102" s="2">
        <v>375</v>
      </c>
      <c r="M102" s="2">
        <v>10</v>
      </c>
      <c r="N102" s="2">
        <v>30</v>
      </c>
      <c r="O102" s="4">
        <f>knicks_players_all_stats[[#This Row],[FG3M]]/knicks_players_all_stats[[#This Row],[FG3A]]</f>
        <v>0.33333333333333331</v>
      </c>
      <c r="P102" s="2">
        <v>3</v>
      </c>
      <c r="Q102" s="2">
        <v>6</v>
      </c>
      <c r="R102" s="5">
        <f>knicks_players_all_stats[[#This Row],[FTM]]/knicks_players_all_stats[[#This Row],[FTA]]</f>
        <v>0.5</v>
      </c>
      <c r="S102" s="2">
        <f>knicks_players_all_stats[[#This Row],[OREB22]]/10</f>
        <v>3</v>
      </c>
      <c r="T102" s="2">
        <f>knicks_players_all_stats[[#This Row],[DREB33]]/10</f>
        <v>14</v>
      </c>
      <c r="U102" s="2">
        <f>knicks_players_all_stats[[#This Row],[REB44]]/10</f>
        <v>17</v>
      </c>
      <c r="V102">
        <v>30</v>
      </c>
      <c r="W102">
        <v>140</v>
      </c>
      <c r="X102">
        <v>170</v>
      </c>
      <c r="Y102" s="22">
        <f>knicks_players_all_stats[[#This Row],[REB]]/knicks_players_all_stats[[#This Row],[GP]]</f>
        <v>2.125</v>
      </c>
      <c r="Z102" s="2">
        <v>6</v>
      </c>
      <c r="AA102" s="6">
        <f>knicks_players_all_stats[[#This Row],[AST]]/knicks_players_all_stats[[#This Row],[GP]]</f>
        <v>0.75</v>
      </c>
      <c r="AB102" s="2">
        <f>knicks_players_all_stats[[#This Row],[STL2]]/10</f>
        <v>1</v>
      </c>
      <c r="AC102" s="2">
        <v>10</v>
      </c>
      <c r="AD102" s="6">
        <f>knicks_players_all_stats[[#This Row],[STL]]/knicks_players_all_stats[[#This Row],[GP]]</f>
        <v>0.125</v>
      </c>
      <c r="AE102">
        <v>0</v>
      </c>
      <c r="AF102" s="2">
        <f>knicks_players_all_stats[[#This Row],[BLK2]]/10</f>
        <v>0</v>
      </c>
      <c r="AG102" s="6">
        <f>knicks_players_all_stats[[#This Row],[BLK]]/knicks_players_all_stats[[#This Row],[GP]]</f>
        <v>0</v>
      </c>
      <c r="AH102">
        <v>20</v>
      </c>
      <c r="AI102" s="6">
        <f>knicks_players_all_stats[[#This Row],[BLKPG]]+knicks_players_all_stats[[#This Row],[STLPG]]+knicks_players_all_stats[[#This Row],[REBPG]]</f>
        <v>2.25</v>
      </c>
      <c r="AJ102" s="2">
        <f>knicks_players_all_stats[[#This Row],[TOV2]]/10</f>
        <v>2</v>
      </c>
      <c r="AK102" s="6">
        <f>knicks_players_all_stats[[#This Row],[TOV]]/knicks_players_all_stats[[#This Row],[GP]]</f>
        <v>0.25</v>
      </c>
      <c r="AL102" s="2">
        <v>8</v>
      </c>
      <c r="AM102" s="2">
        <f>knicks_players_all_stats[[#This Row],[PF]]/knicks_players_all_stats[[#This Row],[GP]]</f>
        <v>1</v>
      </c>
      <c r="AN102" s="2">
        <v>22</v>
      </c>
      <c r="AO102" s="6">
        <f>knicks_players_all_stats[[#This Row],[PTS]]/knicks_players_all_stats[[#This Row],[GP]]</f>
        <v>2.75</v>
      </c>
    </row>
    <row r="103" spans="1:41" customFormat="1" x14ac:dyDescent="0.3">
      <c r="A103" s="3" t="s">
        <v>1612</v>
      </c>
      <c r="B103" s="3" t="s">
        <v>1300</v>
      </c>
      <c r="C103" s="3" t="str">
        <f>knicks_players_all_stats[[#This Row],[NAME]]&amp;" ("&amp;knicks_players_all_stats[[#This Row],[SEASON]]&amp;")"</f>
        <v>Anfernee Hardaway (2005-06)</v>
      </c>
      <c r="D103" s="3">
        <f>knicks_players_all_stats[[#This Row],[PLAYER_AGE]]/10</f>
        <v>34</v>
      </c>
      <c r="E103">
        <v>340</v>
      </c>
      <c r="F103" s="2">
        <v>4</v>
      </c>
      <c r="G103" s="2">
        <v>720</v>
      </c>
      <c r="H10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</v>
      </c>
      <c r="I103" s="6">
        <f>knicks_players_all_stats[[#This Row],[VALORATION]]/knicks_players_all_stats[[#This Row],[GP]]</f>
        <v>1.75</v>
      </c>
      <c r="J103" s="2">
        <v>4</v>
      </c>
      <c r="K103" s="2">
        <v>14</v>
      </c>
      <c r="L103" s="4">
        <f>knicks_players_all_stats[[#This Row],[FGM]]/knicks_players_all_stats[[#This Row],[FGA]]</f>
        <v>0.2857142857142857</v>
      </c>
      <c r="M103" s="2">
        <v>0</v>
      </c>
      <c r="N103" s="2">
        <v>10</v>
      </c>
      <c r="O103" s="4">
        <f>knicks_players_all_stats[[#This Row],[FG3M]]/knicks_players_all_stats[[#This Row],[FG3A]]</f>
        <v>0</v>
      </c>
      <c r="P103" s="2">
        <v>2</v>
      </c>
      <c r="Q103" s="2">
        <v>2</v>
      </c>
      <c r="R103" s="5">
        <f>knicks_players_all_stats[[#This Row],[FTM]]/knicks_players_all_stats[[#This Row],[FTA]]</f>
        <v>1</v>
      </c>
      <c r="S103" s="2">
        <f>knicks_players_all_stats[[#This Row],[OREB22]]/10</f>
        <v>0</v>
      </c>
      <c r="T103" s="2">
        <f>knicks_players_all_stats[[#This Row],[DREB33]]/10</f>
        <v>10</v>
      </c>
      <c r="U103" s="2">
        <f>knicks_players_all_stats[[#This Row],[REB44]]/10</f>
        <v>10</v>
      </c>
      <c r="V103">
        <v>0</v>
      </c>
      <c r="W103">
        <v>100</v>
      </c>
      <c r="X103">
        <v>100</v>
      </c>
      <c r="Y103" s="22">
        <f>knicks_players_all_stats[[#This Row],[REB]]/knicks_players_all_stats[[#This Row],[GP]]</f>
        <v>2.5</v>
      </c>
      <c r="Z103" s="2">
        <v>8</v>
      </c>
      <c r="AA103" s="6">
        <f>knicks_players_all_stats[[#This Row],[AST]]/knicks_players_all_stats[[#This Row],[GP]]</f>
        <v>2</v>
      </c>
      <c r="AB103" s="2">
        <f>knicks_players_all_stats[[#This Row],[STL2]]/10</f>
        <v>2</v>
      </c>
      <c r="AC103" s="2">
        <v>20</v>
      </c>
      <c r="AD103" s="6">
        <f>knicks_players_all_stats[[#This Row],[STL]]/knicks_players_all_stats[[#This Row],[GP]]</f>
        <v>0.5</v>
      </c>
      <c r="AE103">
        <v>0</v>
      </c>
      <c r="AF103" s="2">
        <f>knicks_players_all_stats[[#This Row],[BLK2]]/10</f>
        <v>0</v>
      </c>
      <c r="AG103" s="6">
        <f>knicks_players_all_stats[[#This Row],[BLK]]/knicks_players_all_stats[[#This Row],[GP]]</f>
        <v>0</v>
      </c>
      <c r="AH103">
        <v>60</v>
      </c>
      <c r="AI103" s="6">
        <f>knicks_players_all_stats[[#This Row],[BLKPG]]+knicks_players_all_stats[[#This Row],[STLPG]]+knicks_players_all_stats[[#This Row],[REBPG]]</f>
        <v>3</v>
      </c>
      <c r="AJ103" s="2">
        <f>knicks_players_all_stats[[#This Row],[TOV2]]/10</f>
        <v>6</v>
      </c>
      <c r="AK103" s="6">
        <f>knicks_players_all_stats[[#This Row],[TOV]]/knicks_players_all_stats[[#This Row],[GP]]</f>
        <v>1.5</v>
      </c>
      <c r="AL103" s="2">
        <v>7</v>
      </c>
      <c r="AM103" s="2">
        <f>knicks_players_all_stats[[#This Row],[PF]]/knicks_players_all_stats[[#This Row],[GP]]</f>
        <v>1.75</v>
      </c>
      <c r="AN103" s="2">
        <v>10</v>
      </c>
      <c r="AO103" s="6">
        <f>knicks_players_all_stats[[#This Row],[PTS]]/knicks_players_all_stats[[#This Row],[GP]]</f>
        <v>2.5</v>
      </c>
    </row>
    <row r="104" spans="1:41" customFormat="1" x14ac:dyDescent="0.3">
      <c r="A104" s="3" t="s">
        <v>1743</v>
      </c>
      <c r="B104" s="3" t="s">
        <v>1300</v>
      </c>
      <c r="C104" s="3" t="str">
        <f>knicks_players_all_stats[[#This Row],[NAME]]&amp;" ("&amp;knicks_players_all_stats[[#This Row],[SEASON]]&amp;")"</f>
        <v>Jerome James (2005-06)</v>
      </c>
      <c r="D104" s="3">
        <f>knicks_players_all_stats[[#This Row],[PLAYER_AGE]]/10</f>
        <v>30</v>
      </c>
      <c r="E104">
        <v>300</v>
      </c>
      <c r="F104" s="2">
        <v>45</v>
      </c>
      <c r="G104" s="2">
        <v>4060</v>
      </c>
      <c r="H10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31</v>
      </c>
      <c r="I104" s="6">
        <f>knicks_players_all_stats[[#This Row],[VALORATION]]/knicks_players_all_stats[[#This Row],[GP]]</f>
        <v>0.68888888888888888</v>
      </c>
      <c r="J104" s="2">
        <v>56</v>
      </c>
      <c r="K104" s="2">
        <v>121</v>
      </c>
      <c r="L104" s="2">
        <v>463</v>
      </c>
      <c r="M104" s="2">
        <v>0</v>
      </c>
      <c r="N104" s="2">
        <v>0</v>
      </c>
      <c r="O104" s="4" t="e">
        <f>knicks_players_all_stats[[#This Row],[FG3M]]/knicks_players_all_stats[[#This Row],[FG3A]]</f>
        <v>#DIV/0!</v>
      </c>
      <c r="P104" s="2">
        <v>25</v>
      </c>
      <c r="Q104" s="2">
        <v>40</v>
      </c>
      <c r="R104" s="5">
        <f>knicks_players_all_stats[[#This Row],[FTM]]/knicks_players_all_stats[[#This Row],[FTA]]</f>
        <v>0.625</v>
      </c>
      <c r="S104" s="2">
        <f>knicks_players_all_stats[[#This Row],[OREB22]]/10</f>
        <v>39</v>
      </c>
      <c r="T104" s="2">
        <f>knicks_players_all_stats[[#This Row],[DREB33]]/10</f>
        <v>52</v>
      </c>
      <c r="U104" s="2">
        <f>knicks_players_all_stats[[#This Row],[REB44]]/10</f>
        <v>91</v>
      </c>
      <c r="V104">
        <v>390</v>
      </c>
      <c r="W104">
        <v>520</v>
      </c>
      <c r="X104">
        <v>910</v>
      </c>
      <c r="Y104" s="22">
        <f>knicks_players_all_stats[[#This Row],[REB]]/knicks_players_all_stats[[#This Row],[GP]]</f>
        <v>2.0222222222222221</v>
      </c>
      <c r="Z104" s="2">
        <v>12</v>
      </c>
      <c r="AA104" s="6">
        <f>knicks_players_all_stats[[#This Row],[AST]]/knicks_players_all_stats[[#This Row],[GP]]</f>
        <v>0.26666666666666666</v>
      </c>
      <c r="AB104" s="2">
        <f>knicks_players_all_stats[[#This Row],[STL2]]/10</f>
        <v>3</v>
      </c>
      <c r="AC104" s="2">
        <v>30</v>
      </c>
      <c r="AD104" s="6">
        <f>knicks_players_all_stats[[#This Row],[STL]]/knicks_players_all_stats[[#This Row],[GP]]</f>
        <v>6.6666666666666666E-2</v>
      </c>
      <c r="AE104">
        <v>230</v>
      </c>
      <c r="AF104" s="2">
        <f>knicks_players_all_stats[[#This Row],[BLK2]]/10</f>
        <v>23</v>
      </c>
      <c r="AG104" s="6">
        <f>knicks_players_all_stats[[#This Row],[BLK]]/knicks_players_all_stats[[#This Row],[GP]]</f>
        <v>0.51111111111111107</v>
      </c>
      <c r="AH104">
        <v>510</v>
      </c>
      <c r="AI104" s="6">
        <f>knicks_players_all_stats[[#This Row],[BLKPG]]+knicks_players_all_stats[[#This Row],[STLPG]]+knicks_players_all_stats[[#This Row],[REBPG]]</f>
        <v>2.5999999999999996</v>
      </c>
      <c r="AJ104" s="2">
        <f>knicks_players_all_stats[[#This Row],[TOV2]]/10</f>
        <v>51</v>
      </c>
      <c r="AK104" s="6">
        <f>knicks_players_all_stats[[#This Row],[TOV]]/knicks_players_all_stats[[#This Row],[GP]]</f>
        <v>1.1333333333333333</v>
      </c>
      <c r="AL104" s="2">
        <v>104</v>
      </c>
      <c r="AM104" s="2">
        <f>knicks_players_all_stats[[#This Row],[PF]]/knicks_players_all_stats[[#This Row],[GP]]</f>
        <v>2.3111111111111109</v>
      </c>
      <c r="AN104" s="2">
        <v>137</v>
      </c>
      <c r="AO104" s="6">
        <f>knicks_players_all_stats[[#This Row],[PTS]]/knicks_players_all_stats[[#This Row],[GP]]</f>
        <v>3.0444444444444443</v>
      </c>
    </row>
    <row r="105" spans="1:41" customFormat="1" x14ac:dyDescent="0.3">
      <c r="A105" s="3" t="s">
        <v>1547</v>
      </c>
      <c r="B105" s="3" t="s">
        <v>1302</v>
      </c>
      <c r="C105" s="3" t="str">
        <f>knicks_players_all_stats[[#This Row],[NAME]]&amp;" ("&amp;knicks_players_all_stats[[#This Row],[SEASON]]&amp;")"</f>
        <v>David Lee (2006-07)</v>
      </c>
      <c r="D105" s="3">
        <f>knicks_players_all_stats[[#This Row],[PLAYER_AGE]]/10</f>
        <v>24</v>
      </c>
      <c r="E105">
        <v>240</v>
      </c>
      <c r="F105" s="2">
        <v>58</v>
      </c>
      <c r="G105" s="2">
        <v>17270</v>
      </c>
      <c r="H10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959</v>
      </c>
      <c r="I105" s="6">
        <f>knicks_players_all_stats[[#This Row],[VALORATION]]/knicks_players_all_stats[[#This Row],[GP]]</f>
        <v>16.53448275862069</v>
      </c>
      <c r="J105" s="2">
        <v>240</v>
      </c>
      <c r="K105" s="2">
        <v>400</v>
      </c>
      <c r="L105" s="4">
        <f>knicks_players_all_stats[[#This Row],[FGM]]/knicks_players_all_stats[[#This Row],[FGA]]</f>
        <v>0.6</v>
      </c>
      <c r="M105" s="2">
        <v>0</v>
      </c>
      <c r="N105" s="2">
        <v>0</v>
      </c>
      <c r="O105" s="4" t="e">
        <f>knicks_players_all_stats[[#This Row],[FG3M]]/knicks_players_all_stats[[#This Row],[FG3A]]</f>
        <v>#DIV/0!</v>
      </c>
      <c r="P105" s="2">
        <v>141</v>
      </c>
      <c r="Q105" s="2">
        <v>173</v>
      </c>
      <c r="R105" s="5">
        <f>knicks_players_all_stats[[#This Row],[FTM]]/knicks_players_all_stats[[#This Row],[FTA]]</f>
        <v>0.81502890173410403</v>
      </c>
      <c r="S105" s="2">
        <f>knicks_players_all_stats[[#This Row],[OREB22]]/10</f>
        <v>196</v>
      </c>
      <c r="T105" s="2">
        <f>knicks_players_all_stats[[#This Row],[DREB33]]/10</f>
        <v>406</v>
      </c>
      <c r="U105" s="2">
        <f>knicks_players_all_stats[[#This Row],[REB44]]/10</f>
        <v>602</v>
      </c>
      <c r="V105">
        <v>1960</v>
      </c>
      <c r="W105">
        <v>4060</v>
      </c>
      <c r="X105">
        <v>6020</v>
      </c>
      <c r="Y105" s="22">
        <f>knicks_players_all_stats[[#This Row],[REB]]/knicks_players_all_stats[[#This Row],[GP]]</f>
        <v>10.379310344827585</v>
      </c>
      <c r="Z105" s="2">
        <v>104</v>
      </c>
      <c r="AA105" s="6">
        <f>knicks_players_all_stats[[#This Row],[AST]]/knicks_players_all_stats[[#This Row],[GP]]</f>
        <v>1.7931034482758621</v>
      </c>
      <c r="AB105" s="2">
        <f>knicks_players_all_stats[[#This Row],[STL2]]/10</f>
        <v>48</v>
      </c>
      <c r="AC105" s="2">
        <v>480</v>
      </c>
      <c r="AD105" s="6">
        <f>knicks_players_all_stats[[#This Row],[STL]]/knicks_players_all_stats[[#This Row],[GP]]</f>
        <v>0.82758620689655171</v>
      </c>
      <c r="AE105">
        <v>230</v>
      </c>
      <c r="AF105" s="2">
        <f>knicks_players_all_stats[[#This Row],[BLK2]]/10</f>
        <v>23</v>
      </c>
      <c r="AG105" s="6">
        <f>knicks_players_all_stats[[#This Row],[BLK]]/knicks_players_all_stats[[#This Row],[GP]]</f>
        <v>0.39655172413793105</v>
      </c>
      <c r="AH105">
        <v>920</v>
      </c>
      <c r="AI105" s="6">
        <f>knicks_players_all_stats[[#This Row],[BLKPG]]+knicks_players_all_stats[[#This Row],[STLPG]]+knicks_players_all_stats[[#This Row],[REBPG]]</f>
        <v>11.603448275862068</v>
      </c>
      <c r="AJ105" s="2">
        <f>knicks_players_all_stats[[#This Row],[TOV2]]/10</f>
        <v>92</v>
      </c>
      <c r="AK105" s="6">
        <f>knicks_players_all_stats[[#This Row],[TOV]]/knicks_players_all_stats[[#This Row],[GP]]</f>
        <v>1.5862068965517242</v>
      </c>
      <c r="AL105" s="2">
        <v>155</v>
      </c>
      <c r="AM105" s="2">
        <f>knicks_players_all_stats[[#This Row],[PF]]/knicks_players_all_stats[[#This Row],[GP]]</f>
        <v>2.6724137931034484</v>
      </c>
      <c r="AN105" s="2">
        <v>621</v>
      </c>
      <c r="AO105" s="6">
        <f>knicks_players_all_stats[[#This Row],[PTS]]/knicks_players_all_stats[[#This Row],[GP]]</f>
        <v>10.706896551724139</v>
      </c>
    </row>
    <row r="106" spans="1:41" customFormat="1" x14ac:dyDescent="0.3">
      <c r="A106" s="3" t="s">
        <v>1676</v>
      </c>
      <c r="B106" s="3" t="s">
        <v>1302</v>
      </c>
      <c r="C106" s="3" t="str">
        <f>knicks_players_all_stats[[#This Row],[NAME]]&amp;" ("&amp;knicks_players_all_stats[[#This Row],[SEASON]]&amp;")"</f>
        <v>Eddy Curry (2006-07)</v>
      </c>
      <c r="D106" s="3">
        <f>knicks_players_all_stats[[#This Row],[PLAYER_AGE]]/10</f>
        <v>24</v>
      </c>
      <c r="E106">
        <v>240</v>
      </c>
      <c r="F106" s="2">
        <v>81</v>
      </c>
      <c r="G106" s="2">
        <v>28490</v>
      </c>
      <c r="H10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1044</v>
      </c>
      <c r="I106" s="6">
        <f>knicks_players_all_stats[[#This Row],[VALORATION]]/knicks_players_all_stats[[#This Row],[GP]]</f>
        <v>12.888888888888889</v>
      </c>
      <c r="J106" s="2">
        <v>585</v>
      </c>
      <c r="K106" s="2">
        <v>1016</v>
      </c>
      <c r="L106" s="2">
        <v>576</v>
      </c>
      <c r="M106" s="2">
        <v>10</v>
      </c>
      <c r="N106" s="2">
        <v>10</v>
      </c>
      <c r="O106" s="4">
        <f>knicks_players_all_stats[[#This Row],[FG3M]]/knicks_players_all_stats[[#This Row],[FG3A]]</f>
        <v>1</v>
      </c>
      <c r="P106" s="2">
        <v>405</v>
      </c>
      <c r="Q106" s="2">
        <v>659</v>
      </c>
      <c r="R106" s="5">
        <f>knicks_players_all_stats[[#This Row],[FTM]]/knicks_players_all_stats[[#This Row],[FTA]]</f>
        <v>0.61456752655538693</v>
      </c>
      <c r="S106" s="2">
        <f>knicks_players_all_stats[[#This Row],[OREB22]]/10</f>
        <v>195</v>
      </c>
      <c r="T106" s="2">
        <f>knicks_players_all_stats[[#This Row],[DREB33]]/10</f>
        <v>376</v>
      </c>
      <c r="U106" s="2">
        <f>knicks_players_all_stats[[#This Row],[REB44]]/10</f>
        <v>571</v>
      </c>
      <c r="V106">
        <v>1950</v>
      </c>
      <c r="W106">
        <v>3760</v>
      </c>
      <c r="X106">
        <v>5710</v>
      </c>
      <c r="Y106" s="22">
        <f>knicks_players_all_stats[[#This Row],[REB]]/knicks_players_all_stats[[#This Row],[GP]]</f>
        <v>7.0493827160493829</v>
      </c>
      <c r="Z106" s="2">
        <v>68</v>
      </c>
      <c r="AA106" s="6">
        <f>knicks_players_all_stats[[#This Row],[AST]]/knicks_players_all_stats[[#This Row],[GP]]</f>
        <v>0.83950617283950613</v>
      </c>
      <c r="AB106" s="2">
        <f>knicks_players_all_stats[[#This Row],[STL2]]/10</f>
        <v>34</v>
      </c>
      <c r="AC106" s="2">
        <v>340</v>
      </c>
      <c r="AD106" s="6">
        <f>knicks_players_all_stats[[#This Row],[STL]]/knicks_players_all_stats[[#This Row],[GP]]</f>
        <v>0.41975308641975306</v>
      </c>
      <c r="AE106">
        <v>400</v>
      </c>
      <c r="AF106" s="2">
        <f>knicks_players_all_stats[[#This Row],[BLK2]]/10</f>
        <v>40</v>
      </c>
      <c r="AG106" s="6">
        <f>knicks_players_all_stats[[#This Row],[BLK]]/knicks_players_all_stats[[#This Row],[GP]]</f>
        <v>0.49382716049382713</v>
      </c>
      <c r="AH106">
        <v>2950</v>
      </c>
      <c r="AI106" s="6">
        <f>knicks_players_all_stats[[#This Row],[BLKPG]]+knicks_players_all_stats[[#This Row],[STLPG]]+knicks_players_all_stats[[#This Row],[REBPG]]</f>
        <v>7.9629629629629628</v>
      </c>
      <c r="AJ106" s="2">
        <f>knicks_players_all_stats[[#This Row],[TOV2]]/10</f>
        <v>295</v>
      </c>
      <c r="AK106" s="6">
        <f>knicks_players_all_stats[[#This Row],[TOV]]/knicks_players_all_stats[[#This Row],[GP]]</f>
        <v>3.6419753086419755</v>
      </c>
      <c r="AL106" s="2">
        <v>265</v>
      </c>
      <c r="AM106" s="2">
        <f>knicks_players_all_stats[[#This Row],[PF]]/knicks_players_all_stats[[#This Row],[GP]]</f>
        <v>3.2716049382716048</v>
      </c>
      <c r="AN106" s="2">
        <v>1576</v>
      </c>
      <c r="AO106" s="6">
        <f>knicks_players_all_stats[[#This Row],[PTS]]/knicks_players_all_stats[[#This Row],[GP]]</f>
        <v>19.456790123456791</v>
      </c>
    </row>
    <row r="107" spans="1:41" customFormat="1" x14ac:dyDescent="0.3">
      <c r="A107" s="3" t="s">
        <v>1498</v>
      </c>
      <c r="B107" s="3" t="s">
        <v>1302</v>
      </c>
      <c r="C107" s="3" t="str">
        <f>knicks_players_all_stats[[#This Row],[NAME]]&amp;" ("&amp;knicks_players_all_stats[[#This Row],[SEASON]]&amp;")"</f>
        <v>Stephon Marbury (2006-07)</v>
      </c>
      <c r="D107" s="3">
        <f>knicks_players_all_stats[[#This Row],[PLAYER_AGE]]/10</f>
        <v>30</v>
      </c>
      <c r="E107">
        <v>300</v>
      </c>
      <c r="F107" s="2">
        <v>74</v>
      </c>
      <c r="G107" s="2">
        <v>27480</v>
      </c>
      <c r="H10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897</v>
      </c>
      <c r="I107" s="6">
        <f>knicks_players_all_stats[[#This Row],[VALORATION]]/knicks_players_all_stats[[#This Row],[GP]]</f>
        <v>12.121621621621621</v>
      </c>
      <c r="J107" s="2">
        <v>395</v>
      </c>
      <c r="K107" s="2">
        <v>952</v>
      </c>
      <c r="L107" s="4">
        <f>knicks_players_all_stats[[#This Row],[FGM]]/knicks_players_all_stats[[#This Row],[FGA]]</f>
        <v>0.41491596638655465</v>
      </c>
      <c r="M107" s="2">
        <v>1230</v>
      </c>
      <c r="N107" s="2">
        <v>3450</v>
      </c>
      <c r="O107" s="4">
        <f>knicks_players_all_stats[[#This Row],[FG3M]]/knicks_players_all_stats[[#This Row],[FG3A]]</f>
        <v>0.35652173913043478</v>
      </c>
      <c r="P107" s="2">
        <v>297</v>
      </c>
      <c r="Q107" s="2">
        <v>386</v>
      </c>
      <c r="R107" s="5">
        <f>knicks_players_all_stats[[#This Row],[FTM]]/knicks_players_all_stats[[#This Row],[FTA]]</f>
        <v>0.76943005181347146</v>
      </c>
      <c r="S107" s="2">
        <f>knicks_players_all_stats[[#This Row],[OREB22]]/10</f>
        <v>36</v>
      </c>
      <c r="T107" s="2">
        <f>knicks_players_all_stats[[#This Row],[DREB33]]/10</f>
        <v>177</v>
      </c>
      <c r="U107" s="2">
        <f>knicks_players_all_stats[[#This Row],[REB44]]/10</f>
        <v>213</v>
      </c>
      <c r="V107">
        <v>360</v>
      </c>
      <c r="W107">
        <v>1770</v>
      </c>
      <c r="X107">
        <v>2130</v>
      </c>
      <c r="Y107" s="22">
        <f>knicks_players_all_stats[[#This Row],[REB]]/knicks_players_all_stats[[#This Row],[GP]]</f>
        <v>2.8783783783783785</v>
      </c>
      <c r="Z107" s="2">
        <v>403</v>
      </c>
      <c r="AA107" s="6">
        <f>knicks_players_all_stats[[#This Row],[AST]]/knicks_players_all_stats[[#This Row],[GP]]</f>
        <v>5.4459459459459456</v>
      </c>
      <c r="AB107" s="2">
        <f>knicks_players_all_stats[[#This Row],[STL2]]/10</f>
        <v>71</v>
      </c>
      <c r="AC107" s="2">
        <v>710</v>
      </c>
      <c r="AD107" s="6">
        <f>knicks_players_all_stats[[#This Row],[STL]]/knicks_players_all_stats[[#This Row],[GP]]</f>
        <v>0.95945945945945943</v>
      </c>
      <c r="AE107">
        <v>100</v>
      </c>
      <c r="AF107" s="2">
        <f>knicks_players_all_stats[[#This Row],[BLK2]]/10</f>
        <v>10</v>
      </c>
      <c r="AG107" s="6">
        <f>knicks_players_all_stats[[#This Row],[BLK]]/knicks_players_all_stats[[#This Row],[GP]]</f>
        <v>0.13513513513513514</v>
      </c>
      <c r="AH107">
        <v>1790</v>
      </c>
      <c r="AI107" s="6">
        <f>knicks_players_all_stats[[#This Row],[BLKPG]]+knicks_players_all_stats[[#This Row],[STLPG]]+knicks_players_all_stats[[#This Row],[REBPG]]</f>
        <v>3.9729729729729728</v>
      </c>
      <c r="AJ107" s="2">
        <f>knicks_players_all_stats[[#This Row],[TOV2]]/10</f>
        <v>179</v>
      </c>
      <c r="AK107" s="6">
        <f>knicks_players_all_stats[[#This Row],[TOV]]/knicks_players_all_stats[[#This Row],[GP]]</f>
        <v>2.4189189189189189</v>
      </c>
      <c r="AL107" s="2">
        <v>185</v>
      </c>
      <c r="AM107" s="2">
        <f>knicks_players_all_stats[[#This Row],[PF]]/knicks_players_all_stats[[#This Row],[GP]]</f>
        <v>2.5</v>
      </c>
      <c r="AN107" s="2">
        <v>1210</v>
      </c>
      <c r="AO107" s="6">
        <f>knicks_players_all_stats[[#This Row],[PTS]]/knicks_players_all_stats[[#This Row],[GP]]</f>
        <v>16.351351351351351</v>
      </c>
    </row>
    <row r="108" spans="1:41" customFormat="1" x14ac:dyDescent="0.3">
      <c r="A108" s="3" t="s">
        <v>1773</v>
      </c>
      <c r="B108" s="3" t="s">
        <v>1302</v>
      </c>
      <c r="C108" s="3" t="str">
        <f>knicks_players_all_stats[[#This Row],[NAME]]&amp;" ("&amp;knicks_players_all_stats[[#This Row],[SEASON]]&amp;")"</f>
        <v>Quentin Richardson (2006-07)</v>
      </c>
      <c r="D108" s="3">
        <f>knicks_players_all_stats[[#This Row],[PLAYER_AGE]]/10</f>
        <v>27</v>
      </c>
      <c r="E108">
        <v>270</v>
      </c>
      <c r="F108" s="2">
        <v>49</v>
      </c>
      <c r="G108" s="2">
        <v>16210</v>
      </c>
      <c r="H10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582</v>
      </c>
      <c r="I108" s="6">
        <f>knicks_players_all_stats[[#This Row],[VALORATION]]/knicks_players_all_stats[[#This Row],[GP]]</f>
        <v>11.877551020408163</v>
      </c>
      <c r="J108" s="2">
        <v>228</v>
      </c>
      <c r="K108" s="2">
        <v>545</v>
      </c>
      <c r="L108" s="2">
        <v>418</v>
      </c>
      <c r="M108" s="2">
        <v>970</v>
      </c>
      <c r="N108" s="2">
        <v>2580</v>
      </c>
      <c r="O108" s="4">
        <f>knicks_players_all_stats[[#This Row],[FG3M]]/knicks_players_all_stats[[#This Row],[FG3A]]</f>
        <v>0.37596899224806202</v>
      </c>
      <c r="P108" s="2">
        <v>83</v>
      </c>
      <c r="Q108" s="2">
        <v>120</v>
      </c>
      <c r="R108" s="5">
        <f>knicks_players_all_stats[[#This Row],[FTM]]/knicks_players_all_stats[[#This Row],[FTA]]</f>
        <v>0.69166666666666665</v>
      </c>
      <c r="S108" s="2">
        <f>knicks_players_all_stats[[#This Row],[OREB22]]/10</f>
        <v>65</v>
      </c>
      <c r="T108" s="2">
        <f>knicks_players_all_stats[[#This Row],[DREB33]]/10</f>
        <v>287</v>
      </c>
      <c r="U108" s="2">
        <f>knicks_players_all_stats[[#This Row],[REB44]]/10</f>
        <v>352</v>
      </c>
      <c r="V108">
        <v>650</v>
      </c>
      <c r="W108">
        <v>2870</v>
      </c>
      <c r="X108">
        <v>3520</v>
      </c>
      <c r="Y108" s="22">
        <f>knicks_players_all_stats[[#This Row],[REB]]/knicks_players_all_stats[[#This Row],[GP]]</f>
        <v>7.1836734693877551</v>
      </c>
      <c r="Z108" s="2">
        <v>108</v>
      </c>
      <c r="AA108" s="6">
        <f>knicks_players_all_stats[[#This Row],[AST]]/knicks_players_all_stats[[#This Row],[GP]]</f>
        <v>2.204081632653061</v>
      </c>
      <c r="AB108" s="2">
        <f>knicks_players_all_stats[[#This Row],[STL2]]/10</f>
        <v>36</v>
      </c>
      <c r="AC108" s="2">
        <v>360</v>
      </c>
      <c r="AD108" s="6">
        <f>knicks_players_all_stats[[#This Row],[STL]]/knicks_players_all_stats[[#This Row],[GP]]</f>
        <v>0.73469387755102045</v>
      </c>
      <c r="AE108">
        <v>70</v>
      </c>
      <c r="AF108" s="2">
        <f>knicks_players_all_stats[[#This Row],[BLK2]]/10</f>
        <v>7</v>
      </c>
      <c r="AG108" s="6">
        <f>knicks_players_all_stats[[#This Row],[BLK]]/knicks_players_all_stats[[#This Row],[GP]]</f>
        <v>0.14285714285714285</v>
      </c>
      <c r="AH108">
        <v>700</v>
      </c>
      <c r="AI108" s="6">
        <f>knicks_players_all_stats[[#This Row],[BLKPG]]+knicks_players_all_stats[[#This Row],[STLPG]]+knicks_players_all_stats[[#This Row],[REBPG]]</f>
        <v>8.0612244897959187</v>
      </c>
      <c r="AJ108" s="2">
        <f>knicks_players_all_stats[[#This Row],[TOV2]]/10</f>
        <v>70</v>
      </c>
      <c r="AK108" s="6">
        <f>knicks_players_all_stats[[#This Row],[TOV]]/knicks_players_all_stats[[#This Row],[GP]]</f>
        <v>1.4285714285714286</v>
      </c>
      <c r="AL108" s="2">
        <v>133</v>
      </c>
      <c r="AM108" s="2">
        <f>knicks_players_all_stats[[#This Row],[PF]]/knicks_players_all_stats[[#This Row],[GP]]</f>
        <v>2.7142857142857144</v>
      </c>
      <c r="AN108" s="2">
        <v>636</v>
      </c>
      <c r="AO108" s="6">
        <f>knicks_players_all_stats[[#This Row],[PTS]]/knicks_players_all_stats[[#This Row],[GP]]</f>
        <v>12.979591836734693</v>
      </c>
    </row>
    <row r="109" spans="1:41" customFormat="1" x14ac:dyDescent="0.3">
      <c r="A109" s="3" t="s">
        <v>1697</v>
      </c>
      <c r="B109" s="3" t="s">
        <v>1302</v>
      </c>
      <c r="C109" s="3" t="str">
        <f>knicks_players_all_stats[[#This Row],[NAME]]&amp;" ("&amp;knicks_players_all_stats[[#This Row],[SEASON]]&amp;")"</f>
        <v>Jamal Crawford (2006-07)</v>
      </c>
      <c r="D109" s="3">
        <f>knicks_players_all_stats[[#This Row],[PLAYER_AGE]]/10</f>
        <v>27</v>
      </c>
      <c r="E109">
        <v>270</v>
      </c>
      <c r="F109" s="2">
        <v>59</v>
      </c>
      <c r="G109" s="2">
        <v>21980</v>
      </c>
      <c r="H10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700</v>
      </c>
      <c r="I109" s="6">
        <f>knicks_players_all_stats[[#This Row],[VALORATION]]/knicks_players_all_stats[[#This Row],[GP]]</f>
        <v>11.864406779661017</v>
      </c>
      <c r="J109" s="2">
        <v>354</v>
      </c>
      <c r="K109" s="2">
        <v>886</v>
      </c>
      <c r="L109" s="2">
        <v>4</v>
      </c>
      <c r="M109" s="2">
        <v>1030</v>
      </c>
      <c r="N109" s="2">
        <v>3220</v>
      </c>
      <c r="O109" s="4">
        <f>knicks_players_all_stats[[#This Row],[FG3M]]/knicks_players_all_stats[[#This Row],[FG3A]]</f>
        <v>0.31987577639751552</v>
      </c>
      <c r="P109" s="2">
        <v>228</v>
      </c>
      <c r="Q109" s="2">
        <v>272</v>
      </c>
      <c r="R109" s="5">
        <f>knicks_players_all_stats[[#This Row],[FTM]]/knicks_players_all_stats[[#This Row],[FTA]]</f>
        <v>0.83823529411764708</v>
      </c>
      <c r="S109" s="2">
        <f>knicks_players_all_stats[[#This Row],[OREB22]]/10</f>
        <v>44</v>
      </c>
      <c r="T109" s="2">
        <f>knicks_players_all_stats[[#This Row],[DREB33]]/10</f>
        <v>145</v>
      </c>
      <c r="U109" s="2">
        <f>knicks_players_all_stats[[#This Row],[REB44]]/10</f>
        <v>189</v>
      </c>
      <c r="V109">
        <v>440</v>
      </c>
      <c r="W109">
        <v>1450</v>
      </c>
      <c r="X109">
        <v>1890</v>
      </c>
      <c r="Y109" s="22">
        <f>knicks_players_all_stats[[#This Row],[REB]]/knicks_players_all_stats[[#This Row],[GP]]</f>
        <v>3.2033898305084745</v>
      </c>
      <c r="Z109" s="2">
        <v>259</v>
      </c>
      <c r="AA109" s="6">
        <f>knicks_players_all_stats[[#This Row],[AST]]/knicks_players_all_stats[[#This Row],[GP]]</f>
        <v>4.3898305084745761</v>
      </c>
      <c r="AB109" s="2">
        <f>knicks_players_all_stats[[#This Row],[STL2]]/10</f>
        <v>57</v>
      </c>
      <c r="AC109" s="2">
        <v>570</v>
      </c>
      <c r="AD109" s="6">
        <f>knicks_players_all_stats[[#This Row],[STL]]/knicks_players_all_stats[[#This Row],[GP]]</f>
        <v>0.96610169491525422</v>
      </c>
      <c r="AE109">
        <v>80</v>
      </c>
      <c r="AF109" s="2">
        <f>knicks_players_all_stats[[#This Row],[BLK2]]/10</f>
        <v>8</v>
      </c>
      <c r="AG109" s="6">
        <f>knicks_players_all_stats[[#This Row],[BLK]]/knicks_players_all_stats[[#This Row],[GP]]</f>
        <v>0.13559322033898305</v>
      </c>
      <c r="AH109">
        <v>1620</v>
      </c>
      <c r="AI109" s="6">
        <f>knicks_players_all_stats[[#This Row],[BLKPG]]+knicks_players_all_stats[[#This Row],[STLPG]]+knicks_players_all_stats[[#This Row],[REBPG]]</f>
        <v>4.3050847457627119</v>
      </c>
      <c r="AJ109" s="2">
        <f>knicks_players_all_stats[[#This Row],[TOV2]]/10</f>
        <v>162</v>
      </c>
      <c r="AK109" s="6">
        <f>knicks_players_all_stats[[#This Row],[TOV]]/knicks_players_all_stats[[#This Row],[GP]]</f>
        <v>2.7457627118644066</v>
      </c>
      <c r="AL109" s="2">
        <v>114</v>
      </c>
      <c r="AM109" s="2">
        <f>knicks_players_all_stats[[#This Row],[PF]]/knicks_players_all_stats[[#This Row],[GP]]</f>
        <v>1.9322033898305084</v>
      </c>
      <c r="AN109" s="2">
        <v>1039</v>
      </c>
      <c r="AO109" s="6">
        <f>knicks_players_all_stats[[#This Row],[PTS]]/knicks_players_all_stats[[#This Row],[GP]]</f>
        <v>17.610169491525422</v>
      </c>
    </row>
    <row r="110" spans="1:41" customFormat="1" x14ac:dyDescent="0.3">
      <c r="A110" s="3" t="s">
        <v>1449</v>
      </c>
      <c r="B110" s="3" t="s">
        <v>1302</v>
      </c>
      <c r="C110" s="3" t="str">
        <f>knicks_players_all_stats[[#This Row],[NAME]]&amp;" ("&amp;knicks_players_all_stats[[#This Row],[SEASON]]&amp;")"</f>
        <v>Steve Francis (2006-07)</v>
      </c>
      <c r="D110" s="3">
        <f>knicks_players_all_stats[[#This Row],[PLAYER_AGE]]/10</f>
        <v>30</v>
      </c>
      <c r="E110">
        <v>300</v>
      </c>
      <c r="F110" s="2">
        <v>44</v>
      </c>
      <c r="G110" s="2">
        <v>12370</v>
      </c>
      <c r="H11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412</v>
      </c>
      <c r="I110" s="6">
        <f>knicks_players_all_stats[[#This Row],[VALORATION]]/knicks_players_all_stats[[#This Row],[GP]]</f>
        <v>9.3636363636363633</v>
      </c>
      <c r="J110" s="2">
        <v>140</v>
      </c>
      <c r="K110" s="2">
        <v>343</v>
      </c>
      <c r="L110" s="4">
        <f>knicks_players_all_stats[[#This Row],[FGM]]/knicks_players_all_stats[[#This Row],[FGA]]</f>
        <v>0.40816326530612246</v>
      </c>
      <c r="M110" s="2">
        <v>420</v>
      </c>
      <c r="N110" s="2">
        <v>1110</v>
      </c>
      <c r="O110" s="4">
        <f>knicks_players_all_stats[[#This Row],[FG3M]]/knicks_players_all_stats[[#This Row],[FG3A]]</f>
        <v>0.3783783783783784</v>
      </c>
      <c r="P110" s="2">
        <v>175</v>
      </c>
      <c r="Q110" s="2">
        <v>211</v>
      </c>
      <c r="R110" s="5">
        <f>knicks_players_all_stats[[#This Row],[FTM]]/knicks_players_all_stats[[#This Row],[FTA]]</f>
        <v>0.82938388625592419</v>
      </c>
      <c r="S110" s="2">
        <f>knicks_players_all_stats[[#This Row],[OREB22]]/10</f>
        <v>33</v>
      </c>
      <c r="T110" s="2">
        <f>knicks_players_all_stats[[#This Row],[DREB33]]/10</f>
        <v>124</v>
      </c>
      <c r="U110" s="2">
        <f>knicks_players_all_stats[[#This Row],[REB44]]/10</f>
        <v>157</v>
      </c>
      <c r="V110">
        <v>330</v>
      </c>
      <c r="W110">
        <v>1240</v>
      </c>
      <c r="X110">
        <v>1570</v>
      </c>
      <c r="Y110" s="22">
        <f>knicks_players_all_stats[[#This Row],[REB]]/knicks_players_all_stats[[#This Row],[GP]]</f>
        <v>3.5681818181818183</v>
      </c>
      <c r="Z110" s="2">
        <v>170</v>
      </c>
      <c r="AA110" s="6">
        <f>knicks_players_all_stats[[#This Row],[AST]]/knicks_players_all_stats[[#This Row],[GP]]</f>
        <v>3.8636363636363638</v>
      </c>
      <c r="AB110" s="2">
        <f>knicks_players_all_stats[[#This Row],[STL2]]/10</f>
        <v>41</v>
      </c>
      <c r="AC110" s="2">
        <v>410</v>
      </c>
      <c r="AD110" s="6">
        <f>knicks_players_all_stats[[#This Row],[STL]]/knicks_players_all_stats[[#This Row],[GP]]</f>
        <v>0.93181818181818177</v>
      </c>
      <c r="AE110">
        <v>120</v>
      </c>
      <c r="AF110" s="2">
        <f>knicks_players_all_stats[[#This Row],[BLK2]]/10</f>
        <v>12</v>
      </c>
      <c r="AG110" s="6">
        <f>knicks_players_all_stats[[#This Row],[BLK]]/knicks_players_all_stats[[#This Row],[GP]]</f>
        <v>0.27272727272727271</v>
      </c>
      <c r="AH110">
        <v>1000</v>
      </c>
      <c r="AI110" s="6">
        <f>knicks_players_all_stats[[#This Row],[BLKPG]]+knicks_players_all_stats[[#This Row],[STLPG]]+knicks_players_all_stats[[#This Row],[REBPG]]</f>
        <v>4.7727272727272734</v>
      </c>
      <c r="AJ110" s="2">
        <f>knicks_players_all_stats[[#This Row],[TOV2]]/10</f>
        <v>100</v>
      </c>
      <c r="AK110" s="6">
        <f>knicks_players_all_stats[[#This Row],[TOV]]/knicks_players_all_stats[[#This Row],[GP]]</f>
        <v>2.2727272727272729</v>
      </c>
      <c r="AL110" s="2">
        <v>126</v>
      </c>
      <c r="AM110" s="2">
        <f>knicks_players_all_stats[[#This Row],[PF]]/knicks_players_all_stats[[#This Row],[GP]]</f>
        <v>2.8636363636363638</v>
      </c>
      <c r="AN110" s="2">
        <v>497</v>
      </c>
      <c r="AO110" s="6">
        <f>knicks_players_all_stats[[#This Row],[PTS]]/knicks_players_all_stats[[#This Row],[GP]]</f>
        <v>11.295454545454545</v>
      </c>
    </row>
    <row r="111" spans="1:41" customFormat="1" x14ac:dyDescent="0.3">
      <c r="A111" s="3" t="s">
        <v>1758</v>
      </c>
      <c r="B111" s="3" t="s">
        <v>1302</v>
      </c>
      <c r="C111" s="3" t="str">
        <f>knicks_players_all_stats[[#This Row],[NAME]]&amp;" ("&amp;knicks_players_all_stats[[#This Row],[SEASON]]&amp;")"</f>
        <v>Channing Frye (2006-07)</v>
      </c>
      <c r="D111" s="3">
        <f>knicks_players_all_stats[[#This Row],[PLAYER_AGE]]/10</f>
        <v>24</v>
      </c>
      <c r="E111">
        <v>240</v>
      </c>
      <c r="F111" s="2">
        <v>72</v>
      </c>
      <c r="G111" s="2">
        <v>18990</v>
      </c>
      <c r="H11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494</v>
      </c>
      <c r="I111" s="6">
        <f>knicks_players_all_stats[[#This Row],[VALORATION]]/knicks_players_all_stats[[#This Row],[GP]]</f>
        <v>6.8611111111111107</v>
      </c>
      <c r="J111" s="2">
        <v>298</v>
      </c>
      <c r="K111" s="2">
        <v>689</v>
      </c>
      <c r="L111" s="2">
        <v>433</v>
      </c>
      <c r="M111" s="2">
        <v>30</v>
      </c>
      <c r="N111" s="2">
        <v>180</v>
      </c>
      <c r="O111" s="4">
        <f>knicks_players_all_stats[[#This Row],[FG3M]]/knicks_players_all_stats[[#This Row],[FG3A]]</f>
        <v>0.16666666666666666</v>
      </c>
      <c r="P111" s="2">
        <v>85</v>
      </c>
      <c r="Q111" s="2">
        <v>108</v>
      </c>
      <c r="R111" s="5">
        <f>knicks_players_all_stats[[#This Row],[FTM]]/knicks_players_all_stats[[#This Row],[FTA]]</f>
        <v>0.78703703703703709</v>
      </c>
      <c r="S111" s="2">
        <f>knicks_players_all_stats[[#This Row],[OREB22]]/10</f>
        <v>91</v>
      </c>
      <c r="T111" s="2">
        <f>knicks_players_all_stats[[#This Row],[DREB33]]/10</f>
        <v>304</v>
      </c>
      <c r="U111" s="2">
        <f>knicks_players_all_stats[[#This Row],[REB44]]/10</f>
        <v>395</v>
      </c>
      <c r="V111">
        <v>910</v>
      </c>
      <c r="W111">
        <v>3040</v>
      </c>
      <c r="X111">
        <v>3950</v>
      </c>
      <c r="Y111" s="22">
        <f>knicks_players_all_stats[[#This Row],[REB]]/knicks_players_all_stats[[#This Row],[GP]]</f>
        <v>5.4861111111111107</v>
      </c>
      <c r="Z111" s="2">
        <v>67</v>
      </c>
      <c r="AA111" s="6">
        <f>knicks_players_all_stats[[#This Row],[AST]]/knicks_players_all_stats[[#This Row],[GP]]</f>
        <v>0.93055555555555558</v>
      </c>
      <c r="AB111" s="2">
        <f>knicks_players_all_stats[[#This Row],[STL2]]/10</f>
        <v>36</v>
      </c>
      <c r="AC111" s="2">
        <v>360</v>
      </c>
      <c r="AD111" s="6">
        <f>knicks_players_all_stats[[#This Row],[STL]]/knicks_players_all_stats[[#This Row],[GP]]</f>
        <v>0.5</v>
      </c>
      <c r="AE111">
        <v>420</v>
      </c>
      <c r="AF111" s="2">
        <f>knicks_players_all_stats[[#This Row],[BLK2]]/10</f>
        <v>42</v>
      </c>
      <c r="AG111" s="6">
        <f>knicks_players_all_stats[[#This Row],[BLK]]/knicks_players_all_stats[[#This Row],[GP]]</f>
        <v>0.58333333333333337</v>
      </c>
      <c r="AH111">
        <v>1000</v>
      </c>
      <c r="AI111" s="6">
        <f>knicks_players_all_stats[[#This Row],[BLKPG]]+knicks_players_all_stats[[#This Row],[STLPG]]+knicks_players_all_stats[[#This Row],[REBPG]]</f>
        <v>6.5694444444444446</v>
      </c>
      <c r="AJ111" s="2">
        <f>knicks_players_all_stats[[#This Row],[TOV2]]/10</f>
        <v>100</v>
      </c>
      <c r="AK111" s="6">
        <f>knicks_players_all_stats[[#This Row],[TOV]]/knicks_players_all_stats[[#This Row],[GP]]</f>
        <v>1.3888888888888888</v>
      </c>
      <c r="AL111" s="2">
        <v>216</v>
      </c>
      <c r="AM111" s="2">
        <f>knicks_players_all_stats[[#This Row],[PF]]/knicks_players_all_stats[[#This Row],[GP]]</f>
        <v>3</v>
      </c>
      <c r="AN111" s="2">
        <v>684</v>
      </c>
      <c r="AO111" s="6">
        <f>knicks_players_all_stats[[#This Row],[PTS]]/knicks_players_all_stats[[#This Row],[GP]]</f>
        <v>9.5</v>
      </c>
    </row>
    <row r="112" spans="1:41" customFormat="1" x14ac:dyDescent="0.3">
      <c r="A112" s="3" t="s">
        <v>1301</v>
      </c>
      <c r="B112" s="3" t="s">
        <v>1302</v>
      </c>
      <c r="C112" s="3" t="str">
        <f>knicks_players_all_stats[[#This Row],[NAME]]&amp;" ("&amp;knicks_players_all_stats[[#This Row],[SEASON]]&amp;")"</f>
        <v>Nate Robinson (2006-07)</v>
      </c>
      <c r="D112" s="3">
        <f>knicks_players_all_stats[[#This Row],[PLAYER_AGE]]/10</f>
        <v>23</v>
      </c>
      <c r="E112">
        <v>230</v>
      </c>
      <c r="F112" s="2">
        <v>64</v>
      </c>
      <c r="G112" s="2">
        <v>13560</v>
      </c>
      <c r="H11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384</v>
      </c>
      <c r="I112" s="6">
        <f>knicks_players_all_stats[[#This Row],[VALORATION]]/knicks_players_all_stats[[#This Row],[GP]]</f>
        <v>6</v>
      </c>
      <c r="J112" s="2">
        <v>227</v>
      </c>
      <c r="K112" s="2">
        <v>523</v>
      </c>
      <c r="L112" s="4">
        <f>knicks_players_all_stats[[#This Row],[FGM]]/knicks_players_all_stats[[#This Row],[FGA]]</f>
        <v>0.4340344168260038</v>
      </c>
      <c r="M112" s="2">
        <v>830</v>
      </c>
      <c r="N112" s="2">
        <v>2130</v>
      </c>
      <c r="O112" s="4">
        <f>knicks_players_all_stats[[#This Row],[FG3M]]/knicks_players_all_stats[[#This Row],[FG3A]]</f>
        <v>0.38967136150234744</v>
      </c>
      <c r="P112" s="2">
        <v>108</v>
      </c>
      <c r="Q112" s="2">
        <v>139</v>
      </c>
      <c r="R112" s="5">
        <f>knicks_players_all_stats[[#This Row],[FTM]]/knicks_players_all_stats[[#This Row],[FTA]]</f>
        <v>0.7769784172661871</v>
      </c>
      <c r="S112" s="2">
        <f>knicks_players_all_stats[[#This Row],[OREB22]]/10</f>
        <v>55</v>
      </c>
      <c r="T112" s="2">
        <f>knicks_players_all_stats[[#This Row],[DREB33]]/10</f>
        <v>97</v>
      </c>
      <c r="U112" s="2">
        <f>knicks_players_all_stats[[#This Row],[REB44]]/10</f>
        <v>152</v>
      </c>
      <c r="V112">
        <v>550</v>
      </c>
      <c r="W112">
        <v>970</v>
      </c>
      <c r="X112">
        <v>1520</v>
      </c>
      <c r="Y112" s="22">
        <f>knicks_players_all_stats[[#This Row],[REB]]/knicks_players_all_stats[[#This Row],[GP]]</f>
        <v>2.375</v>
      </c>
      <c r="Z112" s="2">
        <v>90</v>
      </c>
      <c r="AA112" s="6">
        <f>knicks_players_all_stats[[#This Row],[AST]]/knicks_players_all_stats[[#This Row],[GP]]</f>
        <v>1.40625</v>
      </c>
      <c r="AB112" s="2">
        <f>knicks_players_all_stats[[#This Row],[STL2]]/10</f>
        <v>50</v>
      </c>
      <c r="AC112" s="2">
        <v>500</v>
      </c>
      <c r="AD112" s="6">
        <f>knicks_players_all_stats[[#This Row],[STL]]/knicks_players_all_stats[[#This Row],[GP]]</f>
        <v>0.78125</v>
      </c>
      <c r="AE112">
        <v>60</v>
      </c>
      <c r="AF112" s="2">
        <f>knicks_players_all_stats[[#This Row],[BLK2]]/10</f>
        <v>6</v>
      </c>
      <c r="AG112" s="6">
        <f>knicks_players_all_stats[[#This Row],[BLK]]/knicks_players_all_stats[[#This Row],[GP]]</f>
        <v>9.375E-2</v>
      </c>
      <c r="AH112">
        <v>720</v>
      </c>
      <c r="AI112" s="6">
        <f>knicks_players_all_stats[[#This Row],[BLKPG]]+knicks_players_all_stats[[#This Row],[STLPG]]+knicks_players_all_stats[[#This Row],[REBPG]]</f>
        <v>3.25</v>
      </c>
      <c r="AJ112" s="2">
        <f>knicks_players_all_stats[[#This Row],[TOV2]]/10</f>
        <v>72</v>
      </c>
      <c r="AK112" s="6">
        <f>knicks_players_all_stats[[#This Row],[TOV]]/knicks_players_all_stats[[#This Row],[GP]]</f>
        <v>1.125</v>
      </c>
      <c r="AL112" s="2">
        <v>160</v>
      </c>
      <c r="AM112" s="2">
        <f>knicks_players_all_stats[[#This Row],[PF]]/knicks_players_all_stats[[#This Row],[GP]]</f>
        <v>2.5</v>
      </c>
      <c r="AN112" s="2">
        <v>645</v>
      </c>
      <c r="AO112" s="6">
        <f>knicks_players_all_stats[[#This Row],[PTS]]/knicks_players_all_stats[[#This Row],[GP]]</f>
        <v>10.078125</v>
      </c>
    </row>
    <row r="113" spans="1:41" x14ac:dyDescent="0.3">
      <c r="A113" s="3" t="s">
        <v>1311</v>
      </c>
      <c r="B113" s="3" t="s">
        <v>1302</v>
      </c>
      <c r="C113" s="3" t="str">
        <f>knicks_players_all_stats[[#This Row],[NAME]]&amp;" ("&amp;knicks_players_all_stats[[#This Row],[SEASON]]&amp;")"</f>
        <v>Renaldo Balkman (2006-07)</v>
      </c>
      <c r="D113" s="3">
        <f>knicks_players_all_stats[[#This Row],[PLAYER_AGE]]/10</f>
        <v>22</v>
      </c>
      <c r="E113">
        <v>220</v>
      </c>
      <c r="F113" s="2">
        <v>68</v>
      </c>
      <c r="G113" s="2">
        <v>10640</v>
      </c>
      <c r="H11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403</v>
      </c>
      <c r="I113" s="6">
        <f>knicks_players_all_stats[[#This Row],[VALORATION]]/knicks_players_all_stats[[#This Row],[GP]]</f>
        <v>5.9264705882352944</v>
      </c>
      <c r="J113" s="2">
        <v>139</v>
      </c>
      <c r="K113" s="2">
        <v>275</v>
      </c>
      <c r="L113" s="4">
        <f>knicks_players_all_stats[[#This Row],[FGM]]/knicks_players_all_stats[[#This Row],[FGA]]</f>
        <v>0.50545454545454549</v>
      </c>
      <c r="M113" s="2">
        <v>50</v>
      </c>
      <c r="N113" s="2">
        <v>270</v>
      </c>
      <c r="O113" s="4">
        <f>knicks_players_all_stats[[#This Row],[FG3M]]/knicks_players_all_stats[[#This Row],[FG3A]]</f>
        <v>0.18518518518518517</v>
      </c>
      <c r="P113" s="2">
        <v>51</v>
      </c>
      <c r="Q113" s="2">
        <v>90</v>
      </c>
      <c r="R113" s="5">
        <f>knicks_players_all_stats[[#This Row],[FTM]]/knicks_players_all_stats[[#This Row],[FTA]]</f>
        <v>0.56666666666666665</v>
      </c>
      <c r="S113" s="2">
        <f>knicks_players_all_stats[[#This Row],[OREB22]]/10</f>
        <v>97</v>
      </c>
      <c r="T113" s="2">
        <f>knicks_players_all_stats[[#This Row],[DREB33]]/10</f>
        <v>197</v>
      </c>
      <c r="U113" s="2">
        <f>knicks_players_all_stats[[#This Row],[REB44]]/10</f>
        <v>294</v>
      </c>
      <c r="V113">
        <v>970</v>
      </c>
      <c r="W113">
        <v>1970</v>
      </c>
      <c r="X113">
        <v>2940</v>
      </c>
      <c r="Y113" s="22">
        <f>knicks_players_all_stats[[#This Row],[REB]]/knicks_players_all_stats[[#This Row],[GP]]</f>
        <v>4.3235294117647056</v>
      </c>
      <c r="Z113" s="2">
        <v>44</v>
      </c>
      <c r="AA113" s="6">
        <f>knicks_players_all_stats[[#This Row],[AST]]/knicks_players_all_stats[[#This Row],[GP]]</f>
        <v>0.6470588235294118</v>
      </c>
      <c r="AB113" s="2">
        <f>knicks_players_all_stats[[#This Row],[STL2]]/10</f>
        <v>57</v>
      </c>
      <c r="AC113" s="2">
        <v>570</v>
      </c>
      <c r="AD113" s="6">
        <f>knicks_players_all_stats[[#This Row],[STL]]/knicks_players_all_stats[[#This Row],[GP]]</f>
        <v>0.83823529411764708</v>
      </c>
      <c r="AE113">
        <v>440</v>
      </c>
      <c r="AF113" s="2">
        <f>knicks_players_all_stats[[#This Row],[BLK2]]/10</f>
        <v>44</v>
      </c>
      <c r="AG113" s="6">
        <f>knicks_players_all_stats[[#This Row],[BLK]]/knicks_players_all_stats[[#This Row],[GP]]</f>
        <v>0.6470588235294118</v>
      </c>
      <c r="AH113">
        <v>490</v>
      </c>
      <c r="AI113" s="6">
        <f>knicks_players_all_stats[[#This Row],[BLKPG]]+knicks_players_all_stats[[#This Row],[STLPG]]+knicks_players_all_stats[[#This Row],[REBPG]]</f>
        <v>5.8088235294117645</v>
      </c>
      <c r="AJ113" s="2">
        <f>knicks_players_all_stats[[#This Row],[TOV2]]/10</f>
        <v>49</v>
      </c>
      <c r="AK113" s="6">
        <f>knicks_players_all_stats[[#This Row],[TOV]]/knicks_players_all_stats[[#This Row],[GP]]</f>
        <v>0.72058823529411764</v>
      </c>
      <c r="AL113" s="2">
        <v>146</v>
      </c>
      <c r="AM113" s="2">
        <f>knicks_players_all_stats[[#This Row],[PF]]/knicks_players_all_stats[[#This Row],[GP]]</f>
        <v>2.1470588235294117</v>
      </c>
      <c r="AN113" s="2">
        <v>334</v>
      </c>
      <c r="AO113" s="6">
        <f>knicks_players_all_stats[[#This Row],[PTS]]/knicks_players_all_stats[[#This Row],[GP]]</f>
        <v>4.9117647058823533</v>
      </c>
    </row>
    <row r="114" spans="1:41" x14ac:dyDescent="0.3">
      <c r="A114" s="3" t="s">
        <v>1734</v>
      </c>
      <c r="B114" s="3" t="s">
        <v>1302</v>
      </c>
      <c r="C114" s="3" t="str">
        <f>knicks_players_all_stats[[#This Row],[NAME]]&amp;" ("&amp;knicks_players_all_stats[[#This Row],[SEASON]]&amp;")"</f>
        <v>Jared Jeffries (2006-07)</v>
      </c>
      <c r="D114" s="3">
        <f>knicks_players_all_stats[[#This Row],[PLAYER_AGE]]/10</f>
        <v>25</v>
      </c>
      <c r="E114">
        <v>250</v>
      </c>
      <c r="F114" s="2">
        <v>55</v>
      </c>
      <c r="G114" s="2">
        <v>13070</v>
      </c>
      <c r="H11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243</v>
      </c>
      <c r="I114" s="6">
        <f>knicks_players_all_stats[[#This Row],[VALORATION]]/knicks_players_all_stats[[#This Row],[GP]]</f>
        <v>4.418181818181818</v>
      </c>
      <c r="J114" s="2">
        <v>95</v>
      </c>
      <c r="K114" s="2">
        <v>206</v>
      </c>
      <c r="L114" s="2">
        <v>461</v>
      </c>
      <c r="M114" s="2">
        <v>20</v>
      </c>
      <c r="N114" s="2">
        <v>200</v>
      </c>
      <c r="O114" s="4">
        <f>knicks_players_all_stats[[#This Row],[FG3M]]/knicks_players_all_stats[[#This Row],[FG3A]]</f>
        <v>0.1</v>
      </c>
      <c r="P114" s="2">
        <v>31</v>
      </c>
      <c r="Q114" s="2">
        <v>68</v>
      </c>
      <c r="R114" s="5">
        <f>knicks_players_all_stats[[#This Row],[FTM]]/knicks_players_all_stats[[#This Row],[FTA]]</f>
        <v>0.45588235294117646</v>
      </c>
      <c r="S114" s="2">
        <f>knicks_players_all_stats[[#This Row],[OREB22]]/10</f>
        <v>111</v>
      </c>
      <c r="T114" s="2">
        <f>knicks_players_all_stats[[#This Row],[DREB33]]/10</f>
        <v>127</v>
      </c>
      <c r="U114" s="2">
        <f>knicks_players_all_stats[[#This Row],[REB44]]/10</f>
        <v>238</v>
      </c>
      <c r="V114">
        <v>1110</v>
      </c>
      <c r="W114">
        <v>1270</v>
      </c>
      <c r="X114">
        <v>2380</v>
      </c>
      <c r="Y114" s="22">
        <f>knicks_players_all_stats[[#This Row],[REB]]/knicks_players_all_stats[[#This Row],[GP]]</f>
        <v>4.3272727272727272</v>
      </c>
      <c r="Z114" s="2">
        <v>67</v>
      </c>
      <c r="AA114" s="6">
        <f>knicks_players_all_stats[[#This Row],[AST]]/knicks_players_all_stats[[#This Row],[GP]]</f>
        <v>1.2181818181818183</v>
      </c>
      <c r="AB114" s="2">
        <f>knicks_players_all_stats[[#This Row],[STL2]]/10</f>
        <v>44</v>
      </c>
      <c r="AC114" s="2">
        <v>440</v>
      </c>
      <c r="AD114" s="6">
        <f>knicks_players_all_stats[[#This Row],[STL]]/knicks_players_all_stats[[#This Row],[GP]]</f>
        <v>0.8</v>
      </c>
      <c r="AE114">
        <v>300</v>
      </c>
      <c r="AF114" s="2">
        <f>knicks_players_all_stats[[#This Row],[BLK2]]/10</f>
        <v>30</v>
      </c>
      <c r="AG114" s="6">
        <f>knicks_players_all_stats[[#This Row],[BLK]]/knicks_players_all_stats[[#This Row],[GP]]</f>
        <v>0.54545454545454541</v>
      </c>
      <c r="AH114">
        <v>610</v>
      </c>
      <c r="AI114" s="6">
        <f>knicks_players_all_stats[[#This Row],[BLKPG]]+knicks_players_all_stats[[#This Row],[STLPG]]+knicks_players_all_stats[[#This Row],[REBPG]]</f>
        <v>5.6727272727272728</v>
      </c>
      <c r="AJ114" s="2">
        <f>knicks_players_all_stats[[#This Row],[TOV2]]/10</f>
        <v>61</v>
      </c>
      <c r="AK114" s="6">
        <f>knicks_players_all_stats[[#This Row],[TOV]]/knicks_players_all_stats[[#This Row],[GP]]</f>
        <v>1.1090909090909091</v>
      </c>
      <c r="AL114" s="2">
        <v>150</v>
      </c>
      <c r="AM114" s="2">
        <f>knicks_players_all_stats[[#This Row],[PF]]/knicks_players_all_stats[[#This Row],[GP]]</f>
        <v>2.7272727272727271</v>
      </c>
      <c r="AN114" s="2">
        <v>223</v>
      </c>
      <c r="AO114" s="6">
        <f>knicks_players_all_stats[[#This Row],[PTS]]/knicks_players_all_stats[[#This Row],[GP]]</f>
        <v>4.0545454545454547</v>
      </c>
    </row>
    <row r="115" spans="1:41" customFormat="1" x14ac:dyDescent="0.3">
      <c r="A115" s="3" t="s">
        <v>1727</v>
      </c>
      <c r="B115" s="3" t="s">
        <v>1302</v>
      </c>
      <c r="C115" s="3" t="str">
        <f>knicks_players_all_stats[[#This Row],[NAME]]&amp;" ("&amp;knicks_players_all_stats[[#This Row],[SEASON]]&amp;")"</f>
        <v>Mardy Collins (2006-07)</v>
      </c>
      <c r="D115" s="3">
        <f>knicks_players_all_stats[[#This Row],[PLAYER_AGE]]/10</f>
        <v>22</v>
      </c>
      <c r="E115">
        <v>220</v>
      </c>
      <c r="F115" s="2">
        <v>52</v>
      </c>
      <c r="G115" s="2">
        <v>7770</v>
      </c>
      <c r="H11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150</v>
      </c>
      <c r="I115" s="6">
        <f>knicks_players_all_stats[[#This Row],[VALORATION]]/knicks_players_all_stats[[#This Row],[GP]]</f>
        <v>2.8846153846153846</v>
      </c>
      <c r="J115" s="2">
        <v>87</v>
      </c>
      <c r="K115" s="2">
        <v>228</v>
      </c>
      <c r="L115" s="2">
        <v>382</v>
      </c>
      <c r="M115" s="2">
        <v>130</v>
      </c>
      <c r="N115" s="2">
        <v>470</v>
      </c>
      <c r="O115" s="4">
        <f>knicks_players_all_stats[[#This Row],[FG3M]]/knicks_players_all_stats[[#This Row],[FG3A]]</f>
        <v>0.27659574468085107</v>
      </c>
      <c r="P115" s="2">
        <v>48</v>
      </c>
      <c r="Q115" s="2">
        <v>82</v>
      </c>
      <c r="R115" s="5">
        <f>knicks_players_all_stats[[#This Row],[FTM]]/knicks_players_all_stats[[#This Row],[FTA]]</f>
        <v>0.58536585365853655</v>
      </c>
      <c r="S115" s="2">
        <f>knicks_players_all_stats[[#This Row],[OREB22]]/10</f>
        <v>28</v>
      </c>
      <c r="T115" s="2">
        <f>knicks_players_all_stats[[#This Row],[DREB33]]/10</f>
        <v>76</v>
      </c>
      <c r="U115" s="2">
        <f>knicks_players_all_stats[[#This Row],[REB44]]/10</f>
        <v>104</v>
      </c>
      <c r="V115">
        <v>280</v>
      </c>
      <c r="W115">
        <v>760</v>
      </c>
      <c r="X115">
        <v>1040</v>
      </c>
      <c r="Y115" s="22">
        <f>knicks_players_all_stats[[#This Row],[REB]]/knicks_players_all_stats[[#This Row],[GP]]</f>
        <v>2</v>
      </c>
      <c r="Z115" s="2">
        <v>83</v>
      </c>
      <c r="AA115" s="6">
        <f>knicks_players_all_stats[[#This Row],[AST]]/knicks_players_all_stats[[#This Row],[GP]]</f>
        <v>1.5961538461538463</v>
      </c>
      <c r="AB115" s="2">
        <f>knicks_players_all_stats[[#This Row],[STL2]]/10</f>
        <v>32</v>
      </c>
      <c r="AC115" s="2">
        <v>320</v>
      </c>
      <c r="AD115" s="6">
        <f>knicks_players_all_stats[[#This Row],[STL]]/knicks_players_all_stats[[#This Row],[GP]]</f>
        <v>0.61538461538461542</v>
      </c>
      <c r="AE115">
        <v>30</v>
      </c>
      <c r="AF115" s="2">
        <f>knicks_players_all_stats[[#This Row],[BLK2]]/10</f>
        <v>3</v>
      </c>
      <c r="AG115" s="6">
        <f>knicks_players_all_stats[[#This Row],[BLK]]/knicks_players_all_stats[[#This Row],[GP]]</f>
        <v>5.7692307692307696E-2</v>
      </c>
      <c r="AH115">
        <v>570</v>
      </c>
      <c r="AI115" s="6">
        <f>knicks_players_all_stats[[#This Row],[BLKPG]]+knicks_players_all_stats[[#This Row],[STLPG]]+knicks_players_all_stats[[#This Row],[REBPG]]</f>
        <v>2.6730769230769234</v>
      </c>
      <c r="AJ115" s="2">
        <f>knicks_players_all_stats[[#This Row],[TOV2]]/10</f>
        <v>57</v>
      </c>
      <c r="AK115" s="6">
        <f>knicks_players_all_stats[[#This Row],[TOV]]/knicks_players_all_stats[[#This Row],[GP]]</f>
        <v>1.0961538461538463</v>
      </c>
      <c r="AL115" s="2">
        <v>75</v>
      </c>
      <c r="AM115" s="2">
        <f>knicks_players_all_stats[[#This Row],[PF]]/knicks_players_all_stats[[#This Row],[GP]]</f>
        <v>1.4423076923076923</v>
      </c>
      <c r="AN115" s="2">
        <v>235</v>
      </c>
      <c r="AO115" s="6">
        <f>knicks_players_all_stats[[#This Row],[PTS]]/knicks_players_all_stats[[#This Row],[GP]]</f>
        <v>4.5192307692307692</v>
      </c>
    </row>
    <row r="116" spans="1:41" customFormat="1" x14ac:dyDescent="0.3">
      <c r="A116" s="3" t="s">
        <v>1663</v>
      </c>
      <c r="B116" s="3" t="s">
        <v>1302</v>
      </c>
      <c r="C116" s="3" t="str">
        <f>knicks_players_all_stats[[#This Row],[NAME]]&amp;" ("&amp;knicks_players_all_stats[[#This Row],[SEASON]]&amp;")"</f>
        <v>Malik Rose (2006-07)</v>
      </c>
      <c r="D116" s="3">
        <f>knicks_players_all_stats[[#This Row],[PLAYER_AGE]]/10</f>
        <v>32</v>
      </c>
      <c r="E116">
        <v>320</v>
      </c>
      <c r="F116" s="2">
        <v>65</v>
      </c>
      <c r="G116" s="2">
        <v>8100</v>
      </c>
      <c r="H11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160</v>
      </c>
      <c r="I116" s="6">
        <f>knicks_players_all_stats[[#This Row],[VALORATION]]/knicks_players_all_stats[[#This Row],[GP]]</f>
        <v>2.4615384615384617</v>
      </c>
      <c r="J116" s="2">
        <v>74</v>
      </c>
      <c r="K116" s="2">
        <v>186</v>
      </c>
      <c r="L116" s="2">
        <v>398</v>
      </c>
      <c r="M116" s="2">
        <v>20</v>
      </c>
      <c r="N116" s="2">
        <v>80</v>
      </c>
      <c r="O116" s="4">
        <f>knicks_players_all_stats[[#This Row],[FG3M]]/knicks_players_all_stats[[#This Row],[FG3A]]</f>
        <v>0.25</v>
      </c>
      <c r="P116" s="2">
        <v>42</v>
      </c>
      <c r="Q116" s="2">
        <v>52</v>
      </c>
      <c r="R116" s="5">
        <f>knicks_players_all_stats[[#This Row],[FTM]]/knicks_players_all_stats[[#This Row],[FTA]]</f>
        <v>0.80769230769230771</v>
      </c>
      <c r="S116" s="2">
        <f>knicks_players_all_stats[[#This Row],[OREB22]]/10</f>
        <v>47</v>
      </c>
      <c r="T116" s="2">
        <f>knicks_players_all_stats[[#This Row],[DREB33]]/10</f>
        <v>128</v>
      </c>
      <c r="U116" s="2">
        <f>knicks_players_all_stats[[#This Row],[REB44]]/10</f>
        <v>175</v>
      </c>
      <c r="V116">
        <v>470</v>
      </c>
      <c r="W116">
        <v>1280</v>
      </c>
      <c r="X116">
        <v>1750</v>
      </c>
      <c r="Y116" s="22">
        <f>knicks_players_all_stats[[#This Row],[REB]]/knicks_players_all_stats[[#This Row],[GP]]</f>
        <v>2.6923076923076925</v>
      </c>
      <c r="Z116" s="2">
        <v>65</v>
      </c>
      <c r="AA116" s="6">
        <f>knicks_players_all_stats[[#This Row],[AST]]/knicks_players_all_stats[[#This Row],[GP]]</f>
        <v>1</v>
      </c>
      <c r="AB116" s="2">
        <f>knicks_players_all_stats[[#This Row],[STL2]]/10</f>
        <v>26</v>
      </c>
      <c r="AC116" s="2">
        <v>260</v>
      </c>
      <c r="AD116" s="6">
        <f>knicks_players_all_stats[[#This Row],[STL]]/knicks_players_all_stats[[#This Row],[GP]]</f>
        <v>0.4</v>
      </c>
      <c r="AE116">
        <v>90</v>
      </c>
      <c r="AF116" s="2">
        <f>knicks_players_all_stats[[#This Row],[BLK2]]/10</f>
        <v>9</v>
      </c>
      <c r="AG116" s="6">
        <f>knicks_players_all_stats[[#This Row],[BLK]]/knicks_players_all_stats[[#This Row],[GP]]</f>
        <v>0.13846153846153847</v>
      </c>
      <c r="AH116">
        <v>650</v>
      </c>
      <c r="AI116" s="6">
        <f>knicks_players_all_stats[[#This Row],[BLKPG]]+knicks_players_all_stats[[#This Row],[STLPG]]+knicks_players_all_stats[[#This Row],[REBPG]]</f>
        <v>3.2307692307692308</v>
      </c>
      <c r="AJ116" s="2">
        <f>knicks_players_all_stats[[#This Row],[TOV2]]/10</f>
        <v>65</v>
      </c>
      <c r="AK116" s="6">
        <f>knicks_players_all_stats[[#This Row],[TOV]]/knicks_players_all_stats[[#This Row],[GP]]</f>
        <v>1</v>
      </c>
      <c r="AL116" s="2">
        <v>120</v>
      </c>
      <c r="AM116" s="2">
        <f>knicks_players_all_stats[[#This Row],[PF]]/knicks_players_all_stats[[#This Row],[GP]]</f>
        <v>1.8461538461538463</v>
      </c>
      <c r="AN116" s="2">
        <v>192</v>
      </c>
      <c r="AO116" s="6">
        <f>knicks_players_all_stats[[#This Row],[PTS]]/knicks_players_all_stats[[#This Row],[GP]]</f>
        <v>2.953846153846154</v>
      </c>
    </row>
    <row r="117" spans="1:41" customFormat="1" x14ac:dyDescent="0.3">
      <c r="A117" s="3" t="s">
        <v>1461</v>
      </c>
      <c r="B117" s="3" t="s">
        <v>1302</v>
      </c>
      <c r="C117" s="3" t="str">
        <f>knicks_players_all_stats[[#This Row],[NAME]]&amp;" ("&amp;knicks_players_all_stats[[#This Row],[SEASON]]&amp;")"</f>
        <v>Kelvin Cato (2006-07)</v>
      </c>
      <c r="D117" s="3">
        <f>knicks_players_all_stats[[#This Row],[PLAYER_AGE]]/10</f>
        <v>32</v>
      </c>
      <c r="E117">
        <v>320</v>
      </c>
      <c r="F117" s="2">
        <v>18</v>
      </c>
      <c r="G117" s="2">
        <v>950</v>
      </c>
      <c r="H11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31</v>
      </c>
      <c r="I117" s="6">
        <f>knicks_players_all_stats[[#This Row],[VALORATION]]/knicks_players_all_stats[[#This Row],[GP]]</f>
        <v>1.7222222222222223</v>
      </c>
      <c r="J117" s="2">
        <v>7</v>
      </c>
      <c r="K117" s="2">
        <v>22</v>
      </c>
      <c r="L117" s="4">
        <f>knicks_players_all_stats[[#This Row],[FGM]]/knicks_players_all_stats[[#This Row],[FGA]]</f>
        <v>0.31818181818181818</v>
      </c>
      <c r="M117" s="2">
        <v>0</v>
      </c>
      <c r="N117" s="2">
        <v>0</v>
      </c>
      <c r="O117" s="4" t="e">
        <f>knicks_players_all_stats[[#This Row],[FG3M]]/knicks_players_all_stats[[#This Row],[FG3A]]</f>
        <v>#DIV/0!</v>
      </c>
      <c r="P117" s="2">
        <v>8</v>
      </c>
      <c r="Q117" s="2">
        <v>12</v>
      </c>
      <c r="R117" s="5">
        <f>knicks_players_all_stats[[#This Row],[FTM]]/knicks_players_all_stats[[#This Row],[FTA]]</f>
        <v>0.66666666666666663</v>
      </c>
      <c r="S117" s="2">
        <f>knicks_players_all_stats[[#This Row],[OREB22]]/10</f>
        <v>12</v>
      </c>
      <c r="T117" s="2">
        <f>knicks_players_all_stats[[#This Row],[DREB33]]/10</f>
        <v>19</v>
      </c>
      <c r="U117" s="2">
        <f>knicks_players_all_stats[[#This Row],[REB44]]/10</f>
        <v>31</v>
      </c>
      <c r="V117">
        <v>120</v>
      </c>
      <c r="W117">
        <v>190</v>
      </c>
      <c r="X117">
        <v>310</v>
      </c>
      <c r="Y117" s="22">
        <f>knicks_players_all_stats[[#This Row],[REB]]/knicks_players_all_stats[[#This Row],[GP]]</f>
        <v>1.7222222222222223</v>
      </c>
      <c r="Z117" s="2">
        <v>0</v>
      </c>
      <c r="AA117" s="6">
        <f>knicks_players_all_stats[[#This Row],[AST]]/knicks_players_all_stats[[#This Row],[GP]]</f>
        <v>0</v>
      </c>
      <c r="AB117" s="2">
        <f>knicks_players_all_stats[[#This Row],[STL2]]/10</f>
        <v>3</v>
      </c>
      <c r="AC117" s="2">
        <v>30</v>
      </c>
      <c r="AD117" s="6">
        <f>knicks_players_all_stats[[#This Row],[STL]]/knicks_players_all_stats[[#This Row],[GP]]</f>
        <v>0.16666666666666666</v>
      </c>
      <c r="AE117">
        <v>100</v>
      </c>
      <c r="AF117" s="2">
        <f>knicks_players_all_stats[[#This Row],[BLK2]]/10</f>
        <v>10</v>
      </c>
      <c r="AG117" s="6">
        <f>knicks_players_all_stats[[#This Row],[BLK]]/knicks_players_all_stats[[#This Row],[GP]]</f>
        <v>0.55555555555555558</v>
      </c>
      <c r="AH117">
        <v>60</v>
      </c>
      <c r="AI117" s="6">
        <f>knicks_players_all_stats[[#This Row],[BLKPG]]+knicks_players_all_stats[[#This Row],[STLPG]]+knicks_players_all_stats[[#This Row],[REBPG]]</f>
        <v>2.4444444444444446</v>
      </c>
      <c r="AJ117" s="2">
        <f>knicks_players_all_stats[[#This Row],[TOV2]]/10</f>
        <v>6</v>
      </c>
      <c r="AK117" s="6">
        <f>knicks_players_all_stats[[#This Row],[TOV]]/knicks_players_all_stats[[#This Row],[GP]]</f>
        <v>0.33333333333333331</v>
      </c>
      <c r="AL117" s="2">
        <v>10</v>
      </c>
      <c r="AM117" s="2">
        <f>knicks_players_all_stats[[#This Row],[PF]]/knicks_players_all_stats[[#This Row],[GP]]</f>
        <v>0.55555555555555558</v>
      </c>
      <c r="AN117" s="2">
        <v>22</v>
      </c>
      <c r="AO117" s="6">
        <f>knicks_players_all_stats[[#This Row],[PTS]]/knicks_players_all_stats[[#This Row],[GP]]</f>
        <v>1.2222222222222223</v>
      </c>
    </row>
    <row r="118" spans="1:41" x14ac:dyDescent="0.3">
      <c r="A118" s="3" t="s">
        <v>1351</v>
      </c>
      <c r="B118" s="3" t="s">
        <v>1302</v>
      </c>
      <c r="C118" s="3" t="str">
        <f>knicks_players_all_stats[[#This Row],[NAME]]&amp;" ("&amp;knicks_players_all_stats[[#This Row],[SEASON]]&amp;")"</f>
        <v>Randolph Morris (2006-07)</v>
      </c>
      <c r="D118" s="3">
        <f>knicks_players_all_stats[[#This Row],[PLAYER_AGE]]/10</f>
        <v>21</v>
      </c>
      <c r="E118">
        <v>210</v>
      </c>
      <c r="F118" s="2">
        <v>5</v>
      </c>
      <c r="G118" s="2">
        <v>440</v>
      </c>
      <c r="H11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</v>
      </c>
      <c r="I118" s="6">
        <f>knicks_players_all_stats[[#This Row],[VALORATION]]/knicks_players_all_stats[[#This Row],[GP]]</f>
        <v>0.4</v>
      </c>
      <c r="J118" s="2">
        <v>1</v>
      </c>
      <c r="K118" s="2">
        <v>6</v>
      </c>
      <c r="L118" s="4">
        <f>knicks_players_all_stats[[#This Row],[FGM]]/knicks_players_all_stats[[#This Row],[FGA]]</f>
        <v>0.16666666666666666</v>
      </c>
      <c r="M118" s="2">
        <v>0</v>
      </c>
      <c r="N118" s="2">
        <v>0</v>
      </c>
      <c r="O118" s="4" t="e">
        <f>knicks_players_all_stats[[#This Row],[FG3M]]/knicks_players_all_stats[[#This Row],[FG3A]]</f>
        <v>#DIV/0!</v>
      </c>
      <c r="P118" s="2">
        <v>2</v>
      </c>
      <c r="Q118" s="2">
        <v>6</v>
      </c>
      <c r="R118" s="5">
        <f>knicks_players_all_stats[[#This Row],[FTM]]/knicks_players_all_stats[[#This Row],[FTA]]</f>
        <v>0.33333333333333331</v>
      </c>
      <c r="S118" s="2">
        <f>knicks_players_all_stats[[#This Row],[OREB22]]/10</f>
        <v>1</v>
      </c>
      <c r="T118" s="2">
        <f>knicks_players_all_stats[[#This Row],[DREB33]]/10</f>
        <v>8</v>
      </c>
      <c r="U118" s="2">
        <f>knicks_players_all_stats[[#This Row],[REB44]]/10</f>
        <v>9</v>
      </c>
      <c r="V118">
        <v>10</v>
      </c>
      <c r="W118">
        <v>80</v>
      </c>
      <c r="X118">
        <v>90</v>
      </c>
      <c r="Y118" s="22">
        <f>knicks_players_all_stats[[#This Row],[REB]]/knicks_players_all_stats[[#This Row],[GP]]</f>
        <v>1.8</v>
      </c>
      <c r="Z118" s="2">
        <v>1</v>
      </c>
      <c r="AA118" s="6">
        <f>knicks_players_all_stats[[#This Row],[AST]]/knicks_players_all_stats[[#This Row],[GP]]</f>
        <v>0.2</v>
      </c>
      <c r="AB118" s="2">
        <f>knicks_players_all_stats[[#This Row],[STL2]]/10</f>
        <v>2</v>
      </c>
      <c r="AC118" s="2">
        <v>20</v>
      </c>
      <c r="AD118" s="6">
        <f>knicks_players_all_stats[[#This Row],[STL]]/knicks_players_all_stats[[#This Row],[GP]]</f>
        <v>0.4</v>
      </c>
      <c r="AE118">
        <v>10</v>
      </c>
      <c r="AF118" s="2">
        <f>knicks_players_all_stats[[#This Row],[BLK2]]/10</f>
        <v>1</v>
      </c>
      <c r="AG118" s="6">
        <f>knicks_players_all_stats[[#This Row],[BLK]]/knicks_players_all_stats[[#This Row],[GP]]</f>
        <v>0.2</v>
      </c>
      <c r="AH118">
        <v>20</v>
      </c>
      <c r="AI118" s="6">
        <f>knicks_players_all_stats[[#This Row],[BLKPG]]+knicks_players_all_stats[[#This Row],[STLPG]]+knicks_players_all_stats[[#This Row],[REBPG]]</f>
        <v>2.4000000000000004</v>
      </c>
      <c r="AJ118" s="2">
        <f>knicks_players_all_stats[[#This Row],[TOV2]]/10</f>
        <v>2</v>
      </c>
      <c r="AK118" s="6">
        <f>knicks_players_all_stats[[#This Row],[TOV]]/knicks_players_all_stats[[#This Row],[GP]]</f>
        <v>0.4</v>
      </c>
      <c r="AL118" s="2">
        <v>4</v>
      </c>
      <c r="AM118" s="2">
        <f>knicks_players_all_stats[[#This Row],[PF]]/knicks_players_all_stats[[#This Row],[GP]]</f>
        <v>0.8</v>
      </c>
      <c r="AN118" s="2">
        <v>4</v>
      </c>
      <c r="AO118" s="6">
        <f>knicks_players_all_stats[[#This Row],[PTS]]/knicks_players_all_stats[[#This Row],[GP]]</f>
        <v>0.8</v>
      </c>
    </row>
    <row r="119" spans="1:41" x14ac:dyDescent="0.3">
      <c r="A119" s="3" t="s">
        <v>1743</v>
      </c>
      <c r="B119" s="3" t="s">
        <v>1302</v>
      </c>
      <c r="C119" s="3" t="str">
        <f>knicks_players_all_stats[[#This Row],[NAME]]&amp;" ("&amp;knicks_players_all_stats[[#This Row],[SEASON]]&amp;")"</f>
        <v>Jerome James (2006-07)</v>
      </c>
      <c r="D119" s="3">
        <f>knicks_players_all_stats[[#This Row],[PLAYER_AGE]]/10</f>
        <v>31</v>
      </c>
      <c r="E119">
        <v>310</v>
      </c>
      <c r="F119" s="2">
        <v>41</v>
      </c>
      <c r="G119" s="2">
        <v>2730</v>
      </c>
      <c r="H11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</v>
      </c>
      <c r="I119" s="6">
        <f>knicks_players_all_stats[[#This Row],[VALORATION]]/knicks_players_all_stats[[#This Row],[GP]]</f>
        <v>0.3902439024390244</v>
      </c>
      <c r="J119" s="2">
        <v>33</v>
      </c>
      <c r="K119" s="2">
        <v>79</v>
      </c>
      <c r="L119" s="2">
        <v>418</v>
      </c>
      <c r="M119" s="2">
        <v>0</v>
      </c>
      <c r="N119" s="2">
        <v>0</v>
      </c>
      <c r="O119" s="4" t="e">
        <f>knicks_players_all_stats[[#This Row],[FG3M]]/knicks_players_all_stats[[#This Row],[FG3A]]</f>
        <v>#DIV/0!</v>
      </c>
      <c r="P119" s="2">
        <v>10</v>
      </c>
      <c r="Q119" s="2">
        <v>18</v>
      </c>
      <c r="R119" s="5">
        <f>knicks_players_all_stats[[#This Row],[FTM]]/knicks_players_all_stats[[#This Row],[FTA]]</f>
        <v>0.55555555555555558</v>
      </c>
      <c r="S119" s="2">
        <f>knicks_players_all_stats[[#This Row],[OREB22]]/10</f>
        <v>21</v>
      </c>
      <c r="T119" s="2">
        <f>knicks_players_all_stats[[#This Row],[DREB33]]/10</f>
        <v>45</v>
      </c>
      <c r="U119" s="2">
        <f>knicks_players_all_stats[[#This Row],[REB44]]/10</f>
        <v>66</v>
      </c>
      <c r="V119">
        <v>210</v>
      </c>
      <c r="W119">
        <v>450</v>
      </c>
      <c r="X119">
        <v>660</v>
      </c>
      <c r="Y119" s="22">
        <f>knicks_players_all_stats[[#This Row],[REB]]/knicks_players_all_stats[[#This Row],[GP]]</f>
        <v>1.6097560975609757</v>
      </c>
      <c r="Z119" s="2">
        <v>3</v>
      </c>
      <c r="AA119" s="6">
        <f>knicks_players_all_stats[[#This Row],[AST]]/knicks_players_all_stats[[#This Row],[GP]]</f>
        <v>7.3170731707317069E-2</v>
      </c>
      <c r="AB119" s="2">
        <f>knicks_players_all_stats[[#This Row],[STL2]]/10</f>
        <v>6</v>
      </c>
      <c r="AC119" s="2">
        <v>60</v>
      </c>
      <c r="AD119" s="6">
        <f>knicks_players_all_stats[[#This Row],[STL]]/knicks_players_all_stats[[#This Row],[GP]]</f>
        <v>0.14634146341463414</v>
      </c>
      <c r="AE119">
        <v>150</v>
      </c>
      <c r="AF119" s="2">
        <f>knicks_players_all_stats[[#This Row],[BLK2]]/10</f>
        <v>15</v>
      </c>
      <c r="AG119" s="6">
        <f>knicks_players_all_stats[[#This Row],[BLK]]/knicks_players_all_stats[[#This Row],[GP]]</f>
        <v>0.36585365853658536</v>
      </c>
      <c r="AH119">
        <v>230</v>
      </c>
      <c r="AI119" s="6">
        <f>knicks_players_all_stats[[#This Row],[BLKPG]]+knicks_players_all_stats[[#This Row],[STLPG]]+knicks_players_all_stats[[#This Row],[REBPG]]</f>
        <v>2.1219512195121952</v>
      </c>
      <c r="AJ119" s="2">
        <f>knicks_players_all_stats[[#This Row],[TOV2]]/10</f>
        <v>23</v>
      </c>
      <c r="AK119" s="6">
        <f>knicks_players_all_stats[[#This Row],[TOV]]/knicks_players_all_stats[[#This Row],[GP]]</f>
        <v>0.56097560975609762</v>
      </c>
      <c r="AL119" s="2">
        <v>73</v>
      </c>
      <c r="AM119" s="2">
        <f>knicks_players_all_stats[[#This Row],[PF]]/knicks_players_all_stats[[#This Row],[GP]]</f>
        <v>1.7804878048780488</v>
      </c>
      <c r="AN119" s="2">
        <v>76</v>
      </c>
      <c r="AO119" s="6">
        <f>knicks_players_all_stats[[#This Row],[PTS]]/knicks_players_all_stats[[#This Row],[GP]]</f>
        <v>1.8536585365853659</v>
      </c>
    </row>
    <row r="120" spans="1:41" x14ac:dyDescent="0.3">
      <c r="A120" s="3" t="s">
        <v>1774</v>
      </c>
      <c r="B120" s="3" t="s">
        <v>1303</v>
      </c>
      <c r="C120" s="3" t="str">
        <f>knicks_players_all_stats[[#This Row],[NAME]]&amp;" ("&amp;knicks_players_all_stats[[#This Row],[SEASON]]&amp;")"</f>
        <v>Zach Randolph (2007-08)</v>
      </c>
      <c r="D120" s="3">
        <f>knicks_players_all_stats[[#This Row],[PLAYER_AGE]]/10</f>
        <v>26</v>
      </c>
      <c r="E120">
        <v>260</v>
      </c>
      <c r="F120" s="2">
        <v>69</v>
      </c>
      <c r="G120" s="2">
        <v>22440</v>
      </c>
      <c r="H12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1124</v>
      </c>
      <c r="I120" s="6">
        <f>knicks_players_all_stats[[#This Row],[VALORATION]]/knicks_players_all_stats[[#This Row],[GP]]</f>
        <v>16.289855072463769</v>
      </c>
      <c r="J120" s="2">
        <v>486</v>
      </c>
      <c r="K120" s="2">
        <v>1058</v>
      </c>
      <c r="L120" s="2">
        <v>459</v>
      </c>
      <c r="M120" s="2">
        <v>220</v>
      </c>
      <c r="N120" s="2">
        <v>800</v>
      </c>
      <c r="O120" s="4">
        <f>knicks_players_all_stats[[#This Row],[FG3M]]/knicks_players_all_stats[[#This Row],[FG3A]]</f>
        <v>0.27500000000000002</v>
      </c>
      <c r="P120" s="2">
        <v>223</v>
      </c>
      <c r="Q120" s="2">
        <v>289</v>
      </c>
      <c r="R120" s="5">
        <f>knicks_players_all_stats[[#This Row],[FTM]]/knicks_players_all_stats[[#This Row],[FTA]]</f>
        <v>0.77162629757785473</v>
      </c>
      <c r="S120" s="2">
        <f>knicks_players_all_stats[[#This Row],[OREB22]]/10</f>
        <v>184</v>
      </c>
      <c r="T120" s="2">
        <f>knicks_players_all_stats[[#This Row],[DREB33]]/10</f>
        <v>526</v>
      </c>
      <c r="U120" s="2">
        <f>knicks_players_all_stats[[#This Row],[REB44]]/10</f>
        <v>710</v>
      </c>
      <c r="V120">
        <v>1840</v>
      </c>
      <c r="W120">
        <v>5260</v>
      </c>
      <c r="X120">
        <v>7100</v>
      </c>
      <c r="Y120" s="22">
        <f>knicks_players_all_stats[[#This Row],[REB]]/knicks_players_all_stats[[#This Row],[GP]]</f>
        <v>10.289855072463768</v>
      </c>
      <c r="Z120" s="2">
        <v>140</v>
      </c>
      <c r="AA120" s="6">
        <f>knicks_players_all_stats[[#This Row],[AST]]/knicks_players_all_stats[[#This Row],[GP]]</f>
        <v>2.0289855072463769</v>
      </c>
      <c r="AB120" s="2">
        <f>knicks_players_all_stats[[#This Row],[STL2]]/10</f>
        <v>59</v>
      </c>
      <c r="AC120" s="2">
        <v>590</v>
      </c>
      <c r="AD120" s="6">
        <f>knicks_players_all_stats[[#This Row],[STL]]/knicks_players_all_stats[[#This Row],[GP]]</f>
        <v>0.85507246376811596</v>
      </c>
      <c r="AE120">
        <v>160</v>
      </c>
      <c r="AF120" s="2">
        <f>knicks_players_all_stats[[#This Row],[BLK2]]/10</f>
        <v>16</v>
      </c>
      <c r="AG120" s="6">
        <f>knicks_players_all_stats[[#This Row],[BLK]]/knicks_players_all_stats[[#This Row],[GP]]</f>
        <v>0.2318840579710145</v>
      </c>
      <c r="AH120">
        <v>1860</v>
      </c>
      <c r="AI120" s="6">
        <f>knicks_players_all_stats[[#This Row],[BLKPG]]+knicks_players_all_stats[[#This Row],[STLPG]]+knicks_players_all_stats[[#This Row],[REBPG]]</f>
        <v>11.376811594202898</v>
      </c>
      <c r="AJ120" s="2">
        <f>knicks_players_all_stats[[#This Row],[TOV2]]/10</f>
        <v>186</v>
      </c>
      <c r="AK120" s="6">
        <f>knicks_players_all_stats[[#This Row],[TOV]]/knicks_players_all_stats[[#This Row],[GP]]</f>
        <v>2.6956521739130435</v>
      </c>
      <c r="AL120" s="2">
        <v>194</v>
      </c>
      <c r="AM120" s="2">
        <f>knicks_players_all_stats[[#This Row],[PF]]/knicks_players_all_stats[[#This Row],[GP]]</f>
        <v>2.8115942028985508</v>
      </c>
      <c r="AN120" s="2">
        <v>1217</v>
      </c>
      <c r="AO120" s="6">
        <f>knicks_players_all_stats[[#This Row],[PTS]]/knicks_players_all_stats[[#This Row],[GP]]</f>
        <v>17.637681159420289</v>
      </c>
    </row>
    <row r="121" spans="1:41" customFormat="1" x14ac:dyDescent="0.3">
      <c r="A121" s="3" t="s">
        <v>1697</v>
      </c>
      <c r="B121" s="3" t="s">
        <v>1303</v>
      </c>
      <c r="C121" s="3" t="str">
        <f>knicks_players_all_stats[[#This Row],[NAME]]&amp;" ("&amp;knicks_players_all_stats[[#This Row],[SEASON]]&amp;")"</f>
        <v>Jamal Crawford (2007-08)</v>
      </c>
      <c r="D121" s="3">
        <f>knicks_players_all_stats[[#This Row],[PLAYER_AGE]]/10</f>
        <v>28</v>
      </c>
      <c r="E121">
        <v>280</v>
      </c>
      <c r="F121" s="2">
        <v>80</v>
      </c>
      <c r="G121" s="2">
        <v>31900</v>
      </c>
      <c r="H12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1139</v>
      </c>
      <c r="I121" s="6">
        <f>knicks_players_all_stats[[#This Row],[VALORATION]]/knicks_players_all_stats[[#This Row],[GP]]</f>
        <v>14.237500000000001</v>
      </c>
      <c r="J121" s="2">
        <v>570</v>
      </c>
      <c r="K121" s="2">
        <v>1391</v>
      </c>
      <c r="L121" s="2">
        <v>41</v>
      </c>
      <c r="M121" s="2">
        <v>1760</v>
      </c>
      <c r="N121" s="2">
        <v>4940</v>
      </c>
      <c r="O121" s="4">
        <f>knicks_players_all_stats[[#This Row],[FG3M]]/knicks_players_all_stats[[#This Row],[FG3A]]</f>
        <v>0.35627530364372467</v>
      </c>
      <c r="P121" s="2">
        <v>329</v>
      </c>
      <c r="Q121" s="2">
        <v>381</v>
      </c>
      <c r="R121" s="5">
        <f>knicks_players_all_stats[[#This Row],[FTM]]/knicks_players_all_stats[[#This Row],[FTA]]</f>
        <v>0.86351706036745401</v>
      </c>
      <c r="S121" s="2">
        <f>knicks_players_all_stats[[#This Row],[OREB22]]/10</f>
        <v>37</v>
      </c>
      <c r="T121" s="2">
        <f>knicks_players_all_stats[[#This Row],[DREB33]]/10</f>
        <v>170</v>
      </c>
      <c r="U121" s="2">
        <f>knicks_players_all_stats[[#This Row],[REB44]]/10</f>
        <v>207</v>
      </c>
      <c r="V121">
        <v>370</v>
      </c>
      <c r="W121">
        <v>1700</v>
      </c>
      <c r="X121">
        <v>2070</v>
      </c>
      <c r="Y121" s="22">
        <f>knicks_players_all_stats[[#This Row],[REB]]/knicks_players_all_stats[[#This Row],[GP]]</f>
        <v>2.5874999999999999</v>
      </c>
      <c r="Z121" s="2">
        <v>398</v>
      </c>
      <c r="AA121" s="6">
        <f>knicks_players_all_stats[[#This Row],[AST]]/knicks_players_all_stats[[#This Row],[GP]]</f>
        <v>4.9749999999999996</v>
      </c>
      <c r="AB121" s="2">
        <f>knicks_players_all_stats[[#This Row],[STL2]]/10</f>
        <v>81</v>
      </c>
      <c r="AC121" s="2">
        <v>810</v>
      </c>
      <c r="AD121" s="6">
        <f>knicks_players_all_stats[[#This Row],[STL]]/knicks_players_all_stats[[#This Row],[GP]]</f>
        <v>1.0125</v>
      </c>
      <c r="AE121">
        <v>170</v>
      </c>
      <c r="AF121" s="2">
        <f>knicks_players_all_stats[[#This Row],[BLK2]]/10</f>
        <v>17</v>
      </c>
      <c r="AG121" s="6">
        <f>knicks_players_all_stats[[#This Row],[BLK]]/knicks_players_all_stats[[#This Row],[GP]]</f>
        <v>0.21249999999999999</v>
      </c>
      <c r="AH121">
        <v>1920</v>
      </c>
      <c r="AI121" s="6">
        <f>knicks_players_all_stats[[#This Row],[BLKPG]]+knicks_players_all_stats[[#This Row],[STLPG]]+knicks_players_all_stats[[#This Row],[REBPG]]</f>
        <v>3.8125</v>
      </c>
      <c r="AJ121" s="2">
        <f>knicks_players_all_stats[[#This Row],[TOV2]]/10</f>
        <v>192</v>
      </c>
      <c r="AK121" s="6">
        <f>knicks_players_all_stats[[#This Row],[TOV]]/knicks_players_all_stats[[#This Row],[GP]]</f>
        <v>2.4</v>
      </c>
      <c r="AL121" s="2">
        <v>144</v>
      </c>
      <c r="AM121" s="2">
        <f>knicks_players_all_stats[[#This Row],[PF]]/knicks_players_all_stats[[#This Row],[GP]]</f>
        <v>1.8</v>
      </c>
      <c r="AN121" s="2">
        <v>1645</v>
      </c>
      <c r="AO121" s="6">
        <f>knicks_players_all_stats[[#This Row],[PTS]]/knicks_players_all_stats[[#This Row],[GP]]</f>
        <v>20.5625</v>
      </c>
    </row>
    <row r="122" spans="1:41" customFormat="1" x14ac:dyDescent="0.3">
      <c r="A122" s="3" t="s">
        <v>1547</v>
      </c>
      <c r="B122" s="3" t="s">
        <v>1303</v>
      </c>
      <c r="C122" s="3" t="str">
        <f>knicks_players_all_stats[[#This Row],[NAME]]&amp;" ("&amp;knicks_players_all_stats[[#This Row],[SEASON]]&amp;")"</f>
        <v>David Lee (2007-08)</v>
      </c>
      <c r="D122" s="3">
        <f>knicks_players_all_stats[[#This Row],[PLAYER_AGE]]/10</f>
        <v>25</v>
      </c>
      <c r="E122">
        <v>250</v>
      </c>
      <c r="F122" s="2">
        <v>81</v>
      </c>
      <c r="G122" s="2">
        <v>23560</v>
      </c>
      <c r="H12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1152</v>
      </c>
      <c r="I122" s="6">
        <f>knicks_players_all_stats[[#This Row],[VALORATION]]/knicks_players_all_stats[[#This Row],[GP]]</f>
        <v>14.222222222222221</v>
      </c>
      <c r="J122" s="2">
        <v>341</v>
      </c>
      <c r="K122" s="2">
        <v>618</v>
      </c>
      <c r="L122" s="4">
        <f>knicks_players_all_stats[[#This Row],[FGM]]/knicks_players_all_stats[[#This Row],[FGA]]</f>
        <v>0.55177993527508096</v>
      </c>
      <c r="M122" s="2">
        <v>0</v>
      </c>
      <c r="N122" s="2">
        <v>20</v>
      </c>
      <c r="O122" s="4">
        <f>knicks_players_all_stats[[#This Row],[FG3M]]/knicks_players_all_stats[[#This Row],[FG3A]]</f>
        <v>0</v>
      </c>
      <c r="P122" s="2">
        <v>194</v>
      </c>
      <c r="Q122" s="2">
        <v>237</v>
      </c>
      <c r="R122" s="5">
        <f>knicks_players_all_stats[[#This Row],[FTM]]/knicks_players_all_stats[[#This Row],[FTA]]</f>
        <v>0.81856540084388185</v>
      </c>
      <c r="S122" s="2">
        <f>knicks_players_all_stats[[#This Row],[OREB22]]/10</f>
        <v>242</v>
      </c>
      <c r="T122" s="2">
        <f>knicks_players_all_stats[[#This Row],[DREB33]]/10</f>
        <v>482</v>
      </c>
      <c r="U122" s="2">
        <f>knicks_players_all_stats[[#This Row],[REB44]]/10</f>
        <v>724</v>
      </c>
      <c r="V122">
        <v>2420</v>
      </c>
      <c r="W122">
        <v>4820</v>
      </c>
      <c r="X122">
        <v>7240</v>
      </c>
      <c r="Y122" s="22">
        <f>knicks_players_all_stats[[#This Row],[REB]]/knicks_players_all_stats[[#This Row],[GP]]</f>
        <v>8.9382716049382722</v>
      </c>
      <c r="Z122" s="2">
        <v>95</v>
      </c>
      <c r="AA122" s="6">
        <f>knicks_players_all_stats[[#This Row],[AST]]/knicks_players_all_stats[[#This Row],[GP]]</f>
        <v>1.1728395061728396</v>
      </c>
      <c r="AB122" s="2">
        <f>knicks_players_all_stats[[#This Row],[STL2]]/10</f>
        <v>55</v>
      </c>
      <c r="AC122" s="2">
        <v>550</v>
      </c>
      <c r="AD122" s="6">
        <f>knicks_players_all_stats[[#This Row],[STL]]/knicks_players_all_stats[[#This Row],[GP]]</f>
        <v>0.67901234567901236</v>
      </c>
      <c r="AE122">
        <v>290</v>
      </c>
      <c r="AF122" s="2">
        <f>knicks_players_all_stats[[#This Row],[BLK2]]/10</f>
        <v>29</v>
      </c>
      <c r="AG122" s="6">
        <f>knicks_players_all_stats[[#This Row],[BLK]]/knicks_players_all_stats[[#This Row],[GP]]</f>
        <v>0.35802469135802467</v>
      </c>
      <c r="AH122">
        <v>970</v>
      </c>
      <c r="AI122" s="6">
        <f>knicks_players_all_stats[[#This Row],[BLKPG]]+knicks_players_all_stats[[#This Row],[STLPG]]+knicks_players_all_stats[[#This Row],[REBPG]]</f>
        <v>9.9753086419753085</v>
      </c>
      <c r="AJ122" s="2">
        <f>knicks_players_all_stats[[#This Row],[TOV2]]/10</f>
        <v>97</v>
      </c>
      <c r="AK122" s="6">
        <f>knicks_players_all_stats[[#This Row],[TOV]]/knicks_players_all_stats[[#This Row],[GP]]</f>
        <v>1.1975308641975309</v>
      </c>
      <c r="AL122" s="2">
        <v>210</v>
      </c>
      <c r="AM122" s="2">
        <f>knicks_players_all_stats[[#This Row],[PF]]/knicks_players_all_stats[[#This Row],[GP]]</f>
        <v>2.5925925925925926</v>
      </c>
      <c r="AN122" s="2">
        <v>876</v>
      </c>
      <c r="AO122" s="6">
        <f>knicks_players_all_stats[[#This Row],[PTS]]/knicks_players_all_stats[[#This Row],[GP]]</f>
        <v>10.814814814814815</v>
      </c>
    </row>
    <row r="123" spans="1:41" x14ac:dyDescent="0.3">
      <c r="A123" s="3" t="s">
        <v>1498</v>
      </c>
      <c r="B123" s="3" t="s">
        <v>1303</v>
      </c>
      <c r="C123" s="3" t="str">
        <f>knicks_players_all_stats[[#This Row],[NAME]]&amp;" ("&amp;knicks_players_all_stats[[#This Row],[SEASON]]&amp;")"</f>
        <v>Stephon Marbury (2007-08)</v>
      </c>
      <c r="D123" s="3">
        <f>knicks_players_all_stats[[#This Row],[PLAYER_AGE]]/10</f>
        <v>31</v>
      </c>
      <c r="E123">
        <v>310</v>
      </c>
      <c r="F123" s="2">
        <v>24</v>
      </c>
      <c r="G123" s="2">
        <v>8050</v>
      </c>
      <c r="H12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236</v>
      </c>
      <c r="I123" s="6">
        <f>knicks_players_all_stats[[#This Row],[VALORATION]]/knicks_players_all_stats[[#This Row],[GP]]</f>
        <v>9.8333333333333339</v>
      </c>
      <c r="J123" s="2">
        <v>111</v>
      </c>
      <c r="K123" s="2">
        <v>265</v>
      </c>
      <c r="L123" s="4">
        <f>knicks_players_all_stats[[#This Row],[FGM]]/knicks_players_all_stats[[#This Row],[FGA]]</f>
        <v>0.4188679245283019</v>
      </c>
      <c r="M123" s="2">
        <v>280</v>
      </c>
      <c r="N123" s="2">
        <v>740</v>
      </c>
      <c r="O123" s="4">
        <f>knicks_players_all_stats[[#This Row],[FG3M]]/knicks_players_all_stats[[#This Row],[FG3A]]</f>
        <v>0.3783783783783784</v>
      </c>
      <c r="P123" s="2">
        <v>83</v>
      </c>
      <c r="Q123" s="2">
        <v>116</v>
      </c>
      <c r="R123" s="5">
        <f>knicks_players_all_stats[[#This Row],[FTM]]/knicks_players_all_stats[[#This Row],[FTA]]</f>
        <v>0.71551724137931039</v>
      </c>
      <c r="S123" s="2">
        <f>knicks_players_all_stats[[#This Row],[OREB22]]/10</f>
        <v>17</v>
      </c>
      <c r="T123" s="2">
        <f>knicks_players_all_stats[[#This Row],[DREB33]]/10</f>
        <v>42</v>
      </c>
      <c r="U123" s="2">
        <f>knicks_players_all_stats[[#This Row],[REB44]]/10</f>
        <v>59</v>
      </c>
      <c r="V123">
        <v>170</v>
      </c>
      <c r="W123">
        <v>420</v>
      </c>
      <c r="X123">
        <v>590</v>
      </c>
      <c r="Y123" s="22">
        <f>knicks_players_all_stats[[#This Row],[REB]]/knicks_players_all_stats[[#This Row],[GP]]</f>
        <v>2.4583333333333335</v>
      </c>
      <c r="Z123" s="2">
        <v>113</v>
      </c>
      <c r="AA123" s="6">
        <f>knicks_players_all_stats[[#This Row],[AST]]/knicks_players_all_stats[[#This Row],[GP]]</f>
        <v>4.708333333333333</v>
      </c>
      <c r="AB123" s="2">
        <f>knicks_players_all_stats[[#This Row],[STL2]]/10</f>
        <v>21</v>
      </c>
      <c r="AC123" s="2">
        <v>210</v>
      </c>
      <c r="AD123" s="6">
        <f>knicks_players_all_stats[[#This Row],[STL]]/knicks_players_all_stats[[#This Row],[GP]]</f>
        <v>0.875</v>
      </c>
      <c r="AE123">
        <v>20</v>
      </c>
      <c r="AF123" s="2">
        <f>knicks_players_all_stats[[#This Row],[BLK2]]/10</f>
        <v>2</v>
      </c>
      <c r="AG123" s="6">
        <f>knicks_players_all_stats[[#This Row],[BLK]]/knicks_players_all_stats[[#This Row],[GP]]</f>
        <v>8.3333333333333329E-2</v>
      </c>
      <c r="AH123">
        <v>480</v>
      </c>
      <c r="AI123" s="6">
        <f>knicks_players_all_stats[[#This Row],[BLKPG]]+knicks_players_all_stats[[#This Row],[STLPG]]+knicks_players_all_stats[[#This Row],[REBPG]]</f>
        <v>3.416666666666667</v>
      </c>
      <c r="AJ123" s="2">
        <f>knicks_players_all_stats[[#This Row],[TOV2]]/10</f>
        <v>48</v>
      </c>
      <c r="AK123" s="6">
        <f>knicks_players_all_stats[[#This Row],[TOV]]/knicks_players_all_stats[[#This Row],[GP]]</f>
        <v>2</v>
      </c>
      <c r="AL123" s="2">
        <v>57</v>
      </c>
      <c r="AM123" s="2">
        <f>knicks_players_all_stats[[#This Row],[PF]]/knicks_players_all_stats[[#This Row],[GP]]</f>
        <v>2.375</v>
      </c>
      <c r="AN123" s="2">
        <v>333</v>
      </c>
      <c r="AO123" s="6">
        <f>knicks_players_all_stats[[#This Row],[PTS]]/knicks_players_all_stats[[#This Row],[GP]]</f>
        <v>13.875</v>
      </c>
    </row>
    <row r="124" spans="1:41" customFormat="1" x14ac:dyDescent="0.3">
      <c r="A124" s="3" t="s">
        <v>1301</v>
      </c>
      <c r="B124" s="3" t="s">
        <v>1303</v>
      </c>
      <c r="C124" s="3" t="str">
        <f>knicks_players_all_stats[[#This Row],[NAME]]&amp;" ("&amp;knicks_players_all_stats[[#This Row],[SEASON]]&amp;")"</f>
        <v>Nate Robinson (2007-08)</v>
      </c>
      <c r="D124" s="3">
        <f>knicks_players_all_stats[[#This Row],[PLAYER_AGE]]/10</f>
        <v>24</v>
      </c>
      <c r="E124">
        <v>240</v>
      </c>
      <c r="F124" s="2">
        <v>72</v>
      </c>
      <c r="G124" s="2">
        <v>18830</v>
      </c>
      <c r="H12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626</v>
      </c>
      <c r="I124" s="6">
        <f>knicks_players_all_stats[[#This Row],[VALORATION]]/knicks_players_all_stats[[#This Row],[GP]]</f>
        <v>8.6944444444444446</v>
      </c>
      <c r="J124" s="2">
        <v>331</v>
      </c>
      <c r="K124" s="2">
        <v>782</v>
      </c>
      <c r="L124" s="4">
        <f>knicks_players_all_stats[[#This Row],[FGM]]/knicks_players_all_stats[[#This Row],[FGA]]</f>
        <v>0.42327365728900257</v>
      </c>
      <c r="M124" s="2">
        <v>970</v>
      </c>
      <c r="N124" s="2">
        <v>2920</v>
      </c>
      <c r="O124" s="4">
        <f>knicks_players_all_stats[[#This Row],[FG3M]]/knicks_players_all_stats[[#This Row],[FG3A]]</f>
        <v>0.3321917808219178</v>
      </c>
      <c r="P124" s="2">
        <v>154</v>
      </c>
      <c r="Q124" s="2">
        <v>196</v>
      </c>
      <c r="R124" s="5">
        <f>knicks_players_all_stats[[#This Row],[FTM]]/knicks_players_all_stats[[#This Row],[FTA]]</f>
        <v>0.7857142857142857</v>
      </c>
      <c r="S124" s="2">
        <f>knicks_players_all_stats[[#This Row],[OREB22]]/10</f>
        <v>51</v>
      </c>
      <c r="T124" s="2">
        <f>knicks_players_all_stats[[#This Row],[DREB33]]/10</f>
        <v>171</v>
      </c>
      <c r="U124" s="2">
        <f>knicks_players_all_stats[[#This Row],[REB44]]/10</f>
        <v>222</v>
      </c>
      <c r="V124">
        <v>510</v>
      </c>
      <c r="W124">
        <v>1710</v>
      </c>
      <c r="X124">
        <v>2220</v>
      </c>
      <c r="Y124" s="22">
        <f>knicks_players_all_stats[[#This Row],[REB]]/knicks_players_all_stats[[#This Row],[GP]]</f>
        <v>3.0833333333333335</v>
      </c>
      <c r="Z124" s="2">
        <v>212</v>
      </c>
      <c r="AA124" s="6">
        <f>knicks_players_all_stats[[#This Row],[AST]]/knicks_players_all_stats[[#This Row],[GP]]</f>
        <v>2.9444444444444446</v>
      </c>
      <c r="AB124" s="2">
        <f>knicks_players_all_stats[[#This Row],[STL2]]/10</f>
        <v>60</v>
      </c>
      <c r="AC124" s="2">
        <v>600</v>
      </c>
      <c r="AD124" s="6">
        <f>knicks_players_all_stats[[#This Row],[STL]]/knicks_players_all_stats[[#This Row],[GP]]</f>
        <v>0.83333333333333337</v>
      </c>
      <c r="AE124">
        <v>10</v>
      </c>
      <c r="AF124" s="2">
        <f>knicks_players_all_stats[[#This Row],[BLK2]]/10</f>
        <v>1</v>
      </c>
      <c r="AG124" s="6">
        <f>knicks_players_all_stats[[#This Row],[BLK]]/knicks_players_all_stats[[#This Row],[GP]]</f>
        <v>1.3888888888888888E-2</v>
      </c>
      <c r="AH124">
        <v>1030</v>
      </c>
      <c r="AI124" s="6">
        <f>knicks_players_all_stats[[#This Row],[BLKPG]]+knicks_players_all_stats[[#This Row],[STLPG]]+knicks_players_all_stats[[#This Row],[REBPG]]</f>
        <v>3.9305555555555558</v>
      </c>
      <c r="AJ124" s="2">
        <f>knicks_players_all_stats[[#This Row],[TOV2]]/10</f>
        <v>103</v>
      </c>
      <c r="AK124" s="6">
        <f>knicks_players_all_stats[[#This Row],[TOV]]/knicks_players_all_stats[[#This Row],[GP]]</f>
        <v>1.4305555555555556</v>
      </c>
      <c r="AL124" s="2">
        <v>186</v>
      </c>
      <c r="AM124" s="2">
        <f>knicks_players_all_stats[[#This Row],[PF]]/knicks_players_all_stats[[#This Row],[GP]]</f>
        <v>2.5833333333333335</v>
      </c>
      <c r="AN124" s="2">
        <v>913</v>
      </c>
      <c r="AO124" s="6">
        <f>knicks_players_all_stats[[#This Row],[PTS]]/knicks_players_all_stats[[#This Row],[GP]]</f>
        <v>12.680555555555555</v>
      </c>
    </row>
    <row r="125" spans="1:41" x14ac:dyDescent="0.3">
      <c r="A125" s="3" t="s">
        <v>1676</v>
      </c>
      <c r="B125" s="3" t="s">
        <v>1303</v>
      </c>
      <c r="C125" s="3" t="str">
        <f>knicks_players_all_stats[[#This Row],[NAME]]&amp;" ("&amp;knicks_players_all_stats[[#This Row],[SEASON]]&amp;")"</f>
        <v>Eddy Curry (2007-08)</v>
      </c>
      <c r="D125" s="3">
        <f>knicks_players_all_stats[[#This Row],[PLAYER_AGE]]/10</f>
        <v>25</v>
      </c>
      <c r="E125">
        <v>250</v>
      </c>
      <c r="F125" s="2">
        <v>59</v>
      </c>
      <c r="G125" s="2">
        <v>15300</v>
      </c>
      <c r="H12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488</v>
      </c>
      <c r="I125" s="6">
        <f>knicks_players_all_stats[[#This Row],[VALORATION]]/knicks_players_all_stats[[#This Row],[GP]]</f>
        <v>8.2711864406779654</v>
      </c>
      <c r="J125" s="2">
        <v>297</v>
      </c>
      <c r="K125" s="2">
        <v>544</v>
      </c>
      <c r="L125" s="2">
        <v>546</v>
      </c>
      <c r="M125" s="2">
        <v>0</v>
      </c>
      <c r="N125" s="2">
        <v>0</v>
      </c>
      <c r="O125" s="4" t="e">
        <f>knicks_players_all_stats[[#This Row],[FG3M]]/knicks_players_all_stats[[#This Row],[FG3A]]</f>
        <v>#DIV/0!</v>
      </c>
      <c r="P125" s="2">
        <v>187</v>
      </c>
      <c r="Q125" s="2">
        <v>300</v>
      </c>
      <c r="R125" s="5">
        <f>knicks_players_all_stats[[#This Row],[FTM]]/knicks_players_all_stats[[#This Row],[FTA]]</f>
        <v>0.62333333333333329</v>
      </c>
      <c r="S125" s="2">
        <f>knicks_players_all_stats[[#This Row],[OREB22]]/10</f>
        <v>111</v>
      </c>
      <c r="T125" s="2">
        <f>knicks_players_all_stats[[#This Row],[DREB33]]/10</f>
        <v>164</v>
      </c>
      <c r="U125" s="2">
        <f>knicks_players_all_stats[[#This Row],[REB44]]/10</f>
        <v>275</v>
      </c>
      <c r="V125">
        <v>1110</v>
      </c>
      <c r="W125">
        <v>1640</v>
      </c>
      <c r="X125">
        <v>2750</v>
      </c>
      <c r="Y125" s="22">
        <f>knicks_players_all_stats[[#This Row],[REB]]/knicks_players_all_stats[[#This Row],[GP]]</f>
        <v>4.6610169491525424</v>
      </c>
      <c r="Z125" s="2">
        <v>32</v>
      </c>
      <c r="AA125" s="6">
        <f>knicks_players_all_stats[[#This Row],[AST]]/knicks_players_all_stats[[#This Row],[GP]]</f>
        <v>0.5423728813559322</v>
      </c>
      <c r="AB125" s="2">
        <f>knicks_players_all_stats[[#This Row],[STL2]]/10</f>
        <v>14</v>
      </c>
      <c r="AC125" s="2">
        <v>140</v>
      </c>
      <c r="AD125" s="6">
        <f>knicks_players_all_stats[[#This Row],[STL]]/knicks_players_all_stats[[#This Row],[GP]]</f>
        <v>0.23728813559322035</v>
      </c>
      <c r="AE125">
        <v>290</v>
      </c>
      <c r="AF125" s="2">
        <f>knicks_players_all_stats[[#This Row],[BLK2]]/10</f>
        <v>29</v>
      </c>
      <c r="AG125" s="6">
        <f>knicks_players_all_stats[[#This Row],[BLK]]/knicks_players_all_stats[[#This Row],[GP]]</f>
        <v>0.49152542372881358</v>
      </c>
      <c r="AH125">
        <v>1260</v>
      </c>
      <c r="AI125" s="6">
        <f>knicks_players_all_stats[[#This Row],[BLKPG]]+knicks_players_all_stats[[#This Row],[STLPG]]+knicks_players_all_stats[[#This Row],[REBPG]]</f>
        <v>5.3898305084745761</v>
      </c>
      <c r="AJ125" s="2">
        <f>knicks_players_all_stats[[#This Row],[TOV2]]/10</f>
        <v>126</v>
      </c>
      <c r="AK125" s="6">
        <f>knicks_players_all_stats[[#This Row],[TOV]]/knicks_players_all_stats[[#This Row],[GP]]</f>
        <v>2.1355932203389831</v>
      </c>
      <c r="AL125" s="2">
        <v>157</v>
      </c>
      <c r="AM125" s="2">
        <f>knicks_players_all_stats[[#This Row],[PF]]/knicks_players_all_stats[[#This Row],[GP]]</f>
        <v>2.6610169491525424</v>
      </c>
      <c r="AN125" s="2">
        <v>781</v>
      </c>
      <c r="AO125" s="6">
        <f>knicks_players_all_stats[[#This Row],[PTS]]/knicks_players_all_stats[[#This Row],[GP]]</f>
        <v>13.23728813559322</v>
      </c>
    </row>
    <row r="126" spans="1:41" x14ac:dyDescent="0.3">
      <c r="A126" s="3" t="s">
        <v>1773</v>
      </c>
      <c r="B126" s="3" t="s">
        <v>1303</v>
      </c>
      <c r="C126" s="3" t="str">
        <f>knicks_players_all_stats[[#This Row],[NAME]]&amp;" ("&amp;knicks_players_all_stats[[#This Row],[SEASON]]&amp;")"</f>
        <v>Quentin Richardson (2007-08)</v>
      </c>
      <c r="D126" s="3">
        <f>knicks_players_all_stats[[#This Row],[PLAYER_AGE]]/10</f>
        <v>28</v>
      </c>
      <c r="E126">
        <v>280</v>
      </c>
      <c r="F126" s="2">
        <v>65</v>
      </c>
      <c r="G126" s="2">
        <v>18410</v>
      </c>
      <c r="H12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411</v>
      </c>
      <c r="I126" s="6">
        <f>knicks_players_all_stats[[#This Row],[VALORATION]]/knicks_players_all_stats[[#This Row],[GP]]</f>
        <v>6.3230769230769228</v>
      </c>
      <c r="J126" s="2">
        <v>199</v>
      </c>
      <c r="K126" s="2">
        <v>555</v>
      </c>
      <c r="L126" s="2">
        <v>359</v>
      </c>
      <c r="M126" s="2">
        <v>690</v>
      </c>
      <c r="N126" s="2">
        <v>2140</v>
      </c>
      <c r="O126" s="4">
        <f>knicks_players_all_stats[[#This Row],[FG3M]]/knicks_players_all_stats[[#This Row],[FG3A]]</f>
        <v>0.32242990654205606</v>
      </c>
      <c r="P126" s="2">
        <v>60</v>
      </c>
      <c r="Q126" s="2">
        <v>88</v>
      </c>
      <c r="R126" s="5">
        <f>knicks_players_all_stats[[#This Row],[FTM]]/knicks_players_all_stats[[#This Row],[FTA]]</f>
        <v>0.68181818181818177</v>
      </c>
      <c r="S126" s="2">
        <f>knicks_players_all_stats[[#This Row],[OREB22]]/10</f>
        <v>56</v>
      </c>
      <c r="T126" s="2">
        <f>knicks_players_all_stats[[#This Row],[DREB33]]/10</f>
        <v>259</v>
      </c>
      <c r="U126" s="2">
        <f>knicks_players_all_stats[[#This Row],[REB44]]/10</f>
        <v>315</v>
      </c>
      <c r="V126">
        <v>560</v>
      </c>
      <c r="W126">
        <v>2590</v>
      </c>
      <c r="X126">
        <v>3150</v>
      </c>
      <c r="Y126" s="22">
        <f>knicks_players_all_stats[[#This Row],[REB]]/knicks_players_all_stats[[#This Row],[GP]]</f>
        <v>4.8461538461538458</v>
      </c>
      <c r="Z126" s="2">
        <v>116</v>
      </c>
      <c r="AA126" s="6">
        <f>knicks_players_all_stats[[#This Row],[AST]]/knicks_players_all_stats[[#This Row],[GP]]</f>
        <v>1.7846153846153847</v>
      </c>
      <c r="AB126" s="2">
        <f>knicks_players_all_stats[[#This Row],[STL2]]/10</f>
        <v>44</v>
      </c>
      <c r="AC126" s="2">
        <v>440</v>
      </c>
      <c r="AD126" s="6">
        <f>knicks_players_all_stats[[#This Row],[STL]]/knicks_players_all_stats[[#This Row],[GP]]</f>
        <v>0.67692307692307696</v>
      </c>
      <c r="AE126">
        <v>150</v>
      </c>
      <c r="AF126" s="2">
        <f>knicks_players_all_stats[[#This Row],[BLK2]]/10</f>
        <v>15</v>
      </c>
      <c r="AG126" s="6">
        <f>knicks_players_all_stats[[#This Row],[BLK]]/knicks_players_all_stats[[#This Row],[GP]]</f>
        <v>0.23076923076923078</v>
      </c>
      <c r="AH126">
        <v>690</v>
      </c>
      <c r="AI126" s="6">
        <f>knicks_players_all_stats[[#This Row],[BLKPG]]+knicks_players_all_stats[[#This Row],[STLPG]]+knicks_players_all_stats[[#This Row],[REBPG]]</f>
        <v>5.7538461538461538</v>
      </c>
      <c r="AJ126" s="2">
        <f>knicks_players_all_stats[[#This Row],[TOV2]]/10</f>
        <v>69</v>
      </c>
      <c r="AK126" s="6">
        <f>knicks_players_all_stats[[#This Row],[TOV]]/knicks_players_all_stats[[#This Row],[GP]]</f>
        <v>1.0615384615384615</v>
      </c>
      <c r="AL126" s="2">
        <v>153</v>
      </c>
      <c r="AM126" s="2">
        <f>knicks_players_all_stats[[#This Row],[PF]]/knicks_players_all_stats[[#This Row],[GP]]</f>
        <v>2.3538461538461539</v>
      </c>
      <c r="AN126" s="2">
        <v>527</v>
      </c>
      <c r="AO126" s="6">
        <f>knicks_players_all_stats[[#This Row],[PTS]]/knicks_players_all_stats[[#This Row],[GP]]</f>
        <v>8.1076923076923073</v>
      </c>
    </row>
    <row r="127" spans="1:41" customFormat="1" x14ac:dyDescent="0.3">
      <c r="A127" s="3" t="s">
        <v>1700</v>
      </c>
      <c r="B127" s="3" t="s">
        <v>1303</v>
      </c>
      <c r="C127" s="3" t="str">
        <f>knicks_players_all_stats[[#This Row],[NAME]]&amp;" ("&amp;knicks_players_all_stats[[#This Row],[SEASON]]&amp;")"</f>
        <v>Fred Jones (2007-08)</v>
      </c>
      <c r="D127" s="3">
        <f>knicks_players_all_stats[[#This Row],[PLAYER_AGE]]/10</f>
        <v>29</v>
      </c>
      <c r="E127">
        <v>290</v>
      </c>
      <c r="F127" s="2">
        <v>70</v>
      </c>
      <c r="G127" s="2">
        <v>17570</v>
      </c>
      <c r="H12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434</v>
      </c>
      <c r="I127" s="6">
        <f>knicks_players_all_stats[[#This Row],[VALORATION]]/knicks_players_all_stats[[#This Row],[GP]]</f>
        <v>6.2</v>
      </c>
      <c r="J127" s="2">
        <v>182</v>
      </c>
      <c r="K127" s="2">
        <v>432</v>
      </c>
      <c r="L127" s="2">
        <v>421</v>
      </c>
      <c r="M127" s="2">
        <v>740</v>
      </c>
      <c r="N127" s="2">
        <v>1920</v>
      </c>
      <c r="O127" s="4">
        <f>knicks_players_all_stats[[#This Row],[FG3M]]/knicks_players_all_stats[[#This Row],[FG3A]]</f>
        <v>0.38541666666666669</v>
      </c>
      <c r="P127" s="2">
        <v>94</v>
      </c>
      <c r="Q127" s="2">
        <v>126</v>
      </c>
      <c r="R127" s="5">
        <f>knicks_players_all_stats[[#This Row],[FTM]]/knicks_players_all_stats[[#This Row],[FTA]]</f>
        <v>0.74603174603174605</v>
      </c>
      <c r="S127" s="2">
        <f>knicks_players_all_stats[[#This Row],[OREB22]]/10</f>
        <v>30</v>
      </c>
      <c r="T127" s="2">
        <f>knicks_players_all_stats[[#This Row],[DREB33]]/10</f>
        <v>140</v>
      </c>
      <c r="U127" s="2">
        <f>knicks_players_all_stats[[#This Row],[REB44]]/10</f>
        <v>170</v>
      </c>
      <c r="V127">
        <v>300</v>
      </c>
      <c r="W127">
        <v>1400</v>
      </c>
      <c r="X127">
        <v>1700</v>
      </c>
      <c r="Y127" s="22">
        <f>knicks_players_all_stats[[#This Row],[REB]]/knicks_players_all_stats[[#This Row],[GP]]</f>
        <v>2.4285714285714284</v>
      </c>
      <c r="Z127" s="2">
        <v>166</v>
      </c>
      <c r="AA127" s="6">
        <f>knicks_players_all_stats[[#This Row],[AST]]/knicks_players_all_stats[[#This Row],[GP]]</f>
        <v>2.3714285714285714</v>
      </c>
      <c r="AB127" s="2">
        <f>knicks_players_all_stats[[#This Row],[STL2]]/10</f>
        <v>48</v>
      </c>
      <c r="AC127" s="2">
        <v>480</v>
      </c>
      <c r="AD127" s="6">
        <f>knicks_players_all_stats[[#This Row],[STL]]/knicks_players_all_stats[[#This Row],[GP]]</f>
        <v>0.68571428571428572</v>
      </c>
      <c r="AE127">
        <v>180</v>
      </c>
      <c r="AF127" s="2">
        <f>knicks_players_all_stats[[#This Row],[BLK2]]/10</f>
        <v>18</v>
      </c>
      <c r="AG127" s="6">
        <f>knicks_players_all_stats[[#This Row],[BLK]]/knicks_players_all_stats[[#This Row],[GP]]</f>
        <v>0.25714285714285712</v>
      </c>
      <c r="AH127">
        <v>780</v>
      </c>
      <c r="AI127" s="6">
        <f>knicks_players_all_stats[[#This Row],[BLKPG]]+knicks_players_all_stats[[#This Row],[STLPG]]+knicks_players_all_stats[[#This Row],[REBPG]]</f>
        <v>3.371428571428571</v>
      </c>
      <c r="AJ127" s="2">
        <f>knicks_players_all_stats[[#This Row],[TOV2]]/10</f>
        <v>78</v>
      </c>
      <c r="AK127" s="6">
        <f>knicks_players_all_stats[[#This Row],[TOV]]/knicks_players_all_stats[[#This Row],[GP]]</f>
        <v>1.1142857142857143</v>
      </c>
      <c r="AL127" s="2">
        <v>140</v>
      </c>
      <c r="AM127" s="2">
        <f>knicks_players_all_stats[[#This Row],[PF]]/knicks_players_all_stats[[#This Row],[GP]]</f>
        <v>2</v>
      </c>
      <c r="AN127" s="2">
        <v>532</v>
      </c>
      <c r="AO127" s="6">
        <f>knicks_players_all_stats[[#This Row],[PTS]]/knicks_players_all_stats[[#This Row],[GP]]</f>
        <v>7.6</v>
      </c>
    </row>
    <row r="128" spans="1:41" customFormat="1" x14ac:dyDescent="0.3">
      <c r="A128" s="3" t="s">
        <v>1446</v>
      </c>
      <c r="B128" s="3" t="s">
        <v>1303</v>
      </c>
      <c r="C128" s="3" t="str">
        <f>knicks_players_all_stats[[#This Row],[NAME]]&amp;" ("&amp;knicks_players_all_stats[[#This Row],[SEASON]]&amp;")"</f>
        <v>Wilson Chandler (2007-08)</v>
      </c>
      <c r="D128" s="3">
        <f>knicks_players_all_stats[[#This Row],[PLAYER_AGE]]/10</f>
        <v>21</v>
      </c>
      <c r="E128">
        <v>210</v>
      </c>
      <c r="F128" s="2">
        <v>35</v>
      </c>
      <c r="G128" s="2">
        <v>6850</v>
      </c>
      <c r="H12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180</v>
      </c>
      <c r="I128" s="6">
        <f>knicks_players_all_stats[[#This Row],[VALORATION]]/knicks_players_all_stats[[#This Row],[GP]]</f>
        <v>5.1428571428571432</v>
      </c>
      <c r="J128" s="2">
        <v>106</v>
      </c>
      <c r="K128" s="2">
        <v>242</v>
      </c>
      <c r="L128" s="4">
        <f>knicks_players_all_stats[[#This Row],[FGM]]/knicks_players_all_stats[[#This Row],[FGA]]</f>
        <v>0.43801652892561982</v>
      </c>
      <c r="M128" s="2">
        <v>90</v>
      </c>
      <c r="N128" s="2">
        <v>300</v>
      </c>
      <c r="O128" s="4">
        <f>knicks_players_all_stats[[#This Row],[FG3M]]/knicks_players_all_stats[[#This Row],[FG3A]]</f>
        <v>0.3</v>
      </c>
      <c r="P128" s="2">
        <v>34</v>
      </c>
      <c r="Q128" s="2">
        <v>54</v>
      </c>
      <c r="R128" s="5">
        <f>knicks_players_all_stats[[#This Row],[FTM]]/knicks_players_all_stats[[#This Row],[FTA]]</f>
        <v>0.62962962962962965</v>
      </c>
      <c r="S128" s="2">
        <f>knicks_players_all_stats[[#This Row],[OREB22]]/10</f>
        <v>38</v>
      </c>
      <c r="T128" s="2">
        <f>knicks_players_all_stats[[#This Row],[DREB33]]/10</f>
        <v>89</v>
      </c>
      <c r="U128" s="2">
        <f>knicks_players_all_stats[[#This Row],[REB44]]/10</f>
        <v>127</v>
      </c>
      <c r="V128">
        <v>380</v>
      </c>
      <c r="W128">
        <v>890</v>
      </c>
      <c r="X128">
        <v>1270</v>
      </c>
      <c r="Y128" s="22">
        <f>knicks_players_all_stats[[#This Row],[REB]]/knicks_players_all_stats[[#This Row],[GP]]</f>
        <v>3.6285714285714286</v>
      </c>
      <c r="Z128" s="2">
        <v>33</v>
      </c>
      <c r="AA128" s="6">
        <f>knicks_players_all_stats[[#This Row],[AST]]/knicks_players_all_stats[[#This Row],[GP]]</f>
        <v>0.94285714285714284</v>
      </c>
      <c r="AB128" s="2">
        <f>knicks_players_all_stats[[#This Row],[STL2]]/10</f>
        <v>15</v>
      </c>
      <c r="AC128" s="2">
        <v>150</v>
      </c>
      <c r="AD128" s="6">
        <f>knicks_players_all_stats[[#This Row],[STL]]/knicks_players_all_stats[[#This Row],[GP]]</f>
        <v>0.42857142857142855</v>
      </c>
      <c r="AE128">
        <v>160</v>
      </c>
      <c r="AF128" s="2">
        <f>knicks_players_all_stats[[#This Row],[BLK2]]/10</f>
        <v>16</v>
      </c>
      <c r="AG128" s="6">
        <f>knicks_players_all_stats[[#This Row],[BLK]]/knicks_players_all_stats[[#This Row],[GP]]</f>
        <v>0.45714285714285713</v>
      </c>
      <c r="AH128">
        <v>270</v>
      </c>
      <c r="AI128" s="6">
        <f>knicks_players_all_stats[[#This Row],[BLKPG]]+knicks_players_all_stats[[#This Row],[STLPG]]+knicks_players_all_stats[[#This Row],[REBPG]]</f>
        <v>4.5142857142857142</v>
      </c>
      <c r="AJ128" s="2">
        <f>knicks_players_all_stats[[#This Row],[TOV2]]/10</f>
        <v>27</v>
      </c>
      <c r="AK128" s="6">
        <f>knicks_players_all_stats[[#This Row],[TOV]]/knicks_players_all_stats[[#This Row],[GP]]</f>
        <v>0.77142857142857146</v>
      </c>
      <c r="AL128" s="2">
        <v>83</v>
      </c>
      <c r="AM128" s="2">
        <f>knicks_players_all_stats[[#This Row],[PF]]/knicks_players_all_stats[[#This Row],[GP]]</f>
        <v>2.3714285714285714</v>
      </c>
      <c r="AN128" s="2">
        <v>255</v>
      </c>
      <c r="AO128" s="6">
        <f>knicks_players_all_stats[[#This Row],[PTS]]/knicks_players_all_stats[[#This Row],[GP]]</f>
        <v>7.2857142857142856</v>
      </c>
    </row>
    <row r="129" spans="1:41" customFormat="1" x14ac:dyDescent="0.3">
      <c r="A129" s="3" t="s">
        <v>1311</v>
      </c>
      <c r="B129" s="3" t="s">
        <v>1303</v>
      </c>
      <c r="C129" s="3" t="str">
        <f>knicks_players_all_stats[[#This Row],[NAME]]&amp;" ("&amp;knicks_players_all_stats[[#This Row],[SEASON]]&amp;")"</f>
        <v>Renaldo Balkman (2007-08)</v>
      </c>
      <c r="D129" s="3">
        <f>knicks_players_all_stats[[#This Row],[PLAYER_AGE]]/10</f>
        <v>23</v>
      </c>
      <c r="E129">
        <v>230</v>
      </c>
      <c r="F129" s="2">
        <v>65</v>
      </c>
      <c r="G129" s="2">
        <v>9520</v>
      </c>
      <c r="H12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236</v>
      </c>
      <c r="I129" s="6">
        <f>knicks_players_all_stats[[#This Row],[VALORATION]]/knicks_players_all_stats[[#This Row],[GP]]</f>
        <v>3.6307692307692307</v>
      </c>
      <c r="J129" s="2">
        <v>91</v>
      </c>
      <c r="K129" s="2">
        <v>186</v>
      </c>
      <c r="L129" s="4">
        <f>knicks_players_all_stats[[#This Row],[FGM]]/knicks_players_all_stats[[#This Row],[FGA]]</f>
        <v>0.489247311827957</v>
      </c>
      <c r="M129" s="2">
        <v>10</v>
      </c>
      <c r="N129" s="2">
        <v>120</v>
      </c>
      <c r="O129" s="4">
        <f>knicks_players_all_stats[[#This Row],[FG3M]]/knicks_players_all_stats[[#This Row],[FG3A]]</f>
        <v>8.3333333333333329E-2</v>
      </c>
      <c r="P129" s="2">
        <v>41</v>
      </c>
      <c r="Q129" s="2">
        <v>95</v>
      </c>
      <c r="R129" s="5">
        <f>knicks_players_all_stats[[#This Row],[FTM]]/knicks_players_all_stats[[#This Row],[FTA]]</f>
        <v>0.43157894736842106</v>
      </c>
      <c r="S129" s="2">
        <f>knicks_players_all_stats[[#This Row],[OREB22]]/10</f>
        <v>83</v>
      </c>
      <c r="T129" s="2">
        <f>knicks_players_all_stats[[#This Row],[DREB33]]/10</f>
        <v>133</v>
      </c>
      <c r="U129" s="2">
        <f>knicks_players_all_stats[[#This Row],[REB44]]/10</f>
        <v>216</v>
      </c>
      <c r="V129">
        <v>830</v>
      </c>
      <c r="W129">
        <v>1330</v>
      </c>
      <c r="X129">
        <v>2160</v>
      </c>
      <c r="Y129" s="22">
        <f>knicks_players_all_stats[[#This Row],[REB]]/knicks_players_all_stats[[#This Row],[GP]]</f>
        <v>3.3230769230769233</v>
      </c>
      <c r="Z129" s="2">
        <v>40</v>
      </c>
      <c r="AA129" s="6">
        <f>knicks_players_all_stats[[#This Row],[AST]]/knicks_players_all_stats[[#This Row],[GP]]</f>
        <v>0.61538461538461542</v>
      </c>
      <c r="AB129" s="2">
        <f>knicks_players_all_stats[[#This Row],[STL2]]/10</f>
        <v>44</v>
      </c>
      <c r="AC129" s="2">
        <v>440</v>
      </c>
      <c r="AD129" s="6">
        <f>knicks_players_all_stats[[#This Row],[STL]]/knicks_players_all_stats[[#This Row],[GP]]</f>
        <v>0.67692307692307696</v>
      </c>
      <c r="AE129">
        <v>300</v>
      </c>
      <c r="AF129" s="2">
        <f>knicks_players_all_stats[[#This Row],[BLK2]]/10</f>
        <v>30</v>
      </c>
      <c r="AG129" s="6">
        <f>knicks_players_all_stats[[#This Row],[BLK]]/knicks_players_all_stats[[#This Row],[GP]]</f>
        <v>0.46153846153846156</v>
      </c>
      <c r="AH129">
        <v>370</v>
      </c>
      <c r="AI129" s="6">
        <f>knicks_players_all_stats[[#This Row],[BLKPG]]+knicks_players_all_stats[[#This Row],[STLPG]]+knicks_players_all_stats[[#This Row],[REBPG]]</f>
        <v>4.4615384615384617</v>
      </c>
      <c r="AJ129" s="2">
        <f>knicks_players_all_stats[[#This Row],[TOV2]]/10</f>
        <v>37</v>
      </c>
      <c r="AK129" s="6">
        <f>knicks_players_all_stats[[#This Row],[TOV]]/knicks_players_all_stats[[#This Row],[GP]]</f>
        <v>0.56923076923076921</v>
      </c>
      <c r="AL129" s="2">
        <v>132</v>
      </c>
      <c r="AM129" s="2">
        <f>knicks_players_all_stats[[#This Row],[PF]]/knicks_players_all_stats[[#This Row],[GP]]</f>
        <v>2.0307692307692307</v>
      </c>
      <c r="AN129" s="2">
        <v>224</v>
      </c>
      <c r="AO129" s="6">
        <f>knicks_players_all_stats[[#This Row],[PTS]]/knicks_players_all_stats[[#This Row],[GP]]</f>
        <v>3.4461538461538463</v>
      </c>
    </row>
    <row r="130" spans="1:41" customFormat="1" x14ac:dyDescent="0.3">
      <c r="A130" s="3" t="s">
        <v>1743</v>
      </c>
      <c r="B130" s="3" t="s">
        <v>1303</v>
      </c>
      <c r="C130" s="3" t="str">
        <f>knicks_players_all_stats[[#This Row],[NAME]]&amp;" ("&amp;knicks_players_all_stats[[#This Row],[SEASON]]&amp;")"</f>
        <v>Jerome James (2007-08)</v>
      </c>
      <c r="D130" s="3">
        <f>knicks_players_all_stats[[#This Row],[PLAYER_AGE]]/10</f>
        <v>32</v>
      </c>
      <c r="E130">
        <v>320</v>
      </c>
      <c r="F130" s="2">
        <v>2</v>
      </c>
      <c r="G130" s="2">
        <v>50</v>
      </c>
      <c r="H13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</v>
      </c>
      <c r="I130" s="6">
        <f>knicks_players_all_stats[[#This Row],[VALORATION]]/knicks_players_all_stats[[#This Row],[GP]]</f>
        <v>3.5</v>
      </c>
      <c r="J130" s="2">
        <v>1</v>
      </c>
      <c r="K130" s="2">
        <v>1</v>
      </c>
      <c r="L130" s="2">
        <v>10</v>
      </c>
      <c r="M130" s="2">
        <v>0</v>
      </c>
      <c r="N130" s="2">
        <v>0</v>
      </c>
      <c r="O130" s="4" t="e">
        <f>knicks_players_all_stats[[#This Row],[FG3M]]/knicks_players_all_stats[[#This Row],[FG3A]]</f>
        <v>#DIV/0!</v>
      </c>
      <c r="P130" s="2">
        <v>2</v>
      </c>
      <c r="Q130" s="2">
        <v>2</v>
      </c>
      <c r="R130" s="5">
        <f>knicks_players_all_stats[[#This Row],[FTM]]/knicks_players_all_stats[[#This Row],[FTA]]</f>
        <v>1</v>
      </c>
      <c r="S130" s="2">
        <f>knicks_players_all_stats[[#This Row],[OREB22]]/10</f>
        <v>0</v>
      </c>
      <c r="T130" s="2">
        <f>knicks_players_all_stats[[#This Row],[DREB33]]/10</f>
        <v>3</v>
      </c>
      <c r="U130" s="2">
        <f>knicks_players_all_stats[[#This Row],[REB44]]/10</f>
        <v>3</v>
      </c>
      <c r="V130">
        <v>0</v>
      </c>
      <c r="W130">
        <v>30</v>
      </c>
      <c r="X130">
        <v>30</v>
      </c>
      <c r="Y130" s="22">
        <f>knicks_players_all_stats[[#This Row],[REB]]/knicks_players_all_stats[[#This Row],[GP]]</f>
        <v>1.5</v>
      </c>
      <c r="Z130" s="2">
        <v>0</v>
      </c>
      <c r="AA130" s="6">
        <f>knicks_players_all_stats[[#This Row],[AST]]/knicks_players_all_stats[[#This Row],[GP]]</f>
        <v>0</v>
      </c>
      <c r="AB130" s="2">
        <f>knicks_players_all_stats[[#This Row],[STL2]]/10</f>
        <v>0</v>
      </c>
      <c r="AC130" s="2">
        <v>0</v>
      </c>
      <c r="AD130" s="6">
        <f>knicks_players_all_stats[[#This Row],[STL]]/knicks_players_all_stats[[#This Row],[GP]]</f>
        <v>0</v>
      </c>
      <c r="AE130">
        <v>0</v>
      </c>
      <c r="AF130" s="2">
        <f>knicks_players_all_stats[[#This Row],[BLK2]]/10</f>
        <v>0</v>
      </c>
      <c r="AG130" s="6">
        <f>knicks_players_all_stats[[#This Row],[BLK]]/knicks_players_all_stats[[#This Row],[GP]]</f>
        <v>0</v>
      </c>
      <c r="AH130">
        <v>0</v>
      </c>
      <c r="AI130" s="6">
        <f>knicks_players_all_stats[[#This Row],[BLKPG]]+knicks_players_all_stats[[#This Row],[STLPG]]+knicks_players_all_stats[[#This Row],[REBPG]]</f>
        <v>1.5</v>
      </c>
      <c r="AJ130" s="2">
        <f>knicks_players_all_stats[[#This Row],[TOV2]]/10</f>
        <v>0</v>
      </c>
      <c r="AK130" s="6">
        <f>knicks_players_all_stats[[#This Row],[TOV]]/knicks_players_all_stats[[#This Row],[GP]]</f>
        <v>0</v>
      </c>
      <c r="AL130" s="2">
        <v>0</v>
      </c>
      <c r="AM130" s="2">
        <f>knicks_players_all_stats[[#This Row],[PF]]/knicks_players_all_stats[[#This Row],[GP]]</f>
        <v>0</v>
      </c>
      <c r="AN130" s="2">
        <v>4</v>
      </c>
      <c r="AO130" s="6">
        <f>knicks_players_all_stats[[#This Row],[PTS]]/knicks_players_all_stats[[#This Row],[GP]]</f>
        <v>2</v>
      </c>
    </row>
    <row r="131" spans="1:41" x14ac:dyDescent="0.3">
      <c r="A131" s="3" t="s">
        <v>1734</v>
      </c>
      <c r="B131" s="3" t="s">
        <v>1303</v>
      </c>
      <c r="C131" s="3" t="str">
        <f>knicks_players_all_stats[[#This Row],[NAME]]&amp;" ("&amp;knicks_players_all_stats[[#This Row],[SEASON]]&amp;")"</f>
        <v>Jared Jeffries (2007-08)</v>
      </c>
      <c r="D131" s="3">
        <f>knicks_players_all_stats[[#This Row],[PLAYER_AGE]]/10</f>
        <v>26</v>
      </c>
      <c r="E131">
        <v>260</v>
      </c>
      <c r="F131" s="2">
        <v>73</v>
      </c>
      <c r="G131" s="2">
        <v>13250</v>
      </c>
      <c r="H13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235</v>
      </c>
      <c r="I131" s="6">
        <f>knicks_players_all_stats[[#This Row],[VALORATION]]/knicks_players_all_stats[[#This Row],[GP]]</f>
        <v>3.2191780821917808</v>
      </c>
      <c r="J131" s="2">
        <v>108</v>
      </c>
      <c r="K131" s="2">
        <v>270</v>
      </c>
      <c r="L131" s="2">
        <v>4</v>
      </c>
      <c r="M131" s="2">
        <v>40</v>
      </c>
      <c r="N131" s="2">
        <v>250</v>
      </c>
      <c r="O131" s="4">
        <f>knicks_players_all_stats[[#This Row],[FG3M]]/knicks_players_all_stats[[#This Row],[FG3A]]</f>
        <v>0.16</v>
      </c>
      <c r="P131" s="2">
        <v>49</v>
      </c>
      <c r="Q131" s="2">
        <v>93</v>
      </c>
      <c r="R131" s="5">
        <f>knicks_players_all_stats[[#This Row],[FTM]]/knicks_players_all_stats[[#This Row],[FTA]]</f>
        <v>0.5268817204301075</v>
      </c>
      <c r="S131" s="2">
        <f>knicks_players_all_stats[[#This Row],[OREB22]]/10</f>
        <v>118</v>
      </c>
      <c r="T131" s="2">
        <f>knicks_players_all_stats[[#This Row],[DREB33]]/10</f>
        <v>125</v>
      </c>
      <c r="U131" s="2">
        <f>knicks_players_all_stats[[#This Row],[REB44]]/10</f>
        <v>243</v>
      </c>
      <c r="V131">
        <v>1180</v>
      </c>
      <c r="W131">
        <v>1250</v>
      </c>
      <c r="X131">
        <v>2430</v>
      </c>
      <c r="Y131" s="22">
        <f>knicks_players_all_stats[[#This Row],[REB]]/knicks_players_all_stats[[#This Row],[GP]]</f>
        <v>3.3287671232876712</v>
      </c>
      <c r="Z131" s="2">
        <v>66</v>
      </c>
      <c r="AA131" s="6">
        <f>knicks_players_all_stats[[#This Row],[AST]]/knicks_players_all_stats[[#This Row],[GP]]</f>
        <v>0.90410958904109584</v>
      </c>
      <c r="AB131" s="2">
        <f>knicks_players_all_stats[[#This Row],[STL2]]/10</f>
        <v>36</v>
      </c>
      <c r="AC131" s="2">
        <v>360</v>
      </c>
      <c r="AD131" s="6">
        <f>knicks_players_all_stats[[#This Row],[STL]]/knicks_players_all_stats[[#This Row],[GP]]</f>
        <v>0.49315068493150682</v>
      </c>
      <c r="AE131">
        <v>230</v>
      </c>
      <c r="AF131" s="2">
        <f>knicks_players_all_stats[[#This Row],[BLK2]]/10</f>
        <v>23</v>
      </c>
      <c r="AG131" s="6">
        <f>knicks_players_all_stats[[#This Row],[BLK]]/knicks_players_all_stats[[#This Row],[GP]]</f>
        <v>0.31506849315068491</v>
      </c>
      <c r="AH131">
        <v>640</v>
      </c>
      <c r="AI131" s="6">
        <f>knicks_players_all_stats[[#This Row],[BLKPG]]+knicks_players_all_stats[[#This Row],[STLPG]]+knicks_players_all_stats[[#This Row],[REBPG]]</f>
        <v>4.1369863013698627</v>
      </c>
      <c r="AJ131" s="2">
        <f>knicks_players_all_stats[[#This Row],[TOV2]]/10</f>
        <v>64</v>
      </c>
      <c r="AK131" s="6">
        <f>knicks_players_all_stats[[#This Row],[TOV]]/knicks_players_all_stats[[#This Row],[GP]]</f>
        <v>0.87671232876712324</v>
      </c>
      <c r="AL131" s="2">
        <v>132</v>
      </c>
      <c r="AM131" s="2">
        <f>knicks_players_all_stats[[#This Row],[PF]]/knicks_players_all_stats[[#This Row],[GP]]</f>
        <v>1.8082191780821917</v>
      </c>
      <c r="AN131" s="2">
        <v>269</v>
      </c>
      <c r="AO131" s="6">
        <f>knicks_players_all_stats[[#This Row],[PTS]]/knicks_players_all_stats[[#This Row],[GP]]</f>
        <v>3.6849315068493151</v>
      </c>
    </row>
    <row r="132" spans="1:41" customFormat="1" x14ac:dyDescent="0.3">
      <c r="A132" s="3" t="s">
        <v>1727</v>
      </c>
      <c r="B132" s="3" t="s">
        <v>1303</v>
      </c>
      <c r="C132" s="3" t="str">
        <f>knicks_players_all_stats[[#This Row],[NAME]]&amp;" ("&amp;knicks_players_all_stats[[#This Row],[SEASON]]&amp;")"</f>
        <v>Mardy Collins (2007-08)</v>
      </c>
      <c r="D132" s="3">
        <f>knicks_players_all_stats[[#This Row],[PLAYER_AGE]]/10</f>
        <v>23</v>
      </c>
      <c r="E132">
        <v>230</v>
      </c>
      <c r="F132" s="2">
        <v>46</v>
      </c>
      <c r="G132" s="2">
        <v>6340</v>
      </c>
      <c r="H13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96</v>
      </c>
      <c r="I132" s="6">
        <f>knicks_players_all_stats[[#This Row],[VALORATION]]/knicks_players_all_stats[[#This Row],[GP]]</f>
        <v>2.0869565217391304</v>
      </c>
      <c r="J132" s="2">
        <v>57</v>
      </c>
      <c r="K132" s="2">
        <v>175</v>
      </c>
      <c r="L132" s="2">
        <v>326</v>
      </c>
      <c r="M132" s="2">
        <v>80</v>
      </c>
      <c r="N132" s="2">
        <v>320</v>
      </c>
      <c r="O132" s="4">
        <f>knicks_players_all_stats[[#This Row],[FG3M]]/knicks_players_all_stats[[#This Row],[FG3A]]</f>
        <v>0.25</v>
      </c>
      <c r="P132" s="2">
        <v>23</v>
      </c>
      <c r="Q132" s="2">
        <v>38</v>
      </c>
      <c r="R132" s="5">
        <f>knicks_players_all_stats[[#This Row],[FTM]]/knicks_players_all_stats[[#This Row],[FTA]]</f>
        <v>0.60526315789473684</v>
      </c>
      <c r="S132" s="2">
        <f>knicks_players_all_stats[[#This Row],[OREB22]]/10</f>
        <v>19</v>
      </c>
      <c r="T132" s="2">
        <f>knicks_players_all_stats[[#This Row],[DREB33]]/10</f>
        <v>56</v>
      </c>
      <c r="U132" s="2">
        <f>knicks_players_all_stats[[#This Row],[REB44]]/10</f>
        <v>75</v>
      </c>
      <c r="V132">
        <v>190</v>
      </c>
      <c r="W132">
        <v>560</v>
      </c>
      <c r="X132">
        <v>750</v>
      </c>
      <c r="Y132" s="22">
        <f>knicks_players_all_stats[[#This Row],[REB]]/knicks_players_all_stats[[#This Row],[GP]]</f>
        <v>1.6304347826086956</v>
      </c>
      <c r="Z132" s="2">
        <v>89</v>
      </c>
      <c r="AA132" s="6">
        <f>knicks_players_all_stats[[#This Row],[AST]]/knicks_players_all_stats[[#This Row],[GP]]</f>
        <v>1.9347826086956521</v>
      </c>
      <c r="AB132" s="2">
        <f>knicks_players_all_stats[[#This Row],[STL2]]/10</f>
        <v>24</v>
      </c>
      <c r="AC132" s="2">
        <v>240</v>
      </c>
      <c r="AD132" s="6">
        <f>knicks_players_all_stats[[#This Row],[STL]]/knicks_players_all_stats[[#This Row],[GP]]</f>
        <v>0.52173913043478259</v>
      </c>
      <c r="AE132">
        <v>80</v>
      </c>
      <c r="AF132" s="2">
        <f>knicks_players_all_stats[[#This Row],[BLK2]]/10</f>
        <v>8</v>
      </c>
      <c r="AG132" s="6">
        <f>knicks_players_all_stats[[#This Row],[BLK]]/knicks_players_all_stats[[#This Row],[GP]]</f>
        <v>0.17391304347826086</v>
      </c>
      <c r="AH132">
        <v>560</v>
      </c>
      <c r="AI132" s="6">
        <f>knicks_players_all_stats[[#This Row],[BLKPG]]+knicks_players_all_stats[[#This Row],[STLPG]]+knicks_players_all_stats[[#This Row],[REBPG]]</f>
        <v>2.3260869565217392</v>
      </c>
      <c r="AJ132" s="2">
        <f>knicks_players_all_stats[[#This Row],[TOV2]]/10</f>
        <v>56</v>
      </c>
      <c r="AK132" s="6">
        <f>knicks_players_all_stats[[#This Row],[TOV]]/knicks_players_all_stats[[#This Row],[GP]]</f>
        <v>1.2173913043478262</v>
      </c>
      <c r="AL132" s="2">
        <v>56</v>
      </c>
      <c r="AM132" s="2">
        <f>knicks_players_all_stats[[#This Row],[PF]]/knicks_players_all_stats[[#This Row],[GP]]</f>
        <v>1.2173913043478262</v>
      </c>
      <c r="AN132" s="2">
        <v>145</v>
      </c>
      <c r="AO132" s="6">
        <f>knicks_players_all_stats[[#This Row],[PTS]]/knicks_players_all_stats[[#This Row],[GP]]</f>
        <v>3.152173913043478</v>
      </c>
    </row>
    <row r="133" spans="1:41" customFormat="1" x14ac:dyDescent="0.3">
      <c r="A133" s="3" t="s">
        <v>1663</v>
      </c>
      <c r="B133" s="3" t="s">
        <v>1303</v>
      </c>
      <c r="C133" s="3" t="str">
        <f>knicks_players_all_stats[[#This Row],[NAME]]&amp;" ("&amp;knicks_players_all_stats[[#This Row],[SEASON]]&amp;")"</f>
        <v>Malik Rose (2007-08)</v>
      </c>
      <c r="D133" s="3">
        <f>knicks_players_all_stats[[#This Row],[PLAYER_AGE]]/10</f>
        <v>33</v>
      </c>
      <c r="E133">
        <v>330</v>
      </c>
      <c r="F133" s="2">
        <v>49</v>
      </c>
      <c r="G133" s="2">
        <v>4940</v>
      </c>
      <c r="H13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77</v>
      </c>
      <c r="I133" s="6">
        <f>knicks_players_all_stats[[#This Row],[VALORATION]]/knicks_players_all_stats[[#This Row],[GP]]</f>
        <v>1.5714285714285714</v>
      </c>
      <c r="J133" s="2">
        <v>66</v>
      </c>
      <c r="K133" s="2">
        <v>180</v>
      </c>
      <c r="L133" s="2">
        <v>367</v>
      </c>
      <c r="M133" s="2">
        <v>20</v>
      </c>
      <c r="N133" s="2">
        <v>70</v>
      </c>
      <c r="O133" s="4">
        <f>knicks_players_all_stats[[#This Row],[FG3M]]/knicks_players_all_stats[[#This Row],[FG3A]]</f>
        <v>0.2857142857142857</v>
      </c>
      <c r="P133" s="2">
        <v>37</v>
      </c>
      <c r="Q133" s="2">
        <v>51</v>
      </c>
      <c r="R133" s="5">
        <f>knicks_players_all_stats[[#This Row],[FTM]]/knicks_players_all_stats[[#This Row],[FTA]]</f>
        <v>0.72549019607843135</v>
      </c>
      <c r="S133" s="2">
        <f>knicks_players_all_stats[[#This Row],[OREB22]]/10</f>
        <v>31</v>
      </c>
      <c r="T133" s="2">
        <f>knicks_players_all_stats[[#This Row],[DREB33]]/10</f>
        <v>72</v>
      </c>
      <c r="U133" s="2">
        <f>knicks_players_all_stats[[#This Row],[REB44]]/10</f>
        <v>103</v>
      </c>
      <c r="V133">
        <v>310</v>
      </c>
      <c r="W133">
        <v>720</v>
      </c>
      <c r="X133">
        <v>1030</v>
      </c>
      <c r="Y133" s="22">
        <f>knicks_players_all_stats[[#This Row],[REB]]/knicks_players_all_stats[[#This Row],[GP]]</f>
        <v>2.1020408163265305</v>
      </c>
      <c r="Z133" s="2">
        <v>28</v>
      </c>
      <c r="AA133" s="6">
        <f>knicks_players_all_stats[[#This Row],[AST]]/knicks_players_all_stats[[#This Row],[GP]]</f>
        <v>0.5714285714285714</v>
      </c>
      <c r="AB133" s="2">
        <f>knicks_players_all_stats[[#This Row],[STL2]]/10</f>
        <v>16</v>
      </c>
      <c r="AC133" s="2">
        <v>160</v>
      </c>
      <c r="AD133" s="6">
        <f>knicks_players_all_stats[[#This Row],[STL]]/knicks_players_all_stats[[#This Row],[GP]]</f>
        <v>0.32653061224489793</v>
      </c>
      <c r="AE133">
        <v>70</v>
      </c>
      <c r="AF133" s="2">
        <f>knicks_players_all_stats[[#This Row],[BLK2]]/10</f>
        <v>7</v>
      </c>
      <c r="AG133" s="6">
        <f>knicks_players_all_stats[[#This Row],[BLK]]/knicks_players_all_stats[[#This Row],[GP]]</f>
        <v>0.14285714285714285</v>
      </c>
      <c r="AH133">
        <v>400</v>
      </c>
      <c r="AI133" s="6">
        <f>knicks_players_all_stats[[#This Row],[BLKPG]]+knicks_players_all_stats[[#This Row],[STLPG]]+knicks_players_all_stats[[#This Row],[REBPG]]</f>
        <v>2.5714285714285712</v>
      </c>
      <c r="AJ133" s="2">
        <f>knicks_players_all_stats[[#This Row],[TOV2]]/10</f>
        <v>40</v>
      </c>
      <c r="AK133" s="6">
        <f>knicks_players_all_stats[[#This Row],[TOV]]/knicks_players_all_stats[[#This Row],[GP]]</f>
        <v>0.81632653061224492</v>
      </c>
      <c r="AL133" s="2">
        <v>80</v>
      </c>
      <c r="AM133" s="2">
        <f>knicks_players_all_stats[[#This Row],[PF]]/knicks_players_all_stats[[#This Row],[GP]]</f>
        <v>1.6326530612244898</v>
      </c>
      <c r="AN133" s="2">
        <v>171</v>
      </c>
      <c r="AO133" s="6">
        <f>knicks_players_all_stats[[#This Row],[PTS]]/knicks_players_all_stats[[#This Row],[GP]]</f>
        <v>3.489795918367347</v>
      </c>
    </row>
    <row r="134" spans="1:41" customFormat="1" x14ac:dyDescent="0.3">
      <c r="A134" s="3" t="s">
        <v>1351</v>
      </c>
      <c r="B134" s="3" t="s">
        <v>1303</v>
      </c>
      <c r="C134" s="3" t="str">
        <f>knicks_players_all_stats[[#This Row],[NAME]]&amp;" ("&amp;knicks_players_all_stats[[#This Row],[SEASON]]&amp;")"</f>
        <v>Randolph Morris (2007-08)</v>
      </c>
      <c r="D134" s="3">
        <f>knicks_players_all_stats[[#This Row],[PLAYER_AGE]]/10</f>
        <v>22</v>
      </c>
      <c r="E134">
        <v>220</v>
      </c>
      <c r="F134" s="2">
        <v>18</v>
      </c>
      <c r="G134" s="2">
        <v>1810</v>
      </c>
      <c r="H13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</v>
      </c>
      <c r="I134" s="6">
        <f>knicks_players_all_stats[[#This Row],[VALORATION]]/knicks_players_all_stats[[#This Row],[GP]]</f>
        <v>0.16666666666666666</v>
      </c>
      <c r="J134" s="2">
        <v>21</v>
      </c>
      <c r="K134" s="2">
        <v>58</v>
      </c>
      <c r="L134" s="4">
        <f>knicks_players_all_stats[[#This Row],[FGM]]/knicks_players_all_stats[[#This Row],[FGA]]</f>
        <v>0.36206896551724138</v>
      </c>
      <c r="M134" s="2">
        <v>0</v>
      </c>
      <c r="N134" s="2">
        <v>0</v>
      </c>
      <c r="O134" s="4" t="e">
        <f>knicks_players_all_stats[[#This Row],[FG3M]]/knicks_players_all_stats[[#This Row],[FG3A]]</f>
        <v>#DIV/0!</v>
      </c>
      <c r="P134" s="2">
        <v>14</v>
      </c>
      <c r="Q134" s="2">
        <v>29</v>
      </c>
      <c r="R134" s="5">
        <f>knicks_players_all_stats[[#This Row],[FTM]]/knicks_players_all_stats[[#This Row],[FTA]]</f>
        <v>0.48275862068965519</v>
      </c>
      <c r="S134" s="2">
        <f>knicks_players_all_stats[[#This Row],[OREB22]]/10</f>
        <v>12</v>
      </c>
      <c r="T134" s="2">
        <f>knicks_players_all_stats[[#This Row],[DREB33]]/10</f>
        <v>25</v>
      </c>
      <c r="U134" s="2">
        <f>knicks_players_all_stats[[#This Row],[REB44]]/10</f>
        <v>37</v>
      </c>
      <c r="V134">
        <v>120</v>
      </c>
      <c r="W134">
        <v>250</v>
      </c>
      <c r="X134">
        <v>370</v>
      </c>
      <c r="Y134" s="22">
        <f>knicks_players_all_stats[[#This Row],[REB]]/knicks_players_all_stats[[#This Row],[GP]]</f>
        <v>2.0555555555555554</v>
      </c>
      <c r="Z134" s="2">
        <v>2</v>
      </c>
      <c r="AA134" s="6">
        <f>knicks_players_all_stats[[#This Row],[AST]]/knicks_players_all_stats[[#This Row],[GP]]</f>
        <v>0.1111111111111111</v>
      </c>
      <c r="AB134" s="2">
        <f>knicks_players_all_stats[[#This Row],[STL2]]/10</f>
        <v>4</v>
      </c>
      <c r="AC134" s="2">
        <v>40</v>
      </c>
      <c r="AD134" s="6">
        <f>knicks_players_all_stats[[#This Row],[STL]]/knicks_players_all_stats[[#This Row],[GP]]</f>
        <v>0.22222222222222221</v>
      </c>
      <c r="AE134">
        <v>20</v>
      </c>
      <c r="AF134" s="2">
        <f>knicks_players_all_stats[[#This Row],[BLK2]]/10</f>
        <v>2</v>
      </c>
      <c r="AG134" s="6">
        <f>knicks_players_all_stats[[#This Row],[BLK]]/knicks_players_all_stats[[#This Row],[GP]]</f>
        <v>0.1111111111111111</v>
      </c>
      <c r="AH134">
        <v>90</v>
      </c>
      <c r="AI134" s="6">
        <f>knicks_players_all_stats[[#This Row],[BLKPG]]+knicks_players_all_stats[[#This Row],[STLPG]]+knicks_players_all_stats[[#This Row],[REBPG]]</f>
        <v>2.3888888888888888</v>
      </c>
      <c r="AJ134" s="2">
        <f>knicks_players_all_stats[[#This Row],[TOV2]]/10</f>
        <v>9</v>
      </c>
      <c r="AK134" s="6">
        <f>knicks_players_all_stats[[#This Row],[TOV]]/knicks_players_all_stats[[#This Row],[GP]]</f>
        <v>0.5</v>
      </c>
      <c r="AL134" s="2">
        <v>37</v>
      </c>
      <c r="AM134" s="2">
        <f>knicks_players_all_stats[[#This Row],[PF]]/knicks_players_all_stats[[#This Row],[GP]]</f>
        <v>2.0555555555555554</v>
      </c>
      <c r="AN134" s="2">
        <v>56</v>
      </c>
      <c r="AO134" s="6">
        <f>knicks_players_all_stats[[#This Row],[PTS]]/knicks_players_all_stats[[#This Row],[GP]]</f>
        <v>3.1111111111111112</v>
      </c>
    </row>
    <row r="135" spans="1:41" customFormat="1" x14ac:dyDescent="0.3">
      <c r="A135" s="3" t="s">
        <v>1774</v>
      </c>
      <c r="B135" s="3" t="s">
        <v>1304</v>
      </c>
      <c r="C135" s="3" t="str">
        <f>knicks_players_all_stats[[#This Row],[NAME]]&amp;" ("&amp;knicks_players_all_stats[[#This Row],[SEASON]]&amp;")"</f>
        <v>Zach Randolph (2008-09)</v>
      </c>
      <c r="D135" s="3">
        <f>knicks_players_all_stats[[#This Row],[PLAYER_AGE]]/10</f>
        <v>27</v>
      </c>
      <c r="E135">
        <v>270</v>
      </c>
      <c r="F135" s="2">
        <v>11</v>
      </c>
      <c r="G135" s="2">
        <v>3880</v>
      </c>
      <c r="H13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224</v>
      </c>
      <c r="I135" s="6">
        <f>knicks_players_all_stats[[#This Row],[VALORATION]]/knicks_players_all_stats[[#This Row],[GP]]</f>
        <v>20.363636363636363</v>
      </c>
      <c r="J135" s="2">
        <v>82</v>
      </c>
      <c r="K135" s="2">
        <v>189</v>
      </c>
      <c r="L135" s="2">
        <v>434</v>
      </c>
      <c r="M135" s="2">
        <v>70</v>
      </c>
      <c r="N135" s="2">
        <v>240</v>
      </c>
      <c r="O135" s="4">
        <f>knicks_players_all_stats[[#This Row],[FG3M]]/knicks_players_all_stats[[#This Row],[FG3A]]</f>
        <v>0.29166666666666669</v>
      </c>
      <c r="P135" s="2">
        <v>55</v>
      </c>
      <c r="Q135" s="2">
        <v>67</v>
      </c>
      <c r="R135" s="5">
        <f>knicks_players_all_stats[[#This Row],[FTM]]/knicks_players_all_stats[[#This Row],[FTA]]</f>
        <v>0.82089552238805974</v>
      </c>
      <c r="S135" s="2">
        <f>knicks_players_all_stats[[#This Row],[OREB22]]/10</f>
        <v>40</v>
      </c>
      <c r="T135" s="2">
        <f>knicks_players_all_stats[[#This Row],[DREB33]]/10</f>
        <v>97</v>
      </c>
      <c r="U135" s="2">
        <f>knicks_players_all_stats[[#This Row],[REB44]]/10</f>
        <v>137</v>
      </c>
      <c r="V135">
        <v>400</v>
      </c>
      <c r="W135">
        <v>970</v>
      </c>
      <c r="X135">
        <v>1370</v>
      </c>
      <c r="Y135" s="22">
        <f>knicks_players_all_stats[[#This Row],[REB]]/knicks_players_all_stats[[#This Row],[GP]]</f>
        <v>12.454545454545455</v>
      </c>
      <c r="Z135" s="2">
        <v>15</v>
      </c>
      <c r="AA135" s="6">
        <f>knicks_players_all_stats[[#This Row],[AST]]/knicks_players_all_stats[[#This Row],[GP]]</f>
        <v>1.3636363636363635</v>
      </c>
      <c r="AB135" s="2">
        <f>knicks_players_all_stats[[#This Row],[STL2]]/10</f>
        <v>13</v>
      </c>
      <c r="AC135" s="2">
        <v>130</v>
      </c>
      <c r="AD135" s="6">
        <f>knicks_players_all_stats[[#This Row],[STL]]/knicks_players_all_stats[[#This Row],[GP]]</f>
        <v>1.1818181818181819</v>
      </c>
      <c r="AE135">
        <v>30</v>
      </c>
      <c r="AF135" s="2">
        <f>knicks_players_all_stats[[#This Row],[BLK2]]/10</f>
        <v>3</v>
      </c>
      <c r="AG135" s="6">
        <f>knicks_players_all_stats[[#This Row],[BLK]]/knicks_players_all_stats[[#This Row],[GP]]</f>
        <v>0.27272727272727271</v>
      </c>
      <c r="AH135">
        <v>230</v>
      </c>
      <c r="AI135" s="6">
        <f>knicks_players_all_stats[[#This Row],[BLKPG]]+knicks_players_all_stats[[#This Row],[STLPG]]+knicks_players_all_stats[[#This Row],[REBPG]]</f>
        <v>13.90909090909091</v>
      </c>
      <c r="AJ135" s="2">
        <f>knicks_players_all_stats[[#This Row],[TOV2]]/10</f>
        <v>23</v>
      </c>
      <c r="AK135" s="6">
        <f>knicks_players_all_stats[[#This Row],[TOV]]/knicks_players_all_stats[[#This Row],[GP]]</f>
        <v>2.0909090909090908</v>
      </c>
      <c r="AL135" s="2">
        <v>28</v>
      </c>
      <c r="AM135" s="2">
        <f>knicks_players_all_stats[[#This Row],[PF]]/knicks_players_all_stats[[#This Row],[GP]]</f>
        <v>2.5454545454545454</v>
      </c>
      <c r="AN135" s="2">
        <v>226</v>
      </c>
      <c r="AO135" s="6">
        <f>knicks_players_all_stats[[#This Row],[PTS]]/knicks_players_all_stats[[#This Row],[GP]]</f>
        <v>20.545454545454547</v>
      </c>
    </row>
    <row r="136" spans="1:41" customFormat="1" x14ac:dyDescent="0.3">
      <c r="A136" s="3" t="s">
        <v>1547</v>
      </c>
      <c r="B136" s="3" t="s">
        <v>1304</v>
      </c>
      <c r="C136" s="3" t="str">
        <f>knicks_players_all_stats[[#This Row],[NAME]]&amp;" ("&amp;knicks_players_all_stats[[#This Row],[SEASON]]&amp;")"</f>
        <v>David Lee (2008-09)</v>
      </c>
      <c r="D136" s="3">
        <f>knicks_players_all_stats[[#This Row],[PLAYER_AGE]]/10</f>
        <v>26</v>
      </c>
      <c r="E136">
        <v>260</v>
      </c>
      <c r="F136" s="2">
        <v>81</v>
      </c>
      <c r="G136" s="2">
        <v>28240</v>
      </c>
      <c r="H13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1600</v>
      </c>
      <c r="I136" s="6">
        <f>knicks_players_all_stats[[#This Row],[VALORATION]]/knicks_players_all_stats[[#This Row],[GP]]</f>
        <v>19.753086419753085</v>
      </c>
      <c r="J136" s="2">
        <v>522</v>
      </c>
      <c r="K136" s="2">
        <v>951</v>
      </c>
      <c r="L136" s="4">
        <f>knicks_players_all_stats[[#This Row],[FGM]]/knicks_players_all_stats[[#This Row],[FGA]]</f>
        <v>0.54889589905362779</v>
      </c>
      <c r="M136" s="2">
        <v>0</v>
      </c>
      <c r="N136" s="2">
        <v>30</v>
      </c>
      <c r="O136" s="4">
        <f>knicks_players_all_stats[[#This Row],[FG3M]]/knicks_players_all_stats[[#This Row],[FG3A]]</f>
        <v>0</v>
      </c>
      <c r="P136" s="2">
        <v>249</v>
      </c>
      <c r="Q136" s="2">
        <v>330</v>
      </c>
      <c r="R136" s="5">
        <f>knicks_players_all_stats[[#This Row],[FTM]]/knicks_players_all_stats[[#This Row],[FTA]]</f>
        <v>0.75454545454545452</v>
      </c>
      <c r="S136" s="2">
        <f>knicks_players_all_stats[[#This Row],[OREB22]]/10</f>
        <v>256</v>
      </c>
      <c r="T136" s="2">
        <f>knicks_players_all_stats[[#This Row],[DREB33]]/10</f>
        <v>695</v>
      </c>
      <c r="U136" s="2">
        <f>knicks_players_all_stats[[#This Row],[REB44]]/10</f>
        <v>951</v>
      </c>
      <c r="V136">
        <v>2560</v>
      </c>
      <c r="W136">
        <v>6950</v>
      </c>
      <c r="X136">
        <v>9510</v>
      </c>
      <c r="Y136" s="22">
        <f>knicks_players_all_stats[[#This Row],[REB]]/knicks_players_all_stats[[#This Row],[GP]]</f>
        <v>11.74074074074074</v>
      </c>
      <c r="Z136" s="2">
        <v>174</v>
      </c>
      <c r="AA136" s="6">
        <f>knicks_players_all_stats[[#This Row],[AST]]/knicks_players_all_stats[[#This Row],[GP]]</f>
        <v>2.1481481481481484</v>
      </c>
      <c r="AB136" s="2">
        <f>knicks_players_all_stats[[#This Row],[STL2]]/10</f>
        <v>80</v>
      </c>
      <c r="AC136" s="2">
        <v>800</v>
      </c>
      <c r="AD136" s="6">
        <f>knicks_players_all_stats[[#This Row],[STL]]/knicks_players_all_stats[[#This Row],[GP]]</f>
        <v>0.98765432098765427</v>
      </c>
      <c r="AE136">
        <v>220</v>
      </c>
      <c r="AF136" s="2">
        <f>knicks_players_all_stats[[#This Row],[BLK2]]/10</f>
        <v>22</v>
      </c>
      <c r="AG136" s="6">
        <f>knicks_players_all_stats[[#This Row],[BLK]]/knicks_players_all_stats[[#This Row],[GP]]</f>
        <v>0.27160493827160492</v>
      </c>
      <c r="AH136">
        <v>1500</v>
      </c>
      <c r="AI136" s="6">
        <f>knicks_players_all_stats[[#This Row],[BLKPG]]+knicks_players_all_stats[[#This Row],[STLPG]]+knicks_players_all_stats[[#This Row],[REBPG]]</f>
        <v>13</v>
      </c>
      <c r="AJ136" s="2">
        <f>knicks_players_all_stats[[#This Row],[TOV2]]/10</f>
        <v>150</v>
      </c>
      <c r="AK136" s="6">
        <f>knicks_players_all_stats[[#This Row],[TOV]]/knicks_players_all_stats[[#This Row],[GP]]</f>
        <v>1.8518518518518519</v>
      </c>
      <c r="AL136" s="2">
        <v>260</v>
      </c>
      <c r="AM136" s="2">
        <f>knicks_players_all_stats[[#This Row],[PF]]/knicks_players_all_stats[[#This Row],[GP]]</f>
        <v>3.2098765432098766</v>
      </c>
      <c r="AN136" s="2">
        <v>1293</v>
      </c>
      <c r="AO136" s="6">
        <f>knicks_players_all_stats[[#This Row],[PTS]]/knicks_players_all_stats[[#This Row],[GP]]</f>
        <v>15.962962962962964</v>
      </c>
    </row>
    <row r="137" spans="1:41" x14ac:dyDescent="0.3">
      <c r="A137" s="3" t="s">
        <v>1571</v>
      </c>
      <c r="B137" s="3" t="s">
        <v>1304</v>
      </c>
      <c r="C137" s="3" t="str">
        <f>knicks_players_all_stats[[#This Row],[NAME]]&amp;" ("&amp;knicks_players_all_stats[[#This Row],[SEASON]]&amp;")"</f>
        <v>Al Harrington (2008-09)</v>
      </c>
      <c r="D137" s="3">
        <f>knicks_players_all_stats[[#This Row],[PLAYER_AGE]]/10</f>
        <v>29</v>
      </c>
      <c r="E137">
        <v>290</v>
      </c>
      <c r="F137" s="2">
        <v>68</v>
      </c>
      <c r="G137" s="2">
        <v>23800</v>
      </c>
      <c r="H13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973</v>
      </c>
      <c r="I137" s="6">
        <f>knicks_players_all_stats[[#This Row],[VALORATION]]/knicks_players_all_stats[[#This Row],[GP]]</f>
        <v>14.308823529411764</v>
      </c>
      <c r="J137" s="2">
        <v>509</v>
      </c>
      <c r="K137" s="2">
        <v>1142</v>
      </c>
      <c r="L137" s="4">
        <f>knicks_players_all_stats[[#This Row],[FGM]]/knicks_players_all_stats[[#This Row],[FGA]]</f>
        <v>0.44570928196147108</v>
      </c>
      <c r="M137" s="2">
        <v>1600</v>
      </c>
      <c r="N137" s="2">
        <v>4420</v>
      </c>
      <c r="O137" s="4">
        <f>knicks_players_all_stats[[#This Row],[FG3M]]/knicks_players_all_stats[[#This Row],[FG3A]]</f>
        <v>0.36199095022624433</v>
      </c>
      <c r="P137" s="2">
        <v>229</v>
      </c>
      <c r="Q137" s="2">
        <v>285</v>
      </c>
      <c r="R137" s="5">
        <f>knicks_players_all_stats[[#This Row],[FTM]]/knicks_players_all_stats[[#This Row],[FTA]]</f>
        <v>0.80350877192982462</v>
      </c>
      <c r="S137" s="2">
        <f>knicks_players_all_stats[[#This Row],[OREB22]]/10</f>
        <v>89</v>
      </c>
      <c r="T137" s="2">
        <f>knicks_players_all_stats[[#This Row],[DREB33]]/10</f>
        <v>338</v>
      </c>
      <c r="U137" s="2">
        <f>knicks_players_all_stats[[#This Row],[REB44]]/10</f>
        <v>427</v>
      </c>
      <c r="V137">
        <v>890</v>
      </c>
      <c r="W137">
        <v>3380</v>
      </c>
      <c r="X137">
        <v>4270</v>
      </c>
      <c r="Y137" s="22">
        <f>knicks_players_all_stats[[#This Row],[REB]]/knicks_players_all_stats[[#This Row],[GP]]</f>
        <v>6.2794117647058822</v>
      </c>
      <c r="Z137" s="2">
        <v>92</v>
      </c>
      <c r="AA137" s="6">
        <f>knicks_players_all_stats[[#This Row],[AST]]/knicks_players_all_stats[[#This Row],[GP]]</f>
        <v>1.3529411764705883</v>
      </c>
      <c r="AB137" s="2">
        <f>knicks_players_all_stats[[#This Row],[STL2]]/10</f>
        <v>81</v>
      </c>
      <c r="AC137" s="2">
        <v>810</v>
      </c>
      <c r="AD137" s="6">
        <f>knicks_players_all_stats[[#This Row],[STL]]/knicks_players_all_stats[[#This Row],[GP]]</f>
        <v>1.1911764705882353</v>
      </c>
      <c r="AE137">
        <v>220</v>
      </c>
      <c r="AF137" s="2">
        <f>knicks_players_all_stats[[#This Row],[BLK2]]/10</f>
        <v>22</v>
      </c>
      <c r="AG137" s="6">
        <f>knicks_players_all_stats[[#This Row],[BLK]]/knicks_players_all_stats[[#This Row],[GP]]</f>
        <v>0.3235294117647059</v>
      </c>
      <c r="AH137">
        <v>1540</v>
      </c>
      <c r="AI137" s="6">
        <f>knicks_players_all_stats[[#This Row],[BLKPG]]+knicks_players_all_stats[[#This Row],[STLPG]]+knicks_players_all_stats[[#This Row],[REBPG]]</f>
        <v>7.7941176470588234</v>
      </c>
      <c r="AJ137" s="2">
        <f>knicks_players_all_stats[[#This Row],[TOV2]]/10</f>
        <v>154</v>
      </c>
      <c r="AK137" s="6">
        <f>knicks_players_all_stats[[#This Row],[TOV]]/knicks_players_all_stats[[#This Row],[GP]]</f>
        <v>2.2647058823529411</v>
      </c>
      <c r="AL137" s="2">
        <v>213</v>
      </c>
      <c r="AM137" s="2">
        <f>knicks_players_all_stats[[#This Row],[PF]]/knicks_players_all_stats[[#This Row],[GP]]</f>
        <v>3.1323529411764706</v>
      </c>
      <c r="AN137" s="2">
        <v>1407</v>
      </c>
      <c r="AO137" s="6">
        <f>knicks_players_all_stats[[#This Row],[PTS]]/knicks_players_all_stats[[#This Row],[GP]]</f>
        <v>20.691176470588236</v>
      </c>
    </row>
    <row r="138" spans="1:41" customFormat="1" x14ac:dyDescent="0.3">
      <c r="A138" s="3" t="s">
        <v>1301</v>
      </c>
      <c r="B138" s="3" t="s">
        <v>1304</v>
      </c>
      <c r="C138" s="3" t="str">
        <f>knicks_players_all_stats[[#This Row],[NAME]]&amp;" ("&amp;knicks_players_all_stats[[#This Row],[SEASON]]&amp;")"</f>
        <v>Nate Robinson (2008-09)</v>
      </c>
      <c r="D138" s="3">
        <f>knicks_players_all_stats[[#This Row],[PLAYER_AGE]]/10</f>
        <v>25</v>
      </c>
      <c r="E138">
        <v>250</v>
      </c>
      <c r="F138" s="2">
        <v>74</v>
      </c>
      <c r="G138" s="2">
        <v>22090</v>
      </c>
      <c r="H13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993</v>
      </c>
      <c r="I138" s="6">
        <f>knicks_players_all_stats[[#This Row],[VALORATION]]/knicks_players_all_stats[[#This Row],[GP]]</f>
        <v>13.418918918918919</v>
      </c>
      <c r="J138" s="2">
        <v>449</v>
      </c>
      <c r="K138" s="2">
        <v>1028</v>
      </c>
      <c r="L138" s="4">
        <f>knicks_players_all_stats[[#This Row],[FGM]]/knicks_players_all_stats[[#This Row],[FGA]]</f>
        <v>0.4367704280155642</v>
      </c>
      <c r="M138" s="2">
        <v>1250</v>
      </c>
      <c r="N138" s="2">
        <v>3850</v>
      </c>
      <c r="O138" s="4">
        <f>knicks_players_all_stats[[#This Row],[FG3M]]/knicks_players_all_stats[[#This Row],[FG3A]]</f>
        <v>0.32467532467532467</v>
      </c>
      <c r="P138" s="2">
        <v>249</v>
      </c>
      <c r="Q138" s="2">
        <v>296</v>
      </c>
      <c r="R138" s="5">
        <f>knicks_players_all_stats[[#This Row],[FTM]]/knicks_players_all_stats[[#This Row],[FTA]]</f>
        <v>0.84121621621621623</v>
      </c>
      <c r="S138" s="2">
        <f>knicks_players_all_stats[[#This Row],[OREB22]]/10</f>
        <v>98</v>
      </c>
      <c r="T138" s="2">
        <f>knicks_players_all_stats[[#This Row],[DREB33]]/10</f>
        <v>192</v>
      </c>
      <c r="U138" s="2">
        <f>knicks_players_all_stats[[#This Row],[REB44]]/10</f>
        <v>290</v>
      </c>
      <c r="V138">
        <v>980</v>
      </c>
      <c r="W138">
        <v>1920</v>
      </c>
      <c r="X138">
        <v>2900</v>
      </c>
      <c r="Y138" s="22">
        <f>knicks_players_all_stats[[#This Row],[REB]]/knicks_players_all_stats[[#This Row],[GP]]</f>
        <v>3.9189189189189189</v>
      </c>
      <c r="Z138" s="2">
        <v>301</v>
      </c>
      <c r="AA138" s="6">
        <f>knicks_players_all_stats[[#This Row],[AST]]/knicks_players_all_stats[[#This Row],[GP]]</f>
        <v>4.0675675675675675</v>
      </c>
      <c r="AB138" s="2">
        <f>knicks_players_all_stats[[#This Row],[STL2]]/10</f>
        <v>95</v>
      </c>
      <c r="AC138" s="2">
        <v>950</v>
      </c>
      <c r="AD138" s="6">
        <f>knicks_players_all_stats[[#This Row],[STL]]/knicks_players_all_stats[[#This Row],[GP]]</f>
        <v>1.2837837837837838</v>
      </c>
      <c r="AE138">
        <v>60</v>
      </c>
      <c r="AF138" s="2">
        <f>knicks_players_all_stats[[#This Row],[BLK2]]/10</f>
        <v>6</v>
      </c>
      <c r="AG138" s="6">
        <f>knicks_players_all_stats[[#This Row],[BLK]]/knicks_players_all_stats[[#This Row],[GP]]</f>
        <v>8.1081081081081086E-2</v>
      </c>
      <c r="AH138">
        <v>1390</v>
      </c>
      <c r="AI138" s="6">
        <f>knicks_players_all_stats[[#This Row],[BLKPG]]+knicks_players_all_stats[[#This Row],[STLPG]]+knicks_players_all_stats[[#This Row],[REBPG]]</f>
        <v>5.2837837837837842</v>
      </c>
      <c r="AJ138" s="2">
        <f>knicks_players_all_stats[[#This Row],[TOV2]]/10</f>
        <v>139</v>
      </c>
      <c r="AK138" s="6">
        <f>knicks_players_all_stats[[#This Row],[TOV]]/knicks_players_all_stats[[#This Row],[GP]]</f>
        <v>1.8783783783783783</v>
      </c>
      <c r="AL138" s="2">
        <v>206</v>
      </c>
      <c r="AM138" s="2">
        <f>knicks_players_all_stats[[#This Row],[PF]]/knicks_players_all_stats[[#This Row],[GP]]</f>
        <v>2.7837837837837838</v>
      </c>
      <c r="AN138" s="2">
        <v>1272</v>
      </c>
      <c r="AO138" s="6">
        <f>knicks_players_all_stats[[#This Row],[PTS]]/knicks_players_all_stats[[#This Row],[GP]]</f>
        <v>17.189189189189189</v>
      </c>
    </row>
    <row r="139" spans="1:41" customFormat="1" x14ac:dyDescent="0.3">
      <c r="A139" s="3" t="s">
        <v>1697</v>
      </c>
      <c r="B139" s="3" t="s">
        <v>1304</v>
      </c>
      <c r="C139" s="3" t="str">
        <f>knicks_players_all_stats[[#This Row],[NAME]]&amp;" ("&amp;knicks_players_all_stats[[#This Row],[SEASON]]&amp;")"</f>
        <v>Jamal Crawford (2008-09)</v>
      </c>
      <c r="D139" s="3">
        <f>knicks_players_all_stats[[#This Row],[PLAYER_AGE]]/10</f>
        <v>29</v>
      </c>
      <c r="E139">
        <v>290</v>
      </c>
      <c r="F139" s="2">
        <v>11</v>
      </c>
      <c r="G139" s="2">
        <v>3920</v>
      </c>
      <c r="H13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144</v>
      </c>
      <c r="I139" s="6">
        <f>knicks_players_all_stats[[#This Row],[VALORATION]]/knicks_players_all_stats[[#This Row],[GP]]</f>
        <v>13.090909090909092</v>
      </c>
      <c r="J139" s="2">
        <v>73</v>
      </c>
      <c r="K139" s="2">
        <v>169</v>
      </c>
      <c r="L139" s="2">
        <v>432</v>
      </c>
      <c r="M139" s="2">
        <v>350</v>
      </c>
      <c r="N139" s="2">
        <v>770</v>
      </c>
      <c r="O139" s="4">
        <f>knicks_players_all_stats[[#This Row],[FG3M]]/knicks_players_all_stats[[#This Row],[FG3A]]</f>
        <v>0.45454545454545453</v>
      </c>
      <c r="P139" s="2">
        <v>35</v>
      </c>
      <c r="Q139" s="2">
        <v>46</v>
      </c>
      <c r="R139" s="5">
        <f>knicks_players_all_stats[[#This Row],[FTM]]/knicks_players_all_stats[[#This Row],[FTA]]</f>
        <v>0.76086956521739135</v>
      </c>
      <c r="S139" s="2">
        <f>knicks_players_all_stats[[#This Row],[OREB22]]/10</f>
        <v>2</v>
      </c>
      <c r="T139" s="2">
        <f>knicks_players_all_stats[[#This Row],[DREB33]]/10</f>
        <v>15</v>
      </c>
      <c r="U139" s="2">
        <f>knicks_players_all_stats[[#This Row],[REB44]]/10</f>
        <v>17</v>
      </c>
      <c r="V139">
        <v>20</v>
      </c>
      <c r="W139">
        <v>150</v>
      </c>
      <c r="X139">
        <v>170</v>
      </c>
      <c r="Y139" s="22">
        <f>knicks_players_all_stats[[#This Row],[REB]]/knicks_players_all_stats[[#This Row],[GP]]</f>
        <v>1.5454545454545454</v>
      </c>
      <c r="Z139" s="2">
        <v>48</v>
      </c>
      <c r="AA139" s="6">
        <f>knicks_players_all_stats[[#This Row],[AST]]/knicks_players_all_stats[[#This Row],[GP]]</f>
        <v>4.3636363636363633</v>
      </c>
      <c r="AB139" s="2">
        <f>knicks_players_all_stats[[#This Row],[STL2]]/10</f>
        <v>9</v>
      </c>
      <c r="AC139" s="2">
        <v>90</v>
      </c>
      <c r="AD139" s="6">
        <f>knicks_players_all_stats[[#This Row],[STL]]/knicks_players_all_stats[[#This Row],[GP]]</f>
        <v>0.81818181818181823</v>
      </c>
      <c r="AE139">
        <v>0</v>
      </c>
      <c r="AF139" s="2">
        <f>knicks_players_all_stats[[#This Row],[BLK2]]/10</f>
        <v>0</v>
      </c>
      <c r="AG139" s="6">
        <f>knicks_players_all_stats[[#This Row],[BLK]]/knicks_players_all_stats[[#This Row],[GP]]</f>
        <v>0</v>
      </c>
      <c r="AH139">
        <v>260</v>
      </c>
      <c r="AI139" s="6">
        <f>knicks_players_all_stats[[#This Row],[BLKPG]]+knicks_players_all_stats[[#This Row],[STLPG]]+knicks_players_all_stats[[#This Row],[REBPG]]</f>
        <v>2.3636363636363638</v>
      </c>
      <c r="AJ139" s="2">
        <f>knicks_players_all_stats[[#This Row],[TOV2]]/10</f>
        <v>26</v>
      </c>
      <c r="AK139" s="6">
        <f>knicks_players_all_stats[[#This Row],[TOV]]/knicks_players_all_stats[[#This Row],[GP]]</f>
        <v>2.3636363636363638</v>
      </c>
      <c r="AL139" s="2">
        <v>13</v>
      </c>
      <c r="AM139" s="2">
        <f>knicks_players_all_stats[[#This Row],[PF]]/knicks_players_all_stats[[#This Row],[GP]]</f>
        <v>1.1818181818181819</v>
      </c>
      <c r="AN139" s="2">
        <v>216</v>
      </c>
      <c r="AO139" s="6">
        <f>knicks_players_all_stats[[#This Row],[PTS]]/knicks_players_all_stats[[#This Row],[GP]]</f>
        <v>19.636363636363637</v>
      </c>
    </row>
    <row r="140" spans="1:41" customFormat="1" x14ac:dyDescent="0.3">
      <c r="A140" s="3" t="s">
        <v>1567</v>
      </c>
      <c r="B140" s="3" t="s">
        <v>1304</v>
      </c>
      <c r="C140" s="3" t="str">
        <f>knicks_players_all_stats[[#This Row],[NAME]]&amp;" ("&amp;knicks_players_all_stats[[#This Row],[SEASON]]&amp;")"</f>
        <v>Chris Duhon (2008-09)</v>
      </c>
      <c r="D140" s="3">
        <f>knicks_players_all_stats[[#This Row],[PLAYER_AGE]]/10</f>
        <v>26</v>
      </c>
      <c r="E140">
        <v>260</v>
      </c>
      <c r="F140" s="2">
        <v>79</v>
      </c>
      <c r="G140" s="2">
        <v>29060</v>
      </c>
      <c r="H14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1000</v>
      </c>
      <c r="I140" s="6">
        <f>knicks_players_all_stats[[#This Row],[VALORATION]]/knicks_players_all_stats[[#This Row],[GP]]</f>
        <v>12.658227848101266</v>
      </c>
      <c r="J140" s="2">
        <v>287</v>
      </c>
      <c r="K140" s="2">
        <v>681</v>
      </c>
      <c r="L140" s="4">
        <f>knicks_players_all_stats[[#This Row],[FGM]]/knicks_players_all_stats[[#This Row],[FGA]]</f>
        <v>0.42143906020558003</v>
      </c>
      <c r="M140" s="2">
        <v>1270</v>
      </c>
      <c r="N140" s="2">
        <v>3250</v>
      </c>
      <c r="O140" s="4">
        <f>knicks_players_all_stats[[#This Row],[FG3M]]/knicks_players_all_stats[[#This Row],[FG3A]]</f>
        <v>0.39076923076923076</v>
      </c>
      <c r="P140" s="2">
        <v>179</v>
      </c>
      <c r="Q140" s="2">
        <v>209</v>
      </c>
      <c r="R140" s="5">
        <f>knicks_players_all_stats[[#This Row],[FTM]]/knicks_players_all_stats[[#This Row],[FTA]]</f>
        <v>0.8564593301435407</v>
      </c>
      <c r="S140" s="2">
        <f>knicks_players_all_stats[[#This Row],[OREB22]]/10</f>
        <v>45</v>
      </c>
      <c r="T140" s="2">
        <f>knicks_players_all_stats[[#This Row],[DREB33]]/10</f>
        <v>201</v>
      </c>
      <c r="U140" s="2">
        <f>knicks_players_all_stats[[#This Row],[REB44]]/10</f>
        <v>246</v>
      </c>
      <c r="V140">
        <v>450</v>
      </c>
      <c r="W140">
        <v>2010</v>
      </c>
      <c r="X140">
        <v>2460</v>
      </c>
      <c r="Y140" s="22">
        <f>knicks_players_all_stats[[#This Row],[REB]]/knicks_players_all_stats[[#This Row],[GP]]</f>
        <v>3.1139240506329116</v>
      </c>
      <c r="Z140" s="2">
        <v>566</v>
      </c>
      <c r="AA140" s="6">
        <f>knicks_players_all_stats[[#This Row],[AST]]/knicks_players_all_stats[[#This Row],[GP]]</f>
        <v>7.1645569620253164</v>
      </c>
      <c r="AB140" s="2">
        <f>knicks_players_all_stats[[#This Row],[STL2]]/10</f>
        <v>72</v>
      </c>
      <c r="AC140" s="2">
        <v>720</v>
      </c>
      <c r="AD140" s="6">
        <f>knicks_players_all_stats[[#This Row],[STL]]/knicks_players_all_stats[[#This Row],[GP]]</f>
        <v>0.91139240506329111</v>
      </c>
      <c r="AE140">
        <v>70</v>
      </c>
      <c r="AF140" s="2">
        <f>knicks_players_all_stats[[#This Row],[BLK2]]/10</f>
        <v>7</v>
      </c>
      <c r="AG140" s="6">
        <f>knicks_players_all_stats[[#This Row],[BLK]]/knicks_players_all_stats[[#This Row],[GP]]</f>
        <v>8.8607594936708861E-2</v>
      </c>
      <c r="AH140">
        <v>2210</v>
      </c>
      <c r="AI140" s="6">
        <f>knicks_players_all_stats[[#This Row],[BLKPG]]+knicks_players_all_stats[[#This Row],[STLPG]]+knicks_players_all_stats[[#This Row],[REBPG]]</f>
        <v>4.113924050632912</v>
      </c>
      <c r="AJ140" s="2">
        <f>knicks_players_all_stats[[#This Row],[TOV2]]/10</f>
        <v>221</v>
      </c>
      <c r="AK140" s="6">
        <f>knicks_players_all_stats[[#This Row],[TOV]]/knicks_players_all_stats[[#This Row],[GP]]</f>
        <v>2.7974683544303796</v>
      </c>
      <c r="AL140" s="2">
        <v>126</v>
      </c>
      <c r="AM140" s="2">
        <f>knicks_players_all_stats[[#This Row],[PF]]/knicks_players_all_stats[[#This Row],[GP]]</f>
        <v>1.5949367088607596</v>
      </c>
      <c r="AN140" s="2">
        <v>880</v>
      </c>
      <c r="AO140" s="6">
        <f>knicks_players_all_stats[[#This Row],[PTS]]/knicks_players_all_stats[[#This Row],[GP]]</f>
        <v>11.139240506329115</v>
      </c>
    </row>
    <row r="141" spans="1:41" customFormat="1" x14ac:dyDescent="0.3">
      <c r="A141" s="3" t="s">
        <v>1446</v>
      </c>
      <c r="B141" s="3" t="s">
        <v>1304</v>
      </c>
      <c r="C141" s="3" t="str">
        <f>knicks_players_all_stats[[#This Row],[NAME]]&amp;" ("&amp;knicks_players_all_stats[[#This Row],[SEASON]]&amp;")"</f>
        <v>Wilson Chandler (2008-09)</v>
      </c>
      <c r="D141" s="3">
        <f>knicks_players_all_stats[[#This Row],[PLAYER_AGE]]/10</f>
        <v>22</v>
      </c>
      <c r="E141">
        <v>220</v>
      </c>
      <c r="F141" s="2">
        <v>82</v>
      </c>
      <c r="G141" s="2">
        <v>27350</v>
      </c>
      <c r="H14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913</v>
      </c>
      <c r="I141" s="6">
        <f>knicks_players_all_stats[[#This Row],[VALORATION]]/knicks_players_all_stats[[#This Row],[GP]]</f>
        <v>11.134146341463415</v>
      </c>
      <c r="J141" s="2">
        <v>455</v>
      </c>
      <c r="K141" s="2">
        <v>1054</v>
      </c>
      <c r="L141" s="4">
        <f>knicks_players_all_stats[[#This Row],[FGM]]/knicks_players_all_stats[[#This Row],[FGA]]</f>
        <v>0.43168880455407971</v>
      </c>
      <c r="M141" s="2">
        <v>1030</v>
      </c>
      <c r="N141" s="2">
        <v>3140</v>
      </c>
      <c r="O141" s="4">
        <f>knicks_players_all_stats[[#This Row],[FG3M]]/knicks_players_all_stats[[#This Row],[FG3A]]</f>
        <v>0.32802547770700635</v>
      </c>
      <c r="P141" s="2">
        <v>171</v>
      </c>
      <c r="Q141" s="2">
        <v>215</v>
      </c>
      <c r="R141" s="5">
        <f>knicks_players_all_stats[[#This Row],[FTM]]/knicks_players_all_stats[[#This Row],[FTA]]</f>
        <v>0.79534883720930227</v>
      </c>
      <c r="S141" s="2">
        <f>knicks_players_all_stats[[#This Row],[OREB22]]/10</f>
        <v>91</v>
      </c>
      <c r="T141" s="2">
        <f>knicks_players_all_stats[[#This Row],[DREB33]]/10</f>
        <v>354</v>
      </c>
      <c r="U141" s="2">
        <f>knicks_players_all_stats[[#This Row],[REB44]]/10</f>
        <v>445</v>
      </c>
      <c r="V141">
        <v>910</v>
      </c>
      <c r="W141">
        <v>3540</v>
      </c>
      <c r="X141">
        <v>4450</v>
      </c>
      <c r="Y141" s="22">
        <f>knicks_players_all_stats[[#This Row],[REB]]/knicks_players_all_stats[[#This Row],[GP]]</f>
        <v>5.4268292682926829</v>
      </c>
      <c r="Z141" s="2">
        <v>170</v>
      </c>
      <c r="AA141" s="6">
        <f>knicks_players_all_stats[[#This Row],[AST]]/knicks_players_all_stats[[#This Row],[GP]]</f>
        <v>2.0731707317073171</v>
      </c>
      <c r="AB141" s="2">
        <f>knicks_players_all_stats[[#This Row],[STL2]]/10</f>
        <v>71</v>
      </c>
      <c r="AC141" s="2">
        <v>710</v>
      </c>
      <c r="AD141" s="6">
        <f>knicks_players_all_stats[[#This Row],[STL]]/knicks_players_all_stats[[#This Row],[GP]]</f>
        <v>0.86585365853658536</v>
      </c>
      <c r="AE141">
        <v>750</v>
      </c>
      <c r="AF141" s="2">
        <f>knicks_players_all_stats[[#This Row],[BLK2]]/10</f>
        <v>75</v>
      </c>
      <c r="AG141" s="6">
        <f>knicks_players_all_stats[[#This Row],[BLK]]/knicks_players_all_stats[[#This Row],[GP]]</f>
        <v>0.91463414634146345</v>
      </c>
      <c r="AH141">
        <v>1390</v>
      </c>
      <c r="AI141" s="6">
        <f>knicks_players_all_stats[[#This Row],[BLKPG]]+knicks_players_all_stats[[#This Row],[STLPG]]+knicks_players_all_stats[[#This Row],[REBPG]]</f>
        <v>7.2073170731707314</v>
      </c>
      <c r="AJ141" s="2">
        <f>knicks_players_all_stats[[#This Row],[TOV2]]/10</f>
        <v>139</v>
      </c>
      <c r="AK141" s="6">
        <f>knicks_players_all_stats[[#This Row],[TOV]]/knicks_players_all_stats[[#This Row],[GP]]</f>
        <v>1.6951219512195121</v>
      </c>
      <c r="AL141" s="2">
        <v>250</v>
      </c>
      <c r="AM141" s="2">
        <f>knicks_players_all_stats[[#This Row],[PF]]/knicks_players_all_stats[[#This Row],[GP]]</f>
        <v>3.0487804878048781</v>
      </c>
      <c r="AN141" s="2">
        <v>1184</v>
      </c>
      <c r="AO141" s="6">
        <f>knicks_players_all_stats[[#This Row],[PTS]]/knicks_players_all_stats[[#This Row],[GP]]</f>
        <v>14.439024390243903</v>
      </c>
    </row>
    <row r="142" spans="1:41" customFormat="1" x14ac:dyDescent="0.3">
      <c r="A142" s="3" t="s">
        <v>1773</v>
      </c>
      <c r="B142" s="3" t="s">
        <v>1304</v>
      </c>
      <c r="C142" s="3" t="str">
        <f>knicks_players_all_stats[[#This Row],[NAME]]&amp;" ("&amp;knicks_players_all_stats[[#This Row],[SEASON]]&amp;")"</f>
        <v>Quentin Richardson (2008-09)</v>
      </c>
      <c r="D142" s="3">
        <f>knicks_players_all_stats[[#This Row],[PLAYER_AGE]]/10</f>
        <v>29</v>
      </c>
      <c r="E142">
        <v>290</v>
      </c>
      <c r="F142" s="2">
        <v>72</v>
      </c>
      <c r="G142" s="2">
        <v>18940</v>
      </c>
      <c r="H14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584</v>
      </c>
      <c r="I142" s="6">
        <f>knicks_players_all_stats[[#This Row],[VALORATION]]/knicks_players_all_stats[[#This Row],[GP]]</f>
        <v>8.1111111111111107</v>
      </c>
      <c r="J142" s="2">
        <v>262</v>
      </c>
      <c r="K142" s="2">
        <v>667</v>
      </c>
      <c r="L142" s="2">
        <v>393</v>
      </c>
      <c r="M142" s="2">
        <v>1200</v>
      </c>
      <c r="N142" s="2">
        <v>3290</v>
      </c>
      <c r="O142" s="4">
        <f>knicks_players_all_stats[[#This Row],[FG3M]]/knicks_players_all_stats[[#This Row],[FG3A]]</f>
        <v>0.36474164133738601</v>
      </c>
      <c r="P142" s="2">
        <v>89</v>
      </c>
      <c r="Q142" s="2">
        <v>117</v>
      </c>
      <c r="R142" s="5">
        <f>knicks_players_all_stats[[#This Row],[FTM]]/knicks_players_all_stats[[#This Row],[FTA]]</f>
        <v>0.76068376068376065</v>
      </c>
      <c r="S142" s="2">
        <f>knicks_players_all_stats[[#This Row],[OREB22]]/10</f>
        <v>71</v>
      </c>
      <c r="T142" s="2">
        <f>knicks_players_all_stats[[#This Row],[DREB33]]/10</f>
        <v>248</v>
      </c>
      <c r="U142" s="2">
        <f>knicks_players_all_stats[[#This Row],[REB44]]/10</f>
        <v>319</v>
      </c>
      <c r="V142">
        <v>710</v>
      </c>
      <c r="W142">
        <v>2480</v>
      </c>
      <c r="X142">
        <v>3190</v>
      </c>
      <c r="Y142" s="22">
        <f>knicks_players_all_stats[[#This Row],[REB]]/knicks_players_all_stats[[#This Row],[GP]]</f>
        <v>4.4305555555555554</v>
      </c>
      <c r="Z142" s="2">
        <v>117</v>
      </c>
      <c r="AA142" s="6">
        <f>knicks_players_all_stats[[#This Row],[AST]]/knicks_players_all_stats[[#This Row],[GP]]</f>
        <v>1.625</v>
      </c>
      <c r="AB142" s="2">
        <f>knicks_players_all_stats[[#This Row],[STL2]]/10</f>
        <v>47</v>
      </c>
      <c r="AC142" s="2">
        <v>470</v>
      </c>
      <c r="AD142" s="6">
        <f>knicks_players_all_stats[[#This Row],[STL]]/knicks_players_all_stats[[#This Row],[GP]]</f>
        <v>0.65277777777777779</v>
      </c>
      <c r="AE142">
        <v>70</v>
      </c>
      <c r="AF142" s="2">
        <f>knicks_players_all_stats[[#This Row],[BLK2]]/10</f>
        <v>7</v>
      </c>
      <c r="AG142" s="6">
        <f>knicks_players_all_stats[[#This Row],[BLK]]/knicks_players_all_stats[[#This Row],[GP]]</f>
        <v>9.7222222222222224E-2</v>
      </c>
      <c r="AH142">
        <v>740</v>
      </c>
      <c r="AI142" s="6">
        <f>knicks_players_all_stats[[#This Row],[BLKPG]]+knicks_players_all_stats[[#This Row],[STLPG]]+knicks_players_all_stats[[#This Row],[REBPG]]</f>
        <v>5.1805555555555554</v>
      </c>
      <c r="AJ142" s="2">
        <f>knicks_players_all_stats[[#This Row],[TOV2]]/10</f>
        <v>74</v>
      </c>
      <c r="AK142" s="6">
        <f>knicks_players_all_stats[[#This Row],[TOV]]/knicks_players_all_stats[[#This Row],[GP]]</f>
        <v>1.0277777777777777</v>
      </c>
      <c r="AL142" s="2">
        <v>132</v>
      </c>
      <c r="AM142" s="2">
        <f>knicks_players_all_stats[[#This Row],[PF]]/knicks_players_all_stats[[#This Row],[GP]]</f>
        <v>1.8333333333333333</v>
      </c>
      <c r="AN142" s="2">
        <v>733</v>
      </c>
      <c r="AO142" s="6">
        <f>knicks_players_all_stats[[#This Row],[PTS]]/knicks_players_all_stats[[#This Row],[GP]]</f>
        <v>10.180555555555555</v>
      </c>
    </row>
    <row r="143" spans="1:41" customFormat="1" x14ac:dyDescent="0.3">
      <c r="A143" s="3" t="s">
        <v>1459</v>
      </c>
      <c r="B143" s="3" t="s">
        <v>1304</v>
      </c>
      <c r="C143" s="3" t="str">
        <f>knicks_players_all_stats[[#This Row],[NAME]]&amp;" ("&amp;knicks_players_all_stats[[#This Row],[SEASON]]&amp;")"</f>
        <v>Larry Hughes (2008-09)</v>
      </c>
      <c r="D143" s="3">
        <f>knicks_players_all_stats[[#This Row],[PLAYER_AGE]]/10</f>
        <v>30</v>
      </c>
      <c r="E143">
        <v>300</v>
      </c>
      <c r="F143" s="2">
        <v>25</v>
      </c>
      <c r="G143" s="2">
        <v>6870</v>
      </c>
      <c r="H14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200</v>
      </c>
      <c r="I143" s="6">
        <f>knicks_players_all_stats[[#This Row],[VALORATION]]/knicks_players_all_stats[[#This Row],[GP]]</f>
        <v>8</v>
      </c>
      <c r="J143" s="2">
        <v>97</v>
      </c>
      <c r="K143" s="2">
        <v>249</v>
      </c>
      <c r="L143" s="4">
        <f>knicks_players_all_stats[[#This Row],[FGM]]/knicks_players_all_stats[[#This Row],[FGA]]</f>
        <v>0.38955823293172692</v>
      </c>
      <c r="M143" s="2">
        <v>350</v>
      </c>
      <c r="N143" s="2">
        <v>910</v>
      </c>
      <c r="O143" s="4">
        <f>knicks_players_all_stats[[#This Row],[FG3M]]/knicks_players_all_stats[[#This Row],[FG3A]]</f>
        <v>0.38461538461538464</v>
      </c>
      <c r="P143" s="2">
        <v>50</v>
      </c>
      <c r="Q143" s="2">
        <v>63</v>
      </c>
      <c r="R143" s="5">
        <f>knicks_players_all_stats[[#This Row],[FTM]]/knicks_players_all_stats[[#This Row],[FTA]]</f>
        <v>0.79365079365079361</v>
      </c>
      <c r="S143" s="2">
        <f>knicks_players_all_stats[[#This Row],[OREB22]]/10</f>
        <v>10</v>
      </c>
      <c r="T143" s="2">
        <f>knicks_players_all_stats[[#This Row],[DREB33]]/10</f>
        <v>55</v>
      </c>
      <c r="U143" s="2">
        <f>knicks_players_all_stats[[#This Row],[REB44]]/10</f>
        <v>65</v>
      </c>
      <c r="V143">
        <v>100</v>
      </c>
      <c r="W143">
        <v>550</v>
      </c>
      <c r="X143">
        <v>650</v>
      </c>
      <c r="Y143" s="22">
        <f>knicks_players_all_stats[[#This Row],[REB]]/knicks_players_all_stats[[#This Row],[GP]]</f>
        <v>2.6</v>
      </c>
      <c r="Z143" s="2">
        <v>60</v>
      </c>
      <c r="AA143" s="6">
        <f>knicks_players_all_stats[[#This Row],[AST]]/knicks_players_all_stats[[#This Row],[GP]]</f>
        <v>2.4</v>
      </c>
      <c r="AB143" s="2">
        <f>knicks_players_all_stats[[#This Row],[STL2]]/10</f>
        <v>36</v>
      </c>
      <c r="AC143" s="2">
        <v>360</v>
      </c>
      <c r="AD143" s="6">
        <f>knicks_players_all_stats[[#This Row],[STL]]/knicks_players_all_stats[[#This Row],[GP]]</f>
        <v>1.44</v>
      </c>
      <c r="AE143">
        <v>50</v>
      </c>
      <c r="AF143" s="2">
        <f>knicks_players_all_stats[[#This Row],[BLK2]]/10</f>
        <v>5</v>
      </c>
      <c r="AG143" s="6">
        <f>knicks_players_all_stats[[#This Row],[BLK]]/knicks_players_all_stats[[#This Row],[GP]]</f>
        <v>0.2</v>
      </c>
      <c r="AH143">
        <v>350</v>
      </c>
      <c r="AI143" s="6">
        <f>knicks_players_all_stats[[#This Row],[BLKPG]]+knicks_players_all_stats[[#This Row],[STLPG]]+knicks_players_all_stats[[#This Row],[REBPG]]</f>
        <v>4.24</v>
      </c>
      <c r="AJ143" s="2">
        <f>knicks_players_all_stats[[#This Row],[TOV2]]/10</f>
        <v>35</v>
      </c>
      <c r="AK143" s="6">
        <f>knicks_players_all_stats[[#This Row],[TOV]]/knicks_players_all_stats[[#This Row],[GP]]</f>
        <v>1.4</v>
      </c>
      <c r="AL143" s="2">
        <v>45</v>
      </c>
      <c r="AM143" s="2">
        <f>knicks_players_all_stats[[#This Row],[PF]]/knicks_players_all_stats[[#This Row],[GP]]</f>
        <v>1.8</v>
      </c>
      <c r="AN143" s="2">
        <v>279</v>
      </c>
      <c r="AO143" s="6">
        <f>knicks_players_all_stats[[#This Row],[PTS]]/knicks_players_all_stats[[#This Row],[GP]]</f>
        <v>11.16</v>
      </c>
    </row>
    <row r="144" spans="1:41" x14ac:dyDescent="0.3">
      <c r="A144" s="3" t="s">
        <v>1704</v>
      </c>
      <c r="B144" s="3" t="s">
        <v>1304</v>
      </c>
      <c r="C144" s="3" t="str">
        <f>knicks_players_all_stats[[#This Row],[NAME]]&amp;" ("&amp;knicks_players_all_stats[[#This Row],[SEASON]]&amp;")"</f>
        <v>Mouhamed Sene (2008-09)</v>
      </c>
      <c r="D144" s="3">
        <f>knicks_players_all_stats[[#This Row],[PLAYER_AGE]]/10</f>
        <v>23</v>
      </c>
      <c r="E144">
        <v>230</v>
      </c>
      <c r="F144" s="2">
        <v>1</v>
      </c>
      <c r="G144" s="2">
        <v>60</v>
      </c>
      <c r="H14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</v>
      </c>
      <c r="I144" s="6">
        <f>knicks_players_all_stats[[#This Row],[VALORATION]]/knicks_players_all_stats[[#This Row],[GP]]</f>
        <v>7</v>
      </c>
      <c r="J144" s="2">
        <v>1</v>
      </c>
      <c r="K144" s="2">
        <v>2</v>
      </c>
      <c r="L144" s="2">
        <v>5</v>
      </c>
      <c r="M144" s="2">
        <v>0</v>
      </c>
      <c r="N144" s="2">
        <v>0</v>
      </c>
      <c r="O144" s="4" t="e">
        <f>knicks_players_all_stats[[#This Row],[FG3M]]/knicks_players_all_stats[[#This Row],[FG3A]]</f>
        <v>#DIV/0!</v>
      </c>
      <c r="P144" s="2">
        <v>1</v>
      </c>
      <c r="Q144" s="2">
        <v>1</v>
      </c>
      <c r="R144" s="5">
        <f>knicks_players_all_stats[[#This Row],[FTM]]/knicks_players_all_stats[[#This Row],[FTA]]</f>
        <v>1</v>
      </c>
      <c r="S144" s="2">
        <f>knicks_players_all_stats[[#This Row],[OREB22]]/10</f>
        <v>2</v>
      </c>
      <c r="T144" s="2">
        <f>knicks_players_all_stats[[#This Row],[DREB33]]/10</f>
        <v>3</v>
      </c>
      <c r="U144" s="2">
        <f>knicks_players_all_stats[[#This Row],[REB44]]/10</f>
        <v>5</v>
      </c>
      <c r="V144">
        <v>20</v>
      </c>
      <c r="W144">
        <v>30</v>
      </c>
      <c r="X144">
        <v>50</v>
      </c>
      <c r="Y144" s="22">
        <f>knicks_players_all_stats[[#This Row],[REB]]/knicks_players_all_stats[[#This Row],[GP]]</f>
        <v>5</v>
      </c>
      <c r="Z144" s="2">
        <v>0</v>
      </c>
      <c r="AA144" s="6">
        <f>knicks_players_all_stats[[#This Row],[AST]]/knicks_players_all_stats[[#This Row],[GP]]</f>
        <v>0</v>
      </c>
      <c r="AB144" s="2">
        <f>knicks_players_all_stats[[#This Row],[STL2]]/10</f>
        <v>0</v>
      </c>
      <c r="AC144" s="2">
        <v>0</v>
      </c>
      <c r="AD144" s="6">
        <f>knicks_players_all_stats[[#This Row],[STL]]/knicks_players_all_stats[[#This Row],[GP]]</f>
        <v>0</v>
      </c>
      <c r="AE144">
        <v>10</v>
      </c>
      <c r="AF144" s="2">
        <f>knicks_players_all_stats[[#This Row],[BLK2]]/10</f>
        <v>1</v>
      </c>
      <c r="AG144" s="6">
        <f>knicks_players_all_stats[[#This Row],[BLK]]/knicks_players_all_stats[[#This Row],[GP]]</f>
        <v>1</v>
      </c>
      <c r="AH144">
        <v>10</v>
      </c>
      <c r="AI144" s="6">
        <f>knicks_players_all_stats[[#This Row],[BLKPG]]+knicks_players_all_stats[[#This Row],[STLPG]]+knicks_players_all_stats[[#This Row],[REBPG]]</f>
        <v>6</v>
      </c>
      <c r="AJ144" s="2">
        <f>knicks_players_all_stats[[#This Row],[TOV2]]/10</f>
        <v>1</v>
      </c>
      <c r="AK144" s="6">
        <f>knicks_players_all_stats[[#This Row],[TOV]]/knicks_players_all_stats[[#This Row],[GP]]</f>
        <v>1</v>
      </c>
      <c r="AL144" s="2">
        <v>0</v>
      </c>
      <c r="AM144" s="2">
        <f>knicks_players_all_stats[[#This Row],[PF]]/knicks_players_all_stats[[#This Row],[GP]]</f>
        <v>0</v>
      </c>
      <c r="AN144" s="2">
        <v>3</v>
      </c>
      <c r="AO144" s="6">
        <f>knicks_players_all_stats[[#This Row],[PTS]]/knicks_players_all_stats[[#This Row],[GP]]</f>
        <v>3</v>
      </c>
    </row>
    <row r="145" spans="1:41" x14ac:dyDescent="0.3">
      <c r="A145" s="3" t="s">
        <v>1792</v>
      </c>
      <c r="B145" s="3" t="s">
        <v>1304</v>
      </c>
      <c r="C145" s="3" t="str">
        <f>knicks_players_all_stats[[#This Row],[NAME]]&amp;" ("&amp;knicks_players_all_stats[[#This Row],[SEASON]]&amp;")"</f>
        <v>Tim Thomas (2008-09)</v>
      </c>
      <c r="D145" s="3">
        <f>knicks_players_all_stats[[#This Row],[PLAYER_AGE]]/10</f>
        <v>32</v>
      </c>
      <c r="E145">
        <v>320</v>
      </c>
      <c r="F145" s="2">
        <v>36</v>
      </c>
      <c r="G145" s="2">
        <v>7730</v>
      </c>
      <c r="H14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247</v>
      </c>
      <c r="I145" s="6">
        <f>knicks_players_all_stats[[#This Row],[VALORATION]]/knicks_players_all_stats[[#This Row],[GP]]</f>
        <v>6.8611111111111107</v>
      </c>
      <c r="J145" s="2">
        <v>119</v>
      </c>
      <c r="K145" s="2">
        <v>258</v>
      </c>
      <c r="L145" s="2">
        <v>461</v>
      </c>
      <c r="M145" s="2">
        <v>530</v>
      </c>
      <c r="N145" s="2">
        <v>1260</v>
      </c>
      <c r="O145" s="4">
        <f>knicks_players_all_stats[[#This Row],[FG3M]]/knicks_players_all_stats[[#This Row],[FG3A]]</f>
        <v>0.42063492063492064</v>
      </c>
      <c r="P145" s="2">
        <v>54</v>
      </c>
      <c r="Q145" s="2">
        <v>67</v>
      </c>
      <c r="R145" s="5">
        <f>knicks_players_all_stats[[#This Row],[FTM]]/knicks_players_all_stats[[#This Row],[FTA]]</f>
        <v>0.80597014925373134</v>
      </c>
      <c r="S145" s="2">
        <f>knicks_players_all_stats[[#This Row],[OREB22]]/10</f>
        <v>20</v>
      </c>
      <c r="T145" s="2">
        <f>knicks_players_all_stats[[#This Row],[DREB33]]/10</f>
        <v>93</v>
      </c>
      <c r="U145" s="2">
        <f>knicks_players_all_stats[[#This Row],[REB44]]/10</f>
        <v>113</v>
      </c>
      <c r="V145">
        <v>200</v>
      </c>
      <c r="W145">
        <v>930</v>
      </c>
      <c r="X145">
        <v>1130</v>
      </c>
      <c r="Y145" s="22">
        <f>knicks_players_all_stats[[#This Row],[REB]]/knicks_players_all_stats[[#This Row],[GP]]</f>
        <v>3.1388888888888888</v>
      </c>
      <c r="Z145" s="2">
        <v>46</v>
      </c>
      <c r="AA145" s="6">
        <f>knicks_players_all_stats[[#This Row],[AST]]/knicks_players_all_stats[[#This Row],[GP]]</f>
        <v>1.2777777777777777</v>
      </c>
      <c r="AB145" s="2">
        <f>knicks_players_all_stats[[#This Row],[STL2]]/10</f>
        <v>22</v>
      </c>
      <c r="AC145" s="2">
        <v>220</v>
      </c>
      <c r="AD145" s="6">
        <f>knicks_players_all_stats[[#This Row],[STL]]/knicks_players_all_stats[[#This Row],[GP]]</f>
        <v>0.61111111111111116</v>
      </c>
      <c r="AE145">
        <v>100</v>
      </c>
      <c r="AF145" s="2">
        <f>knicks_players_all_stats[[#This Row],[BLK2]]/10</f>
        <v>10</v>
      </c>
      <c r="AG145" s="6">
        <f>knicks_players_all_stats[[#This Row],[BLK]]/knicks_players_all_stats[[#This Row],[GP]]</f>
        <v>0.27777777777777779</v>
      </c>
      <c r="AH145">
        <v>460</v>
      </c>
      <c r="AI145" s="6">
        <f>knicks_players_all_stats[[#This Row],[BLKPG]]+knicks_players_all_stats[[#This Row],[STLPG]]+knicks_players_all_stats[[#This Row],[REBPG]]</f>
        <v>4.0277777777777777</v>
      </c>
      <c r="AJ145" s="2">
        <f>knicks_players_all_stats[[#This Row],[TOV2]]/10</f>
        <v>46</v>
      </c>
      <c r="AK145" s="6">
        <f>knicks_players_all_stats[[#This Row],[TOV]]/knicks_players_all_stats[[#This Row],[GP]]</f>
        <v>1.2777777777777777</v>
      </c>
      <c r="AL145" s="2">
        <v>91</v>
      </c>
      <c r="AM145" s="2">
        <f>knicks_players_all_stats[[#This Row],[PF]]/knicks_players_all_stats[[#This Row],[GP]]</f>
        <v>2.5277777777777777</v>
      </c>
      <c r="AN145" s="2">
        <v>345</v>
      </c>
      <c r="AO145" s="6">
        <f>knicks_players_all_stats[[#This Row],[PTS]]/knicks_players_all_stats[[#This Row],[GP]]</f>
        <v>9.5833333333333339</v>
      </c>
    </row>
    <row r="146" spans="1:41" customFormat="1" x14ac:dyDescent="0.3">
      <c r="A146" s="3" t="s">
        <v>1352</v>
      </c>
      <c r="B146" s="3" t="s">
        <v>1304</v>
      </c>
      <c r="C146" s="3" t="str">
        <f>knicks_players_all_stats[[#This Row],[NAME]]&amp;" ("&amp;knicks_players_all_stats[[#This Row],[SEASON]]&amp;")"</f>
        <v>Courtney Sims (2008-09)</v>
      </c>
      <c r="D146" s="3">
        <f>knicks_players_all_stats[[#This Row],[PLAYER_AGE]]/10</f>
        <v>25</v>
      </c>
      <c r="E146">
        <v>250</v>
      </c>
      <c r="F146" s="2">
        <v>1</v>
      </c>
      <c r="G146" s="2">
        <v>110</v>
      </c>
      <c r="H14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</v>
      </c>
      <c r="I146" s="6">
        <f>knicks_players_all_stats[[#This Row],[VALORATION]]/knicks_players_all_stats[[#This Row],[GP]]</f>
        <v>6</v>
      </c>
      <c r="J146" s="2">
        <v>3</v>
      </c>
      <c r="K146" s="2">
        <v>6</v>
      </c>
      <c r="L146" s="4">
        <f>knicks_players_all_stats[[#This Row],[FGM]]/knicks_players_all_stats[[#This Row],[FGA]]</f>
        <v>0.5</v>
      </c>
      <c r="M146" s="2">
        <v>0</v>
      </c>
      <c r="N146" s="2">
        <v>0</v>
      </c>
      <c r="O146" s="4" t="e">
        <f>knicks_players_all_stats[[#This Row],[FG3M]]/knicks_players_all_stats[[#This Row],[FG3A]]</f>
        <v>#DIV/0!</v>
      </c>
      <c r="P146" s="2">
        <v>0</v>
      </c>
      <c r="Q146" s="2">
        <v>0</v>
      </c>
      <c r="R146" s="5" t="e">
        <f>knicks_players_all_stats[[#This Row],[FTM]]/knicks_players_all_stats[[#This Row],[FTA]]</f>
        <v>#DIV/0!</v>
      </c>
      <c r="S146" s="2">
        <f>knicks_players_all_stats[[#This Row],[OREB22]]/10</f>
        <v>2</v>
      </c>
      <c r="T146" s="2">
        <f>knicks_players_all_stats[[#This Row],[DREB33]]/10</f>
        <v>2</v>
      </c>
      <c r="U146" s="2">
        <f>knicks_players_all_stats[[#This Row],[REB44]]/10</f>
        <v>4</v>
      </c>
      <c r="V146">
        <v>20</v>
      </c>
      <c r="W146">
        <v>20</v>
      </c>
      <c r="X146">
        <v>40</v>
      </c>
      <c r="Y146" s="22">
        <f>knicks_players_all_stats[[#This Row],[REB]]/knicks_players_all_stats[[#This Row],[GP]]</f>
        <v>4</v>
      </c>
      <c r="Z146" s="2">
        <v>0</v>
      </c>
      <c r="AA146" s="6">
        <f>knicks_players_all_stats[[#This Row],[AST]]/knicks_players_all_stats[[#This Row],[GP]]</f>
        <v>0</v>
      </c>
      <c r="AB146" s="2">
        <f>knicks_players_all_stats[[#This Row],[STL2]]/10</f>
        <v>0</v>
      </c>
      <c r="AC146" s="2">
        <v>0</v>
      </c>
      <c r="AD146" s="6">
        <f>knicks_players_all_stats[[#This Row],[STL]]/knicks_players_all_stats[[#This Row],[GP]]</f>
        <v>0</v>
      </c>
      <c r="AE146">
        <v>0</v>
      </c>
      <c r="AF146" s="2">
        <f>knicks_players_all_stats[[#This Row],[BLK2]]/10</f>
        <v>0</v>
      </c>
      <c r="AG146" s="6">
        <f>knicks_players_all_stats[[#This Row],[BLK]]/knicks_players_all_stats[[#This Row],[GP]]</f>
        <v>0</v>
      </c>
      <c r="AH146">
        <v>0</v>
      </c>
      <c r="AI146" s="6">
        <f>knicks_players_all_stats[[#This Row],[BLKPG]]+knicks_players_all_stats[[#This Row],[STLPG]]+knicks_players_all_stats[[#This Row],[REBPG]]</f>
        <v>4</v>
      </c>
      <c r="AJ146" s="2">
        <f>knicks_players_all_stats[[#This Row],[TOV2]]/10</f>
        <v>0</v>
      </c>
      <c r="AK146" s="6">
        <f>knicks_players_all_stats[[#This Row],[TOV]]/knicks_players_all_stats[[#This Row],[GP]]</f>
        <v>0</v>
      </c>
      <c r="AL146" s="2">
        <v>1</v>
      </c>
      <c r="AM146" s="2">
        <f>knicks_players_all_stats[[#This Row],[PF]]/knicks_players_all_stats[[#This Row],[GP]]</f>
        <v>1</v>
      </c>
      <c r="AN146" s="2">
        <v>6</v>
      </c>
      <c r="AO146" s="6">
        <f>knicks_players_all_stats[[#This Row],[PTS]]/knicks_players_all_stats[[#This Row],[GP]]</f>
        <v>6</v>
      </c>
    </row>
    <row r="147" spans="1:41" customFormat="1" x14ac:dyDescent="0.3">
      <c r="A147" s="3" t="s">
        <v>1734</v>
      </c>
      <c r="B147" s="3" t="s">
        <v>1304</v>
      </c>
      <c r="C147" s="3" t="str">
        <f>knicks_players_all_stats[[#This Row],[NAME]]&amp;" ("&amp;knicks_players_all_stats[[#This Row],[SEASON]]&amp;")"</f>
        <v>Jared Jeffries (2008-09)</v>
      </c>
      <c r="D147" s="3">
        <f>knicks_players_all_stats[[#This Row],[PLAYER_AGE]]/10</f>
        <v>27</v>
      </c>
      <c r="E147">
        <v>270</v>
      </c>
      <c r="F147" s="2">
        <v>56</v>
      </c>
      <c r="G147" s="2">
        <v>13100</v>
      </c>
      <c r="H14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281</v>
      </c>
      <c r="I147" s="6">
        <f>knicks_players_all_stats[[#This Row],[VALORATION]]/knicks_players_all_stats[[#This Row],[GP]]</f>
        <v>5.0178571428571432</v>
      </c>
      <c r="J147" s="2">
        <v>120</v>
      </c>
      <c r="K147" s="2">
        <v>273</v>
      </c>
      <c r="L147" s="2">
        <v>44</v>
      </c>
      <c r="M147" s="2">
        <v>10</v>
      </c>
      <c r="N147" s="2">
        <v>120</v>
      </c>
      <c r="O147" s="4">
        <f>knicks_players_all_stats[[#This Row],[FG3M]]/knicks_players_all_stats[[#This Row],[FG3A]]</f>
        <v>8.3333333333333329E-2</v>
      </c>
      <c r="P147" s="2">
        <v>55</v>
      </c>
      <c r="Q147" s="2">
        <v>90</v>
      </c>
      <c r="R147" s="5">
        <f>knicks_players_all_stats[[#This Row],[FTM]]/knicks_players_all_stats[[#This Row],[FTA]]</f>
        <v>0.61111111111111116</v>
      </c>
      <c r="S147" s="2">
        <f>knicks_players_all_stats[[#This Row],[OREB22]]/10</f>
        <v>128</v>
      </c>
      <c r="T147" s="2">
        <f>knicks_players_all_stats[[#This Row],[DREB33]]/10</f>
        <v>103</v>
      </c>
      <c r="U147" s="2">
        <f>knicks_players_all_stats[[#This Row],[REB44]]/10</f>
        <v>231</v>
      </c>
      <c r="V147">
        <v>1280</v>
      </c>
      <c r="W147">
        <v>1030</v>
      </c>
      <c r="X147">
        <v>2310</v>
      </c>
      <c r="Y147" s="22">
        <f>knicks_players_all_stats[[#This Row],[REB]]/knicks_players_all_stats[[#This Row],[GP]]</f>
        <v>4.125</v>
      </c>
      <c r="Z147" s="2">
        <v>80</v>
      </c>
      <c r="AA147" s="6">
        <f>knicks_players_all_stats[[#This Row],[AST]]/knicks_players_all_stats[[#This Row],[GP]]</f>
        <v>1.4285714285714286</v>
      </c>
      <c r="AB147" s="2">
        <f>knicks_players_all_stats[[#This Row],[STL2]]/10</f>
        <v>47</v>
      </c>
      <c r="AC147" s="2">
        <v>470</v>
      </c>
      <c r="AD147" s="6">
        <f>knicks_players_all_stats[[#This Row],[STL]]/knicks_players_all_stats[[#This Row],[GP]]</f>
        <v>0.8392857142857143</v>
      </c>
      <c r="AE147">
        <v>330</v>
      </c>
      <c r="AF147" s="2">
        <f>knicks_players_all_stats[[#This Row],[BLK2]]/10</f>
        <v>33</v>
      </c>
      <c r="AG147" s="6">
        <f>knicks_players_all_stats[[#This Row],[BLK]]/knicks_players_all_stats[[#This Row],[GP]]</f>
        <v>0.5892857142857143</v>
      </c>
      <c r="AH147">
        <v>650</v>
      </c>
      <c r="AI147" s="6">
        <f>knicks_players_all_stats[[#This Row],[BLKPG]]+knicks_players_all_stats[[#This Row],[STLPG]]+knicks_players_all_stats[[#This Row],[REBPG]]</f>
        <v>5.5535714285714288</v>
      </c>
      <c r="AJ147" s="2">
        <f>knicks_players_all_stats[[#This Row],[TOV2]]/10</f>
        <v>65</v>
      </c>
      <c r="AK147" s="6">
        <f>knicks_players_all_stats[[#This Row],[TOV]]/knicks_players_all_stats[[#This Row],[GP]]</f>
        <v>1.1607142857142858</v>
      </c>
      <c r="AL147" s="2">
        <v>153</v>
      </c>
      <c r="AM147" s="2">
        <f>knicks_players_all_stats[[#This Row],[PF]]/knicks_players_all_stats[[#This Row],[GP]]</f>
        <v>2.7321428571428572</v>
      </c>
      <c r="AN147" s="2">
        <v>296</v>
      </c>
      <c r="AO147" s="6">
        <f>knicks_players_all_stats[[#This Row],[PTS]]/knicks_players_all_stats[[#This Row],[GP]]</f>
        <v>5.2857142857142856</v>
      </c>
    </row>
    <row r="148" spans="1:41" customFormat="1" x14ac:dyDescent="0.3">
      <c r="A148" s="3" t="s">
        <v>1740</v>
      </c>
      <c r="B148" s="3" t="s">
        <v>1304</v>
      </c>
      <c r="C148" s="3" t="str">
        <f>knicks_players_all_stats[[#This Row],[NAME]]&amp;" ("&amp;knicks_players_all_stats[[#This Row],[SEASON]]&amp;")"</f>
        <v>Danilo Gallinari (2008-09)</v>
      </c>
      <c r="D148" s="3">
        <f>knicks_players_all_stats[[#This Row],[PLAYER_AGE]]/10</f>
        <v>20</v>
      </c>
      <c r="E148">
        <v>200</v>
      </c>
      <c r="F148" s="2">
        <v>28</v>
      </c>
      <c r="G148" s="2">
        <v>4120</v>
      </c>
      <c r="H14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125</v>
      </c>
      <c r="I148" s="6">
        <f>knicks_players_all_stats[[#This Row],[VALORATION]]/knicks_players_all_stats[[#This Row],[GP]]</f>
        <v>4.4642857142857144</v>
      </c>
      <c r="J148" s="2">
        <v>56</v>
      </c>
      <c r="K148" s="2">
        <v>125</v>
      </c>
      <c r="L148" s="2">
        <v>448</v>
      </c>
      <c r="M148" s="2">
        <v>320</v>
      </c>
      <c r="N148" s="2">
        <v>720</v>
      </c>
      <c r="O148" s="4">
        <f>knicks_players_all_stats[[#This Row],[FG3M]]/knicks_players_all_stats[[#This Row],[FG3A]]</f>
        <v>0.44444444444444442</v>
      </c>
      <c r="P148" s="2">
        <v>26</v>
      </c>
      <c r="Q148" s="2">
        <v>27</v>
      </c>
      <c r="R148" s="5">
        <f>knicks_players_all_stats[[#This Row],[FTM]]/knicks_players_all_stats[[#This Row],[FTA]]</f>
        <v>0.96296296296296291</v>
      </c>
      <c r="S148" s="2">
        <f>knicks_players_all_stats[[#This Row],[OREB22]]/10</f>
        <v>13</v>
      </c>
      <c r="T148" s="2">
        <f>knicks_players_all_stats[[#This Row],[DREB33]]/10</f>
        <v>42</v>
      </c>
      <c r="U148" s="2">
        <f>knicks_players_all_stats[[#This Row],[REB44]]/10</f>
        <v>55</v>
      </c>
      <c r="V148">
        <v>130</v>
      </c>
      <c r="W148">
        <v>420</v>
      </c>
      <c r="X148">
        <v>550</v>
      </c>
      <c r="Y148" s="22">
        <f>knicks_players_all_stats[[#This Row],[REB]]/knicks_players_all_stats[[#This Row],[GP]]</f>
        <v>1.9642857142857142</v>
      </c>
      <c r="Z148" s="2">
        <v>15</v>
      </c>
      <c r="AA148" s="6">
        <f>knicks_players_all_stats[[#This Row],[AST]]/knicks_players_all_stats[[#This Row],[GP]]</f>
        <v>0.5357142857142857</v>
      </c>
      <c r="AB148" s="2">
        <f>knicks_players_all_stats[[#This Row],[STL2]]/10</f>
        <v>14</v>
      </c>
      <c r="AC148" s="2">
        <v>140</v>
      </c>
      <c r="AD148" s="6">
        <f>knicks_players_all_stats[[#This Row],[STL]]/knicks_players_all_stats[[#This Row],[GP]]</f>
        <v>0.5</v>
      </c>
      <c r="AE148">
        <v>40</v>
      </c>
      <c r="AF148" s="2">
        <f>knicks_players_all_stats[[#This Row],[BLK2]]/10</f>
        <v>4</v>
      </c>
      <c r="AG148" s="6">
        <f>knicks_players_all_stats[[#This Row],[BLK]]/knicks_players_all_stats[[#This Row],[GP]]</f>
        <v>0.14285714285714285</v>
      </c>
      <c r="AH148">
        <v>150</v>
      </c>
      <c r="AI148" s="6">
        <f>knicks_players_all_stats[[#This Row],[BLKPG]]+knicks_players_all_stats[[#This Row],[STLPG]]+knicks_players_all_stats[[#This Row],[REBPG]]</f>
        <v>2.6071428571428568</v>
      </c>
      <c r="AJ148" s="2">
        <f>knicks_players_all_stats[[#This Row],[TOV2]]/10</f>
        <v>15</v>
      </c>
      <c r="AK148" s="6">
        <f>knicks_players_all_stats[[#This Row],[TOV]]/knicks_players_all_stats[[#This Row],[GP]]</f>
        <v>0.5357142857142857</v>
      </c>
      <c r="AL148" s="2">
        <v>48</v>
      </c>
      <c r="AM148" s="2">
        <f>knicks_players_all_stats[[#This Row],[PF]]/knicks_players_all_stats[[#This Row],[GP]]</f>
        <v>1.7142857142857142</v>
      </c>
      <c r="AN148" s="2">
        <v>170</v>
      </c>
      <c r="AO148" s="6">
        <f>knicks_players_all_stats[[#This Row],[PTS]]/knicks_players_all_stats[[#This Row],[GP]]</f>
        <v>6.0714285714285712</v>
      </c>
    </row>
    <row r="149" spans="1:41" customFormat="1" x14ac:dyDescent="0.3">
      <c r="A149" s="3" t="s">
        <v>1831</v>
      </c>
      <c r="B149" s="3" t="s">
        <v>1304</v>
      </c>
      <c r="C149" s="3" t="str">
        <f>knicks_players_all_stats[[#This Row],[NAME]]&amp;" ("&amp;knicks_players_all_stats[[#This Row],[SEASON]]&amp;")"</f>
        <v>Chris Wilcox (2008-09)</v>
      </c>
      <c r="D149" s="3">
        <f>knicks_players_all_stats[[#This Row],[PLAYER_AGE]]/10</f>
        <v>26</v>
      </c>
      <c r="E149">
        <v>260</v>
      </c>
      <c r="F149" s="2">
        <v>25</v>
      </c>
      <c r="G149" s="2">
        <v>3300</v>
      </c>
      <c r="H14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102</v>
      </c>
      <c r="I149" s="6">
        <f>knicks_players_all_stats[[#This Row],[VALORATION]]/knicks_players_all_stats[[#This Row],[GP]]</f>
        <v>4.08</v>
      </c>
      <c r="J149" s="2">
        <v>54</v>
      </c>
      <c r="K149" s="2">
        <v>102</v>
      </c>
      <c r="L149" s="2">
        <v>529</v>
      </c>
      <c r="M149" s="2">
        <v>0</v>
      </c>
      <c r="N149" s="2">
        <v>10</v>
      </c>
      <c r="O149" s="4">
        <f>knicks_players_all_stats[[#This Row],[FG3M]]/knicks_players_all_stats[[#This Row],[FG3A]]</f>
        <v>0</v>
      </c>
      <c r="P149" s="2">
        <v>27</v>
      </c>
      <c r="Q149" s="2">
        <v>53</v>
      </c>
      <c r="R149" s="5">
        <f>knicks_players_all_stats[[#This Row],[FTM]]/knicks_players_all_stats[[#This Row],[FTA]]</f>
        <v>0.50943396226415094</v>
      </c>
      <c r="S149" s="2">
        <f>knicks_players_all_stats[[#This Row],[OREB22]]/10</f>
        <v>31</v>
      </c>
      <c r="T149" s="2">
        <f>knicks_players_all_stats[[#This Row],[DREB33]]/10</f>
        <v>51</v>
      </c>
      <c r="U149" s="2">
        <f>knicks_players_all_stats[[#This Row],[REB44]]/10</f>
        <v>82</v>
      </c>
      <c r="V149">
        <v>310</v>
      </c>
      <c r="W149">
        <v>510</v>
      </c>
      <c r="X149">
        <v>820</v>
      </c>
      <c r="Y149" s="22">
        <f>knicks_players_all_stats[[#This Row],[REB]]/knicks_players_all_stats[[#This Row],[GP]]</f>
        <v>3.28</v>
      </c>
      <c r="Z149" s="2">
        <v>14</v>
      </c>
      <c r="AA149" s="6">
        <f>knicks_players_all_stats[[#This Row],[AST]]/knicks_players_all_stats[[#This Row],[GP]]</f>
        <v>0.56000000000000005</v>
      </c>
      <c r="AB149" s="2">
        <f>knicks_players_all_stats[[#This Row],[STL2]]/10</f>
        <v>8</v>
      </c>
      <c r="AC149" s="2">
        <v>80</v>
      </c>
      <c r="AD149" s="6">
        <f>knicks_players_all_stats[[#This Row],[STL]]/knicks_players_all_stats[[#This Row],[GP]]</f>
        <v>0.32</v>
      </c>
      <c r="AE149">
        <v>50</v>
      </c>
      <c r="AF149" s="2">
        <f>knicks_players_all_stats[[#This Row],[BLK2]]/10</f>
        <v>5</v>
      </c>
      <c r="AG149" s="6">
        <f>knicks_players_all_stats[[#This Row],[BLK]]/knicks_players_all_stats[[#This Row],[GP]]</f>
        <v>0.2</v>
      </c>
      <c r="AH149">
        <v>200</v>
      </c>
      <c r="AI149" s="6">
        <f>knicks_players_all_stats[[#This Row],[BLKPG]]+knicks_players_all_stats[[#This Row],[STLPG]]+knicks_players_all_stats[[#This Row],[REBPG]]</f>
        <v>3.8</v>
      </c>
      <c r="AJ149" s="2">
        <f>knicks_players_all_stats[[#This Row],[TOV2]]/10</f>
        <v>20</v>
      </c>
      <c r="AK149" s="6">
        <f>knicks_players_all_stats[[#This Row],[TOV]]/knicks_players_all_stats[[#This Row],[GP]]</f>
        <v>0.8</v>
      </c>
      <c r="AL149" s="2">
        <v>48</v>
      </c>
      <c r="AM149" s="2">
        <f>knicks_players_all_stats[[#This Row],[PF]]/knicks_players_all_stats[[#This Row],[GP]]</f>
        <v>1.92</v>
      </c>
      <c r="AN149" s="2">
        <v>135</v>
      </c>
      <c r="AO149" s="6">
        <f>knicks_players_all_stats[[#This Row],[PTS]]/knicks_players_all_stats[[#This Row],[GP]]</f>
        <v>5.4</v>
      </c>
    </row>
    <row r="150" spans="1:41" customFormat="1" x14ac:dyDescent="0.3">
      <c r="A150" s="3" t="s">
        <v>1691</v>
      </c>
      <c r="B150" s="3" t="s">
        <v>1304</v>
      </c>
      <c r="C150" s="3" t="str">
        <f>knicks_players_all_stats[[#This Row],[NAME]]&amp;" ("&amp;knicks_players_all_stats[[#This Row],[SEASON]]&amp;")"</f>
        <v>Joe Crawford (2008-09)</v>
      </c>
      <c r="D150" s="3">
        <f>knicks_players_all_stats[[#This Row],[PLAYER_AGE]]/10</f>
        <v>23</v>
      </c>
      <c r="E150">
        <v>230</v>
      </c>
      <c r="F150" s="2">
        <v>2</v>
      </c>
      <c r="G150" s="2">
        <v>230</v>
      </c>
      <c r="H15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</v>
      </c>
      <c r="I150" s="6">
        <f>knicks_players_all_stats[[#This Row],[VALORATION]]/knicks_players_all_stats[[#This Row],[GP]]</f>
        <v>3</v>
      </c>
      <c r="J150" s="2">
        <v>3</v>
      </c>
      <c r="K150" s="2">
        <v>10</v>
      </c>
      <c r="L150" s="2">
        <v>3</v>
      </c>
      <c r="M150" s="2">
        <v>10</v>
      </c>
      <c r="N150" s="2">
        <v>40</v>
      </c>
      <c r="O150" s="4">
        <f>knicks_players_all_stats[[#This Row],[FG3M]]/knicks_players_all_stats[[#This Row],[FG3A]]</f>
        <v>0.25</v>
      </c>
      <c r="P150" s="2">
        <v>2</v>
      </c>
      <c r="Q150" s="2">
        <v>2</v>
      </c>
      <c r="R150" s="5">
        <f>knicks_players_all_stats[[#This Row],[FTM]]/knicks_players_all_stats[[#This Row],[FTA]]</f>
        <v>1</v>
      </c>
      <c r="S150" s="2">
        <f>knicks_players_all_stats[[#This Row],[OREB22]]/10</f>
        <v>1</v>
      </c>
      <c r="T150" s="2">
        <f>knicks_players_all_stats[[#This Row],[DREB33]]/10</f>
        <v>3</v>
      </c>
      <c r="U150" s="2">
        <f>knicks_players_all_stats[[#This Row],[REB44]]/10</f>
        <v>4</v>
      </c>
      <c r="V150">
        <v>10</v>
      </c>
      <c r="W150">
        <v>30</v>
      </c>
      <c r="X150">
        <v>40</v>
      </c>
      <c r="Y150" s="22">
        <f>knicks_players_all_stats[[#This Row],[REB]]/knicks_players_all_stats[[#This Row],[GP]]</f>
        <v>2</v>
      </c>
      <c r="Z150" s="2">
        <v>1</v>
      </c>
      <c r="AA150" s="6">
        <f>knicks_players_all_stats[[#This Row],[AST]]/knicks_players_all_stats[[#This Row],[GP]]</f>
        <v>0.5</v>
      </c>
      <c r="AB150" s="2">
        <f>knicks_players_all_stats[[#This Row],[STL2]]/10</f>
        <v>1</v>
      </c>
      <c r="AC150" s="2">
        <v>10</v>
      </c>
      <c r="AD150" s="6">
        <f>knicks_players_all_stats[[#This Row],[STL]]/knicks_players_all_stats[[#This Row],[GP]]</f>
        <v>0.5</v>
      </c>
      <c r="AE150">
        <v>0</v>
      </c>
      <c r="AF150" s="2">
        <f>knicks_players_all_stats[[#This Row],[BLK2]]/10</f>
        <v>0</v>
      </c>
      <c r="AG150" s="6">
        <f>knicks_players_all_stats[[#This Row],[BLK]]/knicks_players_all_stats[[#This Row],[GP]]</f>
        <v>0</v>
      </c>
      <c r="AH150">
        <v>0</v>
      </c>
      <c r="AI150" s="6">
        <f>knicks_players_all_stats[[#This Row],[BLKPG]]+knicks_players_all_stats[[#This Row],[STLPG]]+knicks_players_all_stats[[#This Row],[REBPG]]</f>
        <v>2.5</v>
      </c>
      <c r="AJ150" s="2">
        <f>knicks_players_all_stats[[#This Row],[TOV2]]/10</f>
        <v>0</v>
      </c>
      <c r="AK150" s="6">
        <f>knicks_players_all_stats[[#This Row],[TOV]]/knicks_players_all_stats[[#This Row],[GP]]</f>
        <v>0</v>
      </c>
      <c r="AL150" s="2">
        <v>2</v>
      </c>
      <c r="AM150" s="2">
        <f>knicks_players_all_stats[[#This Row],[PF]]/knicks_players_all_stats[[#This Row],[GP]]</f>
        <v>1</v>
      </c>
      <c r="AN150" s="2">
        <v>9</v>
      </c>
      <c r="AO150" s="6">
        <f>knicks_players_all_stats[[#This Row],[PTS]]/knicks_players_all_stats[[#This Row],[GP]]</f>
        <v>4.5</v>
      </c>
    </row>
    <row r="151" spans="1:41" x14ac:dyDescent="0.3">
      <c r="A151" s="3" t="s">
        <v>1652</v>
      </c>
      <c r="B151" s="3" t="s">
        <v>1304</v>
      </c>
      <c r="C151" s="3" t="str">
        <f>knicks_players_all_stats[[#This Row],[NAME]]&amp;" ("&amp;knicks_players_all_stats[[#This Row],[SEASON]]&amp;")"</f>
        <v>Anthony Roberson (2008-09)</v>
      </c>
      <c r="D151" s="3">
        <f>knicks_players_all_stats[[#This Row],[PLAYER_AGE]]/10</f>
        <v>26</v>
      </c>
      <c r="E151">
        <v>260</v>
      </c>
      <c r="F151" s="2">
        <v>23</v>
      </c>
      <c r="G151" s="2">
        <v>2530</v>
      </c>
      <c r="H15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63</v>
      </c>
      <c r="I151" s="6">
        <f>knicks_players_all_stats[[#This Row],[VALORATION]]/knicks_players_all_stats[[#This Row],[GP]]</f>
        <v>2.7391304347826089</v>
      </c>
      <c r="J151" s="2">
        <v>39</v>
      </c>
      <c r="K151" s="2">
        <v>103</v>
      </c>
      <c r="L151" s="2">
        <v>379</v>
      </c>
      <c r="M151" s="2">
        <v>240</v>
      </c>
      <c r="N151" s="2">
        <v>710</v>
      </c>
      <c r="O151" s="4">
        <f>knicks_players_all_stats[[#This Row],[FG3M]]/knicks_players_all_stats[[#This Row],[FG3A]]</f>
        <v>0.3380281690140845</v>
      </c>
      <c r="P151" s="2">
        <v>5</v>
      </c>
      <c r="Q151" s="2">
        <v>5</v>
      </c>
      <c r="R151" s="5">
        <f>knicks_players_all_stats[[#This Row],[FTM]]/knicks_players_all_stats[[#This Row],[FTA]]</f>
        <v>1</v>
      </c>
      <c r="S151" s="2">
        <f>knicks_players_all_stats[[#This Row],[OREB22]]/10</f>
        <v>4</v>
      </c>
      <c r="T151" s="2">
        <f>knicks_players_all_stats[[#This Row],[DREB33]]/10</f>
        <v>11</v>
      </c>
      <c r="U151" s="2">
        <f>knicks_players_all_stats[[#This Row],[REB44]]/10</f>
        <v>15</v>
      </c>
      <c r="V151">
        <v>40</v>
      </c>
      <c r="W151">
        <v>110</v>
      </c>
      <c r="X151">
        <v>150</v>
      </c>
      <c r="Y151" s="22">
        <f>knicks_players_all_stats[[#This Row],[REB]]/knicks_players_all_stats[[#This Row],[GP]]</f>
        <v>0.65217391304347827</v>
      </c>
      <c r="Z151" s="2">
        <v>19</v>
      </c>
      <c r="AA151" s="6">
        <f>knicks_players_all_stats[[#This Row],[AST]]/knicks_players_all_stats[[#This Row],[GP]]</f>
        <v>0.82608695652173914</v>
      </c>
      <c r="AB151" s="2">
        <f>knicks_players_all_stats[[#This Row],[STL2]]/10</f>
        <v>10</v>
      </c>
      <c r="AC151" s="2">
        <v>100</v>
      </c>
      <c r="AD151" s="6">
        <f>knicks_players_all_stats[[#This Row],[STL]]/knicks_players_all_stats[[#This Row],[GP]]</f>
        <v>0.43478260869565216</v>
      </c>
      <c r="AE151">
        <v>10</v>
      </c>
      <c r="AF151" s="2">
        <f>knicks_players_all_stats[[#This Row],[BLK2]]/10</f>
        <v>1</v>
      </c>
      <c r="AG151" s="6">
        <f>knicks_players_all_stats[[#This Row],[BLK]]/knicks_players_all_stats[[#This Row],[GP]]</f>
        <v>4.3478260869565216E-2</v>
      </c>
      <c r="AH151">
        <v>70</v>
      </c>
      <c r="AI151" s="6">
        <f>knicks_players_all_stats[[#This Row],[BLKPG]]+knicks_players_all_stats[[#This Row],[STLPG]]+knicks_players_all_stats[[#This Row],[REBPG]]</f>
        <v>1.1304347826086958</v>
      </c>
      <c r="AJ151" s="2">
        <f>knicks_players_all_stats[[#This Row],[TOV2]]/10</f>
        <v>7</v>
      </c>
      <c r="AK151" s="6">
        <f>knicks_players_all_stats[[#This Row],[TOV]]/knicks_players_all_stats[[#This Row],[GP]]</f>
        <v>0.30434782608695654</v>
      </c>
      <c r="AL151" s="2">
        <v>18</v>
      </c>
      <c r="AM151" s="2">
        <f>knicks_players_all_stats[[#This Row],[PF]]/knicks_players_all_stats[[#This Row],[GP]]</f>
        <v>0.78260869565217395</v>
      </c>
      <c r="AN151" s="2">
        <v>107</v>
      </c>
      <c r="AO151" s="6">
        <f>knicks_players_all_stats[[#This Row],[PTS]]/knicks_players_all_stats[[#This Row],[GP]]</f>
        <v>4.6521739130434785</v>
      </c>
    </row>
    <row r="152" spans="1:41" customFormat="1" x14ac:dyDescent="0.3">
      <c r="A152" s="3" t="s">
        <v>1310</v>
      </c>
      <c r="B152" s="3" t="s">
        <v>1304</v>
      </c>
      <c r="C152" s="3" t="str">
        <f>knicks_players_all_stats[[#This Row],[NAME]]&amp;" ("&amp;knicks_players_all_stats[[#This Row],[SEASON]]&amp;")"</f>
        <v>Demetris Nichols (2008-09)</v>
      </c>
      <c r="D152" s="3">
        <f>knicks_players_all_stats[[#This Row],[PLAYER_AGE]]/10</f>
        <v>24</v>
      </c>
      <c r="E152">
        <v>240</v>
      </c>
      <c r="F152" s="2">
        <v>2</v>
      </c>
      <c r="G152" s="2">
        <v>90</v>
      </c>
      <c r="H15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</v>
      </c>
      <c r="I152" s="6">
        <f>knicks_players_all_stats[[#This Row],[VALORATION]]/knicks_players_all_stats[[#This Row],[GP]]</f>
        <v>2</v>
      </c>
      <c r="J152" s="2">
        <v>2</v>
      </c>
      <c r="K152" s="2">
        <v>5</v>
      </c>
      <c r="L152" s="4">
        <f>knicks_players_all_stats[[#This Row],[FGM]]/knicks_players_all_stats[[#This Row],[FGA]]</f>
        <v>0.4</v>
      </c>
      <c r="M152" s="2">
        <v>0</v>
      </c>
      <c r="N152" s="2">
        <v>10</v>
      </c>
      <c r="O152" s="4">
        <f>knicks_players_all_stats[[#This Row],[FG3M]]/knicks_players_all_stats[[#This Row],[FG3A]]</f>
        <v>0</v>
      </c>
      <c r="P152" s="2">
        <v>1</v>
      </c>
      <c r="Q152" s="2">
        <v>2</v>
      </c>
      <c r="R152" s="5">
        <f>knicks_players_all_stats[[#This Row],[FTM]]/knicks_players_all_stats[[#This Row],[FTA]]</f>
        <v>0.5</v>
      </c>
      <c r="S152" s="2">
        <f>knicks_players_all_stats[[#This Row],[OREB22]]/10</f>
        <v>0</v>
      </c>
      <c r="T152" s="2">
        <f>knicks_players_all_stats[[#This Row],[DREB33]]/10</f>
        <v>2</v>
      </c>
      <c r="U152" s="2">
        <f>knicks_players_all_stats[[#This Row],[REB44]]/10</f>
        <v>2</v>
      </c>
      <c r="V152">
        <v>0</v>
      </c>
      <c r="W152">
        <v>20</v>
      </c>
      <c r="X152">
        <v>20</v>
      </c>
      <c r="Y152" s="22">
        <f>knicks_players_all_stats[[#This Row],[REB]]/knicks_players_all_stats[[#This Row],[GP]]</f>
        <v>1</v>
      </c>
      <c r="Z152" s="2">
        <v>0</v>
      </c>
      <c r="AA152" s="6">
        <f>knicks_players_all_stats[[#This Row],[AST]]/knicks_players_all_stats[[#This Row],[GP]]</f>
        <v>0</v>
      </c>
      <c r="AB152" s="2">
        <f>knicks_players_all_stats[[#This Row],[STL2]]/10</f>
        <v>0</v>
      </c>
      <c r="AC152" s="2">
        <v>0</v>
      </c>
      <c r="AD152" s="6">
        <f>knicks_players_all_stats[[#This Row],[STL]]/knicks_players_all_stats[[#This Row],[GP]]</f>
        <v>0</v>
      </c>
      <c r="AE152">
        <v>10</v>
      </c>
      <c r="AF152" s="2">
        <f>knicks_players_all_stats[[#This Row],[BLK2]]/10</f>
        <v>1</v>
      </c>
      <c r="AG152" s="6">
        <f>knicks_players_all_stats[[#This Row],[BLK]]/knicks_players_all_stats[[#This Row],[GP]]</f>
        <v>0.5</v>
      </c>
      <c r="AH152">
        <v>0</v>
      </c>
      <c r="AI152" s="6">
        <f>knicks_players_all_stats[[#This Row],[BLKPG]]+knicks_players_all_stats[[#This Row],[STLPG]]+knicks_players_all_stats[[#This Row],[REBPG]]</f>
        <v>1.5</v>
      </c>
      <c r="AJ152" s="2">
        <f>knicks_players_all_stats[[#This Row],[TOV2]]/10</f>
        <v>0</v>
      </c>
      <c r="AK152" s="6">
        <f>knicks_players_all_stats[[#This Row],[TOV]]/knicks_players_all_stats[[#This Row],[GP]]</f>
        <v>0</v>
      </c>
      <c r="AL152" s="2">
        <v>0</v>
      </c>
      <c r="AM152" s="2">
        <f>knicks_players_all_stats[[#This Row],[PF]]/knicks_players_all_stats[[#This Row],[GP]]</f>
        <v>0</v>
      </c>
      <c r="AN152" s="2">
        <v>5</v>
      </c>
      <c r="AO152" s="6">
        <f>knicks_players_all_stats[[#This Row],[PTS]]/knicks_players_all_stats[[#This Row],[GP]]</f>
        <v>2.5</v>
      </c>
    </row>
    <row r="153" spans="1:41" customFormat="1" x14ac:dyDescent="0.3">
      <c r="A153" s="3" t="s">
        <v>1743</v>
      </c>
      <c r="B153" s="3" t="s">
        <v>1304</v>
      </c>
      <c r="C153" s="3" t="str">
        <f>knicks_players_all_stats[[#This Row],[NAME]]&amp;" ("&amp;knicks_players_all_stats[[#This Row],[SEASON]]&amp;")"</f>
        <v>Jerome James (2008-09)</v>
      </c>
      <c r="D153" s="3">
        <f>knicks_players_all_stats[[#This Row],[PLAYER_AGE]]/10</f>
        <v>33</v>
      </c>
      <c r="E153">
        <v>330</v>
      </c>
      <c r="F153" s="2">
        <v>2</v>
      </c>
      <c r="G153" s="2">
        <v>100</v>
      </c>
      <c r="H15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</v>
      </c>
      <c r="I153" s="6">
        <f>knicks_players_all_stats[[#This Row],[VALORATION]]/knicks_players_all_stats[[#This Row],[GP]]</f>
        <v>1.5</v>
      </c>
      <c r="J153" s="2">
        <v>3</v>
      </c>
      <c r="K153" s="2">
        <v>8</v>
      </c>
      <c r="L153" s="2">
        <v>375</v>
      </c>
      <c r="M153" s="2">
        <v>0</v>
      </c>
      <c r="N153" s="2">
        <v>0</v>
      </c>
      <c r="O153" s="4" t="e">
        <f>knicks_players_all_stats[[#This Row],[FG3M]]/knicks_players_all_stats[[#This Row],[FG3A]]</f>
        <v>#DIV/0!</v>
      </c>
      <c r="P153" s="2">
        <v>0</v>
      </c>
      <c r="Q153" s="2">
        <v>0</v>
      </c>
      <c r="R153" s="5" t="e">
        <f>knicks_players_all_stats[[#This Row],[FTM]]/knicks_players_all_stats[[#This Row],[FTA]]</f>
        <v>#DIV/0!</v>
      </c>
      <c r="S153" s="2">
        <f>knicks_players_all_stats[[#This Row],[OREB22]]/10</f>
        <v>1</v>
      </c>
      <c r="T153" s="2">
        <f>knicks_players_all_stats[[#This Row],[DREB33]]/10</f>
        <v>2</v>
      </c>
      <c r="U153" s="2">
        <f>knicks_players_all_stats[[#This Row],[REB44]]/10</f>
        <v>3</v>
      </c>
      <c r="V153">
        <v>10</v>
      </c>
      <c r="W153">
        <v>20</v>
      </c>
      <c r="X153">
        <v>30</v>
      </c>
      <c r="Y153" s="22">
        <f>knicks_players_all_stats[[#This Row],[REB]]/knicks_players_all_stats[[#This Row],[GP]]</f>
        <v>1.5</v>
      </c>
      <c r="Z153" s="2">
        <v>0</v>
      </c>
      <c r="AA153" s="6">
        <f>knicks_players_all_stats[[#This Row],[AST]]/knicks_players_all_stats[[#This Row],[GP]]</f>
        <v>0</v>
      </c>
      <c r="AB153" s="2">
        <f>knicks_players_all_stats[[#This Row],[STL2]]/10</f>
        <v>1</v>
      </c>
      <c r="AC153" s="2">
        <v>10</v>
      </c>
      <c r="AD153" s="6">
        <f>knicks_players_all_stats[[#This Row],[STL]]/knicks_players_all_stats[[#This Row],[GP]]</f>
        <v>0.5</v>
      </c>
      <c r="AE153">
        <v>10</v>
      </c>
      <c r="AF153" s="2">
        <f>knicks_players_all_stats[[#This Row],[BLK2]]/10</f>
        <v>1</v>
      </c>
      <c r="AG153" s="6">
        <f>knicks_players_all_stats[[#This Row],[BLK]]/knicks_players_all_stats[[#This Row],[GP]]</f>
        <v>0.5</v>
      </c>
      <c r="AH153">
        <v>10</v>
      </c>
      <c r="AI153" s="6">
        <f>knicks_players_all_stats[[#This Row],[BLKPG]]+knicks_players_all_stats[[#This Row],[STLPG]]+knicks_players_all_stats[[#This Row],[REBPG]]</f>
        <v>2.5</v>
      </c>
      <c r="AJ153" s="2">
        <f>knicks_players_all_stats[[#This Row],[TOV2]]/10</f>
        <v>1</v>
      </c>
      <c r="AK153" s="6">
        <f>knicks_players_all_stats[[#This Row],[TOV]]/knicks_players_all_stats[[#This Row],[GP]]</f>
        <v>0.5</v>
      </c>
      <c r="AL153" s="2">
        <v>2</v>
      </c>
      <c r="AM153" s="2">
        <f>knicks_players_all_stats[[#This Row],[PF]]/knicks_players_all_stats[[#This Row],[GP]]</f>
        <v>1</v>
      </c>
      <c r="AN153" s="2">
        <v>6</v>
      </c>
      <c r="AO153" s="6">
        <f>knicks_players_all_stats[[#This Row],[PTS]]/knicks_players_all_stats[[#This Row],[GP]]</f>
        <v>3</v>
      </c>
    </row>
    <row r="154" spans="1:41" customFormat="1" x14ac:dyDescent="0.3">
      <c r="A154" s="3" t="s">
        <v>1727</v>
      </c>
      <c r="B154" s="3" t="s">
        <v>1304</v>
      </c>
      <c r="C154" s="3" t="str">
        <f>knicks_players_all_stats[[#This Row],[NAME]]&amp;" ("&amp;knicks_players_all_stats[[#This Row],[SEASON]]&amp;")"</f>
        <v>Mardy Collins (2008-09)</v>
      </c>
      <c r="D154" s="3">
        <f>knicks_players_all_stats[[#This Row],[PLAYER_AGE]]/10</f>
        <v>24</v>
      </c>
      <c r="E154">
        <v>240</v>
      </c>
      <c r="F154" s="2">
        <v>9</v>
      </c>
      <c r="G154" s="2">
        <v>750</v>
      </c>
      <c r="H15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</v>
      </c>
      <c r="I154" s="6">
        <f>knicks_players_all_stats[[#This Row],[VALORATION]]/knicks_players_all_stats[[#This Row],[GP]]</f>
        <v>0.88888888888888884</v>
      </c>
      <c r="J154" s="2">
        <v>8</v>
      </c>
      <c r="K154" s="2">
        <v>23</v>
      </c>
      <c r="L154" s="2">
        <v>348</v>
      </c>
      <c r="M154" s="2">
        <v>0</v>
      </c>
      <c r="N154" s="2">
        <v>30</v>
      </c>
      <c r="O154" s="4">
        <f>knicks_players_all_stats[[#This Row],[FG3M]]/knicks_players_all_stats[[#This Row],[FG3A]]</f>
        <v>0</v>
      </c>
      <c r="P154" s="2">
        <v>4</v>
      </c>
      <c r="Q154" s="2">
        <v>9</v>
      </c>
      <c r="R154" s="5">
        <f>knicks_players_all_stats[[#This Row],[FTM]]/knicks_players_all_stats[[#This Row],[FTA]]</f>
        <v>0.44444444444444442</v>
      </c>
      <c r="S154" s="2">
        <f>knicks_players_all_stats[[#This Row],[OREB22]]/10</f>
        <v>2</v>
      </c>
      <c r="T154" s="2">
        <f>knicks_players_all_stats[[#This Row],[DREB33]]/10</f>
        <v>6</v>
      </c>
      <c r="U154" s="2">
        <f>knicks_players_all_stats[[#This Row],[REB44]]/10</f>
        <v>8</v>
      </c>
      <c r="V154">
        <v>20</v>
      </c>
      <c r="W154">
        <v>60</v>
      </c>
      <c r="X154">
        <v>80</v>
      </c>
      <c r="Y154" s="22">
        <f>knicks_players_all_stats[[#This Row],[REB]]/knicks_players_all_stats[[#This Row],[GP]]</f>
        <v>0.88888888888888884</v>
      </c>
      <c r="Z154" s="2">
        <v>10</v>
      </c>
      <c r="AA154" s="6">
        <f>knicks_players_all_stats[[#This Row],[AST]]/knicks_players_all_stats[[#This Row],[GP]]</f>
        <v>1.1111111111111112</v>
      </c>
      <c r="AB154" s="2">
        <f>knicks_players_all_stats[[#This Row],[STL2]]/10</f>
        <v>2</v>
      </c>
      <c r="AC154" s="2">
        <v>20</v>
      </c>
      <c r="AD154" s="6">
        <f>knicks_players_all_stats[[#This Row],[STL]]/knicks_players_all_stats[[#This Row],[GP]]</f>
        <v>0.22222222222222221</v>
      </c>
      <c r="AE154">
        <v>0</v>
      </c>
      <c r="AF154" s="2">
        <f>knicks_players_all_stats[[#This Row],[BLK2]]/10</f>
        <v>0</v>
      </c>
      <c r="AG154" s="6">
        <f>knicks_players_all_stats[[#This Row],[BLK]]/knicks_players_all_stats[[#This Row],[GP]]</f>
        <v>0</v>
      </c>
      <c r="AH154">
        <v>50</v>
      </c>
      <c r="AI154" s="6">
        <f>knicks_players_all_stats[[#This Row],[BLKPG]]+knicks_players_all_stats[[#This Row],[STLPG]]+knicks_players_all_stats[[#This Row],[REBPG]]</f>
        <v>1.1111111111111112</v>
      </c>
      <c r="AJ154" s="2">
        <f>knicks_players_all_stats[[#This Row],[TOV2]]/10</f>
        <v>5</v>
      </c>
      <c r="AK154" s="6">
        <f>knicks_players_all_stats[[#This Row],[TOV]]/knicks_players_all_stats[[#This Row],[GP]]</f>
        <v>0.55555555555555558</v>
      </c>
      <c r="AL154" s="2">
        <v>7</v>
      </c>
      <c r="AM154" s="2">
        <f>knicks_players_all_stats[[#This Row],[PF]]/knicks_players_all_stats[[#This Row],[GP]]</f>
        <v>0.77777777777777779</v>
      </c>
      <c r="AN154" s="2">
        <v>20</v>
      </c>
      <c r="AO154" s="6">
        <f>knicks_players_all_stats[[#This Row],[PTS]]/knicks_players_all_stats[[#This Row],[GP]]</f>
        <v>2.2222222222222223</v>
      </c>
    </row>
    <row r="155" spans="1:41" x14ac:dyDescent="0.3">
      <c r="A155" s="3" t="s">
        <v>1676</v>
      </c>
      <c r="B155" s="3" t="s">
        <v>1304</v>
      </c>
      <c r="C155" s="3" t="str">
        <f>knicks_players_all_stats[[#This Row],[NAME]]&amp;" ("&amp;knicks_players_all_stats[[#This Row],[SEASON]]&amp;")"</f>
        <v>Eddy Curry (2008-09)</v>
      </c>
      <c r="D155" s="3">
        <f>knicks_players_all_stats[[#This Row],[PLAYER_AGE]]/10</f>
        <v>26</v>
      </c>
      <c r="E155">
        <v>260</v>
      </c>
      <c r="F155" s="2">
        <v>3</v>
      </c>
      <c r="G155" s="2">
        <v>120</v>
      </c>
      <c r="H15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0</v>
      </c>
      <c r="I155" s="6">
        <f>knicks_players_all_stats[[#This Row],[VALORATION]]/knicks_players_all_stats[[#This Row],[GP]]</f>
        <v>0</v>
      </c>
      <c r="J155" s="2">
        <v>2</v>
      </c>
      <c r="K155" s="2">
        <v>2</v>
      </c>
      <c r="L155" s="2">
        <v>10</v>
      </c>
      <c r="M155" s="2">
        <v>0</v>
      </c>
      <c r="N155" s="2">
        <v>0</v>
      </c>
      <c r="O155" s="4" t="e">
        <f>knicks_players_all_stats[[#This Row],[FG3M]]/knicks_players_all_stats[[#This Row],[FG3A]]</f>
        <v>#DIV/0!</v>
      </c>
      <c r="P155" s="2">
        <v>1</v>
      </c>
      <c r="Q155" s="2">
        <v>3</v>
      </c>
      <c r="R155" s="5">
        <f>knicks_players_all_stats[[#This Row],[FTM]]/knicks_players_all_stats[[#This Row],[FTA]]</f>
        <v>0.33333333333333331</v>
      </c>
      <c r="S155" s="2">
        <f>knicks_players_all_stats[[#This Row],[OREB22]]/10</f>
        <v>0</v>
      </c>
      <c r="T155" s="2">
        <f>knicks_players_all_stats[[#This Row],[DREB33]]/10</f>
        <v>4</v>
      </c>
      <c r="U155" s="2">
        <f>knicks_players_all_stats[[#This Row],[REB44]]/10</f>
        <v>4</v>
      </c>
      <c r="V155">
        <v>0</v>
      </c>
      <c r="W155">
        <v>40</v>
      </c>
      <c r="X155">
        <v>40</v>
      </c>
      <c r="Y155" s="22">
        <f>knicks_players_all_stats[[#This Row],[REB]]/knicks_players_all_stats[[#This Row],[GP]]</f>
        <v>1.3333333333333333</v>
      </c>
      <c r="Z155" s="2">
        <v>0</v>
      </c>
      <c r="AA155" s="6">
        <f>knicks_players_all_stats[[#This Row],[AST]]/knicks_players_all_stats[[#This Row],[GP]]</f>
        <v>0</v>
      </c>
      <c r="AB155" s="2">
        <f>knicks_players_all_stats[[#This Row],[STL2]]/10</f>
        <v>0</v>
      </c>
      <c r="AC155" s="2">
        <v>0</v>
      </c>
      <c r="AD155" s="6">
        <f>knicks_players_all_stats[[#This Row],[STL]]/knicks_players_all_stats[[#This Row],[GP]]</f>
        <v>0</v>
      </c>
      <c r="AE155">
        <v>0</v>
      </c>
      <c r="AF155" s="2">
        <f>knicks_players_all_stats[[#This Row],[BLK2]]/10</f>
        <v>0</v>
      </c>
      <c r="AG155" s="6">
        <f>knicks_players_all_stats[[#This Row],[BLK]]/knicks_players_all_stats[[#This Row],[GP]]</f>
        <v>0</v>
      </c>
      <c r="AH155">
        <v>20</v>
      </c>
      <c r="AI155" s="6">
        <f>knicks_players_all_stats[[#This Row],[BLKPG]]+knicks_players_all_stats[[#This Row],[STLPG]]+knicks_players_all_stats[[#This Row],[REBPG]]</f>
        <v>1.3333333333333333</v>
      </c>
      <c r="AJ155" s="2">
        <f>knicks_players_all_stats[[#This Row],[TOV2]]/10</f>
        <v>2</v>
      </c>
      <c r="AK155" s="6">
        <f>knicks_players_all_stats[[#This Row],[TOV]]/knicks_players_all_stats[[#This Row],[GP]]</f>
        <v>0.66666666666666663</v>
      </c>
      <c r="AL155" s="2">
        <v>5</v>
      </c>
      <c r="AM155" s="2">
        <f>knicks_players_all_stats[[#This Row],[PF]]/knicks_players_all_stats[[#This Row],[GP]]</f>
        <v>1.6666666666666667</v>
      </c>
      <c r="AN155" s="2">
        <v>5</v>
      </c>
      <c r="AO155" s="6">
        <f>knicks_players_all_stats[[#This Row],[PTS]]/knicks_players_all_stats[[#This Row],[GP]]</f>
        <v>1.6666666666666667</v>
      </c>
    </row>
    <row r="156" spans="1:41" x14ac:dyDescent="0.3">
      <c r="A156" s="3" t="s">
        <v>1663</v>
      </c>
      <c r="B156" s="3" t="s">
        <v>1304</v>
      </c>
      <c r="C156" s="3" t="str">
        <f>knicks_players_all_stats[[#This Row],[NAME]]&amp;" ("&amp;knicks_players_all_stats[[#This Row],[SEASON]]&amp;")"</f>
        <v>Malik Rose (2008-09)</v>
      </c>
      <c r="D156" s="3">
        <f>knicks_players_all_stats[[#This Row],[PLAYER_AGE]]/10</f>
        <v>34</v>
      </c>
      <c r="E156">
        <v>340</v>
      </c>
      <c r="F156" s="2">
        <v>18</v>
      </c>
      <c r="G156" s="2">
        <v>1600</v>
      </c>
      <c r="H15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-1</v>
      </c>
      <c r="I156" s="6">
        <f>knicks_players_all_stats[[#This Row],[VALORATION]]/knicks_players_all_stats[[#This Row],[GP]]</f>
        <v>-5.5555555555555552E-2</v>
      </c>
      <c r="J156" s="2">
        <v>11</v>
      </c>
      <c r="K156" s="2">
        <v>41</v>
      </c>
      <c r="L156" s="2">
        <v>268</v>
      </c>
      <c r="M156" s="2">
        <v>0</v>
      </c>
      <c r="N156" s="2">
        <v>40</v>
      </c>
      <c r="O156" s="4">
        <f>knicks_players_all_stats[[#This Row],[FG3M]]/knicks_players_all_stats[[#This Row],[FG3A]]</f>
        <v>0</v>
      </c>
      <c r="P156" s="2">
        <v>8</v>
      </c>
      <c r="Q156" s="2">
        <v>11</v>
      </c>
      <c r="R156" s="5">
        <f>knicks_players_all_stats[[#This Row],[FTM]]/knicks_players_all_stats[[#This Row],[FTA]]</f>
        <v>0.72727272727272729</v>
      </c>
      <c r="S156" s="2">
        <f>knicks_players_all_stats[[#This Row],[OREB22]]/10</f>
        <v>4</v>
      </c>
      <c r="T156" s="2">
        <f>knicks_players_all_stats[[#This Row],[DREB33]]/10</f>
        <v>27</v>
      </c>
      <c r="U156" s="2">
        <f>knicks_players_all_stats[[#This Row],[REB44]]/10</f>
        <v>31</v>
      </c>
      <c r="V156">
        <v>40</v>
      </c>
      <c r="W156">
        <v>270</v>
      </c>
      <c r="X156">
        <v>310</v>
      </c>
      <c r="Y156" s="22">
        <f>knicks_players_all_stats[[#This Row],[REB]]/knicks_players_all_stats[[#This Row],[GP]]</f>
        <v>1.7222222222222223</v>
      </c>
      <c r="Z156" s="2">
        <v>10</v>
      </c>
      <c r="AA156" s="6">
        <f>knicks_players_all_stats[[#This Row],[AST]]/knicks_players_all_stats[[#This Row],[GP]]</f>
        <v>0.55555555555555558</v>
      </c>
      <c r="AB156" s="2">
        <f>knicks_players_all_stats[[#This Row],[STL2]]/10</f>
        <v>1</v>
      </c>
      <c r="AC156" s="2">
        <v>10</v>
      </c>
      <c r="AD156" s="6">
        <f>knicks_players_all_stats[[#This Row],[STL]]/knicks_players_all_stats[[#This Row],[GP]]</f>
        <v>5.5555555555555552E-2</v>
      </c>
      <c r="AE156">
        <v>10</v>
      </c>
      <c r="AF156" s="2">
        <f>knicks_players_all_stats[[#This Row],[BLK2]]/10</f>
        <v>1</v>
      </c>
      <c r="AG156" s="6">
        <f>knicks_players_all_stats[[#This Row],[BLK]]/knicks_players_all_stats[[#This Row],[GP]]</f>
        <v>5.5555555555555552E-2</v>
      </c>
      <c r="AH156">
        <v>170</v>
      </c>
      <c r="AI156" s="6">
        <f>knicks_players_all_stats[[#This Row],[BLKPG]]+knicks_players_all_stats[[#This Row],[STLPG]]+knicks_players_all_stats[[#This Row],[REBPG]]</f>
        <v>1.8333333333333335</v>
      </c>
      <c r="AJ156" s="2">
        <f>knicks_players_all_stats[[#This Row],[TOV2]]/10</f>
        <v>17</v>
      </c>
      <c r="AK156" s="6">
        <f>knicks_players_all_stats[[#This Row],[TOV]]/knicks_players_all_stats[[#This Row],[GP]]</f>
        <v>0.94444444444444442</v>
      </c>
      <c r="AL156" s="2">
        <v>24</v>
      </c>
      <c r="AM156" s="2">
        <f>knicks_players_all_stats[[#This Row],[PF]]/knicks_players_all_stats[[#This Row],[GP]]</f>
        <v>1.3333333333333333</v>
      </c>
      <c r="AN156" s="2">
        <v>30</v>
      </c>
      <c r="AO156" s="6">
        <f>knicks_players_all_stats[[#This Row],[PTS]]/knicks_players_all_stats[[#This Row],[GP]]</f>
        <v>1.6666666666666667</v>
      </c>
    </row>
    <row r="157" spans="1:41" x14ac:dyDescent="0.3">
      <c r="A157" s="3" t="s">
        <v>1470</v>
      </c>
      <c r="B157" s="3" t="s">
        <v>1304</v>
      </c>
      <c r="C157" s="3" t="str">
        <f>knicks_players_all_stats[[#This Row],[NAME]]&amp;" ("&amp;knicks_players_all_stats[[#This Row],[SEASON]]&amp;")"</f>
        <v>Cheikh Samb (2008-09)</v>
      </c>
      <c r="D157" s="3">
        <f>knicks_players_all_stats[[#This Row],[PLAYER_AGE]]/10</f>
        <v>24</v>
      </c>
      <c r="E157">
        <v>240</v>
      </c>
      <c r="F157" s="2">
        <v>2</v>
      </c>
      <c r="G157" s="2">
        <v>80</v>
      </c>
      <c r="H15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-3</v>
      </c>
      <c r="I157" s="6">
        <f>knicks_players_all_stats[[#This Row],[VALORATION]]/knicks_players_all_stats[[#This Row],[GP]]</f>
        <v>-1.5</v>
      </c>
      <c r="J157" s="2">
        <v>0</v>
      </c>
      <c r="K157" s="2">
        <v>3</v>
      </c>
      <c r="L157" s="4">
        <f>knicks_players_all_stats[[#This Row],[FGM]]/knicks_players_all_stats[[#This Row],[FGA]]</f>
        <v>0</v>
      </c>
      <c r="M157" s="2">
        <v>0</v>
      </c>
      <c r="N157" s="2">
        <v>0</v>
      </c>
      <c r="O157" s="4" t="e">
        <f>knicks_players_all_stats[[#This Row],[FG3M]]/knicks_players_all_stats[[#This Row],[FG3A]]</f>
        <v>#DIV/0!</v>
      </c>
      <c r="P157" s="2">
        <v>0</v>
      </c>
      <c r="Q157" s="2">
        <v>2</v>
      </c>
      <c r="R157" s="5">
        <f>knicks_players_all_stats[[#This Row],[FTM]]/knicks_players_all_stats[[#This Row],[FTA]]</f>
        <v>0</v>
      </c>
      <c r="S157" s="2">
        <f>knicks_players_all_stats[[#This Row],[OREB22]]/10</f>
        <v>1</v>
      </c>
      <c r="T157" s="2">
        <f>knicks_players_all_stats[[#This Row],[DREB33]]/10</f>
        <v>1</v>
      </c>
      <c r="U157" s="2">
        <f>knicks_players_all_stats[[#This Row],[REB44]]/10</f>
        <v>2</v>
      </c>
      <c r="V157">
        <v>10</v>
      </c>
      <c r="W157">
        <v>10</v>
      </c>
      <c r="X157">
        <v>20</v>
      </c>
      <c r="Y157" s="22">
        <f>knicks_players_all_stats[[#This Row],[REB]]/knicks_players_all_stats[[#This Row],[GP]]</f>
        <v>1</v>
      </c>
      <c r="Z157" s="2">
        <v>0</v>
      </c>
      <c r="AA157" s="6">
        <f>knicks_players_all_stats[[#This Row],[AST]]/knicks_players_all_stats[[#This Row],[GP]]</f>
        <v>0</v>
      </c>
      <c r="AB157" s="2">
        <f>knicks_players_all_stats[[#This Row],[STL2]]/10</f>
        <v>0</v>
      </c>
      <c r="AC157" s="2">
        <v>0</v>
      </c>
      <c r="AD157" s="6">
        <f>knicks_players_all_stats[[#This Row],[STL]]/knicks_players_all_stats[[#This Row],[GP]]</f>
        <v>0</v>
      </c>
      <c r="AE157">
        <v>0</v>
      </c>
      <c r="AF157" s="2">
        <f>knicks_players_all_stats[[#This Row],[BLK2]]/10</f>
        <v>0</v>
      </c>
      <c r="AG157" s="6">
        <f>knicks_players_all_stats[[#This Row],[BLK]]/knicks_players_all_stats[[#This Row],[GP]]</f>
        <v>0</v>
      </c>
      <c r="AH157">
        <v>0</v>
      </c>
      <c r="AI157" s="6">
        <f>knicks_players_all_stats[[#This Row],[BLKPG]]+knicks_players_all_stats[[#This Row],[STLPG]]+knicks_players_all_stats[[#This Row],[REBPG]]</f>
        <v>1</v>
      </c>
      <c r="AJ157" s="2">
        <f>knicks_players_all_stats[[#This Row],[TOV2]]/10</f>
        <v>0</v>
      </c>
      <c r="AK157" s="6">
        <f>knicks_players_all_stats[[#This Row],[TOV]]/knicks_players_all_stats[[#This Row],[GP]]</f>
        <v>0</v>
      </c>
      <c r="AL157" s="2">
        <v>0</v>
      </c>
      <c r="AM157" s="2">
        <f>knicks_players_all_stats[[#This Row],[PF]]/knicks_players_all_stats[[#This Row],[GP]]</f>
        <v>0</v>
      </c>
      <c r="AN157" s="2">
        <v>0</v>
      </c>
      <c r="AO157" s="6">
        <f>knicks_players_all_stats[[#This Row],[PTS]]/knicks_players_all_stats[[#This Row],[GP]]</f>
        <v>0</v>
      </c>
    </row>
    <row r="158" spans="1:41" x14ac:dyDescent="0.3">
      <c r="A158" s="3" t="s">
        <v>1547</v>
      </c>
      <c r="B158" s="3" t="s">
        <v>1305</v>
      </c>
      <c r="C158" s="3" t="str">
        <f>knicks_players_all_stats[[#This Row],[NAME]]&amp;" ("&amp;knicks_players_all_stats[[#This Row],[SEASON]]&amp;")"</f>
        <v>David Lee (2009-10)</v>
      </c>
      <c r="D158" s="3">
        <f>knicks_players_all_stats[[#This Row],[PLAYER_AGE]]/10</f>
        <v>27</v>
      </c>
      <c r="E158">
        <v>270</v>
      </c>
      <c r="F158" s="2">
        <v>81</v>
      </c>
      <c r="G158" s="2">
        <v>30190</v>
      </c>
      <c r="H15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1929</v>
      </c>
      <c r="I158" s="6">
        <f>knicks_players_all_stats[[#This Row],[VALORATION]]/knicks_players_all_stats[[#This Row],[GP]]</f>
        <v>23.814814814814813</v>
      </c>
      <c r="J158" s="2">
        <v>686</v>
      </c>
      <c r="K158" s="2">
        <v>1258</v>
      </c>
      <c r="L158" s="4">
        <f>knicks_players_all_stats[[#This Row],[FGM]]/knicks_players_all_stats[[#This Row],[FGA]]</f>
        <v>0.54531001589825123</v>
      </c>
      <c r="M158" s="2">
        <v>0</v>
      </c>
      <c r="N158" s="2">
        <v>80</v>
      </c>
      <c r="O158" s="4">
        <f>knicks_players_all_stats[[#This Row],[FG3M]]/knicks_players_all_stats[[#This Row],[FG3A]]</f>
        <v>0</v>
      </c>
      <c r="P158" s="2">
        <v>268</v>
      </c>
      <c r="Q158" s="2">
        <v>330</v>
      </c>
      <c r="R158" s="5">
        <f>knicks_players_all_stats[[#This Row],[FTM]]/knicks_players_all_stats[[#This Row],[FTA]]</f>
        <v>0.81212121212121213</v>
      </c>
      <c r="S158" s="2">
        <f>knicks_players_all_stats[[#This Row],[OREB22]]/10</f>
        <v>228</v>
      </c>
      <c r="T158" s="2">
        <f>knicks_players_all_stats[[#This Row],[DREB33]]/10</f>
        <v>721</v>
      </c>
      <c r="U158" s="2">
        <f>knicks_players_all_stats[[#This Row],[REB44]]/10</f>
        <v>949</v>
      </c>
      <c r="V158">
        <v>2280</v>
      </c>
      <c r="W158">
        <v>7210</v>
      </c>
      <c r="X158">
        <v>9490</v>
      </c>
      <c r="Y158" s="22">
        <f>knicks_players_all_stats[[#This Row],[REB]]/knicks_players_all_stats[[#This Row],[GP]]</f>
        <v>11.716049382716049</v>
      </c>
      <c r="Z158" s="2">
        <v>295</v>
      </c>
      <c r="AA158" s="6">
        <f>knicks_players_all_stats[[#This Row],[AST]]/knicks_players_all_stats[[#This Row],[GP]]</f>
        <v>3.6419753086419755</v>
      </c>
      <c r="AB158" s="2">
        <f>knicks_players_all_stats[[#This Row],[STL2]]/10</f>
        <v>85</v>
      </c>
      <c r="AC158" s="2">
        <v>850</v>
      </c>
      <c r="AD158" s="6">
        <f>knicks_players_all_stats[[#This Row],[STL]]/knicks_players_all_stats[[#This Row],[GP]]</f>
        <v>1.0493827160493827</v>
      </c>
      <c r="AE158">
        <v>400</v>
      </c>
      <c r="AF158" s="2">
        <f>knicks_players_all_stats[[#This Row],[BLK2]]/10</f>
        <v>40</v>
      </c>
      <c r="AG158" s="6">
        <f>knicks_players_all_stats[[#This Row],[BLK]]/knicks_players_all_stats[[#This Row],[GP]]</f>
        <v>0.49382716049382713</v>
      </c>
      <c r="AH158">
        <v>1890</v>
      </c>
      <c r="AI158" s="6">
        <f>knicks_players_all_stats[[#This Row],[BLKPG]]+knicks_players_all_stats[[#This Row],[STLPG]]+knicks_players_all_stats[[#This Row],[REBPG]]</f>
        <v>13.25925925925926</v>
      </c>
      <c r="AJ158" s="2">
        <f>knicks_players_all_stats[[#This Row],[TOV2]]/10</f>
        <v>189</v>
      </c>
      <c r="AK158" s="6">
        <f>knicks_players_all_stats[[#This Row],[TOV]]/knicks_players_all_stats[[#This Row],[GP]]</f>
        <v>2.3333333333333335</v>
      </c>
      <c r="AL158" s="2">
        <v>257</v>
      </c>
      <c r="AM158" s="2">
        <f>knicks_players_all_stats[[#This Row],[PF]]/knicks_players_all_stats[[#This Row],[GP]]</f>
        <v>3.1728395061728394</v>
      </c>
      <c r="AN158" s="2">
        <v>1640</v>
      </c>
      <c r="AO158" s="6">
        <f>knicks_players_all_stats[[#This Row],[PTS]]/knicks_players_all_stats[[#This Row],[GP]]</f>
        <v>20.246913580246915</v>
      </c>
    </row>
    <row r="159" spans="1:41" x14ac:dyDescent="0.3">
      <c r="A159" s="3" t="s">
        <v>1324</v>
      </c>
      <c r="B159" s="3" t="s">
        <v>1305</v>
      </c>
      <c r="C159" s="3" t="str">
        <f>knicks_players_all_stats[[#This Row],[NAME]]&amp;" ("&amp;knicks_players_all_stats[[#This Row],[SEASON]]&amp;")"</f>
        <v>Earl Barron (2009-10)</v>
      </c>
      <c r="D159" s="3">
        <f>knicks_players_all_stats[[#This Row],[PLAYER_AGE]]/10</f>
        <v>28</v>
      </c>
      <c r="E159">
        <v>280</v>
      </c>
      <c r="F159" s="2">
        <v>7</v>
      </c>
      <c r="G159" s="2">
        <v>2320</v>
      </c>
      <c r="H15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95</v>
      </c>
      <c r="I159" s="6">
        <f>knicks_players_all_stats[[#This Row],[VALORATION]]/knicks_players_all_stats[[#This Row],[GP]]</f>
        <v>13.571428571428571</v>
      </c>
      <c r="J159" s="2">
        <v>30</v>
      </c>
      <c r="K159" s="2">
        <v>68</v>
      </c>
      <c r="L159" s="4">
        <f>knicks_players_all_stats[[#This Row],[FGM]]/knicks_players_all_stats[[#This Row],[FGA]]</f>
        <v>0.44117647058823528</v>
      </c>
      <c r="M159" s="2">
        <v>0</v>
      </c>
      <c r="N159" s="2">
        <v>0</v>
      </c>
      <c r="O159" s="4" t="e">
        <f>knicks_players_all_stats[[#This Row],[FG3M]]/knicks_players_all_stats[[#This Row],[FG3A]]</f>
        <v>#DIV/0!</v>
      </c>
      <c r="P159" s="2">
        <v>22</v>
      </c>
      <c r="Q159" s="2">
        <v>29</v>
      </c>
      <c r="R159" s="5">
        <f>knicks_players_all_stats[[#This Row],[FTM]]/knicks_players_all_stats[[#This Row],[FTA]]</f>
        <v>0.75862068965517238</v>
      </c>
      <c r="S159" s="2">
        <f>knicks_players_all_stats[[#This Row],[OREB22]]/10</f>
        <v>31</v>
      </c>
      <c r="T159" s="2">
        <f>knicks_players_all_stats[[#This Row],[DREB33]]/10</f>
        <v>46</v>
      </c>
      <c r="U159" s="2">
        <f>knicks_players_all_stats[[#This Row],[REB44]]/10</f>
        <v>77</v>
      </c>
      <c r="V159">
        <v>310</v>
      </c>
      <c r="W159">
        <v>460</v>
      </c>
      <c r="X159">
        <v>770</v>
      </c>
      <c r="Y159" s="22">
        <f>knicks_players_all_stats[[#This Row],[REB]]/knicks_players_all_stats[[#This Row],[GP]]</f>
        <v>11</v>
      </c>
      <c r="Z159" s="2">
        <v>8</v>
      </c>
      <c r="AA159" s="6">
        <f>knicks_players_all_stats[[#This Row],[AST]]/knicks_players_all_stats[[#This Row],[GP]]</f>
        <v>1.1428571428571428</v>
      </c>
      <c r="AB159" s="2">
        <f>knicks_players_all_stats[[#This Row],[STL2]]/10</f>
        <v>4</v>
      </c>
      <c r="AC159" s="2">
        <v>40</v>
      </c>
      <c r="AD159" s="6">
        <f>knicks_players_all_stats[[#This Row],[STL]]/knicks_players_all_stats[[#This Row],[GP]]</f>
        <v>0.5714285714285714</v>
      </c>
      <c r="AE159">
        <v>40</v>
      </c>
      <c r="AF159" s="2">
        <f>knicks_players_all_stats[[#This Row],[BLK2]]/10</f>
        <v>4</v>
      </c>
      <c r="AG159" s="6">
        <f>knicks_players_all_stats[[#This Row],[BLK]]/knicks_players_all_stats[[#This Row],[GP]]</f>
        <v>0.5714285714285714</v>
      </c>
      <c r="AH159">
        <v>110</v>
      </c>
      <c r="AI159" s="6">
        <f>knicks_players_all_stats[[#This Row],[BLKPG]]+knicks_players_all_stats[[#This Row],[STLPG]]+knicks_players_all_stats[[#This Row],[REBPG]]</f>
        <v>12.142857142857142</v>
      </c>
      <c r="AJ159" s="2">
        <f>knicks_players_all_stats[[#This Row],[TOV2]]/10</f>
        <v>11</v>
      </c>
      <c r="AK159" s="6">
        <f>knicks_players_all_stats[[#This Row],[TOV]]/knicks_players_all_stats[[#This Row],[GP]]</f>
        <v>1.5714285714285714</v>
      </c>
      <c r="AL159" s="2">
        <v>24</v>
      </c>
      <c r="AM159" s="2">
        <f>knicks_players_all_stats[[#This Row],[PF]]/knicks_players_all_stats[[#This Row],[GP]]</f>
        <v>3.4285714285714284</v>
      </c>
      <c r="AN159" s="2">
        <v>82</v>
      </c>
      <c r="AO159" s="6">
        <f>knicks_players_all_stats[[#This Row],[PTS]]/knicks_players_all_stats[[#This Row],[GP]]</f>
        <v>11.714285714285714</v>
      </c>
    </row>
    <row r="160" spans="1:41" customFormat="1" x14ac:dyDescent="0.3">
      <c r="A160" s="3" t="s">
        <v>1446</v>
      </c>
      <c r="B160" s="3" t="s">
        <v>1305</v>
      </c>
      <c r="C160" s="3" t="str">
        <f>knicks_players_all_stats[[#This Row],[NAME]]&amp;" ("&amp;knicks_players_all_stats[[#This Row],[SEASON]]&amp;")"</f>
        <v>Wilson Chandler (2009-10)</v>
      </c>
      <c r="D160" s="3">
        <f>knicks_players_all_stats[[#This Row],[PLAYER_AGE]]/10</f>
        <v>23</v>
      </c>
      <c r="E160">
        <v>230</v>
      </c>
      <c r="F160" s="2">
        <v>65</v>
      </c>
      <c r="G160" s="2">
        <v>23200</v>
      </c>
      <c r="H16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803</v>
      </c>
      <c r="I160" s="6">
        <f>knicks_players_all_stats[[#This Row],[VALORATION]]/knicks_players_all_stats[[#This Row],[GP]]</f>
        <v>12.353846153846154</v>
      </c>
      <c r="J160" s="2">
        <v>412</v>
      </c>
      <c r="K160" s="2">
        <v>860</v>
      </c>
      <c r="L160" s="4">
        <f>knicks_players_all_stats[[#This Row],[FGM]]/knicks_players_all_stats[[#This Row],[FGA]]</f>
        <v>0.47906976744186047</v>
      </c>
      <c r="M160" s="2">
        <v>400</v>
      </c>
      <c r="N160" s="2">
        <v>1500</v>
      </c>
      <c r="O160" s="4">
        <f>knicks_players_all_stats[[#This Row],[FG3M]]/knicks_players_all_stats[[#This Row],[FG3A]]</f>
        <v>0.26666666666666666</v>
      </c>
      <c r="P160" s="2">
        <v>129</v>
      </c>
      <c r="Q160" s="2">
        <v>160</v>
      </c>
      <c r="R160" s="5">
        <f>knicks_players_all_stats[[#This Row],[FTM]]/knicks_players_all_stats[[#This Row],[FTA]]</f>
        <v>0.80625000000000002</v>
      </c>
      <c r="S160" s="2">
        <f>knicks_players_all_stats[[#This Row],[OREB22]]/10</f>
        <v>93</v>
      </c>
      <c r="T160" s="2">
        <f>knicks_players_all_stats[[#This Row],[DREB33]]/10</f>
        <v>255</v>
      </c>
      <c r="U160" s="2">
        <f>knicks_players_all_stats[[#This Row],[REB44]]/10</f>
        <v>348</v>
      </c>
      <c r="V160">
        <v>930</v>
      </c>
      <c r="W160">
        <v>2550</v>
      </c>
      <c r="X160">
        <v>3480</v>
      </c>
      <c r="Y160" s="22">
        <f>knicks_players_all_stats[[#This Row],[REB]]/knicks_players_all_stats[[#This Row],[GP]]</f>
        <v>5.3538461538461535</v>
      </c>
      <c r="Z160" s="2">
        <v>138</v>
      </c>
      <c r="AA160" s="6">
        <f>knicks_players_all_stats[[#This Row],[AST]]/knicks_players_all_stats[[#This Row],[GP]]</f>
        <v>2.1230769230769231</v>
      </c>
      <c r="AB160" s="2">
        <f>knicks_players_all_stats[[#This Row],[STL2]]/10</f>
        <v>46</v>
      </c>
      <c r="AC160" s="2">
        <v>460</v>
      </c>
      <c r="AD160" s="6">
        <f>knicks_players_all_stats[[#This Row],[STL]]/knicks_players_all_stats[[#This Row],[GP]]</f>
        <v>0.70769230769230773</v>
      </c>
      <c r="AE160">
        <v>490</v>
      </c>
      <c r="AF160" s="2">
        <f>knicks_players_all_stats[[#This Row],[BLK2]]/10</f>
        <v>49</v>
      </c>
      <c r="AG160" s="6">
        <f>knicks_players_all_stats[[#This Row],[BLK]]/knicks_players_all_stats[[#This Row],[GP]]</f>
        <v>0.75384615384615383</v>
      </c>
      <c r="AH160">
        <v>1080</v>
      </c>
      <c r="AI160" s="6">
        <f>knicks_players_all_stats[[#This Row],[BLKPG]]+knicks_players_all_stats[[#This Row],[STLPG]]+knicks_players_all_stats[[#This Row],[REBPG]]</f>
        <v>6.8153846153846152</v>
      </c>
      <c r="AJ160" s="2">
        <f>knicks_players_all_stats[[#This Row],[TOV2]]/10</f>
        <v>108</v>
      </c>
      <c r="AK160" s="6">
        <f>knicks_players_all_stats[[#This Row],[TOV]]/knicks_players_all_stats[[#This Row],[GP]]</f>
        <v>1.6615384615384616</v>
      </c>
      <c r="AL160" s="2">
        <v>184</v>
      </c>
      <c r="AM160" s="2">
        <f>knicks_players_all_stats[[#This Row],[PF]]/knicks_players_all_stats[[#This Row],[GP]]</f>
        <v>2.8307692307692309</v>
      </c>
      <c r="AN160" s="2">
        <v>993</v>
      </c>
      <c r="AO160" s="6">
        <f>knicks_players_all_stats[[#This Row],[PTS]]/knicks_players_all_stats[[#This Row],[GP]]</f>
        <v>15.276923076923078</v>
      </c>
    </row>
    <row r="161" spans="1:41" customFormat="1" x14ac:dyDescent="0.3">
      <c r="A161" s="3" t="s">
        <v>1740</v>
      </c>
      <c r="B161" s="3" t="s">
        <v>1305</v>
      </c>
      <c r="C161" s="3" t="str">
        <f>knicks_players_all_stats[[#This Row],[NAME]]&amp;" ("&amp;knicks_players_all_stats[[#This Row],[SEASON]]&amp;")"</f>
        <v>Danilo Gallinari (2009-10)</v>
      </c>
      <c r="D161" s="3">
        <f>knicks_players_all_stats[[#This Row],[PLAYER_AGE]]/10</f>
        <v>21</v>
      </c>
      <c r="E161">
        <v>210</v>
      </c>
      <c r="F161" s="2">
        <v>81</v>
      </c>
      <c r="G161" s="2">
        <v>27470</v>
      </c>
      <c r="H16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995</v>
      </c>
      <c r="I161" s="6">
        <f>knicks_players_all_stats[[#This Row],[VALORATION]]/knicks_players_all_stats[[#This Row],[GP]]</f>
        <v>12.283950617283951</v>
      </c>
      <c r="J161" s="2">
        <v>392</v>
      </c>
      <c r="K161" s="2">
        <v>927</v>
      </c>
      <c r="L161" s="2">
        <v>423</v>
      </c>
      <c r="M161" s="2">
        <v>1860</v>
      </c>
      <c r="N161" s="2">
        <v>4880</v>
      </c>
      <c r="O161" s="4">
        <f>knicks_players_all_stats[[#This Row],[FG3M]]/knicks_players_all_stats[[#This Row],[FG3A]]</f>
        <v>0.38114754098360654</v>
      </c>
      <c r="P161" s="2">
        <v>251</v>
      </c>
      <c r="Q161" s="2">
        <v>307</v>
      </c>
      <c r="R161" s="5">
        <f>knicks_players_all_stats[[#This Row],[FTM]]/knicks_players_all_stats[[#This Row],[FTA]]</f>
        <v>0.8175895765472313</v>
      </c>
      <c r="S161" s="2">
        <f>knicks_players_all_stats[[#This Row],[OREB22]]/10</f>
        <v>65</v>
      </c>
      <c r="T161" s="2">
        <f>knicks_players_all_stats[[#This Row],[DREB33]]/10</f>
        <v>333</v>
      </c>
      <c r="U161" s="2">
        <f>knicks_players_all_stats[[#This Row],[REB44]]/10</f>
        <v>398</v>
      </c>
      <c r="V161">
        <v>650</v>
      </c>
      <c r="W161">
        <v>3330</v>
      </c>
      <c r="X161">
        <v>3980</v>
      </c>
      <c r="Y161" s="22">
        <f>knicks_players_all_stats[[#This Row],[REB]]/knicks_players_all_stats[[#This Row],[GP]]</f>
        <v>4.9135802469135799</v>
      </c>
      <c r="Z161" s="2">
        <v>135</v>
      </c>
      <c r="AA161" s="6">
        <f>knicks_players_all_stats[[#This Row],[AST]]/knicks_players_all_stats[[#This Row],[GP]]</f>
        <v>1.6666666666666667</v>
      </c>
      <c r="AB161" s="2">
        <f>knicks_players_all_stats[[#This Row],[STL2]]/10</f>
        <v>75</v>
      </c>
      <c r="AC161" s="2">
        <v>750</v>
      </c>
      <c r="AD161" s="6">
        <f>knicks_players_all_stats[[#This Row],[STL]]/knicks_players_all_stats[[#This Row],[GP]]</f>
        <v>0.92592592592592593</v>
      </c>
      <c r="AE161">
        <v>580</v>
      </c>
      <c r="AF161" s="2">
        <f>knicks_players_all_stats[[#This Row],[BLK2]]/10</f>
        <v>58</v>
      </c>
      <c r="AG161" s="6">
        <f>knicks_players_all_stats[[#This Row],[BLK]]/knicks_players_all_stats[[#This Row],[GP]]</f>
        <v>0.71604938271604934</v>
      </c>
      <c r="AH161">
        <v>1100</v>
      </c>
      <c r="AI161" s="6">
        <f>knicks_players_all_stats[[#This Row],[BLKPG]]+knicks_players_all_stats[[#This Row],[STLPG]]+knicks_players_all_stats[[#This Row],[REBPG]]</f>
        <v>6.5555555555555554</v>
      </c>
      <c r="AJ161" s="2">
        <f>knicks_players_all_stats[[#This Row],[TOV2]]/10</f>
        <v>110</v>
      </c>
      <c r="AK161" s="6">
        <f>knicks_players_all_stats[[#This Row],[TOV]]/knicks_players_all_stats[[#This Row],[GP]]</f>
        <v>1.3580246913580247</v>
      </c>
      <c r="AL161" s="2">
        <v>191</v>
      </c>
      <c r="AM161" s="2">
        <f>knicks_players_all_stats[[#This Row],[PF]]/knicks_players_all_stats[[#This Row],[GP]]</f>
        <v>2.3580246913580245</v>
      </c>
      <c r="AN161" s="2">
        <v>1221</v>
      </c>
      <c r="AO161" s="6">
        <f>knicks_players_all_stats[[#This Row],[PTS]]/knicks_players_all_stats[[#This Row],[GP]]</f>
        <v>15.074074074074074</v>
      </c>
    </row>
    <row r="162" spans="1:41" customFormat="1" x14ac:dyDescent="0.3">
      <c r="A162" s="3" t="s">
        <v>1571</v>
      </c>
      <c r="B162" s="3" t="s">
        <v>1305</v>
      </c>
      <c r="C162" s="3" t="str">
        <f>knicks_players_all_stats[[#This Row],[NAME]]&amp;" ("&amp;knicks_players_all_stats[[#This Row],[SEASON]]&amp;")"</f>
        <v>Al Harrington (2009-10)</v>
      </c>
      <c r="D162" s="3">
        <f>knicks_players_all_stats[[#This Row],[PLAYER_AGE]]/10</f>
        <v>30</v>
      </c>
      <c r="E162">
        <v>300</v>
      </c>
      <c r="F162" s="2">
        <v>72</v>
      </c>
      <c r="G162" s="2">
        <v>21950</v>
      </c>
      <c r="H16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879</v>
      </c>
      <c r="I162" s="6">
        <f>knicks_players_all_stats[[#This Row],[VALORATION]]/knicks_players_all_stats[[#This Row],[GP]]</f>
        <v>12.208333333333334</v>
      </c>
      <c r="J162" s="2">
        <v>448</v>
      </c>
      <c r="K162" s="2">
        <v>1030</v>
      </c>
      <c r="L162" s="4">
        <f>knicks_players_all_stats[[#This Row],[FGM]]/knicks_players_all_stats[[#This Row],[FGA]]</f>
        <v>0.43495145631067961</v>
      </c>
      <c r="M162" s="2">
        <v>1400</v>
      </c>
      <c r="N162" s="2">
        <v>4090</v>
      </c>
      <c r="O162" s="4">
        <f>knicks_players_all_stats[[#This Row],[FG3M]]/knicks_players_all_stats[[#This Row],[FG3A]]</f>
        <v>0.34229828850855748</v>
      </c>
      <c r="P162" s="2">
        <v>240</v>
      </c>
      <c r="Q162" s="2">
        <v>317</v>
      </c>
      <c r="R162" s="5">
        <f>knicks_players_all_stats[[#This Row],[FTM]]/knicks_players_all_stats[[#This Row],[FTA]]</f>
        <v>0.75709779179810721</v>
      </c>
      <c r="S162" s="2">
        <f>knicks_players_all_stats[[#This Row],[OREB22]]/10</f>
        <v>88</v>
      </c>
      <c r="T162" s="2">
        <f>knicks_players_all_stats[[#This Row],[DREB33]]/10</f>
        <v>317</v>
      </c>
      <c r="U162" s="2">
        <f>knicks_players_all_stats[[#This Row],[REB44]]/10</f>
        <v>405</v>
      </c>
      <c r="V162">
        <v>880</v>
      </c>
      <c r="W162">
        <v>3170</v>
      </c>
      <c r="X162">
        <v>4050</v>
      </c>
      <c r="Y162" s="22">
        <f>knicks_players_all_stats[[#This Row],[REB]]/knicks_players_all_stats[[#This Row],[GP]]</f>
        <v>5.625</v>
      </c>
      <c r="Z162" s="2">
        <v>110</v>
      </c>
      <c r="AA162" s="6">
        <f>knicks_players_all_stats[[#This Row],[AST]]/knicks_players_all_stats[[#This Row],[GP]]</f>
        <v>1.5277777777777777</v>
      </c>
      <c r="AB162" s="2">
        <f>knicks_players_all_stats[[#This Row],[STL2]]/10</f>
        <v>62</v>
      </c>
      <c r="AC162" s="2">
        <v>620</v>
      </c>
      <c r="AD162" s="6">
        <f>knicks_players_all_stats[[#This Row],[STL]]/knicks_players_all_stats[[#This Row],[GP]]</f>
        <v>0.86111111111111116</v>
      </c>
      <c r="AE162">
        <v>260</v>
      </c>
      <c r="AF162" s="2">
        <f>knicks_players_all_stats[[#This Row],[BLK2]]/10</f>
        <v>26</v>
      </c>
      <c r="AG162" s="6">
        <f>knicks_players_all_stats[[#This Row],[BLK]]/knicks_players_all_stats[[#This Row],[GP]]</f>
        <v>0.3611111111111111</v>
      </c>
      <c r="AH162">
        <v>1320</v>
      </c>
      <c r="AI162" s="6">
        <f>knicks_players_all_stats[[#This Row],[BLKPG]]+knicks_players_all_stats[[#This Row],[STLPG]]+knicks_players_all_stats[[#This Row],[REBPG]]</f>
        <v>6.8472222222222223</v>
      </c>
      <c r="AJ162" s="2">
        <f>knicks_players_all_stats[[#This Row],[TOV2]]/10</f>
        <v>132</v>
      </c>
      <c r="AK162" s="6">
        <f>knicks_players_all_stats[[#This Row],[TOV]]/knicks_players_all_stats[[#This Row],[GP]]</f>
        <v>1.8333333333333333</v>
      </c>
      <c r="AL162" s="2">
        <v>209</v>
      </c>
      <c r="AM162" s="2">
        <f>knicks_players_all_stats[[#This Row],[PF]]/knicks_players_all_stats[[#This Row],[GP]]</f>
        <v>2.9027777777777777</v>
      </c>
      <c r="AN162" s="2">
        <v>1276</v>
      </c>
      <c r="AO162" s="6">
        <f>knicks_players_all_stats[[#This Row],[PTS]]/knicks_players_all_stats[[#This Row],[GP]]</f>
        <v>17.722222222222221</v>
      </c>
    </row>
    <row r="163" spans="1:41" customFormat="1" x14ac:dyDescent="0.3">
      <c r="A163" s="3" t="s">
        <v>1301</v>
      </c>
      <c r="B163" s="3" t="s">
        <v>1305</v>
      </c>
      <c r="C163" s="3" t="str">
        <f>knicks_players_all_stats[[#This Row],[NAME]]&amp;" ("&amp;knicks_players_all_stats[[#This Row],[SEASON]]&amp;")"</f>
        <v>Nate Robinson (2009-10)</v>
      </c>
      <c r="D163" s="3">
        <f>knicks_players_all_stats[[#This Row],[PLAYER_AGE]]/10</f>
        <v>26</v>
      </c>
      <c r="E163">
        <v>260</v>
      </c>
      <c r="F163" s="2">
        <v>30</v>
      </c>
      <c r="G163" s="2">
        <v>7330</v>
      </c>
      <c r="H16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298</v>
      </c>
      <c r="I163" s="6">
        <f>knicks_players_all_stats[[#This Row],[VALORATION]]/knicks_players_all_stats[[#This Row],[GP]]</f>
        <v>9.9333333333333336</v>
      </c>
      <c r="J163" s="2">
        <v>152</v>
      </c>
      <c r="K163" s="2">
        <v>336</v>
      </c>
      <c r="L163" s="4">
        <f>knicks_players_all_stats[[#This Row],[FGM]]/knicks_players_all_stats[[#This Row],[FGA]]</f>
        <v>0.45238095238095238</v>
      </c>
      <c r="M163" s="2">
        <v>510</v>
      </c>
      <c r="N163" s="2">
        <v>1360</v>
      </c>
      <c r="O163" s="4">
        <f>knicks_players_all_stats[[#This Row],[FG3M]]/knicks_players_all_stats[[#This Row],[FG3A]]</f>
        <v>0.375</v>
      </c>
      <c r="P163" s="2">
        <v>42</v>
      </c>
      <c r="Q163" s="2">
        <v>54</v>
      </c>
      <c r="R163" s="5">
        <f>knicks_players_all_stats[[#This Row],[FTM]]/knicks_players_all_stats[[#This Row],[FTA]]</f>
        <v>0.77777777777777779</v>
      </c>
      <c r="S163" s="2">
        <f>knicks_players_all_stats[[#This Row],[OREB22]]/10</f>
        <v>23</v>
      </c>
      <c r="T163" s="2">
        <f>knicks_players_all_stats[[#This Row],[DREB33]]/10</f>
        <v>49</v>
      </c>
      <c r="U163" s="2">
        <f>knicks_players_all_stats[[#This Row],[REB44]]/10</f>
        <v>72</v>
      </c>
      <c r="V163">
        <v>230</v>
      </c>
      <c r="W163">
        <v>490</v>
      </c>
      <c r="X163">
        <v>720</v>
      </c>
      <c r="Y163" s="22">
        <f>knicks_players_all_stats[[#This Row],[REB]]/knicks_players_all_stats[[#This Row],[GP]]</f>
        <v>2.4</v>
      </c>
      <c r="Z163" s="2">
        <v>112</v>
      </c>
      <c r="AA163" s="6">
        <f>knicks_players_all_stats[[#This Row],[AST]]/knicks_players_all_stats[[#This Row],[GP]]</f>
        <v>3.7333333333333334</v>
      </c>
      <c r="AB163" s="2">
        <f>knicks_players_all_stats[[#This Row],[STL2]]/10</f>
        <v>27</v>
      </c>
      <c r="AC163" s="2">
        <v>270</v>
      </c>
      <c r="AD163" s="6">
        <f>knicks_players_all_stats[[#This Row],[STL]]/knicks_players_all_stats[[#This Row],[GP]]</f>
        <v>0.9</v>
      </c>
      <c r="AE163">
        <v>50</v>
      </c>
      <c r="AF163" s="2">
        <f>knicks_players_all_stats[[#This Row],[BLK2]]/10</f>
        <v>5</v>
      </c>
      <c r="AG163" s="6">
        <f>knicks_players_all_stats[[#This Row],[BLK]]/knicks_players_all_stats[[#This Row],[GP]]</f>
        <v>0.16666666666666666</v>
      </c>
      <c r="AH163">
        <v>530</v>
      </c>
      <c r="AI163" s="6">
        <f>knicks_players_all_stats[[#This Row],[BLKPG]]+knicks_players_all_stats[[#This Row],[STLPG]]+knicks_players_all_stats[[#This Row],[REBPG]]</f>
        <v>3.4666666666666668</v>
      </c>
      <c r="AJ163" s="2">
        <f>knicks_players_all_stats[[#This Row],[TOV2]]/10</f>
        <v>53</v>
      </c>
      <c r="AK163" s="6">
        <f>knicks_players_all_stats[[#This Row],[TOV]]/knicks_players_all_stats[[#This Row],[GP]]</f>
        <v>1.7666666666666666</v>
      </c>
      <c r="AL163" s="2">
        <v>66</v>
      </c>
      <c r="AM163" s="2">
        <f>knicks_players_all_stats[[#This Row],[PF]]/knicks_players_all_stats[[#This Row],[GP]]</f>
        <v>2.2000000000000002</v>
      </c>
      <c r="AN163" s="2">
        <v>397</v>
      </c>
      <c r="AO163" s="6">
        <f>knicks_players_all_stats[[#This Row],[PTS]]/knicks_players_all_stats[[#This Row],[GP]]</f>
        <v>13.233333333333333</v>
      </c>
    </row>
    <row r="164" spans="1:41" customFormat="1" x14ac:dyDescent="0.3">
      <c r="A164" s="3" t="s">
        <v>1567</v>
      </c>
      <c r="B164" s="3" t="s">
        <v>1305</v>
      </c>
      <c r="C164" s="3" t="str">
        <f>knicks_players_all_stats[[#This Row],[NAME]]&amp;" ("&amp;knicks_players_all_stats[[#This Row],[SEASON]]&amp;")"</f>
        <v>Chris Duhon (2009-10)</v>
      </c>
      <c r="D164" s="3">
        <f>knicks_players_all_stats[[#This Row],[PLAYER_AGE]]/10</f>
        <v>27</v>
      </c>
      <c r="E164">
        <v>270</v>
      </c>
      <c r="F164" s="2">
        <v>67</v>
      </c>
      <c r="G164" s="2">
        <v>20720</v>
      </c>
      <c r="H16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609</v>
      </c>
      <c r="I164" s="6">
        <f>knicks_players_all_stats[[#This Row],[VALORATION]]/knicks_players_all_stats[[#This Row],[GP]]</f>
        <v>9.08955223880597</v>
      </c>
      <c r="J164" s="2">
        <v>168</v>
      </c>
      <c r="K164" s="2">
        <v>451</v>
      </c>
      <c r="L164" s="4">
        <f>knicks_players_all_stats[[#This Row],[FGM]]/knicks_players_all_stats[[#This Row],[FGA]]</f>
        <v>0.37250554323725055</v>
      </c>
      <c r="M164" s="2">
        <v>900</v>
      </c>
      <c r="N164" s="2">
        <v>2580</v>
      </c>
      <c r="O164" s="4">
        <f>knicks_players_all_stats[[#This Row],[FG3M]]/knicks_players_all_stats[[#This Row],[FG3A]]</f>
        <v>0.34883720930232559</v>
      </c>
      <c r="P164" s="2">
        <v>68</v>
      </c>
      <c r="Q164" s="2">
        <v>95</v>
      </c>
      <c r="R164" s="5">
        <f>knicks_players_all_stats[[#This Row],[FTM]]/knicks_players_all_stats[[#This Row],[FTA]]</f>
        <v>0.71578947368421053</v>
      </c>
      <c r="S164" s="2">
        <f>knicks_players_all_stats[[#This Row],[OREB22]]/10</f>
        <v>28</v>
      </c>
      <c r="T164" s="2">
        <f>knicks_players_all_stats[[#This Row],[DREB33]]/10</f>
        <v>150</v>
      </c>
      <c r="U164" s="2">
        <f>knicks_players_all_stats[[#This Row],[REB44]]/10</f>
        <v>178</v>
      </c>
      <c r="V164">
        <v>280</v>
      </c>
      <c r="W164">
        <v>1500</v>
      </c>
      <c r="X164">
        <v>1780</v>
      </c>
      <c r="Y164" s="22">
        <f>knicks_players_all_stats[[#This Row],[REB]]/knicks_players_all_stats[[#This Row],[GP]]</f>
        <v>2.6567164179104479</v>
      </c>
      <c r="Z164" s="2">
        <v>378</v>
      </c>
      <c r="AA164" s="6">
        <f>knicks_players_all_stats[[#This Row],[AST]]/knicks_players_all_stats[[#This Row],[GP]]</f>
        <v>5.6417910447761193</v>
      </c>
      <c r="AB164" s="2">
        <f>knicks_players_all_stats[[#This Row],[STL2]]/10</f>
        <v>59</v>
      </c>
      <c r="AC164" s="2">
        <v>590</v>
      </c>
      <c r="AD164" s="6">
        <f>knicks_players_all_stats[[#This Row],[STL]]/knicks_players_all_stats[[#This Row],[GP]]</f>
        <v>0.88059701492537312</v>
      </c>
      <c r="AE164">
        <v>30</v>
      </c>
      <c r="AF164" s="2">
        <f>knicks_players_all_stats[[#This Row],[BLK2]]/10</f>
        <v>3</v>
      </c>
      <c r="AG164" s="6">
        <f>knicks_players_all_stats[[#This Row],[BLK]]/knicks_players_all_stats[[#This Row],[GP]]</f>
        <v>4.4776119402985072E-2</v>
      </c>
      <c r="AH164">
        <v>1100</v>
      </c>
      <c r="AI164" s="6">
        <f>knicks_players_all_stats[[#This Row],[BLKPG]]+knicks_players_all_stats[[#This Row],[STLPG]]+knicks_players_all_stats[[#This Row],[REBPG]]</f>
        <v>3.5820895522388061</v>
      </c>
      <c r="AJ164" s="2">
        <f>knicks_players_all_stats[[#This Row],[TOV2]]/10</f>
        <v>110</v>
      </c>
      <c r="AK164" s="6">
        <f>knicks_players_all_stats[[#This Row],[TOV]]/knicks_players_all_stats[[#This Row],[GP]]</f>
        <v>1.6417910447761195</v>
      </c>
      <c r="AL164" s="2">
        <v>83</v>
      </c>
      <c r="AM164" s="2">
        <f>knicks_players_all_stats[[#This Row],[PF]]/knicks_players_all_stats[[#This Row],[GP]]</f>
        <v>1.2388059701492538</v>
      </c>
      <c r="AN164" s="2">
        <v>494</v>
      </c>
      <c r="AO164" s="6">
        <f>knicks_players_all_stats[[#This Row],[PTS]]/knicks_players_all_stats[[#This Row],[GP]]</f>
        <v>7.3731343283582094</v>
      </c>
    </row>
    <row r="165" spans="1:41" customFormat="1" x14ac:dyDescent="0.3">
      <c r="A165" s="3" t="s">
        <v>1817</v>
      </c>
      <c r="B165" s="3" t="s">
        <v>1305</v>
      </c>
      <c r="C165" s="3" t="str">
        <f>knicks_players_all_stats[[#This Row],[NAME]]&amp;" ("&amp;knicks_players_all_stats[[#This Row],[SEASON]]&amp;")"</f>
        <v>Henry Walker (2009-10)</v>
      </c>
      <c r="D165" s="3">
        <f>knicks_players_all_stats[[#This Row],[PLAYER_AGE]]/10</f>
        <v>22</v>
      </c>
      <c r="E165">
        <v>220</v>
      </c>
      <c r="F165" s="2">
        <v>27</v>
      </c>
      <c r="G165" s="2">
        <v>7390</v>
      </c>
      <c r="H16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243</v>
      </c>
      <c r="I165" s="6">
        <f>knicks_players_all_stats[[#This Row],[VALORATION]]/knicks_players_all_stats[[#This Row],[GP]]</f>
        <v>9</v>
      </c>
      <c r="J165" s="2">
        <v>117</v>
      </c>
      <c r="K165" s="2">
        <v>226</v>
      </c>
      <c r="L165" s="2">
        <v>518</v>
      </c>
      <c r="M165" s="2">
        <v>500</v>
      </c>
      <c r="N165" s="2">
        <v>1160</v>
      </c>
      <c r="O165" s="4">
        <f>knicks_players_all_stats[[#This Row],[FG3M]]/knicks_players_all_stats[[#This Row],[FG3A]]</f>
        <v>0.43103448275862066</v>
      </c>
      <c r="P165" s="2">
        <v>37</v>
      </c>
      <c r="Q165" s="2">
        <v>47</v>
      </c>
      <c r="R165" s="5">
        <f>knicks_players_all_stats[[#This Row],[FTM]]/knicks_players_all_stats[[#This Row],[FTA]]</f>
        <v>0.78723404255319152</v>
      </c>
      <c r="S165" s="2">
        <f>knicks_players_all_stats[[#This Row],[OREB22]]/10</f>
        <v>15</v>
      </c>
      <c r="T165" s="2">
        <f>knicks_players_all_stats[[#This Row],[DREB33]]/10</f>
        <v>68</v>
      </c>
      <c r="U165" s="2">
        <f>knicks_players_all_stats[[#This Row],[REB44]]/10</f>
        <v>83</v>
      </c>
      <c r="V165">
        <v>150</v>
      </c>
      <c r="W165">
        <v>680</v>
      </c>
      <c r="X165">
        <v>830</v>
      </c>
      <c r="Y165" s="22">
        <f>knicks_players_all_stats[[#This Row],[REB]]/knicks_players_all_stats[[#This Row],[GP]]</f>
        <v>3.074074074074074</v>
      </c>
      <c r="Z165" s="2">
        <v>37</v>
      </c>
      <c r="AA165" s="6">
        <f>knicks_players_all_stats[[#This Row],[AST]]/knicks_players_all_stats[[#This Row],[GP]]</f>
        <v>1.3703703703703705</v>
      </c>
      <c r="AB165" s="2">
        <f>knicks_players_all_stats[[#This Row],[STL2]]/10</f>
        <v>23</v>
      </c>
      <c r="AC165" s="2">
        <v>230</v>
      </c>
      <c r="AD165" s="6">
        <f>knicks_players_all_stats[[#This Row],[STL]]/knicks_players_all_stats[[#This Row],[GP]]</f>
        <v>0.85185185185185186</v>
      </c>
      <c r="AE165">
        <v>30</v>
      </c>
      <c r="AF165" s="2">
        <f>knicks_players_all_stats[[#This Row],[BLK2]]/10</f>
        <v>3</v>
      </c>
      <c r="AG165" s="6">
        <f>knicks_players_all_stats[[#This Row],[BLK]]/knicks_players_all_stats[[#This Row],[GP]]</f>
        <v>0.1111111111111111</v>
      </c>
      <c r="AH165">
        <v>260</v>
      </c>
      <c r="AI165" s="6">
        <f>knicks_players_all_stats[[#This Row],[BLKPG]]+knicks_players_all_stats[[#This Row],[STLPG]]+knicks_players_all_stats[[#This Row],[REBPG]]</f>
        <v>4.0370370370370372</v>
      </c>
      <c r="AJ165" s="2">
        <f>knicks_players_all_stats[[#This Row],[TOV2]]/10</f>
        <v>26</v>
      </c>
      <c r="AK165" s="6">
        <f>knicks_players_all_stats[[#This Row],[TOV]]/knicks_players_all_stats[[#This Row],[GP]]</f>
        <v>0.96296296296296291</v>
      </c>
      <c r="AL165" s="2">
        <v>79</v>
      </c>
      <c r="AM165" s="2">
        <f>knicks_players_all_stats[[#This Row],[PF]]/knicks_players_all_stats[[#This Row],[GP]]</f>
        <v>2.925925925925926</v>
      </c>
      <c r="AN165" s="2">
        <v>321</v>
      </c>
      <c r="AO165" s="6">
        <f>knicks_players_all_stats[[#This Row],[PTS]]/knicks_players_all_stats[[#This Row],[GP]]</f>
        <v>11.888888888888889</v>
      </c>
    </row>
    <row r="166" spans="1:41" customFormat="1" x14ac:dyDescent="0.3">
      <c r="A166" s="3" t="s">
        <v>1418</v>
      </c>
      <c r="B166" s="3" t="s">
        <v>1305</v>
      </c>
      <c r="C166" s="3" t="str">
        <f>knicks_players_all_stats[[#This Row],[NAME]]&amp;" ("&amp;knicks_players_all_stats[[#This Row],[SEASON]]&amp;")"</f>
        <v>Tracy McGrady (2009-10)</v>
      </c>
      <c r="D166" s="3">
        <f>knicks_players_all_stats[[#This Row],[PLAYER_AGE]]/10</f>
        <v>31</v>
      </c>
      <c r="E166">
        <v>310</v>
      </c>
      <c r="F166" s="2">
        <v>24</v>
      </c>
      <c r="G166" s="2">
        <v>6270</v>
      </c>
      <c r="H16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208</v>
      </c>
      <c r="I166" s="6">
        <f>knicks_players_all_stats[[#This Row],[VALORATION]]/knicks_players_all_stats[[#This Row],[GP]]</f>
        <v>8.6666666666666661</v>
      </c>
      <c r="J166" s="2">
        <v>84</v>
      </c>
      <c r="K166" s="2">
        <v>216</v>
      </c>
      <c r="L166" s="4">
        <f>knicks_players_all_stats[[#This Row],[FGM]]/knicks_players_all_stats[[#This Row],[FGA]]</f>
        <v>0.3888888888888889</v>
      </c>
      <c r="M166" s="2">
        <v>150</v>
      </c>
      <c r="N166" s="2">
        <v>620</v>
      </c>
      <c r="O166" s="4">
        <f>knicks_players_all_stats[[#This Row],[FG3M]]/knicks_players_all_stats[[#This Row],[FG3A]]</f>
        <v>0.24193548387096775</v>
      </c>
      <c r="P166" s="2">
        <v>43</v>
      </c>
      <c r="Q166" s="2">
        <v>57</v>
      </c>
      <c r="R166" s="5">
        <f>knicks_players_all_stats[[#This Row],[FTM]]/knicks_players_all_stats[[#This Row],[FTA]]</f>
        <v>0.75438596491228072</v>
      </c>
      <c r="S166" s="2">
        <f>knicks_players_all_stats[[#This Row],[OREB22]]/10</f>
        <v>22</v>
      </c>
      <c r="T166" s="2">
        <f>knicks_players_all_stats[[#This Row],[DREB33]]/10</f>
        <v>67</v>
      </c>
      <c r="U166" s="2">
        <f>knicks_players_all_stats[[#This Row],[REB44]]/10</f>
        <v>89</v>
      </c>
      <c r="V166">
        <v>220</v>
      </c>
      <c r="W166">
        <v>670</v>
      </c>
      <c r="X166">
        <v>890</v>
      </c>
      <c r="Y166" s="22">
        <f>knicks_players_all_stats[[#This Row],[REB]]/knicks_players_all_stats[[#This Row],[GP]]</f>
        <v>3.7083333333333335</v>
      </c>
      <c r="Z166" s="2">
        <v>93</v>
      </c>
      <c r="AA166" s="6">
        <f>knicks_players_all_stats[[#This Row],[AST]]/knicks_players_all_stats[[#This Row],[GP]]</f>
        <v>3.875</v>
      </c>
      <c r="AB166" s="2">
        <f>knicks_players_all_stats[[#This Row],[STL2]]/10</f>
        <v>15</v>
      </c>
      <c r="AC166" s="2">
        <v>150</v>
      </c>
      <c r="AD166" s="6">
        <f>knicks_players_all_stats[[#This Row],[STL]]/knicks_players_all_stats[[#This Row],[GP]]</f>
        <v>0.625</v>
      </c>
      <c r="AE166">
        <v>120</v>
      </c>
      <c r="AF166" s="2">
        <f>knicks_players_all_stats[[#This Row],[BLK2]]/10</f>
        <v>12</v>
      </c>
      <c r="AG166" s="6">
        <f>knicks_players_all_stats[[#This Row],[BLK]]/knicks_players_all_stats[[#This Row],[GP]]</f>
        <v>0.5</v>
      </c>
      <c r="AH166">
        <v>430</v>
      </c>
      <c r="AI166" s="6">
        <f>knicks_players_all_stats[[#This Row],[BLKPG]]+knicks_players_all_stats[[#This Row],[STLPG]]+knicks_players_all_stats[[#This Row],[REBPG]]</f>
        <v>4.8333333333333339</v>
      </c>
      <c r="AJ166" s="2">
        <f>knicks_players_all_stats[[#This Row],[TOV2]]/10</f>
        <v>43</v>
      </c>
      <c r="AK166" s="6">
        <f>knicks_players_all_stats[[#This Row],[TOV]]/knicks_players_all_stats[[#This Row],[GP]]</f>
        <v>1.7916666666666667</v>
      </c>
      <c r="AL166" s="2">
        <v>38</v>
      </c>
      <c r="AM166" s="2">
        <f>knicks_players_all_stats[[#This Row],[PF]]/knicks_players_all_stats[[#This Row],[GP]]</f>
        <v>1.5833333333333333</v>
      </c>
      <c r="AN166" s="2">
        <v>226</v>
      </c>
      <c r="AO166" s="6">
        <f>knicks_players_all_stats[[#This Row],[PTS]]/knicks_players_all_stats[[#This Row],[GP]]</f>
        <v>9.4166666666666661</v>
      </c>
    </row>
    <row r="167" spans="1:41" customFormat="1" x14ac:dyDescent="0.3">
      <c r="A167" s="3" t="s">
        <v>1459</v>
      </c>
      <c r="B167" s="3" t="s">
        <v>1305</v>
      </c>
      <c r="C167" s="3" t="str">
        <f>knicks_players_all_stats[[#This Row],[NAME]]&amp;" ("&amp;knicks_players_all_stats[[#This Row],[SEASON]]&amp;")"</f>
        <v>Larry Hughes (2009-10)</v>
      </c>
      <c r="D167" s="3">
        <f>knicks_players_all_stats[[#This Row],[PLAYER_AGE]]/10</f>
        <v>31</v>
      </c>
      <c r="E167">
        <v>310</v>
      </c>
      <c r="F167" s="2">
        <v>31</v>
      </c>
      <c r="G167" s="2">
        <v>8200</v>
      </c>
      <c r="H16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267</v>
      </c>
      <c r="I167" s="6">
        <f>knicks_players_all_stats[[#This Row],[VALORATION]]/knicks_players_all_stats[[#This Row],[GP]]</f>
        <v>8.612903225806452</v>
      </c>
      <c r="J167" s="2">
        <v>102</v>
      </c>
      <c r="K167" s="2">
        <v>279</v>
      </c>
      <c r="L167" s="4">
        <f>knicks_players_all_stats[[#This Row],[FGM]]/knicks_players_all_stats[[#This Row],[FGA]]</f>
        <v>0.36559139784946237</v>
      </c>
      <c r="M167" s="2">
        <v>280</v>
      </c>
      <c r="N167" s="2">
        <v>970</v>
      </c>
      <c r="O167" s="4">
        <f>knicks_players_all_stats[[#This Row],[FG3M]]/knicks_players_all_stats[[#This Row],[FG3A]]</f>
        <v>0.28865979381443296</v>
      </c>
      <c r="P167" s="2">
        <v>65</v>
      </c>
      <c r="Q167" s="2">
        <v>79</v>
      </c>
      <c r="R167" s="5">
        <f>knicks_players_all_stats[[#This Row],[FTM]]/knicks_players_all_stats[[#This Row],[FTA]]</f>
        <v>0.82278481012658233</v>
      </c>
      <c r="S167" s="2">
        <f>knicks_players_all_stats[[#This Row],[OREB22]]/10</f>
        <v>16</v>
      </c>
      <c r="T167" s="2">
        <f>knicks_players_all_stats[[#This Row],[DREB33]]/10</f>
        <v>94</v>
      </c>
      <c r="U167" s="2">
        <f>knicks_players_all_stats[[#This Row],[REB44]]/10</f>
        <v>110</v>
      </c>
      <c r="V167">
        <v>160</v>
      </c>
      <c r="W167">
        <v>940</v>
      </c>
      <c r="X167">
        <v>1100</v>
      </c>
      <c r="Y167" s="22">
        <f>knicks_players_all_stats[[#This Row],[REB]]/knicks_players_all_stats[[#This Row],[GP]]</f>
        <v>3.5483870967741935</v>
      </c>
      <c r="Z167" s="2">
        <v>109</v>
      </c>
      <c r="AA167" s="6">
        <f>knicks_players_all_stats[[#This Row],[AST]]/knicks_players_all_stats[[#This Row],[GP]]</f>
        <v>3.5161290322580645</v>
      </c>
      <c r="AB167" s="2">
        <f>knicks_players_all_stats[[#This Row],[STL2]]/10</f>
        <v>40</v>
      </c>
      <c r="AC167" s="2">
        <v>400</v>
      </c>
      <c r="AD167" s="6">
        <f>knicks_players_all_stats[[#This Row],[STL]]/knicks_players_all_stats[[#This Row],[GP]]</f>
        <v>1.2903225806451613</v>
      </c>
      <c r="AE167">
        <v>110</v>
      </c>
      <c r="AF167" s="2">
        <f>knicks_players_all_stats[[#This Row],[BLK2]]/10</f>
        <v>11</v>
      </c>
      <c r="AG167" s="6">
        <f>knicks_players_all_stats[[#This Row],[BLK]]/knicks_players_all_stats[[#This Row],[GP]]</f>
        <v>0.35483870967741937</v>
      </c>
      <c r="AH167">
        <v>560</v>
      </c>
      <c r="AI167" s="6">
        <f>knicks_players_all_stats[[#This Row],[BLKPG]]+knicks_players_all_stats[[#This Row],[STLPG]]+knicks_players_all_stats[[#This Row],[REBPG]]</f>
        <v>5.193548387096774</v>
      </c>
      <c r="AJ167" s="2">
        <f>knicks_players_all_stats[[#This Row],[TOV2]]/10</f>
        <v>56</v>
      </c>
      <c r="AK167" s="6">
        <f>knicks_players_all_stats[[#This Row],[TOV]]/knicks_players_all_stats[[#This Row],[GP]]</f>
        <v>1.8064516129032258</v>
      </c>
      <c r="AL167" s="2">
        <v>53</v>
      </c>
      <c r="AM167" s="2">
        <f>knicks_players_all_stats[[#This Row],[PF]]/knicks_players_all_stats[[#This Row],[GP]]</f>
        <v>1.7096774193548387</v>
      </c>
      <c r="AN167" s="2">
        <v>297</v>
      </c>
      <c r="AO167" s="6">
        <f>knicks_players_all_stats[[#This Row],[PTS]]/knicks_players_all_stats[[#This Row],[GP]]</f>
        <v>9.5806451612903221</v>
      </c>
    </row>
    <row r="168" spans="1:41" customFormat="1" x14ac:dyDescent="0.3">
      <c r="A168" s="3" t="s">
        <v>1391</v>
      </c>
      <c r="B168" s="3" t="s">
        <v>1305</v>
      </c>
      <c r="C168" s="3" t="str">
        <f>knicks_players_all_stats[[#This Row],[NAME]]&amp;" ("&amp;knicks_players_all_stats[[#This Row],[SEASON]]&amp;")"</f>
        <v>Sergio Rodriguez (2009-10)</v>
      </c>
      <c r="D168" s="3">
        <f>knicks_players_all_stats[[#This Row],[PLAYER_AGE]]/10</f>
        <v>24</v>
      </c>
      <c r="E168">
        <v>240</v>
      </c>
      <c r="F168" s="2">
        <v>27</v>
      </c>
      <c r="G168" s="2">
        <v>5310</v>
      </c>
      <c r="H16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172</v>
      </c>
      <c r="I168" s="6">
        <f>knicks_players_all_stats[[#This Row],[VALORATION]]/knicks_players_all_stats[[#This Row],[GP]]</f>
        <v>6.3703703703703702</v>
      </c>
      <c r="J168" s="2">
        <v>79</v>
      </c>
      <c r="K168" s="2">
        <v>161</v>
      </c>
      <c r="L168" s="4">
        <f>knicks_players_all_stats[[#This Row],[FGM]]/knicks_players_all_stats[[#This Row],[FGA]]</f>
        <v>0.49068322981366458</v>
      </c>
      <c r="M168" s="2">
        <v>170</v>
      </c>
      <c r="N168" s="2">
        <v>490</v>
      </c>
      <c r="O168" s="4">
        <f>knicks_players_all_stats[[#This Row],[FG3M]]/knicks_players_all_stats[[#This Row],[FG3A]]</f>
        <v>0.34693877551020408</v>
      </c>
      <c r="P168" s="2">
        <v>25</v>
      </c>
      <c r="Q168" s="2">
        <v>31</v>
      </c>
      <c r="R168" s="5">
        <f>knicks_players_all_stats[[#This Row],[FTM]]/knicks_players_all_stats[[#This Row],[FTA]]</f>
        <v>0.80645161290322576</v>
      </c>
      <c r="S168" s="2">
        <f>knicks_players_all_stats[[#This Row],[OREB22]]/10</f>
        <v>9</v>
      </c>
      <c r="T168" s="2">
        <f>knicks_players_all_stats[[#This Row],[DREB33]]/10</f>
        <v>30</v>
      </c>
      <c r="U168" s="2">
        <f>knicks_players_all_stats[[#This Row],[REB44]]/10</f>
        <v>39</v>
      </c>
      <c r="V168">
        <v>90</v>
      </c>
      <c r="W168">
        <v>300</v>
      </c>
      <c r="X168">
        <v>390</v>
      </c>
      <c r="Y168" s="22">
        <f>knicks_players_all_stats[[#This Row],[REB]]/knicks_players_all_stats[[#This Row],[GP]]</f>
        <v>1.4444444444444444</v>
      </c>
      <c r="Z168" s="2">
        <v>91</v>
      </c>
      <c r="AA168" s="6">
        <f>knicks_players_all_stats[[#This Row],[AST]]/knicks_players_all_stats[[#This Row],[GP]]</f>
        <v>3.3703703703703702</v>
      </c>
      <c r="AB168" s="2">
        <f>knicks_players_all_stats[[#This Row],[STL2]]/10</f>
        <v>21</v>
      </c>
      <c r="AC168" s="2">
        <v>210</v>
      </c>
      <c r="AD168" s="6">
        <f>knicks_players_all_stats[[#This Row],[STL]]/knicks_players_all_stats[[#This Row],[GP]]</f>
        <v>0.77777777777777779</v>
      </c>
      <c r="AE168">
        <v>20</v>
      </c>
      <c r="AF168" s="2">
        <f>knicks_players_all_stats[[#This Row],[BLK2]]/10</f>
        <v>2</v>
      </c>
      <c r="AG168" s="6">
        <f>knicks_players_all_stats[[#This Row],[BLK]]/knicks_players_all_stats[[#This Row],[GP]]</f>
        <v>7.407407407407407E-2</v>
      </c>
      <c r="AH168">
        <v>550</v>
      </c>
      <c r="AI168" s="6">
        <f>knicks_players_all_stats[[#This Row],[BLKPG]]+knicks_players_all_stats[[#This Row],[STLPG]]+knicks_players_all_stats[[#This Row],[REBPG]]</f>
        <v>2.2962962962962963</v>
      </c>
      <c r="AJ168" s="2">
        <f>knicks_players_all_stats[[#This Row],[TOV2]]/10</f>
        <v>55</v>
      </c>
      <c r="AK168" s="6">
        <f>knicks_players_all_stats[[#This Row],[TOV]]/knicks_players_all_stats[[#This Row],[GP]]</f>
        <v>2.0370370370370372</v>
      </c>
      <c r="AL168" s="2">
        <v>38</v>
      </c>
      <c r="AM168" s="2">
        <f>knicks_players_all_stats[[#This Row],[PF]]/knicks_players_all_stats[[#This Row],[GP]]</f>
        <v>1.4074074074074074</v>
      </c>
      <c r="AN168" s="2">
        <v>200</v>
      </c>
      <c r="AO168" s="6">
        <f>knicks_players_all_stats[[#This Row],[PTS]]/knicks_players_all_stats[[#This Row],[GP]]</f>
        <v>7.4074074074074074</v>
      </c>
    </row>
    <row r="169" spans="1:41" customFormat="1" x14ac:dyDescent="0.3">
      <c r="A169" s="3" t="s">
        <v>1577</v>
      </c>
      <c r="B169" s="3" t="s">
        <v>1305</v>
      </c>
      <c r="C169" s="3" t="str">
        <f>knicks_players_all_stats[[#This Row],[NAME]]&amp;" ("&amp;knicks_players_all_stats[[#This Row],[SEASON]]&amp;")"</f>
        <v>Toney Douglas (2009-10)</v>
      </c>
      <c r="D169" s="3">
        <f>knicks_players_all_stats[[#This Row],[PLAYER_AGE]]/10</f>
        <v>24</v>
      </c>
      <c r="E169">
        <v>240</v>
      </c>
      <c r="F169" s="2">
        <v>56</v>
      </c>
      <c r="G169" s="2">
        <v>10870</v>
      </c>
      <c r="H16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350</v>
      </c>
      <c r="I169" s="6">
        <f>knicks_players_all_stats[[#This Row],[VALORATION]]/knicks_players_all_stats[[#This Row],[GP]]</f>
        <v>6.25</v>
      </c>
      <c r="J169" s="2">
        <v>179</v>
      </c>
      <c r="K169" s="2">
        <v>391</v>
      </c>
      <c r="L169" s="4">
        <f>knicks_players_all_stats[[#This Row],[FGM]]/knicks_players_all_stats[[#This Row],[FGA]]</f>
        <v>0.4578005115089514</v>
      </c>
      <c r="M169" s="2">
        <v>680</v>
      </c>
      <c r="N169" s="2">
        <v>1750</v>
      </c>
      <c r="O169" s="4">
        <f>knicks_players_all_stats[[#This Row],[FG3M]]/knicks_players_all_stats[[#This Row],[FG3A]]</f>
        <v>0.38857142857142857</v>
      </c>
      <c r="P169" s="2">
        <v>55</v>
      </c>
      <c r="Q169" s="2">
        <v>68</v>
      </c>
      <c r="R169" s="5">
        <f>knicks_players_all_stats[[#This Row],[FTM]]/knicks_players_all_stats[[#This Row],[FTA]]</f>
        <v>0.80882352941176472</v>
      </c>
      <c r="S169" s="2">
        <f>knicks_players_all_stats[[#This Row],[OREB22]]/10</f>
        <v>40</v>
      </c>
      <c r="T169" s="2">
        <f>knicks_players_all_stats[[#This Row],[DREB33]]/10</f>
        <v>68</v>
      </c>
      <c r="U169" s="2">
        <f>knicks_players_all_stats[[#This Row],[REB44]]/10</f>
        <v>108</v>
      </c>
      <c r="V169">
        <v>400</v>
      </c>
      <c r="W169">
        <v>680</v>
      </c>
      <c r="X169">
        <v>1080</v>
      </c>
      <c r="Y169" s="22">
        <f>knicks_players_all_stats[[#This Row],[REB]]/knicks_players_all_stats[[#This Row],[GP]]</f>
        <v>1.9285714285714286</v>
      </c>
      <c r="Z169" s="2">
        <v>112</v>
      </c>
      <c r="AA169" s="6">
        <f>knicks_players_all_stats[[#This Row],[AST]]/knicks_players_all_stats[[#This Row],[GP]]</f>
        <v>2</v>
      </c>
      <c r="AB169" s="2">
        <f>knicks_players_all_stats[[#This Row],[STL2]]/10</f>
        <v>42</v>
      </c>
      <c r="AC169" s="2">
        <v>420</v>
      </c>
      <c r="AD169" s="6">
        <f>knicks_players_all_stats[[#This Row],[STL]]/knicks_players_all_stats[[#This Row],[GP]]</f>
        <v>0.75</v>
      </c>
      <c r="AE169">
        <v>30</v>
      </c>
      <c r="AF169" s="2">
        <f>knicks_players_all_stats[[#This Row],[BLK2]]/10</f>
        <v>3</v>
      </c>
      <c r="AG169" s="6">
        <f>knicks_players_all_stats[[#This Row],[BLK]]/knicks_players_all_stats[[#This Row],[GP]]</f>
        <v>5.3571428571428568E-2</v>
      </c>
      <c r="AH169">
        <v>550</v>
      </c>
      <c r="AI169" s="6">
        <f>knicks_players_all_stats[[#This Row],[BLKPG]]+knicks_players_all_stats[[#This Row],[STLPG]]+knicks_players_all_stats[[#This Row],[REBPG]]</f>
        <v>2.7321428571428572</v>
      </c>
      <c r="AJ169" s="2">
        <f>knicks_players_all_stats[[#This Row],[TOV2]]/10</f>
        <v>55</v>
      </c>
      <c r="AK169" s="6">
        <f>knicks_players_all_stats[[#This Row],[TOV]]/knicks_players_all_stats[[#This Row],[GP]]</f>
        <v>0.9821428571428571</v>
      </c>
      <c r="AL169" s="2">
        <v>116</v>
      </c>
      <c r="AM169" s="2">
        <f>knicks_players_all_stats[[#This Row],[PF]]/knicks_players_all_stats[[#This Row],[GP]]</f>
        <v>2.0714285714285716</v>
      </c>
      <c r="AN169" s="2">
        <v>481</v>
      </c>
      <c r="AO169" s="6">
        <f>knicks_players_all_stats[[#This Row],[PTS]]/knicks_players_all_stats[[#This Row],[GP]]</f>
        <v>8.5892857142857135</v>
      </c>
    </row>
    <row r="170" spans="1:41" customFormat="1" x14ac:dyDescent="0.3">
      <c r="A170" s="3" t="s">
        <v>1734</v>
      </c>
      <c r="B170" s="3" t="s">
        <v>1305</v>
      </c>
      <c r="C170" s="3" t="str">
        <f>knicks_players_all_stats[[#This Row],[NAME]]&amp;" ("&amp;knicks_players_all_stats[[#This Row],[SEASON]]&amp;")"</f>
        <v>Jared Jeffries (2009-10)</v>
      </c>
      <c r="D170" s="3">
        <f>knicks_players_all_stats[[#This Row],[PLAYER_AGE]]/10</f>
        <v>28</v>
      </c>
      <c r="E170">
        <v>280</v>
      </c>
      <c r="F170" s="2">
        <v>52</v>
      </c>
      <c r="G170" s="2">
        <v>14620</v>
      </c>
      <c r="H17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321</v>
      </c>
      <c r="I170" s="6">
        <f>knicks_players_all_stats[[#This Row],[VALORATION]]/knicks_players_all_stats[[#This Row],[GP]]</f>
        <v>6.1730769230769234</v>
      </c>
      <c r="J170" s="2">
        <v>102</v>
      </c>
      <c r="K170" s="2">
        <v>230</v>
      </c>
      <c r="L170" s="2">
        <v>443</v>
      </c>
      <c r="M170" s="2">
        <v>200</v>
      </c>
      <c r="N170" s="2">
        <v>620</v>
      </c>
      <c r="O170" s="4">
        <f>knicks_players_all_stats[[#This Row],[FG3M]]/knicks_players_all_stats[[#This Row],[FG3A]]</f>
        <v>0.32258064516129031</v>
      </c>
      <c r="P170" s="2">
        <v>60</v>
      </c>
      <c r="Q170" s="2">
        <v>93</v>
      </c>
      <c r="R170" s="5">
        <f>knicks_players_all_stats[[#This Row],[FTM]]/knicks_players_all_stats[[#This Row],[FTA]]</f>
        <v>0.64516129032258063</v>
      </c>
      <c r="S170" s="2">
        <f>knicks_players_all_stats[[#This Row],[OREB22]]/10</f>
        <v>99</v>
      </c>
      <c r="T170" s="2">
        <f>knicks_players_all_stats[[#This Row],[DREB33]]/10</f>
        <v>124</v>
      </c>
      <c r="U170" s="2">
        <f>knicks_players_all_stats[[#This Row],[REB44]]/10</f>
        <v>223</v>
      </c>
      <c r="V170">
        <v>990</v>
      </c>
      <c r="W170">
        <v>1240</v>
      </c>
      <c r="X170">
        <v>2230</v>
      </c>
      <c r="Y170" s="22">
        <f>knicks_players_all_stats[[#This Row],[REB]]/knicks_players_all_stats[[#This Row],[GP]]</f>
        <v>4.2884615384615383</v>
      </c>
      <c r="Z170" s="2">
        <v>83</v>
      </c>
      <c r="AA170" s="6">
        <f>knicks_players_all_stats[[#This Row],[AST]]/knicks_players_all_stats[[#This Row],[GP]]</f>
        <v>1.5961538461538463</v>
      </c>
      <c r="AB170" s="2">
        <f>knicks_players_all_stats[[#This Row],[STL2]]/10</f>
        <v>53</v>
      </c>
      <c r="AC170" s="2">
        <v>530</v>
      </c>
      <c r="AD170" s="6">
        <f>knicks_players_all_stats[[#This Row],[STL]]/knicks_players_all_stats[[#This Row],[GP]]</f>
        <v>1.0192307692307692</v>
      </c>
      <c r="AE170">
        <v>580</v>
      </c>
      <c r="AF170" s="2">
        <f>knicks_players_all_stats[[#This Row],[BLK2]]/10</f>
        <v>58</v>
      </c>
      <c r="AG170" s="6">
        <f>knicks_players_all_stats[[#This Row],[BLK]]/knicks_players_all_stats[[#This Row],[GP]]</f>
        <v>1.1153846153846154</v>
      </c>
      <c r="AH170">
        <v>620</v>
      </c>
      <c r="AI170" s="6">
        <f>knicks_players_all_stats[[#This Row],[BLKPG]]+knicks_players_all_stats[[#This Row],[STLPG]]+knicks_players_all_stats[[#This Row],[REBPG]]</f>
        <v>6.4230769230769234</v>
      </c>
      <c r="AJ170" s="2">
        <f>knicks_players_all_stats[[#This Row],[TOV2]]/10</f>
        <v>62</v>
      </c>
      <c r="AK170" s="6">
        <f>knicks_players_all_stats[[#This Row],[TOV]]/knicks_players_all_stats[[#This Row],[GP]]</f>
        <v>1.1923076923076923</v>
      </c>
      <c r="AL170" s="2">
        <v>157</v>
      </c>
      <c r="AM170" s="2">
        <f>knicks_players_all_stats[[#This Row],[PF]]/knicks_players_all_stats[[#This Row],[GP]]</f>
        <v>3.0192307692307692</v>
      </c>
      <c r="AN170" s="2">
        <v>284</v>
      </c>
      <c r="AO170" s="6">
        <f>knicks_players_all_stats[[#This Row],[PTS]]/knicks_players_all_stats[[#This Row],[GP]]</f>
        <v>5.4615384615384617</v>
      </c>
    </row>
    <row r="171" spans="1:41" customFormat="1" x14ac:dyDescent="0.3">
      <c r="A171" s="3" t="s">
        <v>1477</v>
      </c>
      <c r="B171" s="3" t="s">
        <v>1305</v>
      </c>
      <c r="C171" s="3" t="str">
        <f>knicks_players_all_stats[[#This Row],[NAME]]&amp;" ("&amp;knicks_players_all_stats[[#This Row],[SEASON]]&amp;")"</f>
        <v>Eddie House (2009-10)</v>
      </c>
      <c r="D171" s="3">
        <f>knicks_players_all_stats[[#This Row],[PLAYER_AGE]]/10</f>
        <v>32</v>
      </c>
      <c r="E171">
        <v>320</v>
      </c>
      <c r="F171" s="2">
        <v>18</v>
      </c>
      <c r="G171" s="2">
        <v>3710</v>
      </c>
      <c r="H17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75</v>
      </c>
      <c r="I171" s="6">
        <f>knicks_players_all_stats[[#This Row],[VALORATION]]/knicks_players_all_stats[[#This Row],[GP]]</f>
        <v>4.166666666666667</v>
      </c>
      <c r="J171" s="2">
        <v>44</v>
      </c>
      <c r="K171" s="2">
        <v>133</v>
      </c>
      <c r="L171" s="4">
        <f>knicks_players_all_stats[[#This Row],[FGM]]/knicks_players_all_stats[[#This Row],[FGA]]</f>
        <v>0.33082706766917291</v>
      </c>
      <c r="M171" s="2">
        <v>150</v>
      </c>
      <c r="N171" s="2">
        <v>600</v>
      </c>
      <c r="O171" s="4">
        <f>knicks_players_all_stats[[#This Row],[FG3M]]/knicks_players_all_stats[[#This Row],[FG3A]]</f>
        <v>0.25</v>
      </c>
      <c r="P171" s="2">
        <v>12</v>
      </c>
      <c r="Q171" s="2">
        <v>12</v>
      </c>
      <c r="R171" s="5">
        <f>knicks_players_all_stats[[#This Row],[FTM]]/knicks_players_all_stats[[#This Row],[FTA]]</f>
        <v>1</v>
      </c>
      <c r="S171" s="2">
        <f>knicks_players_all_stats[[#This Row],[OREB22]]/10</f>
        <v>6</v>
      </c>
      <c r="T171" s="2">
        <f>knicks_players_all_stats[[#This Row],[DREB33]]/10</f>
        <v>34</v>
      </c>
      <c r="U171" s="2">
        <f>knicks_players_all_stats[[#This Row],[REB44]]/10</f>
        <v>40</v>
      </c>
      <c r="V171">
        <v>60</v>
      </c>
      <c r="W171">
        <v>340</v>
      </c>
      <c r="X171">
        <v>400</v>
      </c>
      <c r="Y171" s="22">
        <f>knicks_players_all_stats[[#This Row],[REB]]/knicks_players_all_stats[[#This Row],[GP]]</f>
        <v>2.2222222222222223</v>
      </c>
      <c r="Z171" s="2">
        <v>37</v>
      </c>
      <c r="AA171" s="6">
        <f>knicks_players_all_stats[[#This Row],[AST]]/knicks_players_all_stats[[#This Row],[GP]]</f>
        <v>2.0555555555555554</v>
      </c>
      <c r="AB171" s="2">
        <f>knicks_players_all_stats[[#This Row],[STL2]]/10</f>
        <v>12</v>
      </c>
      <c r="AC171" s="2">
        <v>120</v>
      </c>
      <c r="AD171" s="6">
        <f>knicks_players_all_stats[[#This Row],[STL]]/knicks_players_all_stats[[#This Row],[GP]]</f>
        <v>0.66666666666666663</v>
      </c>
      <c r="AE171">
        <v>0</v>
      </c>
      <c r="AF171" s="2">
        <f>knicks_players_all_stats[[#This Row],[BLK2]]/10</f>
        <v>0</v>
      </c>
      <c r="AG171" s="6">
        <f>knicks_players_all_stats[[#This Row],[BLK]]/knicks_players_all_stats[[#This Row],[GP]]</f>
        <v>0</v>
      </c>
      <c r="AH171">
        <v>200</v>
      </c>
      <c r="AI171" s="6">
        <f>knicks_players_all_stats[[#This Row],[BLKPG]]+knicks_players_all_stats[[#This Row],[STLPG]]+knicks_players_all_stats[[#This Row],[REBPG]]</f>
        <v>2.8888888888888888</v>
      </c>
      <c r="AJ171" s="2">
        <f>knicks_players_all_stats[[#This Row],[TOV2]]/10</f>
        <v>20</v>
      </c>
      <c r="AK171" s="6">
        <f>knicks_players_all_stats[[#This Row],[TOV]]/knicks_players_all_stats[[#This Row],[GP]]</f>
        <v>1.1111111111111112</v>
      </c>
      <c r="AL171" s="2">
        <v>20</v>
      </c>
      <c r="AM171" s="2">
        <f>knicks_players_all_stats[[#This Row],[PF]]/knicks_players_all_stats[[#This Row],[GP]]</f>
        <v>1.1111111111111112</v>
      </c>
      <c r="AN171" s="2">
        <v>115</v>
      </c>
      <c r="AO171" s="6">
        <f>knicks_players_all_stats[[#This Row],[PTS]]/knicks_players_all_stats[[#This Row],[GP]]</f>
        <v>6.3888888888888893</v>
      </c>
    </row>
    <row r="172" spans="1:41" x14ac:dyDescent="0.3">
      <c r="A172" s="3" t="s">
        <v>1760</v>
      </c>
      <c r="B172" s="3" t="s">
        <v>1305</v>
      </c>
      <c r="C172" s="3" t="str">
        <f>knicks_players_all_stats[[#This Row],[NAME]]&amp;" ("&amp;knicks_players_all_stats[[#This Row],[SEASON]]&amp;")"</f>
        <v>Jonathan Bender (2009-10)</v>
      </c>
      <c r="D172" s="3">
        <f>knicks_players_all_stats[[#This Row],[PLAYER_AGE]]/10</f>
        <v>29</v>
      </c>
      <c r="E172">
        <v>290</v>
      </c>
      <c r="F172" s="2">
        <v>25</v>
      </c>
      <c r="G172" s="2">
        <v>2920</v>
      </c>
      <c r="H17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82</v>
      </c>
      <c r="I172" s="6">
        <f>knicks_players_all_stats[[#This Row],[VALORATION]]/knicks_players_all_stats[[#This Row],[GP]]</f>
        <v>3.28</v>
      </c>
      <c r="J172" s="2">
        <v>40</v>
      </c>
      <c r="K172" s="2">
        <v>100</v>
      </c>
      <c r="L172" s="2">
        <v>4</v>
      </c>
      <c r="M172" s="2">
        <v>140</v>
      </c>
      <c r="N172" s="2">
        <v>390</v>
      </c>
      <c r="O172" s="4">
        <f>knicks_players_all_stats[[#This Row],[FG3M]]/knicks_players_all_stats[[#This Row],[FG3A]]</f>
        <v>0.35897435897435898</v>
      </c>
      <c r="P172" s="2">
        <v>24</v>
      </c>
      <c r="Q172" s="2">
        <v>26</v>
      </c>
      <c r="R172" s="5">
        <f>knicks_players_all_stats[[#This Row],[FTM]]/knicks_players_all_stats[[#This Row],[FTA]]</f>
        <v>0.92307692307692313</v>
      </c>
      <c r="S172" s="2">
        <f>knicks_players_all_stats[[#This Row],[OREB22]]/10</f>
        <v>15</v>
      </c>
      <c r="T172" s="2">
        <f>knicks_players_all_stats[[#This Row],[DREB33]]/10</f>
        <v>37</v>
      </c>
      <c r="U172" s="2">
        <f>knicks_players_all_stats[[#This Row],[REB44]]/10</f>
        <v>52</v>
      </c>
      <c r="V172">
        <v>150</v>
      </c>
      <c r="W172">
        <v>370</v>
      </c>
      <c r="X172">
        <v>520</v>
      </c>
      <c r="Y172" s="22">
        <f>knicks_players_all_stats[[#This Row],[REB]]/knicks_players_all_stats[[#This Row],[GP]]</f>
        <v>2.08</v>
      </c>
      <c r="Z172" s="2">
        <v>16</v>
      </c>
      <c r="AA172" s="6">
        <f>knicks_players_all_stats[[#This Row],[AST]]/knicks_players_all_stats[[#This Row],[GP]]</f>
        <v>0.64</v>
      </c>
      <c r="AB172" s="2">
        <f>knicks_players_all_stats[[#This Row],[STL2]]/10</f>
        <v>2</v>
      </c>
      <c r="AC172" s="2">
        <v>20</v>
      </c>
      <c r="AD172" s="6">
        <f>knicks_players_all_stats[[#This Row],[STL]]/knicks_players_all_stats[[#This Row],[GP]]</f>
        <v>0.08</v>
      </c>
      <c r="AE172">
        <v>170</v>
      </c>
      <c r="AF172" s="2">
        <f>knicks_players_all_stats[[#This Row],[BLK2]]/10</f>
        <v>17</v>
      </c>
      <c r="AG172" s="6">
        <f>knicks_players_all_stats[[#This Row],[BLK]]/knicks_players_all_stats[[#This Row],[GP]]</f>
        <v>0.68</v>
      </c>
      <c r="AH172">
        <v>280</v>
      </c>
      <c r="AI172" s="6">
        <f>knicks_players_all_stats[[#This Row],[BLKPG]]+knicks_players_all_stats[[#This Row],[STLPG]]+knicks_players_all_stats[[#This Row],[REBPG]]</f>
        <v>2.84</v>
      </c>
      <c r="AJ172" s="2">
        <f>knicks_players_all_stats[[#This Row],[TOV2]]/10</f>
        <v>28</v>
      </c>
      <c r="AK172" s="6">
        <f>knicks_players_all_stats[[#This Row],[TOV]]/knicks_players_all_stats[[#This Row],[GP]]</f>
        <v>1.1200000000000001</v>
      </c>
      <c r="AL172" s="2">
        <v>33</v>
      </c>
      <c r="AM172" s="2">
        <f>knicks_players_all_stats[[#This Row],[PF]]/knicks_players_all_stats[[#This Row],[GP]]</f>
        <v>1.32</v>
      </c>
      <c r="AN172" s="2">
        <v>118</v>
      </c>
      <c r="AO172" s="6">
        <f>knicks_players_all_stats[[#This Row],[PTS]]/knicks_players_all_stats[[#This Row],[GP]]</f>
        <v>4.72</v>
      </c>
    </row>
    <row r="173" spans="1:41" customFormat="1" x14ac:dyDescent="0.3">
      <c r="A173" s="3" t="s">
        <v>1707</v>
      </c>
      <c r="B173" s="3" t="s">
        <v>1305</v>
      </c>
      <c r="C173" s="3" t="str">
        <f>knicks_players_all_stats[[#This Row],[NAME]]&amp;" ("&amp;knicks_players_all_stats[[#This Row],[SEASON]]&amp;")"</f>
        <v>J.R. Giddens (2009-10)</v>
      </c>
      <c r="D173" s="3">
        <f>knicks_players_all_stats[[#This Row],[PLAYER_AGE]]/10</f>
        <v>25</v>
      </c>
      <c r="E173">
        <v>250</v>
      </c>
      <c r="F173" s="2">
        <v>11</v>
      </c>
      <c r="G173" s="2">
        <v>1400</v>
      </c>
      <c r="H17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36</v>
      </c>
      <c r="I173" s="6">
        <f>knicks_players_all_stats[[#This Row],[VALORATION]]/knicks_players_all_stats[[#This Row],[GP]]</f>
        <v>3.2727272727272729</v>
      </c>
      <c r="J173" s="2">
        <v>19</v>
      </c>
      <c r="K173" s="2">
        <v>39</v>
      </c>
      <c r="L173" s="2">
        <v>487</v>
      </c>
      <c r="M173" s="2">
        <v>0</v>
      </c>
      <c r="N173" s="2">
        <v>80</v>
      </c>
      <c r="O173" s="4">
        <f>knicks_players_all_stats[[#This Row],[FG3M]]/knicks_players_all_stats[[#This Row],[FG3A]]</f>
        <v>0</v>
      </c>
      <c r="P173" s="2">
        <v>7</v>
      </c>
      <c r="Q173" s="2">
        <v>11</v>
      </c>
      <c r="R173" s="5">
        <f>knicks_players_all_stats[[#This Row],[FTM]]/knicks_players_all_stats[[#This Row],[FTA]]</f>
        <v>0.63636363636363635</v>
      </c>
      <c r="S173" s="2">
        <f>knicks_players_all_stats[[#This Row],[OREB22]]/10</f>
        <v>12</v>
      </c>
      <c r="T173" s="2">
        <f>knicks_players_all_stats[[#This Row],[DREB33]]/10</f>
        <v>19</v>
      </c>
      <c r="U173" s="2">
        <f>knicks_players_all_stats[[#This Row],[REB44]]/10</f>
        <v>31</v>
      </c>
      <c r="V173">
        <v>120</v>
      </c>
      <c r="W173">
        <v>190</v>
      </c>
      <c r="X173">
        <v>310</v>
      </c>
      <c r="Y173" s="22">
        <f>knicks_players_all_stats[[#This Row],[REB]]/knicks_players_all_stats[[#This Row],[GP]]</f>
        <v>2.8181818181818183</v>
      </c>
      <c r="Z173" s="2">
        <v>7</v>
      </c>
      <c r="AA173" s="6">
        <f>knicks_players_all_stats[[#This Row],[AST]]/knicks_players_all_stats[[#This Row],[GP]]</f>
        <v>0.63636363636363635</v>
      </c>
      <c r="AB173" s="2">
        <f>knicks_players_all_stats[[#This Row],[STL2]]/10</f>
        <v>5</v>
      </c>
      <c r="AC173" s="2">
        <v>50</v>
      </c>
      <c r="AD173" s="6">
        <f>knicks_players_all_stats[[#This Row],[STL]]/knicks_players_all_stats[[#This Row],[GP]]</f>
        <v>0.45454545454545453</v>
      </c>
      <c r="AE173">
        <v>10</v>
      </c>
      <c r="AF173" s="2">
        <f>knicks_players_all_stats[[#This Row],[BLK2]]/10</f>
        <v>1</v>
      </c>
      <c r="AG173" s="6">
        <f>knicks_players_all_stats[[#This Row],[BLK]]/knicks_players_all_stats[[#This Row],[GP]]</f>
        <v>9.0909090909090912E-2</v>
      </c>
      <c r="AH173">
        <v>100</v>
      </c>
      <c r="AI173" s="6">
        <f>knicks_players_all_stats[[#This Row],[BLKPG]]+knicks_players_all_stats[[#This Row],[STLPG]]+knicks_players_all_stats[[#This Row],[REBPG]]</f>
        <v>3.3636363636363638</v>
      </c>
      <c r="AJ173" s="2">
        <f>knicks_players_all_stats[[#This Row],[TOV2]]/10</f>
        <v>10</v>
      </c>
      <c r="AK173" s="6">
        <f>knicks_players_all_stats[[#This Row],[TOV]]/knicks_players_all_stats[[#This Row],[GP]]</f>
        <v>0.90909090909090906</v>
      </c>
      <c r="AL173" s="2">
        <v>19</v>
      </c>
      <c r="AM173" s="2">
        <f>knicks_players_all_stats[[#This Row],[PF]]/knicks_players_all_stats[[#This Row],[GP]]</f>
        <v>1.7272727272727273</v>
      </c>
      <c r="AN173" s="2">
        <v>45</v>
      </c>
      <c r="AO173" s="6">
        <f>knicks_players_all_stats[[#This Row],[PTS]]/knicks_players_all_stats[[#This Row],[GP]]</f>
        <v>4.0909090909090908</v>
      </c>
    </row>
    <row r="174" spans="1:41" customFormat="1" x14ac:dyDescent="0.3">
      <c r="A174" s="3" t="s">
        <v>1508</v>
      </c>
      <c r="B174" s="3" t="s">
        <v>1305</v>
      </c>
      <c r="C174" s="3" t="str">
        <f>knicks_players_all_stats[[#This Row],[NAME]]&amp;" ("&amp;knicks_players_all_stats[[#This Row],[SEASON]]&amp;")"</f>
        <v>Jordan Hill (2009-10)</v>
      </c>
      <c r="D174" s="3">
        <f>knicks_players_all_stats[[#This Row],[PLAYER_AGE]]/10</f>
        <v>22</v>
      </c>
      <c r="E174">
        <v>220</v>
      </c>
      <c r="F174" s="2">
        <v>24</v>
      </c>
      <c r="G174" s="2">
        <v>2520</v>
      </c>
      <c r="H17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78</v>
      </c>
      <c r="I174" s="6">
        <f>knicks_players_all_stats[[#This Row],[VALORATION]]/knicks_players_all_stats[[#This Row],[GP]]</f>
        <v>3.25</v>
      </c>
      <c r="J174" s="2">
        <v>41</v>
      </c>
      <c r="K174" s="2">
        <v>92</v>
      </c>
      <c r="L174" s="4">
        <f>knicks_players_all_stats[[#This Row],[FGM]]/knicks_players_all_stats[[#This Row],[FGA]]</f>
        <v>0.44565217391304346</v>
      </c>
      <c r="M174" s="2">
        <v>0</v>
      </c>
      <c r="N174" s="2">
        <v>20</v>
      </c>
      <c r="O174" s="4">
        <f>knicks_players_all_stats[[#This Row],[FG3M]]/knicks_players_all_stats[[#This Row],[FG3A]]</f>
        <v>0</v>
      </c>
      <c r="P174" s="2">
        <v>15</v>
      </c>
      <c r="Q174" s="2">
        <v>21</v>
      </c>
      <c r="R174" s="5">
        <f>knicks_players_all_stats[[#This Row],[FTM]]/knicks_players_all_stats[[#This Row],[FTA]]</f>
        <v>0.7142857142857143</v>
      </c>
      <c r="S174" s="2">
        <f>knicks_players_all_stats[[#This Row],[OREB22]]/10</f>
        <v>32</v>
      </c>
      <c r="T174" s="2">
        <f>knicks_players_all_stats[[#This Row],[DREB33]]/10</f>
        <v>29</v>
      </c>
      <c r="U174" s="2">
        <f>knicks_players_all_stats[[#This Row],[REB44]]/10</f>
        <v>61</v>
      </c>
      <c r="V174">
        <v>320</v>
      </c>
      <c r="W174">
        <v>290</v>
      </c>
      <c r="X174">
        <v>610</v>
      </c>
      <c r="Y174" s="22">
        <f>knicks_players_all_stats[[#This Row],[REB]]/knicks_players_all_stats[[#This Row],[GP]]</f>
        <v>2.5416666666666665</v>
      </c>
      <c r="Z174" s="2">
        <v>7</v>
      </c>
      <c r="AA174" s="6">
        <f>knicks_players_all_stats[[#This Row],[AST]]/knicks_players_all_stats[[#This Row],[GP]]</f>
        <v>0.29166666666666669</v>
      </c>
      <c r="AB174" s="2">
        <f>knicks_players_all_stats[[#This Row],[STL2]]/10</f>
        <v>10</v>
      </c>
      <c r="AC174" s="2">
        <v>100</v>
      </c>
      <c r="AD174" s="6">
        <f>knicks_players_all_stats[[#This Row],[STL]]/knicks_players_all_stats[[#This Row],[GP]]</f>
        <v>0.41666666666666669</v>
      </c>
      <c r="AE174">
        <v>90</v>
      </c>
      <c r="AF174" s="2">
        <f>knicks_players_all_stats[[#This Row],[BLK2]]/10</f>
        <v>9</v>
      </c>
      <c r="AG174" s="6">
        <f>knicks_players_all_stats[[#This Row],[BLK]]/knicks_players_all_stats[[#This Row],[GP]]</f>
        <v>0.375</v>
      </c>
      <c r="AH174">
        <v>120</v>
      </c>
      <c r="AI174" s="6">
        <f>knicks_players_all_stats[[#This Row],[BLKPG]]+knicks_players_all_stats[[#This Row],[STLPG]]+knicks_players_all_stats[[#This Row],[REBPG]]</f>
        <v>3.333333333333333</v>
      </c>
      <c r="AJ174" s="2">
        <f>knicks_players_all_stats[[#This Row],[TOV2]]/10</f>
        <v>12</v>
      </c>
      <c r="AK174" s="6">
        <f>knicks_players_all_stats[[#This Row],[TOV]]/knicks_players_all_stats[[#This Row],[GP]]</f>
        <v>0.5</v>
      </c>
      <c r="AL174" s="2">
        <v>37</v>
      </c>
      <c r="AM174" s="2">
        <f>knicks_players_all_stats[[#This Row],[PF]]/knicks_players_all_stats[[#This Row],[GP]]</f>
        <v>1.5416666666666667</v>
      </c>
      <c r="AN174" s="2">
        <v>97</v>
      </c>
      <c r="AO174" s="6">
        <f>knicks_players_all_stats[[#This Row],[PTS]]/knicks_players_all_stats[[#This Row],[GP]]</f>
        <v>4.041666666666667</v>
      </c>
    </row>
    <row r="175" spans="1:41" customFormat="1" x14ac:dyDescent="0.3">
      <c r="A175" s="3" t="s">
        <v>1379</v>
      </c>
      <c r="B175" s="3" t="s">
        <v>1305</v>
      </c>
      <c r="C175" s="3" t="str">
        <f>knicks_players_all_stats[[#This Row],[NAME]]&amp;" ("&amp;knicks_players_all_stats[[#This Row],[SEASON]]&amp;")"</f>
        <v>Darko Milicic (2009-10)</v>
      </c>
      <c r="D175" s="3">
        <f>knicks_players_all_stats[[#This Row],[PLAYER_AGE]]/10</f>
        <v>25</v>
      </c>
      <c r="E175">
        <v>250</v>
      </c>
      <c r="F175" s="2">
        <v>8</v>
      </c>
      <c r="G175" s="2">
        <v>710</v>
      </c>
      <c r="H17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25</v>
      </c>
      <c r="I175" s="6">
        <f>knicks_players_all_stats[[#This Row],[VALORATION]]/knicks_players_all_stats[[#This Row],[GP]]</f>
        <v>3.125</v>
      </c>
      <c r="J175" s="2">
        <v>8</v>
      </c>
      <c r="K175" s="2">
        <v>17</v>
      </c>
      <c r="L175" s="4">
        <f>knicks_players_all_stats[[#This Row],[FGM]]/knicks_players_all_stats[[#This Row],[FGA]]</f>
        <v>0.47058823529411764</v>
      </c>
      <c r="M175" s="2">
        <v>0</v>
      </c>
      <c r="N175" s="2">
        <v>0</v>
      </c>
      <c r="O175" s="4" t="e">
        <f>knicks_players_all_stats[[#This Row],[FG3M]]/knicks_players_all_stats[[#This Row],[FG3A]]</f>
        <v>#DIV/0!</v>
      </c>
      <c r="P175" s="2">
        <v>0</v>
      </c>
      <c r="Q175" s="2">
        <v>0</v>
      </c>
      <c r="R175" s="5" t="e">
        <f>knicks_players_all_stats[[#This Row],[FTM]]/knicks_players_all_stats[[#This Row],[FTA]]</f>
        <v>#DIV/0!</v>
      </c>
      <c r="S175" s="2">
        <f>knicks_players_all_stats[[#This Row],[OREB22]]/10</f>
        <v>5</v>
      </c>
      <c r="T175" s="2">
        <f>knicks_players_all_stats[[#This Row],[DREB33]]/10</f>
        <v>13</v>
      </c>
      <c r="U175" s="2">
        <f>knicks_players_all_stats[[#This Row],[REB44]]/10</f>
        <v>18</v>
      </c>
      <c r="V175">
        <v>50</v>
      </c>
      <c r="W175">
        <v>130</v>
      </c>
      <c r="X175">
        <v>180</v>
      </c>
      <c r="Y175" s="22">
        <f>knicks_players_all_stats[[#This Row],[REB]]/knicks_players_all_stats[[#This Row],[GP]]</f>
        <v>2.25</v>
      </c>
      <c r="Z175" s="2">
        <v>4</v>
      </c>
      <c r="AA175" s="6">
        <f>knicks_players_all_stats[[#This Row],[AST]]/knicks_players_all_stats[[#This Row],[GP]]</f>
        <v>0.5</v>
      </c>
      <c r="AB175" s="2">
        <f>knicks_players_all_stats[[#This Row],[STL2]]/10</f>
        <v>4</v>
      </c>
      <c r="AC175" s="2">
        <v>40</v>
      </c>
      <c r="AD175" s="6">
        <f>knicks_players_all_stats[[#This Row],[STL]]/knicks_players_all_stats[[#This Row],[GP]]</f>
        <v>0.5</v>
      </c>
      <c r="AE175">
        <v>10</v>
      </c>
      <c r="AF175" s="2">
        <f>knicks_players_all_stats[[#This Row],[BLK2]]/10</f>
        <v>1</v>
      </c>
      <c r="AG175" s="6">
        <f>knicks_players_all_stats[[#This Row],[BLK]]/knicks_players_all_stats[[#This Row],[GP]]</f>
        <v>0.125</v>
      </c>
      <c r="AH175">
        <v>20</v>
      </c>
      <c r="AI175" s="6">
        <f>knicks_players_all_stats[[#This Row],[BLKPG]]+knicks_players_all_stats[[#This Row],[STLPG]]+knicks_players_all_stats[[#This Row],[REBPG]]</f>
        <v>2.875</v>
      </c>
      <c r="AJ175" s="2">
        <f>knicks_players_all_stats[[#This Row],[TOV2]]/10</f>
        <v>2</v>
      </c>
      <c r="AK175" s="6">
        <f>knicks_players_all_stats[[#This Row],[TOV]]/knicks_players_all_stats[[#This Row],[GP]]</f>
        <v>0.25</v>
      </c>
      <c r="AL175" s="2">
        <v>7</v>
      </c>
      <c r="AM175" s="2">
        <f>knicks_players_all_stats[[#This Row],[PF]]/knicks_players_all_stats[[#This Row],[GP]]</f>
        <v>0.875</v>
      </c>
      <c r="AN175" s="2">
        <v>16</v>
      </c>
      <c r="AO175" s="6">
        <f>knicks_players_all_stats[[#This Row],[PTS]]/knicks_players_all_stats[[#This Row],[GP]]</f>
        <v>2</v>
      </c>
    </row>
    <row r="176" spans="1:41" customFormat="1" x14ac:dyDescent="0.3">
      <c r="A176" s="3" t="s">
        <v>1581</v>
      </c>
      <c r="B176" s="3" t="s">
        <v>1305</v>
      </c>
      <c r="C176" s="3" t="str">
        <f>knicks_players_all_stats[[#This Row],[NAME]]&amp;" ("&amp;knicks_players_all_stats[[#This Row],[SEASON]]&amp;")"</f>
        <v>Marcus Landry (2009-10)</v>
      </c>
      <c r="D176" s="3">
        <f>knicks_players_all_stats[[#This Row],[PLAYER_AGE]]/10</f>
        <v>24</v>
      </c>
      <c r="E176">
        <v>240</v>
      </c>
      <c r="F176" s="2">
        <v>17</v>
      </c>
      <c r="G176" s="2">
        <v>1080</v>
      </c>
      <c r="H17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19</v>
      </c>
      <c r="I176" s="6">
        <f>knicks_players_all_stats[[#This Row],[VALORATION]]/knicks_players_all_stats[[#This Row],[GP]]</f>
        <v>1.1176470588235294</v>
      </c>
      <c r="J176" s="2">
        <v>16</v>
      </c>
      <c r="K176" s="2">
        <v>41</v>
      </c>
      <c r="L176" s="4">
        <f>knicks_players_all_stats[[#This Row],[FGM]]/knicks_players_all_stats[[#This Row],[FGA]]</f>
        <v>0.3902439024390244</v>
      </c>
      <c r="M176" s="2">
        <v>90</v>
      </c>
      <c r="N176" s="2">
        <v>260</v>
      </c>
      <c r="O176" s="4">
        <f>knicks_players_all_stats[[#This Row],[FG3M]]/knicks_players_all_stats[[#This Row],[FG3A]]</f>
        <v>0.34615384615384615</v>
      </c>
      <c r="P176" s="2">
        <v>3</v>
      </c>
      <c r="Q176" s="2">
        <v>5</v>
      </c>
      <c r="R176" s="5">
        <f>knicks_players_all_stats[[#This Row],[FTM]]/knicks_players_all_stats[[#This Row],[FTA]]</f>
        <v>0.6</v>
      </c>
      <c r="S176" s="2">
        <f>knicks_players_all_stats[[#This Row],[OREB22]]/10</f>
        <v>5</v>
      </c>
      <c r="T176" s="2">
        <f>knicks_players_all_stats[[#This Row],[DREB33]]/10</f>
        <v>14</v>
      </c>
      <c r="U176" s="2">
        <f>knicks_players_all_stats[[#This Row],[REB44]]/10</f>
        <v>19</v>
      </c>
      <c r="V176">
        <v>50</v>
      </c>
      <c r="W176">
        <v>140</v>
      </c>
      <c r="X176">
        <v>190</v>
      </c>
      <c r="Y176" s="22">
        <f>knicks_players_all_stats[[#This Row],[REB]]/knicks_players_all_stats[[#This Row],[GP]]</f>
        <v>1.1176470588235294</v>
      </c>
      <c r="Z176" s="2">
        <v>0</v>
      </c>
      <c r="AA176" s="6">
        <f>knicks_players_all_stats[[#This Row],[AST]]/knicks_players_all_stats[[#This Row],[GP]]</f>
        <v>0</v>
      </c>
      <c r="AB176" s="2">
        <f>knicks_players_all_stats[[#This Row],[STL2]]/10</f>
        <v>1</v>
      </c>
      <c r="AC176" s="2">
        <v>10</v>
      </c>
      <c r="AD176" s="6">
        <f>knicks_players_all_stats[[#This Row],[STL]]/knicks_players_all_stats[[#This Row],[GP]]</f>
        <v>5.8823529411764705E-2</v>
      </c>
      <c r="AE176">
        <v>20</v>
      </c>
      <c r="AF176" s="2">
        <f>knicks_players_all_stats[[#This Row],[BLK2]]/10</f>
        <v>2</v>
      </c>
      <c r="AG176" s="6">
        <f>knicks_players_all_stats[[#This Row],[BLK]]/knicks_players_all_stats[[#This Row],[GP]]</f>
        <v>0.11764705882352941</v>
      </c>
      <c r="AH176">
        <v>60</v>
      </c>
      <c r="AI176" s="6">
        <f>knicks_players_all_stats[[#This Row],[BLKPG]]+knicks_players_all_stats[[#This Row],[STLPG]]+knicks_players_all_stats[[#This Row],[REBPG]]</f>
        <v>1.2941176470588236</v>
      </c>
      <c r="AJ176" s="2">
        <f>knicks_players_all_stats[[#This Row],[TOV2]]/10</f>
        <v>6</v>
      </c>
      <c r="AK176" s="6">
        <f>knicks_players_all_stats[[#This Row],[TOV]]/knicks_players_all_stats[[#This Row],[GP]]</f>
        <v>0.35294117647058826</v>
      </c>
      <c r="AL176" s="2">
        <v>14</v>
      </c>
      <c r="AM176" s="2">
        <f>knicks_players_all_stats[[#This Row],[PF]]/knicks_players_all_stats[[#This Row],[GP]]</f>
        <v>0.82352941176470584</v>
      </c>
      <c r="AN176" s="2">
        <v>44</v>
      </c>
      <c r="AO176" s="6">
        <f>knicks_players_all_stats[[#This Row],[PTS]]/knicks_players_all_stats[[#This Row],[GP]]</f>
        <v>2.5882352941176472</v>
      </c>
    </row>
    <row r="177" spans="1:41" x14ac:dyDescent="0.3">
      <c r="A177" s="3" t="s">
        <v>1676</v>
      </c>
      <c r="B177" s="3" t="s">
        <v>1305</v>
      </c>
      <c r="C177" s="3" t="str">
        <f>knicks_players_all_stats[[#This Row],[NAME]]&amp;" ("&amp;knicks_players_all_stats[[#This Row],[SEASON]]&amp;")"</f>
        <v>Eddy Curry (2009-10)</v>
      </c>
      <c r="D177" s="3">
        <f>knicks_players_all_stats[[#This Row],[PLAYER_AGE]]/10</f>
        <v>27</v>
      </c>
      <c r="E177">
        <v>270</v>
      </c>
      <c r="F177" s="2">
        <v>7</v>
      </c>
      <c r="G177" s="2">
        <v>620</v>
      </c>
      <c r="H17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-6</v>
      </c>
      <c r="I177" s="6">
        <f>knicks_players_all_stats[[#This Row],[VALORATION]]/knicks_players_all_stats[[#This Row],[GP]]</f>
        <v>-0.8571428571428571</v>
      </c>
      <c r="J177" s="2">
        <v>8</v>
      </c>
      <c r="K177" s="2">
        <v>21</v>
      </c>
      <c r="L177" s="2">
        <v>381</v>
      </c>
      <c r="M177" s="2">
        <v>0</v>
      </c>
      <c r="N177" s="2">
        <v>0</v>
      </c>
      <c r="O177" s="4" t="e">
        <f>knicks_players_all_stats[[#This Row],[FG3M]]/knicks_players_all_stats[[#This Row],[FG3A]]</f>
        <v>#DIV/0!</v>
      </c>
      <c r="P177" s="2">
        <v>10</v>
      </c>
      <c r="Q177" s="2">
        <v>17</v>
      </c>
      <c r="R177" s="5">
        <f>knicks_players_all_stats[[#This Row],[FTM]]/knicks_players_all_stats[[#This Row],[FTA]]</f>
        <v>0.58823529411764708</v>
      </c>
      <c r="S177" s="2">
        <f>knicks_players_all_stats[[#This Row],[OREB22]]/10</f>
        <v>4</v>
      </c>
      <c r="T177" s="2">
        <f>knicks_players_all_stats[[#This Row],[DREB33]]/10</f>
        <v>9</v>
      </c>
      <c r="U177" s="2">
        <f>knicks_players_all_stats[[#This Row],[REB44]]/10</f>
        <v>13</v>
      </c>
      <c r="V177">
        <v>40</v>
      </c>
      <c r="W177">
        <v>90</v>
      </c>
      <c r="X177">
        <v>130</v>
      </c>
      <c r="Y177" s="22">
        <f>knicks_players_all_stats[[#This Row],[REB]]/knicks_players_all_stats[[#This Row],[GP]]</f>
        <v>1.8571428571428572</v>
      </c>
      <c r="Z177" s="2">
        <v>0</v>
      </c>
      <c r="AA177" s="6">
        <f>knicks_players_all_stats[[#This Row],[AST]]/knicks_players_all_stats[[#This Row],[GP]]</f>
        <v>0</v>
      </c>
      <c r="AB177" s="2">
        <f>knicks_players_all_stats[[#This Row],[STL2]]/10</f>
        <v>0</v>
      </c>
      <c r="AC177" s="2">
        <v>0</v>
      </c>
      <c r="AD177" s="6">
        <f>knicks_players_all_stats[[#This Row],[STL]]/knicks_players_all_stats[[#This Row],[GP]]</f>
        <v>0</v>
      </c>
      <c r="AE177">
        <v>10</v>
      </c>
      <c r="AF177" s="2">
        <f>knicks_players_all_stats[[#This Row],[BLK2]]/10</f>
        <v>1</v>
      </c>
      <c r="AG177" s="6">
        <f>knicks_players_all_stats[[#This Row],[BLK]]/knicks_players_all_stats[[#This Row],[GP]]</f>
        <v>0.14285714285714285</v>
      </c>
      <c r="AH177">
        <v>130</v>
      </c>
      <c r="AI177" s="6">
        <f>knicks_players_all_stats[[#This Row],[BLKPG]]+knicks_players_all_stats[[#This Row],[STLPG]]+knicks_players_all_stats[[#This Row],[REBPG]]</f>
        <v>2</v>
      </c>
      <c r="AJ177" s="2">
        <f>knicks_players_all_stats[[#This Row],[TOV2]]/10</f>
        <v>13</v>
      </c>
      <c r="AK177" s="6">
        <f>knicks_players_all_stats[[#This Row],[TOV]]/knicks_players_all_stats[[#This Row],[GP]]</f>
        <v>1.8571428571428572</v>
      </c>
      <c r="AL177" s="2">
        <v>13</v>
      </c>
      <c r="AM177" s="2">
        <f>knicks_players_all_stats[[#This Row],[PF]]/knicks_players_all_stats[[#This Row],[GP]]</f>
        <v>1.8571428571428572</v>
      </c>
      <c r="AN177" s="2">
        <v>26</v>
      </c>
      <c r="AO177" s="6">
        <f>knicks_players_all_stats[[#This Row],[PTS]]/knicks_players_all_stats[[#This Row],[GP]]</f>
        <v>3.7142857142857144</v>
      </c>
    </row>
    <row r="178" spans="1:41" x14ac:dyDescent="0.3">
      <c r="A178" s="3" t="s">
        <v>1738</v>
      </c>
      <c r="B178" s="3" t="s">
        <v>1312</v>
      </c>
      <c r="C178" s="3" t="str">
        <f>knicks_players_all_stats[[#This Row],[NAME]]&amp;" ("&amp;knicks_players_all_stats[[#This Row],[SEASON]]&amp;")"</f>
        <v>Amar'e Stoudemire (2010-11)</v>
      </c>
      <c r="D178" s="3">
        <f>knicks_players_all_stats[[#This Row],[PLAYER_AGE]]/10</f>
        <v>28</v>
      </c>
      <c r="E178">
        <v>280</v>
      </c>
      <c r="F178" s="2">
        <v>78</v>
      </c>
      <c r="G178" s="2">
        <v>28700</v>
      </c>
      <c r="H17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1644</v>
      </c>
      <c r="I178" s="6">
        <f>knicks_players_all_stats[[#This Row],[VALORATION]]/knicks_players_all_stats[[#This Row],[GP]]</f>
        <v>21.076923076923077</v>
      </c>
      <c r="J178" s="2">
        <v>744</v>
      </c>
      <c r="K178" s="2">
        <v>1482</v>
      </c>
      <c r="L178" s="2">
        <v>502</v>
      </c>
      <c r="M178" s="2">
        <v>100</v>
      </c>
      <c r="N178" s="2">
        <v>230</v>
      </c>
      <c r="O178" s="4">
        <f>knicks_players_all_stats[[#This Row],[FG3M]]/knicks_players_all_stats[[#This Row],[FG3A]]</f>
        <v>0.43478260869565216</v>
      </c>
      <c r="P178" s="2">
        <v>473</v>
      </c>
      <c r="Q178" s="2">
        <v>597</v>
      </c>
      <c r="R178" s="5">
        <f>knicks_players_all_stats[[#This Row],[FTM]]/knicks_players_all_stats[[#This Row],[FTA]]</f>
        <v>0.79229480737018421</v>
      </c>
      <c r="S178" s="2">
        <f>knicks_players_all_stats[[#This Row],[OREB22]]/10</f>
        <v>198</v>
      </c>
      <c r="T178" s="2">
        <f>knicks_players_all_stats[[#This Row],[DREB33]]/10</f>
        <v>438</v>
      </c>
      <c r="U178" s="2">
        <f>knicks_players_all_stats[[#This Row],[REB44]]/10</f>
        <v>636</v>
      </c>
      <c r="V178">
        <v>1980</v>
      </c>
      <c r="W178">
        <v>4380</v>
      </c>
      <c r="X178">
        <v>6360</v>
      </c>
      <c r="Y178" s="22">
        <f>knicks_players_all_stats[[#This Row],[REB]]/knicks_players_all_stats[[#This Row],[GP]]</f>
        <v>8.1538461538461533</v>
      </c>
      <c r="Z178" s="2">
        <v>202</v>
      </c>
      <c r="AA178" s="6">
        <f>knicks_players_all_stats[[#This Row],[AST]]/knicks_players_all_stats[[#This Row],[GP]]</f>
        <v>2.5897435897435899</v>
      </c>
      <c r="AB178" s="2">
        <f>knicks_players_all_stats[[#This Row],[STL2]]/10</f>
        <v>71</v>
      </c>
      <c r="AC178" s="2">
        <v>710</v>
      </c>
      <c r="AD178" s="6">
        <f>knicks_players_all_stats[[#This Row],[STL]]/knicks_players_all_stats[[#This Row],[GP]]</f>
        <v>0.91025641025641024</v>
      </c>
      <c r="AE178">
        <v>1500</v>
      </c>
      <c r="AF178" s="2">
        <f>knicks_players_all_stats[[#This Row],[BLK2]]/10</f>
        <v>150</v>
      </c>
      <c r="AG178" s="6">
        <f>knicks_players_all_stats[[#This Row],[BLK]]/knicks_players_all_stats[[#This Row],[GP]]</f>
        <v>1.9230769230769231</v>
      </c>
      <c r="AH178">
        <v>2500</v>
      </c>
      <c r="AI178" s="6">
        <f>knicks_players_all_stats[[#This Row],[BLKPG]]+knicks_players_all_stats[[#This Row],[STLPG]]+knicks_players_all_stats[[#This Row],[REBPG]]</f>
        <v>10.987179487179487</v>
      </c>
      <c r="AJ178" s="2">
        <f>knicks_players_all_stats[[#This Row],[TOV2]]/10</f>
        <v>250</v>
      </c>
      <c r="AK178" s="6">
        <f>knicks_players_all_stats[[#This Row],[TOV]]/knicks_players_all_stats[[#This Row],[GP]]</f>
        <v>3.2051282051282053</v>
      </c>
      <c r="AL178" s="2">
        <v>274</v>
      </c>
      <c r="AM178" s="2">
        <f>knicks_players_all_stats[[#This Row],[PF]]/knicks_players_all_stats[[#This Row],[GP]]</f>
        <v>3.5128205128205128</v>
      </c>
      <c r="AN178" s="2">
        <v>1971</v>
      </c>
      <c r="AO178" s="6">
        <f>knicks_players_all_stats[[#This Row],[PTS]]/knicks_players_all_stats[[#This Row],[GP]]</f>
        <v>25.26923076923077</v>
      </c>
    </row>
    <row r="179" spans="1:41" x14ac:dyDescent="0.3">
      <c r="A179" s="3" t="s">
        <v>1419</v>
      </c>
      <c r="B179" s="3" t="s">
        <v>1312</v>
      </c>
      <c r="C179" s="3" t="str">
        <f>knicks_players_all_stats[[#This Row],[NAME]]&amp;" ("&amp;knicks_players_all_stats[[#This Row],[SEASON]]&amp;")"</f>
        <v>Carmelo Anthony (2010-11)</v>
      </c>
      <c r="D179" s="3">
        <f>knicks_players_all_stats[[#This Row],[PLAYER_AGE]]/10</f>
        <v>27</v>
      </c>
      <c r="E179">
        <v>270</v>
      </c>
      <c r="F179" s="2">
        <v>27</v>
      </c>
      <c r="G179" s="2">
        <v>9770</v>
      </c>
      <c r="H17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546</v>
      </c>
      <c r="I179" s="6">
        <f>knicks_players_all_stats[[#This Row],[VALORATION]]/knicks_players_all_stats[[#This Row],[GP]]</f>
        <v>20.222222222222221</v>
      </c>
      <c r="J179" s="2">
        <v>247</v>
      </c>
      <c r="K179" s="2">
        <v>536</v>
      </c>
      <c r="L179" s="4">
        <f>knicks_players_all_stats[[#This Row],[FGM]]/knicks_players_all_stats[[#This Row],[FGA]]</f>
        <v>0.46082089552238809</v>
      </c>
      <c r="M179" s="2">
        <v>530</v>
      </c>
      <c r="N179" s="2">
        <v>1250</v>
      </c>
      <c r="O179" s="4">
        <f>knicks_players_all_stats[[#This Row],[FG3M]]/knicks_players_all_stats[[#This Row],[FG3A]]</f>
        <v>0.42399999999999999</v>
      </c>
      <c r="P179" s="2">
        <v>164</v>
      </c>
      <c r="Q179" s="2">
        <v>188</v>
      </c>
      <c r="R179" s="5">
        <f>knicks_players_all_stats[[#This Row],[FTM]]/knicks_players_all_stats[[#This Row],[FTA]]</f>
        <v>0.87234042553191493</v>
      </c>
      <c r="S179" s="2">
        <f>knicks_players_all_stats[[#This Row],[OREB22]]/10</f>
        <v>41</v>
      </c>
      <c r="T179" s="2">
        <f>knicks_players_all_stats[[#This Row],[DREB33]]/10</f>
        <v>140</v>
      </c>
      <c r="U179" s="2">
        <f>knicks_players_all_stats[[#This Row],[REB44]]/10</f>
        <v>181</v>
      </c>
      <c r="V179">
        <v>410</v>
      </c>
      <c r="W179">
        <v>1400</v>
      </c>
      <c r="X179">
        <v>1810</v>
      </c>
      <c r="Y179" s="22">
        <f>knicks_players_all_stats[[#This Row],[REB]]/knicks_players_all_stats[[#This Row],[GP]]</f>
        <v>6.7037037037037033</v>
      </c>
      <c r="Z179" s="2">
        <v>81</v>
      </c>
      <c r="AA179" s="6">
        <f>knicks_players_all_stats[[#This Row],[AST]]/knicks_players_all_stats[[#This Row],[GP]]</f>
        <v>3</v>
      </c>
      <c r="AB179" s="2">
        <f>knicks_players_all_stats[[#This Row],[STL2]]/10</f>
        <v>25</v>
      </c>
      <c r="AC179" s="2">
        <v>250</v>
      </c>
      <c r="AD179" s="6">
        <f>knicks_players_all_stats[[#This Row],[STL]]/knicks_players_all_stats[[#This Row],[GP]]</f>
        <v>0.92592592592592593</v>
      </c>
      <c r="AE179">
        <v>150</v>
      </c>
      <c r="AF179" s="2">
        <f>knicks_players_all_stats[[#This Row],[BLK2]]/10</f>
        <v>15</v>
      </c>
      <c r="AG179" s="6">
        <f>knicks_players_all_stats[[#This Row],[BLK]]/knicks_players_all_stats[[#This Row],[GP]]</f>
        <v>0.55555555555555558</v>
      </c>
      <c r="AH179">
        <v>640</v>
      </c>
      <c r="AI179" s="6">
        <f>knicks_players_all_stats[[#This Row],[BLKPG]]+knicks_players_all_stats[[#This Row],[STLPG]]+knicks_players_all_stats[[#This Row],[REBPG]]</f>
        <v>8.1851851851851851</v>
      </c>
      <c r="AJ179" s="2">
        <f>knicks_players_all_stats[[#This Row],[TOV2]]/10</f>
        <v>64</v>
      </c>
      <c r="AK179" s="6">
        <f>knicks_players_all_stats[[#This Row],[TOV]]/knicks_players_all_stats[[#This Row],[GP]]</f>
        <v>2.3703703703703702</v>
      </c>
      <c r="AL179" s="2">
        <v>90</v>
      </c>
      <c r="AM179" s="2">
        <f>knicks_players_all_stats[[#This Row],[PF]]/knicks_players_all_stats[[#This Row],[GP]]</f>
        <v>3.3333333333333335</v>
      </c>
      <c r="AN179" s="2">
        <v>711</v>
      </c>
      <c r="AO179" s="6">
        <f>knicks_players_all_stats[[#This Row],[PTS]]/knicks_players_all_stats[[#This Row],[GP]]</f>
        <v>26.333333333333332</v>
      </c>
    </row>
    <row r="180" spans="1:41" customFormat="1" x14ac:dyDescent="0.3">
      <c r="A180" s="3" t="s">
        <v>1505</v>
      </c>
      <c r="B180" s="3" t="s">
        <v>1312</v>
      </c>
      <c r="C180" s="3" t="str">
        <f>knicks_players_all_stats[[#This Row],[NAME]]&amp;" ("&amp;knicks_players_all_stats[[#This Row],[SEASON]]&amp;")"</f>
        <v>Raymond Felton (2010-11)</v>
      </c>
      <c r="D180" s="3">
        <f>knicks_players_all_stats[[#This Row],[PLAYER_AGE]]/10</f>
        <v>27</v>
      </c>
      <c r="E180">
        <v>270</v>
      </c>
      <c r="F180" s="2">
        <v>54</v>
      </c>
      <c r="G180" s="2">
        <v>20740</v>
      </c>
      <c r="H18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938</v>
      </c>
      <c r="I180" s="6">
        <f>knicks_players_all_stats[[#This Row],[VALORATION]]/knicks_players_all_stats[[#This Row],[GP]]</f>
        <v>17.37037037037037</v>
      </c>
      <c r="J180" s="2">
        <v>339</v>
      </c>
      <c r="K180" s="2">
        <v>801</v>
      </c>
      <c r="L180" s="4">
        <f>knicks_players_all_stats[[#This Row],[FGM]]/knicks_players_all_stats[[#This Row],[FGA]]</f>
        <v>0.42322097378277151</v>
      </c>
      <c r="M180" s="2">
        <v>880</v>
      </c>
      <c r="N180" s="2">
        <v>2680</v>
      </c>
      <c r="O180" s="4">
        <f>knicks_players_all_stats[[#This Row],[FG3M]]/knicks_players_all_stats[[#This Row],[FG3A]]</f>
        <v>0.32835820895522388</v>
      </c>
      <c r="P180" s="2">
        <v>157</v>
      </c>
      <c r="Q180" s="2">
        <v>181</v>
      </c>
      <c r="R180" s="5">
        <f>knicks_players_all_stats[[#This Row],[FTM]]/knicks_players_all_stats[[#This Row],[FTA]]</f>
        <v>0.86740331491712708</v>
      </c>
      <c r="S180" s="2">
        <f>knicks_players_all_stats[[#This Row],[OREB22]]/10</f>
        <v>40</v>
      </c>
      <c r="T180" s="2">
        <f>knicks_players_all_stats[[#This Row],[DREB33]]/10</f>
        <v>154</v>
      </c>
      <c r="U180" s="2">
        <f>knicks_players_all_stats[[#This Row],[REB44]]/10</f>
        <v>194</v>
      </c>
      <c r="V180">
        <v>400</v>
      </c>
      <c r="W180">
        <v>1540</v>
      </c>
      <c r="X180">
        <v>1940</v>
      </c>
      <c r="Y180" s="22">
        <f>knicks_players_all_stats[[#This Row],[REB]]/knicks_players_all_stats[[#This Row],[GP]]</f>
        <v>3.5925925925925926</v>
      </c>
      <c r="Z180" s="2">
        <v>488</v>
      </c>
      <c r="AA180" s="6">
        <f>knicks_players_all_stats[[#This Row],[AST]]/knicks_players_all_stats[[#This Row],[GP]]</f>
        <v>9.0370370370370363</v>
      </c>
      <c r="AB180" s="2">
        <f>knicks_players_all_stats[[#This Row],[STL2]]/10</f>
        <v>97</v>
      </c>
      <c r="AC180" s="2">
        <v>970</v>
      </c>
      <c r="AD180" s="6">
        <f>knicks_players_all_stats[[#This Row],[STL]]/knicks_players_all_stats[[#This Row],[GP]]</f>
        <v>1.7962962962962963</v>
      </c>
      <c r="AE180">
        <v>110</v>
      </c>
      <c r="AF180" s="2">
        <f>knicks_players_all_stats[[#This Row],[BLK2]]/10</f>
        <v>11</v>
      </c>
      <c r="AG180" s="6">
        <f>knicks_players_all_stats[[#This Row],[BLK]]/knicks_players_all_stats[[#This Row],[GP]]</f>
        <v>0.20370370370370369</v>
      </c>
      <c r="AH180">
        <v>1760</v>
      </c>
      <c r="AI180" s="6">
        <f>knicks_players_all_stats[[#This Row],[BLKPG]]+knicks_players_all_stats[[#This Row],[STLPG]]+knicks_players_all_stats[[#This Row],[REBPG]]</f>
        <v>5.5925925925925926</v>
      </c>
      <c r="AJ180" s="2">
        <f>knicks_players_all_stats[[#This Row],[TOV2]]/10</f>
        <v>176</v>
      </c>
      <c r="AK180" s="6">
        <f>knicks_players_all_stats[[#This Row],[TOV]]/knicks_players_all_stats[[#This Row],[GP]]</f>
        <v>3.2592592592592591</v>
      </c>
      <c r="AL180" s="2">
        <v>113</v>
      </c>
      <c r="AM180" s="2">
        <f>knicks_players_all_stats[[#This Row],[PF]]/knicks_players_all_stats[[#This Row],[GP]]</f>
        <v>2.0925925925925926</v>
      </c>
      <c r="AN180" s="2">
        <v>923</v>
      </c>
      <c r="AO180" s="6">
        <f>knicks_players_all_stats[[#This Row],[PTS]]/knicks_players_all_stats[[#This Row],[GP]]</f>
        <v>17.092592592592592</v>
      </c>
    </row>
    <row r="181" spans="1:41" customFormat="1" x14ac:dyDescent="0.3">
      <c r="A181" s="3" t="s">
        <v>1425</v>
      </c>
      <c r="B181" s="3" t="s">
        <v>1312</v>
      </c>
      <c r="C181" s="3" t="str">
        <f>knicks_players_all_stats[[#This Row],[NAME]]&amp;" ("&amp;knicks_players_all_stats[[#This Row],[SEASON]]&amp;")"</f>
        <v>Chauncey Billups (2010-11)</v>
      </c>
      <c r="D181" s="3">
        <f>knicks_players_all_stats[[#This Row],[PLAYER_AGE]]/10</f>
        <v>34</v>
      </c>
      <c r="E181">
        <v>340</v>
      </c>
      <c r="F181" s="2">
        <v>21</v>
      </c>
      <c r="G181" s="2">
        <v>6640</v>
      </c>
      <c r="H18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303</v>
      </c>
      <c r="I181" s="6">
        <f>knicks_players_all_stats[[#This Row],[VALORATION]]/knicks_players_all_stats[[#This Row],[GP]]</f>
        <v>14.428571428571429</v>
      </c>
      <c r="J181" s="2">
        <v>104</v>
      </c>
      <c r="K181" s="2">
        <v>258</v>
      </c>
      <c r="L181" s="4">
        <f>knicks_players_all_stats[[#This Row],[FGM]]/knicks_players_all_stats[[#This Row],[FGA]]</f>
        <v>0.40310077519379844</v>
      </c>
      <c r="M181" s="2">
        <v>410</v>
      </c>
      <c r="N181" s="2">
        <v>1250</v>
      </c>
      <c r="O181" s="4">
        <f>knicks_players_all_stats[[#This Row],[FG3M]]/knicks_players_all_stats[[#This Row],[FG3A]]</f>
        <v>0.32800000000000001</v>
      </c>
      <c r="P181" s="2">
        <v>119</v>
      </c>
      <c r="Q181" s="2">
        <v>132</v>
      </c>
      <c r="R181" s="5">
        <f>knicks_players_all_stats[[#This Row],[FTM]]/knicks_players_all_stats[[#This Row],[FTA]]</f>
        <v>0.90151515151515149</v>
      </c>
      <c r="S181" s="2">
        <f>knicks_players_all_stats[[#This Row],[OREB22]]/10</f>
        <v>13</v>
      </c>
      <c r="T181" s="2">
        <f>knicks_players_all_stats[[#This Row],[DREB33]]/10</f>
        <v>52</v>
      </c>
      <c r="U181" s="2">
        <f>knicks_players_all_stats[[#This Row],[REB44]]/10</f>
        <v>65</v>
      </c>
      <c r="V181">
        <v>130</v>
      </c>
      <c r="W181">
        <v>520</v>
      </c>
      <c r="X181">
        <v>650</v>
      </c>
      <c r="Y181" s="22">
        <f>knicks_players_all_stats[[#This Row],[REB]]/knicks_players_all_stats[[#This Row],[GP]]</f>
        <v>3.0952380952380953</v>
      </c>
      <c r="Z181" s="2">
        <v>116</v>
      </c>
      <c r="AA181" s="6">
        <f>knicks_players_all_stats[[#This Row],[AST]]/knicks_players_all_stats[[#This Row],[GP]]</f>
        <v>5.5238095238095237</v>
      </c>
      <c r="AB181" s="2">
        <f>knicks_players_all_stats[[#This Row],[STL2]]/10</f>
        <v>19</v>
      </c>
      <c r="AC181" s="2">
        <v>190</v>
      </c>
      <c r="AD181" s="6">
        <f>knicks_players_all_stats[[#This Row],[STL]]/knicks_players_all_stats[[#This Row],[GP]]</f>
        <v>0.90476190476190477</v>
      </c>
      <c r="AE181">
        <v>20</v>
      </c>
      <c r="AF181" s="2">
        <f>knicks_players_all_stats[[#This Row],[BLK2]]/10</f>
        <v>2</v>
      </c>
      <c r="AG181" s="6">
        <f>knicks_players_all_stats[[#This Row],[BLK]]/knicks_players_all_stats[[#This Row],[GP]]</f>
        <v>9.5238095238095233E-2</v>
      </c>
      <c r="AH181">
        <v>480</v>
      </c>
      <c r="AI181" s="6">
        <f>knicks_players_all_stats[[#This Row],[BLKPG]]+knicks_players_all_stats[[#This Row],[STLPG]]+knicks_players_all_stats[[#This Row],[REBPG]]</f>
        <v>4.0952380952380949</v>
      </c>
      <c r="AJ181" s="2">
        <f>knicks_players_all_stats[[#This Row],[TOV2]]/10</f>
        <v>48</v>
      </c>
      <c r="AK181" s="6">
        <f>knicks_players_all_stats[[#This Row],[TOV]]/knicks_players_all_stats[[#This Row],[GP]]</f>
        <v>2.2857142857142856</v>
      </c>
      <c r="AL181" s="2">
        <v>52</v>
      </c>
      <c r="AM181" s="2">
        <f>knicks_players_all_stats[[#This Row],[PF]]/knicks_players_all_stats[[#This Row],[GP]]</f>
        <v>2.4761904761904763</v>
      </c>
      <c r="AN181" s="2">
        <v>368</v>
      </c>
      <c r="AO181" s="6">
        <f>knicks_players_all_stats[[#This Row],[PTS]]/knicks_players_all_stats[[#This Row],[GP]]</f>
        <v>17.523809523809526</v>
      </c>
    </row>
    <row r="182" spans="1:41" customFormat="1" x14ac:dyDescent="0.3">
      <c r="A182" s="3" t="s">
        <v>1446</v>
      </c>
      <c r="B182" s="3" t="s">
        <v>1312</v>
      </c>
      <c r="C182" s="3" t="str">
        <f>knicks_players_all_stats[[#This Row],[NAME]]&amp;" ("&amp;knicks_players_all_stats[[#This Row],[SEASON]]&amp;")"</f>
        <v>Wilson Chandler (2010-11)</v>
      </c>
      <c r="D182" s="3">
        <f>knicks_players_all_stats[[#This Row],[PLAYER_AGE]]/10</f>
        <v>24</v>
      </c>
      <c r="E182">
        <v>240</v>
      </c>
      <c r="F182" s="2">
        <v>51</v>
      </c>
      <c r="G182" s="2">
        <v>17590</v>
      </c>
      <c r="H18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705</v>
      </c>
      <c r="I182" s="6">
        <f>knicks_players_all_stats[[#This Row],[VALORATION]]/knicks_players_all_stats[[#This Row],[GP]]</f>
        <v>13.823529411764707</v>
      </c>
      <c r="J182" s="2">
        <v>328</v>
      </c>
      <c r="K182" s="2">
        <v>712</v>
      </c>
      <c r="L182" s="4">
        <f>knicks_players_all_stats[[#This Row],[FGM]]/knicks_players_all_stats[[#This Row],[FGA]]</f>
        <v>0.4606741573033708</v>
      </c>
      <c r="M182" s="2">
        <v>860</v>
      </c>
      <c r="N182" s="2">
        <v>2450</v>
      </c>
      <c r="O182" s="4">
        <f>knicks_players_all_stats[[#This Row],[FG3M]]/knicks_players_all_stats[[#This Row],[FG3A]]</f>
        <v>0.3510204081632653</v>
      </c>
      <c r="P182" s="2">
        <v>96</v>
      </c>
      <c r="Q182" s="2">
        <v>119</v>
      </c>
      <c r="R182" s="5">
        <f>knicks_players_all_stats[[#This Row],[FTM]]/knicks_players_all_stats[[#This Row],[FTA]]</f>
        <v>0.80672268907563027</v>
      </c>
      <c r="S182" s="2">
        <f>knicks_players_all_stats[[#This Row],[OREB22]]/10</f>
        <v>62</v>
      </c>
      <c r="T182" s="2">
        <f>knicks_players_all_stats[[#This Row],[DREB33]]/10</f>
        <v>241</v>
      </c>
      <c r="U182" s="2">
        <f>knicks_players_all_stats[[#This Row],[REB44]]/10</f>
        <v>303</v>
      </c>
      <c r="V182">
        <v>620</v>
      </c>
      <c r="W182">
        <v>2410</v>
      </c>
      <c r="X182">
        <v>3030</v>
      </c>
      <c r="Y182" s="22">
        <f>knicks_players_all_stats[[#This Row],[REB]]/knicks_players_all_stats[[#This Row],[GP]]</f>
        <v>5.9411764705882355</v>
      </c>
      <c r="Z182" s="2">
        <v>86</v>
      </c>
      <c r="AA182" s="6">
        <f>knicks_players_all_stats[[#This Row],[AST]]/knicks_players_all_stats[[#This Row],[GP]]</f>
        <v>1.6862745098039216</v>
      </c>
      <c r="AB182" s="2">
        <f>knicks_players_all_stats[[#This Row],[STL2]]/10</f>
        <v>34</v>
      </c>
      <c r="AC182" s="2">
        <v>340</v>
      </c>
      <c r="AD182" s="6">
        <f>knicks_players_all_stats[[#This Row],[STL]]/knicks_players_all_stats[[#This Row],[GP]]</f>
        <v>0.66666666666666663</v>
      </c>
      <c r="AE182">
        <v>700</v>
      </c>
      <c r="AF182" s="2">
        <f>knicks_players_all_stats[[#This Row],[BLK2]]/10</f>
        <v>70</v>
      </c>
      <c r="AG182" s="6">
        <f>knicks_players_all_stats[[#This Row],[BLK]]/knicks_players_all_stats[[#This Row],[GP]]</f>
        <v>1.3725490196078431</v>
      </c>
      <c r="AH182">
        <v>670</v>
      </c>
      <c r="AI182" s="6">
        <f>knicks_players_all_stats[[#This Row],[BLKPG]]+knicks_players_all_stats[[#This Row],[STLPG]]+knicks_players_all_stats[[#This Row],[REBPG]]</f>
        <v>7.9803921568627452</v>
      </c>
      <c r="AJ182" s="2">
        <f>knicks_players_all_stats[[#This Row],[TOV2]]/10</f>
        <v>67</v>
      </c>
      <c r="AK182" s="6">
        <f>knicks_players_all_stats[[#This Row],[TOV]]/knicks_players_all_stats[[#This Row],[GP]]</f>
        <v>1.3137254901960784</v>
      </c>
      <c r="AL182" s="2">
        <v>152</v>
      </c>
      <c r="AM182" s="2">
        <f>knicks_players_all_stats[[#This Row],[PF]]/knicks_players_all_stats[[#This Row],[GP]]</f>
        <v>2.9803921568627452</v>
      </c>
      <c r="AN182" s="2">
        <v>838</v>
      </c>
      <c r="AO182" s="6">
        <f>knicks_players_all_stats[[#This Row],[PTS]]/knicks_players_all_stats[[#This Row],[GP]]</f>
        <v>16.431372549019606</v>
      </c>
    </row>
    <row r="183" spans="1:41" customFormat="1" x14ac:dyDescent="0.3">
      <c r="A183" s="3" t="s">
        <v>1740</v>
      </c>
      <c r="B183" s="3" t="s">
        <v>1312</v>
      </c>
      <c r="C183" s="3" t="str">
        <f>knicks_players_all_stats[[#This Row],[NAME]]&amp;" ("&amp;knicks_players_all_stats[[#This Row],[SEASON]]&amp;")"</f>
        <v>Danilo Gallinari (2010-11)</v>
      </c>
      <c r="D183" s="3">
        <f>knicks_players_all_stats[[#This Row],[PLAYER_AGE]]/10</f>
        <v>22</v>
      </c>
      <c r="E183">
        <v>220</v>
      </c>
      <c r="F183" s="2">
        <v>48</v>
      </c>
      <c r="G183" s="2">
        <v>16710</v>
      </c>
      <c r="H18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627</v>
      </c>
      <c r="I183" s="6">
        <f>knicks_players_all_stats[[#This Row],[VALORATION]]/knicks_players_all_stats[[#This Row],[GP]]</f>
        <v>13.0625</v>
      </c>
      <c r="J183" s="2">
        <v>211</v>
      </c>
      <c r="K183" s="2">
        <v>509</v>
      </c>
      <c r="L183" s="2">
        <v>415</v>
      </c>
      <c r="M183" s="2">
        <v>830</v>
      </c>
      <c r="N183" s="2">
        <v>2390</v>
      </c>
      <c r="O183" s="4">
        <f>knicks_players_all_stats[[#This Row],[FG3M]]/knicks_players_all_stats[[#This Row],[FG3A]]</f>
        <v>0.34728033472803349</v>
      </c>
      <c r="P183" s="2">
        <v>259</v>
      </c>
      <c r="Q183" s="2">
        <v>290</v>
      </c>
      <c r="R183" s="5">
        <f>knicks_players_all_stats[[#This Row],[FTM]]/knicks_players_all_stats[[#This Row],[FTA]]</f>
        <v>0.89310344827586208</v>
      </c>
      <c r="S183" s="2">
        <f>knicks_players_all_stats[[#This Row],[OREB22]]/10</f>
        <v>48</v>
      </c>
      <c r="T183" s="2">
        <f>knicks_players_all_stats[[#This Row],[DREB33]]/10</f>
        <v>181</v>
      </c>
      <c r="U183" s="2">
        <f>knicks_players_all_stats[[#This Row],[REB44]]/10</f>
        <v>229</v>
      </c>
      <c r="V183">
        <v>480</v>
      </c>
      <c r="W183">
        <v>1810</v>
      </c>
      <c r="X183">
        <v>2290</v>
      </c>
      <c r="Y183" s="22">
        <f>knicks_players_all_stats[[#This Row],[REB]]/knicks_players_all_stats[[#This Row],[GP]]</f>
        <v>4.770833333333333</v>
      </c>
      <c r="Z183" s="2">
        <v>82</v>
      </c>
      <c r="AA183" s="6">
        <f>knicks_players_all_stats[[#This Row],[AST]]/knicks_players_all_stats[[#This Row],[GP]]</f>
        <v>1.7083333333333333</v>
      </c>
      <c r="AB183" s="2">
        <f>knicks_players_all_stats[[#This Row],[STL2]]/10</f>
        <v>38</v>
      </c>
      <c r="AC183" s="2">
        <v>380</v>
      </c>
      <c r="AD183" s="6">
        <f>knicks_players_all_stats[[#This Row],[STL]]/knicks_players_all_stats[[#This Row],[GP]]</f>
        <v>0.79166666666666663</v>
      </c>
      <c r="AE183">
        <v>180</v>
      </c>
      <c r="AF183" s="2">
        <f>knicks_players_all_stats[[#This Row],[BLK2]]/10</f>
        <v>18</v>
      </c>
      <c r="AG183" s="6">
        <f>knicks_players_all_stats[[#This Row],[BLK]]/knicks_players_all_stats[[#This Row],[GP]]</f>
        <v>0.375</v>
      </c>
      <c r="AH183">
        <v>580</v>
      </c>
      <c r="AI183" s="6">
        <f>knicks_players_all_stats[[#This Row],[BLKPG]]+knicks_players_all_stats[[#This Row],[STLPG]]+knicks_players_all_stats[[#This Row],[REBPG]]</f>
        <v>5.9375</v>
      </c>
      <c r="AJ183" s="2">
        <f>knicks_players_all_stats[[#This Row],[TOV2]]/10</f>
        <v>58</v>
      </c>
      <c r="AK183" s="6">
        <f>knicks_players_all_stats[[#This Row],[TOV]]/knicks_players_all_stats[[#This Row],[GP]]</f>
        <v>1.2083333333333333</v>
      </c>
      <c r="AL183" s="2">
        <v>117</v>
      </c>
      <c r="AM183" s="2">
        <f>knicks_players_all_stats[[#This Row],[PF]]/knicks_players_all_stats[[#This Row],[GP]]</f>
        <v>2.4375</v>
      </c>
      <c r="AN183" s="2">
        <v>764</v>
      </c>
      <c r="AO183" s="6">
        <f>knicks_players_all_stats[[#This Row],[PTS]]/knicks_players_all_stats[[#This Row],[GP]]</f>
        <v>15.916666666666666</v>
      </c>
    </row>
    <row r="184" spans="1:41" customFormat="1" x14ac:dyDescent="0.3">
      <c r="A184" s="3" t="s">
        <v>1494</v>
      </c>
      <c r="B184" s="3" t="s">
        <v>1312</v>
      </c>
      <c r="C184" s="3" t="str">
        <f>knicks_players_all_stats[[#This Row],[NAME]]&amp;" ("&amp;knicks_players_all_stats[[#This Row],[SEASON]]&amp;")"</f>
        <v>Landry Fields (2010-11)</v>
      </c>
      <c r="D184" s="3">
        <f>knicks_players_all_stats[[#This Row],[PLAYER_AGE]]/10</f>
        <v>23</v>
      </c>
      <c r="E184">
        <v>230</v>
      </c>
      <c r="F184" s="2">
        <v>82</v>
      </c>
      <c r="G184" s="2">
        <v>25410</v>
      </c>
      <c r="H18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1012</v>
      </c>
      <c r="I184" s="6">
        <f>knicks_players_all_stats[[#This Row],[VALORATION]]/knicks_players_all_stats[[#This Row],[GP]]</f>
        <v>12.341463414634147</v>
      </c>
      <c r="J184" s="2">
        <v>299</v>
      </c>
      <c r="K184" s="2">
        <v>602</v>
      </c>
      <c r="L184" s="4">
        <f>knicks_players_all_stats[[#This Row],[FGM]]/knicks_players_all_stats[[#This Row],[FGA]]</f>
        <v>0.49667774086378735</v>
      </c>
      <c r="M184" s="2">
        <v>860</v>
      </c>
      <c r="N184" s="2">
        <v>2190</v>
      </c>
      <c r="O184" s="4">
        <f>knicks_players_all_stats[[#This Row],[FG3M]]/knicks_players_all_stats[[#This Row],[FG3A]]</f>
        <v>0.39269406392694062</v>
      </c>
      <c r="P184" s="2">
        <v>113</v>
      </c>
      <c r="Q184" s="2">
        <v>147</v>
      </c>
      <c r="R184" s="5">
        <f>knicks_players_all_stats[[#This Row],[FTM]]/knicks_players_all_stats[[#This Row],[FTA]]</f>
        <v>0.76870748299319724</v>
      </c>
      <c r="S184" s="2">
        <f>knicks_players_all_stats[[#This Row],[OREB22]]/10</f>
        <v>105</v>
      </c>
      <c r="T184" s="2">
        <f>knicks_players_all_stats[[#This Row],[DREB33]]/10</f>
        <v>416</v>
      </c>
      <c r="U184" s="2">
        <f>knicks_players_all_stats[[#This Row],[REB44]]/10</f>
        <v>521</v>
      </c>
      <c r="V184">
        <v>1050</v>
      </c>
      <c r="W184">
        <v>4160</v>
      </c>
      <c r="X184">
        <v>5210</v>
      </c>
      <c r="Y184" s="22">
        <f>knicks_players_all_stats[[#This Row],[REB]]/knicks_players_all_stats[[#This Row],[GP]]</f>
        <v>6.3536585365853657</v>
      </c>
      <c r="Z184" s="2">
        <v>155</v>
      </c>
      <c r="AA184" s="6">
        <f>knicks_players_all_stats[[#This Row],[AST]]/knicks_players_all_stats[[#This Row],[GP]]</f>
        <v>1.8902439024390243</v>
      </c>
      <c r="AB184" s="2">
        <f>knicks_players_all_stats[[#This Row],[STL2]]/10</f>
        <v>80</v>
      </c>
      <c r="AC184" s="2">
        <v>800</v>
      </c>
      <c r="AD184" s="6">
        <f>knicks_players_all_stats[[#This Row],[STL]]/knicks_players_all_stats[[#This Row],[GP]]</f>
        <v>0.97560975609756095</v>
      </c>
      <c r="AE184">
        <v>170</v>
      </c>
      <c r="AF184" s="2">
        <f>knicks_players_all_stats[[#This Row],[BLK2]]/10</f>
        <v>17</v>
      </c>
      <c r="AG184" s="6">
        <f>knicks_players_all_stats[[#This Row],[BLK]]/knicks_players_all_stats[[#This Row],[GP]]</f>
        <v>0.2073170731707317</v>
      </c>
      <c r="AH184">
        <v>1070</v>
      </c>
      <c r="AI184" s="6">
        <f>knicks_players_all_stats[[#This Row],[BLKPG]]+knicks_players_all_stats[[#This Row],[STLPG]]+knicks_players_all_stats[[#This Row],[REBPG]]</f>
        <v>7.5365853658536581</v>
      </c>
      <c r="AJ184" s="2">
        <f>knicks_players_all_stats[[#This Row],[TOV2]]/10</f>
        <v>107</v>
      </c>
      <c r="AK184" s="6">
        <f>knicks_players_all_stats[[#This Row],[TOV]]/knicks_players_all_stats[[#This Row],[GP]]</f>
        <v>1.3048780487804879</v>
      </c>
      <c r="AL184" s="2">
        <v>114</v>
      </c>
      <c r="AM184" s="2">
        <f>knicks_players_all_stats[[#This Row],[PF]]/knicks_players_all_stats[[#This Row],[GP]]</f>
        <v>1.3902439024390243</v>
      </c>
      <c r="AN184" s="2">
        <v>797</v>
      </c>
      <c r="AO184" s="6">
        <f>knicks_players_all_stats[[#This Row],[PTS]]/knicks_players_all_stats[[#This Row],[GP]]</f>
        <v>9.7195121951219505</v>
      </c>
    </row>
    <row r="185" spans="1:41" customFormat="1" x14ac:dyDescent="0.3">
      <c r="A185" s="3" t="s">
        <v>1577</v>
      </c>
      <c r="B185" s="3" t="s">
        <v>1312</v>
      </c>
      <c r="C185" s="3" t="str">
        <f>knicks_players_all_stats[[#This Row],[NAME]]&amp;" ("&amp;knicks_players_all_stats[[#This Row],[SEASON]]&amp;")"</f>
        <v>Toney Douglas (2010-11)</v>
      </c>
      <c r="D185" s="3">
        <f>knicks_players_all_stats[[#This Row],[PLAYER_AGE]]/10</f>
        <v>25</v>
      </c>
      <c r="E185">
        <v>250</v>
      </c>
      <c r="F185" s="2">
        <v>81</v>
      </c>
      <c r="G185" s="2">
        <v>19710</v>
      </c>
      <c r="H18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708</v>
      </c>
      <c r="I185" s="6">
        <f>knicks_players_all_stats[[#This Row],[VALORATION]]/knicks_players_all_stats[[#This Row],[GP]]</f>
        <v>8.7407407407407405</v>
      </c>
      <c r="J185" s="2">
        <v>314</v>
      </c>
      <c r="K185" s="2">
        <v>755</v>
      </c>
      <c r="L185" s="4">
        <f>knicks_players_all_stats[[#This Row],[FGM]]/knicks_players_all_stats[[#This Row],[FGA]]</f>
        <v>0.41589403973509936</v>
      </c>
      <c r="M185" s="2">
        <v>1430</v>
      </c>
      <c r="N185" s="2">
        <v>3830</v>
      </c>
      <c r="O185" s="4">
        <f>knicks_players_all_stats[[#This Row],[FG3M]]/knicks_players_all_stats[[#This Row],[FG3A]]</f>
        <v>0.37336814621409919</v>
      </c>
      <c r="P185" s="2">
        <v>85</v>
      </c>
      <c r="Q185" s="2">
        <v>107</v>
      </c>
      <c r="R185" s="5">
        <f>knicks_players_all_stats[[#This Row],[FTM]]/knicks_players_all_stats[[#This Row],[FTA]]</f>
        <v>0.79439252336448596</v>
      </c>
      <c r="S185" s="2">
        <f>knicks_players_all_stats[[#This Row],[OREB22]]/10</f>
        <v>65</v>
      </c>
      <c r="T185" s="2">
        <f>knicks_players_all_stats[[#This Row],[DREB33]]/10</f>
        <v>179</v>
      </c>
      <c r="U185" s="2">
        <f>knicks_players_all_stats[[#This Row],[REB44]]/10</f>
        <v>244</v>
      </c>
      <c r="V185">
        <v>650</v>
      </c>
      <c r="W185">
        <v>1790</v>
      </c>
      <c r="X185">
        <v>2440</v>
      </c>
      <c r="Y185" s="22">
        <f>knicks_players_all_stats[[#This Row],[REB]]/knicks_players_all_stats[[#This Row],[GP]]</f>
        <v>3.0123456790123457</v>
      </c>
      <c r="Z185" s="2">
        <v>244</v>
      </c>
      <c r="AA185" s="6">
        <f>knicks_players_all_stats[[#This Row],[AST]]/knicks_players_all_stats[[#This Row],[GP]]</f>
        <v>3.0123456790123457</v>
      </c>
      <c r="AB185" s="2">
        <f>knicks_players_all_stats[[#This Row],[STL2]]/10</f>
        <v>89</v>
      </c>
      <c r="AC185" s="2">
        <v>890</v>
      </c>
      <c r="AD185" s="6">
        <f>knicks_players_all_stats[[#This Row],[STL]]/knicks_players_all_stats[[#This Row],[GP]]</f>
        <v>1.0987654320987654</v>
      </c>
      <c r="AE185">
        <v>40</v>
      </c>
      <c r="AF185" s="2">
        <f>knicks_players_all_stats[[#This Row],[BLK2]]/10</f>
        <v>4</v>
      </c>
      <c r="AG185" s="6">
        <f>knicks_players_all_stats[[#This Row],[BLK]]/knicks_players_all_stats[[#This Row],[GP]]</f>
        <v>4.9382716049382713E-2</v>
      </c>
      <c r="AH185">
        <v>890</v>
      </c>
      <c r="AI185" s="6">
        <f>knicks_players_all_stats[[#This Row],[BLKPG]]+knicks_players_all_stats[[#This Row],[STLPG]]+knicks_players_all_stats[[#This Row],[REBPG]]</f>
        <v>4.1604938271604937</v>
      </c>
      <c r="AJ185" s="2">
        <f>knicks_players_all_stats[[#This Row],[TOV2]]/10</f>
        <v>89</v>
      </c>
      <c r="AK185" s="6">
        <f>knicks_players_all_stats[[#This Row],[TOV]]/knicks_players_all_stats[[#This Row],[GP]]</f>
        <v>1.0987654320987654</v>
      </c>
      <c r="AL185" s="2">
        <v>177</v>
      </c>
      <c r="AM185" s="2">
        <f>knicks_players_all_stats[[#This Row],[PF]]/knicks_players_all_stats[[#This Row],[GP]]</f>
        <v>2.1851851851851851</v>
      </c>
      <c r="AN185" s="2">
        <v>856</v>
      </c>
      <c r="AO185" s="6">
        <f>knicks_players_all_stats[[#This Row],[PTS]]/knicks_players_all_stats[[#This Row],[GP]]</f>
        <v>10.567901234567902</v>
      </c>
    </row>
    <row r="186" spans="1:41" customFormat="1" x14ac:dyDescent="0.3">
      <c r="A186" s="3" t="s">
        <v>1840</v>
      </c>
      <c r="B186" s="3" t="s">
        <v>1312</v>
      </c>
      <c r="C186" s="3" t="str">
        <f>knicks_players_all_stats[[#This Row],[NAME]]&amp;" ("&amp;knicks_players_all_stats[[#This Row],[SEASON]]&amp;")"</f>
        <v>Shawne Williams (2010-11)</v>
      </c>
      <c r="D186" s="3">
        <f>knicks_players_all_stats[[#This Row],[PLAYER_AGE]]/10</f>
        <v>25</v>
      </c>
      <c r="E186">
        <v>250</v>
      </c>
      <c r="F186" s="2">
        <v>64</v>
      </c>
      <c r="G186" s="2">
        <v>13230</v>
      </c>
      <c r="H18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391</v>
      </c>
      <c r="I186" s="6">
        <f>knicks_players_all_stats[[#This Row],[VALORATION]]/knicks_players_all_stats[[#This Row],[GP]]</f>
        <v>6.109375</v>
      </c>
      <c r="J186" s="2">
        <v>164</v>
      </c>
      <c r="K186" s="2">
        <v>385</v>
      </c>
      <c r="L186" s="2">
        <v>426</v>
      </c>
      <c r="M186" s="2">
        <v>850</v>
      </c>
      <c r="N186" s="2">
        <v>2120</v>
      </c>
      <c r="O186" s="4">
        <f>knicks_players_all_stats[[#This Row],[FG3M]]/knicks_players_all_stats[[#This Row],[FG3A]]</f>
        <v>0.40094339622641512</v>
      </c>
      <c r="P186" s="2">
        <v>41</v>
      </c>
      <c r="Q186" s="2">
        <v>49</v>
      </c>
      <c r="R186" s="5">
        <f>knicks_players_all_stats[[#This Row],[FTM]]/knicks_players_all_stats[[#This Row],[FTA]]</f>
        <v>0.83673469387755106</v>
      </c>
      <c r="S186" s="2">
        <f>knicks_players_all_stats[[#This Row],[OREB22]]/10</f>
        <v>60</v>
      </c>
      <c r="T186" s="2">
        <f>knicks_players_all_stats[[#This Row],[DREB33]]/10</f>
        <v>179</v>
      </c>
      <c r="U186" s="2">
        <f>knicks_players_all_stats[[#This Row],[REB44]]/10</f>
        <v>239</v>
      </c>
      <c r="V186">
        <v>600</v>
      </c>
      <c r="W186">
        <v>1790</v>
      </c>
      <c r="X186">
        <v>2390</v>
      </c>
      <c r="Y186" s="22">
        <f>knicks_players_all_stats[[#This Row],[REB]]/knicks_players_all_stats[[#This Row],[GP]]</f>
        <v>3.734375</v>
      </c>
      <c r="Z186" s="2">
        <v>47</v>
      </c>
      <c r="AA186" s="6">
        <f>knicks_players_all_stats[[#This Row],[AST]]/knicks_players_all_stats[[#This Row],[GP]]</f>
        <v>0.734375</v>
      </c>
      <c r="AB186" s="2">
        <f>knicks_players_all_stats[[#This Row],[STL2]]/10</f>
        <v>39</v>
      </c>
      <c r="AC186" s="2">
        <v>390</v>
      </c>
      <c r="AD186" s="6">
        <f>knicks_players_all_stats[[#This Row],[STL]]/knicks_players_all_stats[[#This Row],[GP]]</f>
        <v>0.609375</v>
      </c>
      <c r="AE186">
        <v>510</v>
      </c>
      <c r="AF186" s="2">
        <f>knicks_players_all_stats[[#This Row],[BLK2]]/10</f>
        <v>51</v>
      </c>
      <c r="AG186" s="6">
        <f>knicks_players_all_stats[[#This Row],[BLK]]/knicks_players_all_stats[[#This Row],[GP]]</f>
        <v>0.796875</v>
      </c>
      <c r="AH186">
        <v>460</v>
      </c>
      <c r="AI186" s="6">
        <f>knicks_players_all_stats[[#This Row],[BLKPG]]+knicks_players_all_stats[[#This Row],[STLPG]]+knicks_players_all_stats[[#This Row],[REBPG]]</f>
        <v>5.140625</v>
      </c>
      <c r="AJ186" s="2">
        <f>knicks_players_all_stats[[#This Row],[TOV2]]/10</f>
        <v>46</v>
      </c>
      <c r="AK186" s="6">
        <f>knicks_players_all_stats[[#This Row],[TOV]]/knicks_players_all_stats[[#This Row],[GP]]</f>
        <v>0.71875</v>
      </c>
      <c r="AL186" s="2">
        <v>164</v>
      </c>
      <c r="AM186" s="2">
        <f>knicks_players_all_stats[[#This Row],[PF]]/knicks_players_all_stats[[#This Row],[GP]]</f>
        <v>2.5625</v>
      </c>
      <c r="AN186" s="2">
        <v>454</v>
      </c>
      <c r="AO186" s="6">
        <f>knicks_players_all_stats[[#This Row],[PTS]]/knicks_players_all_stats[[#This Row],[GP]]</f>
        <v>7.09375</v>
      </c>
    </row>
    <row r="187" spans="1:41" customFormat="1" x14ac:dyDescent="0.3">
      <c r="A187" s="3" t="s">
        <v>1802</v>
      </c>
      <c r="B187" s="3" t="s">
        <v>1312</v>
      </c>
      <c r="C187" s="3" t="str">
        <f>knicks_players_all_stats[[#This Row],[NAME]]&amp;" ("&amp;knicks_players_all_stats[[#This Row],[SEASON]]&amp;")"</f>
        <v>Ronny Turiaf (2010-11)</v>
      </c>
      <c r="D187" s="3">
        <f>knicks_players_all_stats[[#This Row],[PLAYER_AGE]]/10</f>
        <v>28</v>
      </c>
      <c r="E187">
        <v>280</v>
      </c>
      <c r="F187" s="2">
        <v>64</v>
      </c>
      <c r="G187" s="2">
        <v>11410</v>
      </c>
      <c r="H18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376</v>
      </c>
      <c r="I187" s="6">
        <f>knicks_players_all_stats[[#This Row],[VALORATION]]/knicks_players_all_stats[[#This Row],[GP]]</f>
        <v>5.875</v>
      </c>
      <c r="J187" s="2">
        <v>103</v>
      </c>
      <c r="K187" s="2">
        <v>163</v>
      </c>
      <c r="L187" s="2">
        <v>632</v>
      </c>
      <c r="M187" s="2">
        <v>0</v>
      </c>
      <c r="N187" s="2">
        <v>0</v>
      </c>
      <c r="O187" s="4" t="e">
        <f>knicks_players_all_stats[[#This Row],[FG3M]]/knicks_players_all_stats[[#This Row],[FG3A]]</f>
        <v>#DIV/0!</v>
      </c>
      <c r="P187" s="2">
        <v>61</v>
      </c>
      <c r="Q187" s="2">
        <v>98</v>
      </c>
      <c r="R187" s="5">
        <f>knicks_players_all_stats[[#This Row],[FTM]]/knicks_players_all_stats[[#This Row],[FTA]]</f>
        <v>0.62244897959183676</v>
      </c>
      <c r="S187" s="2">
        <f>knicks_players_all_stats[[#This Row],[OREB22]]/10</f>
        <v>64</v>
      </c>
      <c r="T187" s="2">
        <f>knicks_players_all_stats[[#This Row],[DREB33]]/10</f>
        <v>143</v>
      </c>
      <c r="U187" s="2">
        <f>knicks_players_all_stats[[#This Row],[REB44]]/10</f>
        <v>207</v>
      </c>
      <c r="V187">
        <v>640</v>
      </c>
      <c r="W187">
        <v>1430</v>
      </c>
      <c r="X187">
        <v>2070</v>
      </c>
      <c r="Y187" s="22">
        <f>knicks_players_all_stats[[#This Row],[REB]]/knicks_players_all_stats[[#This Row],[GP]]</f>
        <v>3.234375</v>
      </c>
      <c r="Z187" s="2">
        <v>92</v>
      </c>
      <c r="AA187" s="6">
        <f>knicks_players_all_stats[[#This Row],[AST]]/knicks_players_all_stats[[#This Row],[GP]]</f>
        <v>1.4375</v>
      </c>
      <c r="AB187" s="2">
        <f>knicks_players_all_stats[[#This Row],[STL2]]/10</f>
        <v>35</v>
      </c>
      <c r="AC187" s="2">
        <v>350</v>
      </c>
      <c r="AD187" s="6">
        <f>knicks_players_all_stats[[#This Row],[STL]]/knicks_players_all_stats[[#This Row],[GP]]</f>
        <v>0.546875</v>
      </c>
      <c r="AE187">
        <v>730</v>
      </c>
      <c r="AF187" s="2">
        <f>knicks_players_all_stats[[#This Row],[BLK2]]/10</f>
        <v>73</v>
      </c>
      <c r="AG187" s="6">
        <f>knicks_players_all_stats[[#This Row],[BLK]]/knicks_players_all_stats[[#This Row],[GP]]</f>
        <v>1.140625</v>
      </c>
      <c r="AH187">
        <v>410</v>
      </c>
      <c r="AI187" s="6">
        <f>knicks_players_all_stats[[#This Row],[BLKPG]]+knicks_players_all_stats[[#This Row],[STLPG]]+knicks_players_all_stats[[#This Row],[REBPG]]</f>
        <v>4.921875</v>
      </c>
      <c r="AJ187" s="2">
        <f>knicks_players_all_stats[[#This Row],[TOV2]]/10</f>
        <v>41</v>
      </c>
      <c r="AK187" s="6">
        <f>knicks_players_all_stats[[#This Row],[TOV]]/knicks_players_all_stats[[#This Row],[GP]]</f>
        <v>0.640625</v>
      </c>
      <c r="AL187" s="2">
        <v>160</v>
      </c>
      <c r="AM187" s="2">
        <f>knicks_players_all_stats[[#This Row],[PF]]/knicks_players_all_stats[[#This Row],[GP]]</f>
        <v>2.5</v>
      </c>
      <c r="AN187" s="2">
        <v>267</v>
      </c>
      <c r="AO187" s="6">
        <f>knicks_players_all_stats[[#This Row],[PTS]]/knicks_players_all_stats[[#This Row],[GP]]</f>
        <v>4.171875</v>
      </c>
    </row>
    <row r="188" spans="1:41" customFormat="1" x14ac:dyDescent="0.3">
      <c r="A188" s="3" t="s">
        <v>1483</v>
      </c>
      <c r="B188" s="3" t="s">
        <v>1312</v>
      </c>
      <c r="C188" s="3" t="str">
        <f>knicks_players_all_stats[[#This Row],[NAME]]&amp;" ("&amp;knicks_players_all_stats[[#This Row],[SEASON]]&amp;")"</f>
        <v>Anthony Carter (2010-11)</v>
      </c>
      <c r="D188" s="3">
        <f>knicks_players_all_stats[[#This Row],[PLAYER_AGE]]/10</f>
        <v>36</v>
      </c>
      <c r="E188">
        <v>360</v>
      </c>
      <c r="F188" s="2">
        <v>19</v>
      </c>
      <c r="G188" s="2">
        <v>3100</v>
      </c>
      <c r="H18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93</v>
      </c>
      <c r="I188" s="6">
        <f>knicks_players_all_stats[[#This Row],[VALORATION]]/knicks_players_all_stats[[#This Row],[GP]]</f>
        <v>4.8947368421052628</v>
      </c>
      <c r="J188" s="2">
        <v>35</v>
      </c>
      <c r="K188" s="2">
        <v>76</v>
      </c>
      <c r="L188" s="4">
        <f>knicks_players_all_stats[[#This Row],[FGM]]/knicks_players_all_stats[[#This Row],[FGA]]</f>
        <v>0.46052631578947367</v>
      </c>
      <c r="M188" s="2">
        <v>80</v>
      </c>
      <c r="N188" s="2">
        <v>280</v>
      </c>
      <c r="O188" s="4">
        <f>knicks_players_all_stats[[#This Row],[FG3M]]/knicks_players_all_stats[[#This Row],[FG3A]]</f>
        <v>0.2857142857142857</v>
      </c>
      <c r="P188" s="2">
        <v>6</v>
      </c>
      <c r="Q188" s="2">
        <v>6</v>
      </c>
      <c r="R188" s="5">
        <f>knicks_players_all_stats[[#This Row],[FTM]]/knicks_players_all_stats[[#This Row],[FTA]]</f>
        <v>1</v>
      </c>
      <c r="S188" s="2">
        <f>knicks_players_all_stats[[#This Row],[OREB22]]/10</f>
        <v>7</v>
      </c>
      <c r="T188" s="2">
        <f>knicks_players_all_stats[[#This Row],[DREB33]]/10</f>
        <v>32</v>
      </c>
      <c r="U188" s="2">
        <f>knicks_players_all_stats[[#This Row],[REB44]]/10</f>
        <v>39</v>
      </c>
      <c r="V188">
        <v>70</v>
      </c>
      <c r="W188">
        <v>320</v>
      </c>
      <c r="X188">
        <v>390</v>
      </c>
      <c r="Y188" s="22">
        <f>knicks_players_all_stats[[#This Row],[REB]]/knicks_players_all_stats[[#This Row],[GP]]</f>
        <v>2.0526315789473686</v>
      </c>
      <c r="Z188" s="2">
        <v>43</v>
      </c>
      <c r="AA188" s="6">
        <f>knicks_players_all_stats[[#This Row],[AST]]/knicks_players_all_stats[[#This Row],[GP]]</f>
        <v>2.263157894736842</v>
      </c>
      <c r="AB188" s="2">
        <f>knicks_players_all_stats[[#This Row],[STL2]]/10</f>
        <v>18</v>
      </c>
      <c r="AC188" s="2">
        <v>180</v>
      </c>
      <c r="AD188" s="6">
        <f>knicks_players_all_stats[[#This Row],[STL]]/knicks_players_all_stats[[#This Row],[GP]]</f>
        <v>0.94736842105263153</v>
      </c>
      <c r="AE188">
        <v>50</v>
      </c>
      <c r="AF188" s="2">
        <f>knicks_players_all_stats[[#This Row],[BLK2]]/10</f>
        <v>5</v>
      </c>
      <c r="AG188" s="6">
        <f>knicks_players_all_stats[[#This Row],[BLK]]/knicks_players_all_stats[[#This Row],[GP]]</f>
        <v>0.26315789473684209</v>
      </c>
      <c r="AH188">
        <v>250</v>
      </c>
      <c r="AI188" s="6">
        <f>knicks_players_all_stats[[#This Row],[BLKPG]]+knicks_players_all_stats[[#This Row],[STLPG]]+knicks_players_all_stats[[#This Row],[REBPG]]</f>
        <v>3.2631578947368425</v>
      </c>
      <c r="AJ188" s="2">
        <f>knicks_players_all_stats[[#This Row],[TOV2]]/10</f>
        <v>25</v>
      </c>
      <c r="AK188" s="6">
        <f>knicks_players_all_stats[[#This Row],[TOV]]/knicks_players_all_stats[[#This Row],[GP]]</f>
        <v>1.3157894736842106</v>
      </c>
      <c r="AL188" s="2">
        <v>30</v>
      </c>
      <c r="AM188" s="2">
        <f>knicks_players_all_stats[[#This Row],[PF]]/knicks_players_all_stats[[#This Row],[GP]]</f>
        <v>1.5789473684210527</v>
      </c>
      <c r="AN188" s="2">
        <v>84</v>
      </c>
      <c r="AO188" s="6">
        <f>knicks_players_all_stats[[#This Row],[PTS]]/knicks_players_all_stats[[#This Row],[GP]]</f>
        <v>4.4210526315789478</v>
      </c>
    </row>
    <row r="189" spans="1:41" customFormat="1" x14ac:dyDescent="0.3">
      <c r="A189" s="3" t="s">
        <v>1841</v>
      </c>
      <c r="B189" s="3" t="s">
        <v>1312</v>
      </c>
      <c r="C189" s="3" t="str">
        <f>knicks_players_all_stats[[#This Row],[NAME]]&amp;" ("&amp;knicks_players_all_stats[[#This Row],[SEASON]]&amp;")"</f>
        <v>Shelden Williams (2010-11)</v>
      </c>
      <c r="D189" s="3">
        <f>knicks_players_all_stats[[#This Row],[PLAYER_AGE]]/10</f>
        <v>27</v>
      </c>
      <c r="E189">
        <v>270</v>
      </c>
      <c r="F189" s="2">
        <v>17</v>
      </c>
      <c r="G189" s="2">
        <v>1980</v>
      </c>
      <c r="H18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75</v>
      </c>
      <c r="I189" s="6">
        <f>knicks_players_all_stats[[#This Row],[VALORATION]]/knicks_players_all_stats[[#This Row],[GP]]</f>
        <v>4.4117647058823533</v>
      </c>
      <c r="J189" s="2">
        <v>21</v>
      </c>
      <c r="K189" s="2">
        <v>39</v>
      </c>
      <c r="L189" s="2">
        <v>538</v>
      </c>
      <c r="M189" s="2">
        <v>0</v>
      </c>
      <c r="N189" s="2">
        <v>0</v>
      </c>
      <c r="O189" s="4" t="e">
        <f>knicks_players_all_stats[[#This Row],[FG3M]]/knicks_players_all_stats[[#This Row],[FG3A]]</f>
        <v>#DIV/0!</v>
      </c>
      <c r="P189" s="2">
        <v>24</v>
      </c>
      <c r="Q189" s="2">
        <v>29</v>
      </c>
      <c r="R189" s="5">
        <f>knicks_players_all_stats[[#This Row],[FTM]]/knicks_players_all_stats[[#This Row],[FTA]]</f>
        <v>0.82758620689655171</v>
      </c>
      <c r="S189" s="2">
        <f>knicks_players_all_stats[[#This Row],[OREB22]]/10</f>
        <v>19</v>
      </c>
      <c r="T189" s="2">
        <f>knicks_players_all_stats[[#This Row],[DREB33]]/10</f>
        <v>31</v>
      </c>
      <c r="U189" s="2">
        <f>knicks_players_all_stats[[#This Row],[REB44]]/10</f>
        <v>50</v>
      </c>
      <c r="V189">
        <v>190</v>
      </c>
      <c r="W189">
        <v>310</v>
      </c>
      <c r="X189">
        <v>500</v>
      </c>
      <c r="Y189" s="22">
        <f>knicks_players_all_stats[[#This Row],[REB]]/knicks_players_all_stats[[#This Row],[GP]]</f>
        <v>2.9411764705882355</v>
      </c>
      <c r="Z189" s="2">
        <v>13</v>
      </c>
      <c r="AA189" s="6">
        <f>knicks_players_all_stats[[#This Row],[AST]]/knicks_players_all_stats[[#This Row],[GP]]</f>
        <v>0.76470588235294112</v>
      </c>
      <c r="AB189" s="2">
        <f>knicks_players_all_stats[[#This Row],[STL2]]/10</f>
        <v>5</v>
      </c>
      <c r="AC189" s="2">
        <v>50</v>
      </c>
      <c r="AD189" s="6">
        <f>knicks_players_all_stats[[#This Row],[STL]]/knicks_players_all_stats[[#This Row],[GP]]</f>
        <v>0.29411764705882354</v>
      </c>
      <c r="AE189">
        <v>40</v>
      </c>
      <c r="AF189" s="2">
        <f>knicks_players_all_stats[[#This Row],[BLK2]]/10</f>
        <v>4</v>
      </c>
      <c r="AG189" s="6">
        <f>knicks_players_all_stats[[#This Row],[BLK]]/knicks_players_all_stats[[#This Row],[GP]]</f>
        <v>0.23529411764705882</v>
      </c>
      <c r="AH189">
        <v>60</v>
      </c>
      <c r="AI189" s="6">
        <f>knicks_players_all_stats[[#This Row],[BLKPG]]+knicks_players_all_stats[[#This Row],[STLPG]]+knicks_players_all_stats[[#This Row],[REBPG]]</f>
        <v>3.4705882352941178</v>
      </c>
      <c r="AJ189" s="2">
        <f>knicks_players_all_stats[[#This Row],[TOV2]]/10</f>
        <v>6</v>
      </c>
      <c r="AK189" s="6">
        <f>knicks_players_all_stats[[#This Row],[TOV]]/knicks_players_all_stats[[#This Row],[GP]]</f>
        <v>0.35294117647058826</v>
      </c>
      <c r="AL189" s="2">
        <v>34</v>
      </c>
      <c r="AM189" s="2">
        <f>knicks_players_all_stats[[#This Row],[PF]]/knicks_players_all_stats[[#This Row],[GP]]</f>
        <v>2</v>
      </c>
      <c r="AN189" s="2">
        <v>66</v>
      </c>
      <c r="AO189" s="6">
        <f>knicks_players_all_stats[[#This Row],[PTS]]/knicks_players_all_stats[[#This Row],[GP]]</f>
        <v>3.8823529411764706</v>
      </c>
    </row>
    <row r="190" spans="1:41" x14ac:dyDescent="0.3">
      <c r="A190" s="3" t="s">
        <v>1605</v>
      </c>
      <c r="B190" s="3" t="s">
        <v>1312</v>
      </c>
      <c r="C190" s="3" t="str">
        <f>knicks_players_all_stats[[#This Row],[NAME]]&amp;" ("&amp;knicks_players_all_stats[[#This Row],[SEASON]]&amp;")"</f>
        <v>Derrick Brown (2010-11)</v>
      </c>
      <c r="D190" s="3">
        <f>knicks_players_all_stats[[#This Row],[PLAYER_AGE]]/10</f>
        <v>23</v>
      </c>
      <c r="E190">
        <v>230</v>
      </c>
      <c r="F190" s="2">
        <v>8</v>
      </c>
      <c r="G190" s="2">
        <v>880</v>
      </c>
      <c r="H19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29</v>
      </c>
      <c r="I190" s="6">
        <f>knicks_players_all_stats[[#This Row],[VALORATION]]/knicks_players_all_stats[[#This Row],[GP]]</f>
        <v>3.625</v>
      </c>
      <c r="J190" s="2">
        <v>12</v>
      </c>
      <c r="K190" s="2">
        <v>18</v>
      </c>
      <c r="L190" s="4">
        <f>knicks_players_all_stats[[#This Row],[FGM]]/knicks_players_all_stats[[#This Row],[FGA]]</f>
        <v>0.66666666666666663</v>
      </c>
      <c r="M190" s="2">
        <v>30</v>
      </c>
      <c r="N190" s="2">
        <v>40</v>
      </c>
      <c r="O190" s="4">
        <f>knicks_players_all_stats[[#This Row],[FG3M]]/knicks_players_all_stats[[#This Row],[FG3A]]</f>
        <v>0.75</v>
      </c>
      <c r="P190" s="2">
        <v>7</v>
      </c>
      <c r="Q190" s="2">
        <v>13</v>
      </c>
      <c r="R190" s="5">
        <f>knicks_players_all_stats[[#This Row],[FTM]]/knicks_players_all_stats[[#This Row],[FTA]]</f>
        <v>0.53846153846153844</v>
      </c>
      <c r="S190" s="2">
        <f>knicks_players_all_stats[[#This Row],[OREB22]]/10</f>
        <v>9</v>
      </c>
      <c r="T190" s="2">
        <f>knicks_players_all_stats[[#This Row],[DREB33]]/10</f>
        <v>6</v>
      </c>
      <c r="U190" s="2">
        <f>knicks_players_all_stats[[#This Row],[REB44]]/10</f>
        <v>15</v>
      </c>
      <c r="V190">
        <v>90</v>
      </c>
      <c r="W190">
        <v>60</v>
      </c>
      <c r="X190">
        <v>150</v>
      </c>
      <c r="Y190" s="22">
        <f>knicks_players_all_stats[[#This Row],[REB]]/knicks_players_all_stats[[#This Row],[GP]]</f>
        <v>1.875</v>
      </c>
      <c r="Z190" s="2">
        <v>4</v>
      </c>
      <c r="AA190" s="6">
        <f>knicks_players_all_stats[[#This Row],[AST]]/knicks_players_all_stats[[#This Row],[GP]]</f>
        <v>0.5</v>
      </c>
      <c r="AB190" s="2">
        <f>knicks_players_all_stats[[#This Row],[STL2]]/10</f>
        <v>4</v>
      </c>
      <c r="AC190" s="2">
        <v>40</v>
      </c>
      <c r="AD190" s="6">
        <f>knicks_players_all_stats[[#This Row],[STL]]/knicks_players_all_stats[[#This Row],[GP]]</f>
        <v>0.5</v>
      </c>
      <c r="AE190">
        <v>20</v>
      </c>
      <c r="AF190" s="2">
        <f>knicks_players_all_stats[[#This Row],[BLK2]]/10</f>
        <v>2</v>
      </c>
      <c r="AG190" s="6">
        <f>knicks_players_all_stats[[#This Row],[BLK]]/knicks_players_all_stats[[#This Row],[GP]]</f>
        <v>0.25</v>
      </c>
      <c r="AH190">
        <v>70</v>
      </c>
      <c r="AI190" s="6">
        <f>knicks_players_all_stats[[#This Row],[BLKPG]]+knicks_players_all_stats[[#This Row],[STLPG]]+knicks_players_all_stats[[#This Row],[REBPG]]</f>
        <v>2.625</v>
      </c>
      <c r="AJ190" s="2">
        <f>knicks_players_all_stats[[#This Row],[TOV2]]/10</f>
        <v>7</v>
      </c>
      <c r="AK190" s="6">
        <f>knicks_players_all_stats[[#This Row],[TOV]]/knicks_players_all_stats[[#This Row],[GP]]</f>
        <v>0.875</v>
      </c>
      <c r="AL190" s="2">
        <v>11</v>
      </c>
      <c r="AM190" s="2">
        <f>knicks_players_all_stats[[#This Row],[PF]]/knicks_players_all_stats[[#This Row],[GP]]</f>
        <v>1.375</v>
      </c>
      <c r="AN190" s="2">
        <v>34</v>
      </c>
      <c r="AO190" s="6">
        <f>knicks_players_all_stats[[#This Row],[PTS]]/knicks_players_all_stats[[#This Row],[GP]]</f>
        <v>4.25</v>
      </c>
    </row>
    <row r="191" spans="1:41" x14ac:dyDescent="0.3">
      <c r="A191" s="3" t="s">
        <v>1817</v>
      </c>
      <c r="B191" s="3" t="s">
        <v>1312</v>
      </c>
      <c r="C191" s="3" t="str">
        <f>knicks_players_all_stats[[#This Row],[NAME]]&amp;" ("&amp;knicks_players_all_stats[[#This Row],[SEASON]]&amp;")"</f>
        <v>Henry Walker (2010-11)</v>
      </c>
      <c r="D191" s="3">
        <f>knicks_players_all_stats[[#This Row],[PLAYER_AGE]]/10</f>
        <v>23</v>
      </c>
      <c r="E191">
        <v>230</v>
      </c>
      <c r="F191" s="2">
        <v>61</v>
      </c>
      <c r="G191" s="2">
        <v>7840</v>
      </c>
      <c r="H19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218</v>
      </c>
      <c r="I191" s="6">
        <f>knicks_players_all_stats[[#This Row],[VALORATION]]/knicks_players_all_stats[[#This Row],[GP]]</f>
        <v>3.5737704918032787</v>
      </c>
      <c r="J191" s="2">
        <v>104</v>
      </c>
      <c r="K191" s="2">
        <v>236</v>
      </c>
      <c r="L191" s="2">
        <v>441</v>
      </c>
      <c r="M191" s="2">
        <v>590</v>
      </c>
      <c r="N191" s="2">
        <v>1530</v>
      </c>
      <c r="O191" s="4">
        <f>knicks_players_all_stats[[#This Row],[FG3M]]/knicks_players_all_stats[[#This Row],[FG3A]]</f>
        <v>0.38562091503267976</v>
      </c>
      <c r="P191" s="2">
        <v>31</v>
      </c>
      <c r="Q191" s="2">
        <v>44</v>
      </c>
      <c r="R191" s="5">
        <f>knicks_players_all_stats[[#This Row],[FTM]]/knicks_players_all_stats[[#This Row],[FTA]]</f>
        <v>0.70454545454545459</v>
      </c>
      <c r="S191" s="2">
        <f>knicks_players_all_stats[[#This Row],[OREB22]]/10</f>
        <v>16</v>
      </c>
      <c r="T191" s="2">
        <f>knicks_players_all_stats[[#This Row],[DREB33]]/10</f>
        <v>106</v>
      </c>
      <c r="U191" s="2">
        <f>knicks_players_all_stats[[#This Row],[REB44]]/10</f>
        <v>122</v>
      </c>
      <c r="V191">
        <v>160</v>
      </c>
      <c r="W191">
        <v>1060</v>
      </c>
      <c r="X191">
        <v>1220</v>
      </c>
      <c r="Y191" s="22">
        <f>knicks_players_all_stats[[#This Row],[REB]]/knicks_players_all_stats[[#This Row],[GP]]</f>
        <v>2</v>
      </c>
      <c r="Z191" s="2">
        <v>34</v>
      </c>
      <c r="AA191" s="6">
        <f>knicks_players_all_stats[[#This Row],[AST]]/knicks_players_all_stats[[#This Row],[GP]]</f>
        <v>0.55737704918032782</v>
      </c>
      <c r="AB191" s="2">
        <f>knicks_players_all_stats[[#This Row],[STL2]]/10</f>
        <v>21</v>
      </c>
      <c r="AC191" s="2">
        <v>210</v>
      </c>
      <c r="AD191" s="6">
        <f>knicks_players_all_stats[[#This Row],[STL]]/knicks_players_all_stats[[#This Row],[GP]]</f>
        <v>0.34426229508196721</v>
      </c>
      <c r="AE191">
        <v>60</v>
      </c>
      <c r="AF191" s="2">
        <f>knicks_players_all_stats[[#This Row],[BLK2]]/10</f>
        <v>6</v>
      </c>
      <c r="AG191" s="6">
        <f>knicks_players_all_stats[[#This Row],[BLK]]/knicks_players_all_stats[[#This Row],[GP]]</f>
        <v>9.8360655737704916E-2</v>
      </c>
      <c r="AH191">
        <v>370</v>
      </c>
      <c r="AI191" s="6">
        <f>knicks_players_all_stats[[#This Row],[BLKPG]]+knicks_players_all_stats[[#This Row],[STLPG]]+knicks_players_all_stats[[#This Row],[REBPG]]</f>
        <v>2.442622950819672</v>
      </c>
      <c r="AJ191" s="2">
        <f>knicks_players_all_stats[[#This Row],[TOV2]]/10</f>
        <v>37</v>
      </c>
      <c r="AK191" s="6">
        <f>knicks_players_all_stats[[#This Row],[TOV]]/knicks_players_all_stats[[#This Row],[GP]]</f>
        <v>0.60655737704918034</v>
      </c>
      <c r="AL191" s="2">
        <v>81</v>
      </c>
      <c r="AM191" s="2">
        <f>knicks_players_all_stats[[#This Row],[PF]]/knicks_players_all_stats[[#This Row],[GP]]</f>
        <v>1.3278688524590163</v>
      </c>
      <c r="AN191" s="2">
        <v>298</v>
      </c>
      <c r="AO191" s="6">
        <f>knicks_players_all_stats[[#This Row],[PTS]]/knicks_players_all_stats[[#This Row],[GP]]</f>
        <v>4.8852459016393439</v>
      </c>
    </row>
    <row r="192" spans="1:41" x14ac:dyDescent="0.3">
      <c r="A192" s="3" t="s">
        <v>1734</v>
      </c>
      <c r="B192" s="3" t="s">
        <v>1312</v>
      </c>
      <c r="C192" s="3" t="str">
        <f>knicks_players_all_stats[[#This Row],[NAME]]&amp;" ("&amp;knicks_players_all_stats[[#This Row],[SEASON]]&amp;")"</f>
        <v>Jared Jeffries (2010-11)</v>
      </c>
      <c r="D192" s="3">
        <f>knicks_players_all_stats[[#This Row],[PLAYER_AGE]]/10</f>
        <v>29</v>
      </c>
      <c r="E192">
        <v>290</v>
      </c>
      <c r="F192" s="2">
        <v>24</v>
      </c>
      <c r="G192" s="2">
        <v>4630</v>
      </c>
      <c r="H19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78</v>
      </c>
      <c r="I192" s="6">
        <f>knicks_players_all_stats[[#This Row],[VALORATION]]/knicks_players_all_stats[[#This Row],[GP]]</f>
        <v>3.25</v>
      </c>
      <c r="J192" s="2">
        <v>19</v>
      </c>
      <c r="K192" s="2">
        <v>50</v>
      </c>
      <c r="L192" s="2">
        <v>38</v>
      </c>
      <c r="M192" s="2">
        <v>10</v>
      </c>
      <c r="N192" s="2">
        <v>30</v>
      </c>
      <c r="O192" s="4">
        <f>knicks_players_all_stats[[#This Row],[FG3M]]/knicks_players_all_stats[[#This Row],[FG3A]]</f>
        <v>0.33333333333333331</v>
      </c>
      <c r="P192" s="2">
        <v>8</v>
      </c>
      <c r="Q192" s="2">
        <v>19</v>
      </c>
      <c r="R192" s="5">
        <f>knicks_players_all_stats[[#This Row],[FTM]]/knicks_players_all_stats[[#This Row],[FTA]]</f>
        <v>0.42105263157894735</v>
      </c>
      <c r="S192" s="2">
        <f>knicks_players_all_stats[[#This Row],[OREB22]]/10</f>
        <v>42</v>
      </c>
      <c r="T192" s="2">
        <f>knicks_players_all_stats[[#This Row],[DREB33]]/10</f>
        <v>39</v>
      </c>
      <c r="U192" s="2">
        <f>knicks_players_all_stats[[#This Row],[REB44]]/10</f>
        <v>81</v>
      </c>
      <c r="V192">
        <v>420</v>
      </c>
      <c r="W192">
        <v>390</v>
      </c>
      <c r="X192">
        <v>810</v>
      </c>
      <c r="Y192" s="22">
        <f>knicks_players_all_stats[[#This Row],[REB]]/knicks_players_all_stats[[#This Row],[GP]]</f>
        <v>3.375</v>
      </c>
      <c r="Z192" s="2">
        <v>25</v>
      </c>
      <c r="AA192" s="6">
        <f>knicks_players_all_stats[[#This Row],[AST]]/knicks_players_all_stats[[#This Row],[GP]]</f>
        <v>1.0416666666666667</v>
      </c>
      <c r="AB192" s="2">
        <f>knicks_players_all_stats[[#This Row],[STL2]]/10</f>
        <v>24</v>
      </c>
      <c r="AC192" s="2">
        <v>240</v>
      </c>
      <c r="AD192" s="6">
        <f>knicks_players_all_stats[[#This Row],[STL]]/knicks_players_all_stats[[#This Row],[GP]]</f>
        <v>1</v>
      </c>
      <c r="AE192">
        <v>140</v>
      </c>
      <c r="AF192" s="2">
        <f>knicks_players_all_stats[[#This Row],[BLK2]]/10</f>
        <v>14</v>
      </c>
      <c r="AG192" s="6">
        <f>knicks_players_all_stats[[#This Row],[BLK]]/knicks_players_all_stats[[#This Row],[GP]]</f>
        <v>0.58333333333333337</v>
      </c>
      <c r="AH192">
        <v>170</v>
      </c>
      <c r="AI192" s="6">
        <f>knicks_players_all_stats[[#This Row],[BLKPG]]+knicks_players_all_stats[[#This Row],[STLPG]]+knicks_players_all_stats[[#This Row],[REBPG]]</f>
        <v>4.9583333333333339</v>
      </c>
      <c r="AJ192" s="2">
        <f>knicks_players_all_stats[[#This Row],[TOV2]]/10</f>
        <v>17</v>
      </c>
      <c r="AK192" s="6">
        <f>knicks_players_all_stats[[#This Row],[TOV]]/knicks_players_all_stats[[#This Row],[GP]]</f>
        <v>0.70833333333333337</v>
      </c>
      <c r="AL192" s="2">
        <v>54</v>
      </c>
      <c r="AM192" s="2">
        <f>knicks_players_all_stats[[#This Row],[PF]]/knicks_players_all_stats[[#This Row],[GP]]</f>
        <v>2.25</v>
      </c>
      <c r="AN192" s="2">
        <v>47</v>
      </c>
      <c r="AO192" s="6">
        <f>knicks_players_all_stats[[#This Row],[PTS]]/knicks_players_all_stats[[#This Row],[GP]]</f>
        <v>1.9583333333333333</v>
      </c>
    </row>
    <row r="193" spans="1:41" x14ac:dyDescent="0.3">
      <c r="A193" s="3" t="s">
        <v>1346</v>
      </c>
      <c r="B193" s="3" t="s">
        <v>1312</v>
      </c>
      <c r="C193" s="3" t="str">
        <f>knicks_players_all_stats[[#This Row],[NAME]]&amp;" ("&amp;knicks_players_all_stats[[#This Row],[SEASON]]&amp;")"</f>
        <v>Timofey Mozgov (2010-11)</v>
      </c>
      <c r="D193" s="3">
        <f>knicks_players_all_stats[[#This Row],[PLAYER_AGE]]/10</f>
        <v>24</v>
      </c>
      <c r="E193">
        <v>240</v>
      </c>
      <c r="F193" s="2">
        <v>34</v>
      </c>
      <c r="G193" s="2">
        <v>4580</v>
      </c>
      <c r="H19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110</v>
      </c>
      <c r="I193" s="6">
        <f>knicks_players_all_stats[[#This Row],[VALORATION]]/knicks_players_all_stats[[#This Row],[GP]]</f>
        <v>3.2352941176470589</v>
      </c>
      <c r="J193" s="2">
        <v>52</v>
      </c>
      <c r="K193" s="2">
        <v>112</v>
      </c>
      <c r="L193" s="4">
        <f>knicks_players_all_stats[[#This Row],[FGM]]/knicks_players_all_stats[[#This Row],[FGA]]</f>
        <v>0.4642857142857143</v>
      </c>
      <c r="M193" s="2">
        <v>0</v>
      </c>
      <c r="N193" s="2">
        <v>0</v>
      </c>
      <c r="O193" s="4" t="e">
        <f>knicks_players_all_stats[[#This Row],[FG3M]]/knicks_players_all_stats[[#This Row],[FG3A]]</f>
        <v>#DIV/0!</v>
      </c>
      <c r="P193" s="2">
        <v>31</v>
      </c>
      <c r="Q193" s="2">
        <v>44</v>
      </c>
      <c r="R193" s="5">
        <f>knicks_players_all_stats[[#This Row],[FTM]]/knicks_players_all_stats[[#This Row],[FTA]]</f>
        <v>0.70454545454545459</v>
      </c>
      <c r="S193" s="2">
        <f>knicks_players_all_stats[[#This Row],[OREB22]]/10</f>
        <v>41</v>
      </c>
      <c r="T193" s="2">
        <f>knicks_players_all_stats[[#This Row],[DREB33]]/10</f>
        <v>63</v>
      </c>
      <c r="U193" s="2">
        <f>knicks_players_all_stats[[#This Row],[REB44]]/10</f>
        <v>104</v>
      </c>
      <c r="V193">
        <v>410</v>
      </c>
      <c r="W193">
        <v>630</v>
      </c>
      <c r="X193">
        <v>1040</v>
      </c>
      <c r="Y193" s="22">
        <f>knicks_players_all_stats[[#This Row],[REB]]/knicks_players_all_stats[[#This Row],[GP]]</f>
        <v>3.0588235294117645</v>
      </c>
      <c r="Z193" s="2">
        <v>15</v>
      </c>
      <c r="AA193" s="6">
        <f>knicks_players_all_stats[[#This Row],[AST]]/knicks_players_all_stats[[#This Row],[GP]]</f>
        <v>0.44117647058823528</v>
      </c>
      <c r="AB193" s="2">
        <f>knicks_players_all_stats[[#This Row],[STL2]]/10</f>
        <v>14</v>
      </c>
      <c r="AC193" s="2">
        <v>140</v>
      </c>
      <c r="AD193" s="6">
        <f>knicks_players_all_stats[[#This Row],[STL]]/knicks_players_all_stats[[#This Row],[GP]]</f>
        <v>0.41176470588235292</v>
      </c>
      <c r="AE193">
        <v>230</v>
      </c>
      <c r="AF193" s="2">
        <f>knicks_players_all_stats[[#This Row],[BLK2]]/10</f>
        <v>23</v>
      </c>
      <c r="AG193" s="6">
        <f>knicks_players_all_stats[[#This Row],[BLK]]/knicks_players_all_stats[[#This Row],[GP]]</f>
        <v>0.67647058823529416</v>
      </c>
      <c r="AH193">
        <v>320</v>
      </c>
      <c r="AI193" s="6">
        <f>knicks_players_all_stats[[#This Row],[BLKPG]]+knicks_players_all_stats[[#This Row],[STLPG]]+knicks_players_all_stats[[#This Row],[REBPG]]</f>
        <v>4.1470588235294112</v>
      </c>
      <c r="AJ193" s="2">
        <f>knicks_players_all_stats[[#This Row],[TOV2]]/10</f>
        <v>32</v>
      </c>
      <c r="AK193" s="6">
        <f>knicks_players_all_stats[[#This Row],[TOV]]/knicks_players_all_stats[[#This Row],[GP]]</f>
        <v>0.94117647058823528</v>
      </c>
      <c r="AL193" s="2">
        <v>76</v>
      </c>
      <c r="AM193" s="2">
        <f>knicks_players_all_stats[[#This Row],[PF]]/knicks_players_all_stats[[#This Row],[GP]]</f>
        <v>2.2352941176470589</v>
      </c>
      <c r="AN193" s="2">
        <v>135</v>
      </c>
      <c r="AO193" s="6">
        <f>knicks_players_all_stats[[#This Row],[PTS]]/knicks_players_all_stats[[#This Row],[GP]]</f>
        <v>3.9705882352941178</v>
      </c>
    </row>
    <row r="194" spans="1:41" customFormat="1" x14ac:dyDescent="0.3">
      <c r="A194" s="3" t="s">
        <v>1471</v>
      </c>
      <c r="B194" s="3" t="s">
        <v>1312</v>
      </c>
      <c r="C194" s="3" t="str">
        <f>knicks_players_all_stats[[#This Row],[NAME]]&amp;" ("&amp;knicks_players_all_stats[[#This Row],[SEASON]]&amp;")"</f>
        <v>Roger Mason Jr. (2010-11)</v>
      </c>
      <c r="D194" s="3">
        <f>knicks_players_all_stats[[#This Row],[PLAYER_AGE]]/10</f>
        <v>30</v>
      </c>
      <c r="E194">
        <v>300</v>
      </c>
      <c r="F194" s="2">
        <v>26</v>
      </c>
      <c r="G194" s="2">
        <v>3190</v>
      </c>
      <c r="H19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61</v>
      </c>
      <c r="I194" s="6">
        <f>knicks_players_all_stats[[#This Row],[VALORATION]]/knicks_players_all_stats[[#This Row],[GP]]</f>
        <v>2.3461538461538463</v>
      </c>
      <c r="J194" s="2">
        <v>26</v>
      </c>
      <c r="K194" s="2">
        <v>77</v>
      </c>
      <c r="L194" s="4">
        <f>knicks_players_all_stats[[#This Row],[FGM]]/knicks_players_all_stats[[#This Row],[FGA]]</f>
        <v>0.33766233766233766</v>
      </c>
      <c r="M194" s="2">
        <v>160</v>
      </c>
      <c r="N194" s="2">
        <v>440</v>
      </c>
      <c r="O194" s="4">
        <f>knicks_players_all_stats[[#This Row],[FG3M]]/knicks_players_all_stats[[#This Row],[FG3A]]</f>
        <v>0.36363636363636365</v>
      </c>
      <c r="P194" s="2">
        <v>7</v>
      </c>
      <c r="Q194" s="2">
        <v>10</v>
      </c>
      <c r="R194" s="5">
        <f>knicks_players_all_stats[[#This Row],[FTM]]/knicks_players_all_stats[[#This Row],[FTA]]</f>
        <v>0.7</v>
      </c>
      <c r="S194" s="2">
        <f>knicks_players_all_stats[[#This Row],[OREB22]]/10</f>
        <v>5</v>
      </c>
      <c r="T194" s="2">
        <f>knicks_players_all_stats[[#This Row],[DREB33]]/10</f>
        <v>38</v>
      </c>
      <c r="U194" s="2">
        <f>knicks_players_all_stats[[#This Row],[REB44]]/10</f>
        <v>43</v>
      </c>
      <c r="V194">
        <v>50</v>
      </c>
      <c r="W194">
        <v>380</v>
      </c>
      <c r="X194">
        <v>430</v>
      </c>
      <c r="Y194" s="22">
        <f>knicks_players_all_stats[[#This Row],[REB]]/knicks_players_all_stats[[#This Row],[GP]]</f>
        <v>1.6538461538461537</v>
      </c>
      <c r="Z194" s="2">
        <v>20</v>
      </c>
      <c r="AA194" s="6">
        <f>knicks_players_all_stats[[#This Row],[AST]]/knicks_players_all_stats[[#This Row],[GP]]</f>
        <v>0.76923076923076927</v>
      </c>
      <c r="AB194" s="2">
        <f>knicks_players_all_stats[[#This Row],[STL2]]/10</f>
        <v>6</v>
      </c>
      <c r="AC194" s="2">
        <v>60</v>
      </c>
      <c r="AD194" s="6">
        <f>knicks_players_all_stats[[#This Row],[STL]]/knicks_players_all_stats[[#This Row],[GP]]</f>
        <v>0.23076923076923078</v>
      </c>
      <c r="AE194">
        <v>20</v>
      </c>
      <c r="AF194" s="2">
        <f>knicks_players_all_stats[[#This Row],[BLK2]]/10</f>
        <v>2</v>
      </c>
      <c r="AG194" s="6">
        <f>knicks_players_all_stats[[#This Row],[BLK]]/knicks_players_all_stats[[#This Row],[GP]]</f>
        <v>7.6923076923076927E-2</v>
      </c>
      <c r="AH194">
        <v>60</v>
      </c>
      <c r="AI194" s="6">
        <f>knicks_players_all_stats[[#This Row],[BLKPG]]+knicks_players_all_stats[[#This Row],[STLPG]]+knicks_players_all_stats[[#This Row],[REBPG]]</f>
        <v>1.9615384615384615</v>
      </c>
      <c r="AJ194" s="2">
        <f>knicks_players_all_stats[[#This Row],[TOV2]]/10</f>
        <v>6</v>
      </c>
      <c r="AK194" s="6">
        <f>knicks_players_all_stats[[#This Row],[TOV]]/knicks_players_all_stats[[#This Row],[GP]]</f>
        <v>0.23076923076923078</v>
      </c>
      <c r="AL194" s="2">
        <v>25</v>
      </c>
      <c r="AM194" s="2">
        <f>knicks_players_all_stats[[#This Row],[PF]]/knicks_players_all_stats[[#This Row],[GP]]</f>
        <v>0.96153846153846156</v>
      </c>
      <c r="AN194" s="2">
        <v>75</v>
      </c>
      <c r="AO194" s="6">
        <f>knicks_players_all_stats[[#This Row],[PTS]]/knicks_players_all_stats[[#This Row],[GP]]</f>
        <v>2.8846153846153846</v>
      </c>
    </row>
    <row r="195" spans="1:41" customFormat="1" x14ac:dyDescent="0.3">
      <c r="A195" s="3" t="s">
        <v>1484</v>
      </c>
      <c r="B195" s="3" t="s">
        <v>1312</v>
      </c>
      <c r="C195" s="3" t="str">
        <f>knicks_players_all_stats[[#This Row],[NAME]]&amp;" ("&amp;knicks_players_all_stats[[#This Row],[SEASON]]&amp;")"</f>
        <v>Anthony Randolph (2010-11)</v>
      </c>
      <c r="D195" s="3">
        <f>knicks_players_all_stats[[#This Row],[PLAYER_AGE]]/10</f>
        <v>21</v>
      </c>
      <c r="E195">
        <v>210</v>
      </c>
      <c r="F195" s="2">
        <v>17</v>
      </c>
      <c r="G195" s="2">
        <v>1270</v>
      </c>
      <c r="H19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32</v>
      </c>
      <c r="I195" s="6">
        <f>knicks_players_all_stats[[#This Row],[VALORATION]]/knicks_players_all_stats[[#This Row],[GP]]</f>
        <v>1.8823529411764706</v>
      </c>
      <c r="J195" s="2">
        <v>14</v>
      </c>
      <c r="K195" s="2">
        <v>45</v>
      </c>
      <c r="L195" s="4">
        <f>knicks_players_all_stats[[#This Row],[FGM]]/knicks_players_all_stats[[#This Row],[FGA]]</f>
        <v>0.31111111111111112</v>
      </c>
      <c r="M195" s="2">
        <v>10</v>
      </c>
      <c r="N195" s="2">
        <v>40</v>
      </c>
      <c r="O195" s="4">
        <f>knicks_players_all_stats[[#This Row],[FG3M]]/knicks_players_all_stats[[#This Row],[FG3A]]</f>
        <v>0.25</v>
      </c>
      <c r="P195" s="2">
        <v>6</v>
      </c>
      <c r="Q195" s="2">
        <v>12</v>
      </c>
      <c r="R195" s="5">
        <f>knicks_players_all_stats[[#This Row],[FTM]]/knicks_players_all_stats[[#This Row],[FTA]]</f>
        <v>0.5</v>
      </c>
      <c r="S195" s="2">
        <f>knicks_players_all_stats[[#This Row],[OREB22]]/10</f>
        <v>11</v>
      </c>
      <c r="T195" s="2">
        <f>knicks_players_all_stats[[#This Row],[DREB33]]/10</f>
        <v>29</v>
      </c>
      <c r="U195" s="2">
        <f>knicks_players_all_stats[[#This Row],[REB44]]/10</f>
        <v>40</v>
      </c>
      <c r="V195">
        <v>110</v>
      </c>
      <c r="W195">
        <v>290</v>
      </c>
      <c r="X195">
        <v>400</v>
      </c>
      <c r="Y195" s="22">
        <f>knicks_players_all_stats[[#This Row],[REB]]/knicks_players_all_stats[[#This Row],[GP]]</f>
        <v>2.3529411764705883</v>
      </c>
      <c r="Z195" s="2">
        <v>7</v>
      </c>
      <c r="AA195" s="6">
        <f>knicks_players_all_stats[[#This Row],[AST]]/knicks_players_all_stats[[#This Row],[GP]]</f>
        <v>0.41176470588235292</v>
      </c>
      <c r="AB195" s="2">
        <f>knicks_players_all_stats[[#This Row],[STL2]]/10</f>
        <v>4</v>
      </c>
      <c r="AC195" s="2">
        <v>40</v>
      </c>
      <c r="AD195" s="6">
        <f>knicks_players_all_stats[[#This Row],[STL]]/knicks_players_all_stats[[#This Row],[GP]]</f>
        <v>0.23529411764705882</v>
      </c>
      <c r="AE195">
        <v>80</v>
      </c>
      <c r="AF195" s="2">
        <f>knicks_players_all_stats[[#This Row],[BLK2]]/10</f>
        <v>8</v>
      </c>
      <c r="AG195" s="6">
        <f>knicks_players_all_stats[[#This Row],[BLK]]/knicks_players_all_stats[[#This Row],[GP]]</f>
        <v>0.47058823529411764</v>
      </c>
      <c r="AH195">
        <v>100</v>
      </c>
      <c r="AI195" s="6">
        <f>knicks_players_all_stats[[#This Row],[BLKPG]]+knicks_players_all_stats[[#This Row],[STLPG]]+knicks_players_all_stats[[#This Row],[REBPG]]</f>
        <v>3.0588235294117645</v>
      </c>
      <c r="AJ195" s="2">
        <f>knicks_players_all_stats[[#This Row],[TOV2]]/10</f>
        <v>10</v>
      </c>
      <c r="AK195" s="6">
        <f>knicks_players_all_stats[[#This Row],[TOV]]/knicks_players_all_stats[[#This Row],[GP]]</f>
        <v>0.58823529411764708</v>
      </c>
      <c r="AL195" s="2">
        <v>15</v>
      </c>
      <c r="AM195" s="2">
        <f>knicks_players_all_stats[[#This Row],[PF]]/knicks_players_all_stats[[#This Row],[GP]]</f>
        <v>0.88235294117647056</v>
      </c>
      <c r="AN195" s="2">
        <v>35</v>
      </c>
      <c r="AO195" s="6">
        <f>knicks_players_all_stats[[#This Row],[PTS]]/knicks_players_all_stats[[#This Row],[GP]]</f>
        <v>2.0588235294117645</v>
      </c>
    </row>
    <row r="196" spans="1:41" customFormat="1" x14ac:dyDescent="0.3">
      <c r="A196" s="3" t="s">
        <v>1724</v>
      </c>
      <c r="B196" s="3" t="s">
        <v>1312</v>
      </c>
      <c r="C196" s="3" t="str">
        <f>knicks_players_all_stats[[#This Row],[NAME]]&amp;" ("&amp;knicks_players_all_stats[[#This Row],[SEASON]]&amp;")"</f>
        <v>Andy Rautins (2010-11)</v>
      </c>
      <c r="D196" s="3">
        <f>knicks_players_all_stats[[#This Row],[PLAYER_AGE]]/10</f>
        <v>24</v>
      </c>
      <c r="E196">
        <v>240</v>
      </c>
      <c r="F196" s="2">
        <v>5</v>
      </c>
      <c r="G196" s="2">
        <v>240</v>
      </c>
      <c r="H19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</v>
      </c>
      <c r="I196" s="6">
        <f>knicks_players_all_stats[[#This Row],[VALORATION]]/knicks_players_all_stats[[#This Row],[GP]]</f>
        <v>0.2</v>
      </c>
      <c r="J196" s="2">
        <v>3</v>
      </c>
      <c r="K196" s="2">
        <v>7</v>
      </c>
      <c r="L196" s="2">
        <v>429</v>
      </c>
      <c r="M196" s="2">
        <v>10</v>
      </c>
      <c r="N196" s="2">
        <v>40</v>
      </c>
      <c r="O196" s="4">
        <f>knicks_players_all_stats[[#This Row],[FG3M]]/knicks_players_all_stats[[#This Row],[FG3A]]</f>
        <v>0.25</v>
      </c>
      <c r="P196" s="2">
        <v>1</v>
      </c>
      <c r="Q196" s="2">
        <v>2</v>
      </c>
      <c r="R196" s="5">
        <f>knicks_players_all_stats[[#This Row],[FTM]]/knicks_players_all_stats[[#This Row],[FTA]]</f>
        <v>0.5</v>
      </c>
      <c r="S196" s="2">
        <f>knicks_players_all_stats[[#This Row],[OREB22]]/10</f>
        <v>0</v>
      </c>
      <c r="T196" s="2">
        <f>knicks_players_all_stats[[#This Row],[DREB33]]/10</f>
        <v>1</v>
      </c>
      <c r="U196" s="2">
        <f>knicks_players_all_stats[[#This Row],[REB44]]/10</f>
        <v>1</v>
      </c>
      <c r="V196">
        <v>0</v>
      </c>
      <c r="W196">
        <v>10</v>
      </c>
      <c r="X196">
        <v>10</v>
      </c>
      <c r="Y196" s="22">
        <f>knicks_players_all_stats[[#This Row],[REB]]/knicks_players_all_stats[[#This Row],[GP]]</f>
        <v>0.2</v>
      </c>
      <c r="Z196" s="2">
        <v>3</v>
      </c>
      <c r="AA196" s="6">
        <f>knicks_players_all_stats[[#This Row],[AST]]/knicks_players_all_stats[[#This Row],[GP]]</f>
        <v>0.6</v>
      </c>
      <c r="AB196" s="2">
        <f>knicks_players_all_stats[[#This Row],[STL2]]/10</f>
        <v>1</v>
      </c>
      <c r="AC196" s="2">
        <v>10</v>
      </c>
      <c r="AD196" s="6">
        <f>knicks_players_all_stats[[#This Row],[STL]]/knicks_players_all_stats[[#This Row],[GP]]</f>
        <v>0.2</v>
      </c>
      <c r="AE196">
        <v>0</v>
      </c>
      <c r="AF196" s="2">
        <f>knicks_players_all_stats[[#This Row],[BLK2]]/10</f>
        <v>0</v>
      </c>
      <c r="AG196" s="6">
        <f>knicks_players_all_stats[[#This Row],[BLK]]/knicks_players_all_stats[[#This Row],[GP]]</f>
        <v>0</v>
      </c>
      <c r="AH196">
        <v>70</v>
      </c>
      <c r="AI196" s="6">
        <f>knicks_players_all_stats[[#This Row],[BLKPG]]+knicks_players_all_stats[[#This Row],[STLPG]]+knicks_players_all_stats[[#This Row],[REBPG]]</f>
        <v>0.4</v>
      </c>
      <c r="AJ196" s="2">
        <f>knicks_players_all_stats[[#This Row],[TOV2]]/10</f>
        <v>7</v>
      </c>
      <c r="AK196" s="6">
        <f>knicks_players_all_stats[[#This Row],[TOV]]/knicks_players_all_stats[[#This Row],[GP]]</f>
        <v>1.4</v>
      </c>
      <c r="AL196" s="2">
        <v>0</v>
      </c>
      <c r="AM196" s="2">
        <f>knicks_players_all_stats[[#This Row],[PF]]/knicks_players_all_stats[[#This Row],[GP]]</f>
        <v>0</v>
      </c>
      <c r="AN196" s="2">
        <v>8</v>
      </c>
      <c r="AO196" s="6">
        <f>knicks_players_all_stats[[#This Row],[PTS]]/knicks_players_all_stats[[#This Row],[GP]]</f>
        <v>1.6</v>
      </c>
    </row>
    <row r="197" spans="1:41" customFormat="1" x14ac:dyDescent="0.3">
      <c r="A197" s="3" t="s">
        <v>1311</v>
      </c>
      <c r="B197" s="3" t="s">
        <v>1312</v>
      </c>
      <c r="C197" s="3" t="str">
        <f>knicks_players_all_stats[[#This Row],[NAME]]&amp;" ("&amp;knicks_players_all_stats[[#This Row],[SEASON]]&amp;")"</f>
        <v>Renaldo Balkman (2010-11)</v>
      </c>
      <c r="D197" s="3">
        <f>knicks_players_all_stats[[#This Row],[PLAYER_AGE]]/10</f>
        <v>26</v>
      </c>
      <c r="E197">
        <v>260</v>
      </c>
      <c r="F197" s="2">
        <v>3</v>
      </c>
      <c r="G197" s="2">
        <v>180</v>
      </c>
      <c r="H19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-1</v>
      </c>
      <c r="I197" s="6">
        <f>knicks_players_all_stats[[#This Row],[VALORATION]]/knicks_players_all_stats[[#This Row],[GP]]</f>
        <v>-0.33333333333333331</v>
      </c>
      <c r="J197" s="2">
        <v>1</v>
      </c>
      <c r="K197" s="2">
        <v>4</v>
      </c>
      <c r="L197" s="4">
        <f>knicks_players_all_stats[[#This Row],[FGM]]/knicks_players_all_stats[[#This Row],[FGA]]</f>
        <v>0.25</v>
      </c>
      <c r="M197" s="2">
        <v>10</v>
      </c>
      <c r="N197" s="2">
        <v>20</v>
      </c>
      <c r="O197" s="4">
        <f>knicks_players_all_stats[[#This Row],[FG3M]]/knicks_players_all_stats[[#This Row],[FG3A]]</f>
        <v>0.5</v>
      </c>
      <c r="P197" s="2">
        <v>0</v>
      </c>
      <c r="Q197" s="2">
        <v>0</v>
      </c>
      <c r="R197" s="5" t="e">
        <f>knicks_players_all_stats[[#This Row],[FTM]]/knicks_players_all_stats[[#This Row],[FTA]]</f>
        <v>#DIV/0!</v>
      </c>
      <c r="S197" s="2">
        <f>knicks_players_all_stats[[#This Row],[OREB22]]/10</f>
        <v>1</v>
      </c>
      <c r="T197" s="2">
        <f>knicks_players_all_stats[[#This Row],[DREB33]]/10</f>
        <v>2</v>
      </c>
      <c r="U197" s="2">
        <f>knicks_players_all_stats[[#This Row],[REB44]]/10</f>
        <v>3</v>
      </c>
      <c r="V197">
        <v>10</v>
      </c>
      <c r="W197">
        <v>20</v>
      </c>
      <c r="X197">
        <v>30</v>
      </c>
      <c r="Y197" s="22">
        <f>knicks_players_all_stats[[#This Row],[REB]]/knicks_players_all_stats[[#This Row],[GP]]</f>
        <v>1</v>
      </c>
      <c r="Z197" s="2">
        <v>0</v>
      </c>
      <c r="AA197" s="6">
        <f>knicks_players_all_stats[[#This Row],[AST]]/knicks_players_all_stats[[#This Row],[GP]]</f>
        <v>0</v>
      </c>
      <c r="AB197" s="2">
        <f>knicks_players_all_stats[[#This Row],[STL2]]/10</f>
        <v>1</v>
      </c>
      <c r="AC197" s="2">
        <v>10</v>
      </c>
      <c r="AD197" s="6">
        <f>knicks_players_all_stats[[#This Row],[STL]]/knicks_players_all_stats[[#This Row],[GP]]</f>
        <v>0.33333333333333331</v>
      </c>
      <c r="AE197">
        <v>0</v>
      </c>
      <c r="AF197" s="2">
        <f>knicks_players_all_stats[[#This Row],[BLK2]]/10</f>
        <v>0</v>
      </c>
      <c r="AG197" s="6">
        <f>knicks_players_all_stats[[#This Row],[BLK]]/knicks_players_all_stats[[#This Row],[GP]]</f>
        <v>0</v>
      </c>
      <c r="AH197">
        <v>10</v>
      </c>
      <c r="AI197" s="6">
        <f>knicks_players_all_stats[[#This Row],[BLKPG]]+knicks_players_all_stats[[#This Row],[STLPG]]+knicks_players_all_stats[[#This Row],[REBPG]]</f>
        <v>1.3333333333333333</v>
      </c>
      <c r="AJ197" s="2">
        <f>knicks_players_all_stats[[#This Row],[TOV2]]/10</f>
        <v>1</v>
      </c>
      <c r="AK197" s="6">
        <f>knicks_players_all_stats[[#This Row],[TOV]]/knicks_players_all_stats[[#This Row],[GP]]</f>
        <v>0.33333333333333331</v>
      </c>
      <c r="AL197" s="2">
        <v>4</v>
      </c>
      <c r="AM197" s="2">
        <f>knicks_players_all_stats[[#This Row],[PF]]/knicks_players_all_stats[[#This Row],[GP]]</f>
        <v>1.3333333333333333</v>
      </c>
      <c r="AN197" s="2">
        <v>3</v>
      </c>
      <c r="AO197" s="6">
        <f>knicks_players_all_stats[[#This Row],[PTS]]/knicks_players_all_stats[[#This Row],[GP]]</f>
        <v>1</v>
      </c>
    </row>
    <row r="198" spans="1:41" customFormat="1" x14ac:dyDescent="0.3">
      <c r="A198" s="3" t="s">
        <v>1419</v>
      </c>
      <c r="B198" s="3" t="s">
        <v>1290</v>
      </c>
      <c r="C198" s="3" t="str">
        <f>knicks_players_all_stats[[#This Row],[NAME]]&amp;" ("&amp;knicks_players_all_stats[[#This Row],[SEASON]]&amp;")"</f>
        <v>Carmelo Anthony (2011-12)</v>
      </c>
      <c r="D198" s="3">
        <f>knicks_players_all_stats[[#This Row],[PLAYER_AGE]]/10</f>
        <v>28</v>
      </c>
      <c r="E198">
        <v>280</v>
      </c>
      <c r="F198" s="2">
        <v>55</v>
      </c>
      <c r="G198" s="2">
        <v>18760</v>
      </c>
      <c r="H19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919</v>
      </c>
      <c r="I198" s="6">
        <f>knicks_players_all_stats[[#This Row],[VALORATION]]/knicks_players_all_stats[[#This Row],[GP]]</f>
        <v>16.709090909090911</v>
      </c>
      <c r="J198" s="2">
        <v>441</v>
      </c>
      <c r="K198" s="2">
        <v>1025</v>
      </c>
      <c r="L198" s="4">
        <f>knicks_players_all_stats[[#This Row],[FGM]]/knicks_players_all_stats[[#This Row],[FGA]]</f>
        <v>0.43024390243902438</v>
      </c>
      <c r="M198" s="2">
        <v>680</v>
      </c>
      <c r="N198" s="2">
        <v>2030</v>
      </c>
      <c r="O198" s="4">
        <f>knicks_players_all_stats[[#This Row],[FG3M]]/knicks_players_all_stats[[#This Row],[FG3A]]</f>
        <v>0.33497536945812806</v>
      </c>
      <c r="P198" s="2">
        <v>295</v>
      </c>
      <c r="Q198" s="2">
        <v>367</v>
      </c>
      <c r="R198" s="5">
        <f>knicks_players_all_stats[[#This Row],[FTM]]/knicks_players_all_stats[[#This Row],[FTA]]</f>
        <v>0.80381471389645776</v>
      </c>
      <c r="S198" s="2">
        <f>knicks_players_all_stats[[#This Row],[OREB22]]/10</f>
        <v>88</v>
      </c>
      <c r="T198" s="2">
        <f>knicks_players_all_stats[[#This Row],[DREB33]]/10</f>
        <v>256</v>
      </c>
      <c r="U198" s="2">
        <f>knicks_players_all_stats[[#This Row],[REB44]]/10</f>
        <v>344</v>
      </c>
      <c r="V198">
        <v>880</v>
      </c>
      <c r="W198">
        <v>2560</v>
      </c>
      <c r="X198">
        <v>3440</v>
      </c>
      <c r="Y198" s="22">
        <f>knicks_players_all_stats[[#This Row],[REB]]/knicks_players_all_stats[[#This Row],[GP]]</f>
        <v>6.2545454545454549</v>
      </c>
      <c r="Z198" s="2">
        <v>200</v>
      </c>
      <c r="AA198" s="6">
        <f>knicks_players_all_stats[[#This Row],[AST]]/knicks_players_all_stats[[#This Row],[GP]]</f>
        <v>3.6363636363636362</v>
      </c>
      <c r="AB198" s="2">
        <f>knicks_players_all_stats[[#This Row],[STL2]]/10</f>
        <v>62</v>
      </c>
      <c r="AC198" s="2">
        <v>620</v>
      </c>
      <c r="AD198" s="6">
        <f>knicks_players_all_stats[[#This Row],[STL]]/knicks_players_all_stats[[#This Row],[GP]]</f>
        <v>1.1272727272727272</v>
      </c>
      <c r="AE198">
        <v>240</v>
      </c>
      <c r="AF198" s="2">
        <f>knicks_players_all_stats[[#This Row],[BLK2]]/10</f>
        <v>24</v>
      </c>
      <c r="AG198" s="6">
        <f>knicks_players_all_stats[[#This Row],[BLK]]/knicks_players_all_stats[[#This Row],[GP]]</f>
        <v>0.43636363636363634</v>
      </c>
      <c r="AH198">
        <v>1440</v>
      </c>
      <c r="AI198" s="6">
        <f>knicks_players_all_stats[[#This Row],[BLKPG]]+knicks_players_all_stats[[#This Row],[STLPG]]+knicks_players_all_stats[[#This Row],[REBPG]]</f>
        <v>7.8181818181818183</v>
      </c>
      <c r="AJ198" s="2">
        <f>knicks_players_all_stats[[#This Row],[TOV2]]/10</f>
        <v>144</v>
      </c>
      <c r="AK198" s="6">
        <f>knicks_players_all_stats[[#This Row],[TOV]]/knicks_players_all_stats[[#This Row],[GP]]</f>
        <v>2.6181818181818182</v>
      </c>
      <c r="AL198" s="2">
        <v>156</v>
      </c>
      <c r="AM198" s="2">
        <f>knicks_players_all_stats[[#This Row],[PF]]/knicks_players_all_stats[[#This Row],[GP]]</f>
        <v>2.8363636363636364</v>
      </c>
      <c r="AN198" s="2">
        <v>1245</v>
      </c>
      <c r="AO198" s="6">
        <f>knicks_players_all_stats[[#This Row],[PTS]]/knicks_players_all_stats[[#This Row],[GP]]</f>
        <v>22.636363636363637</v>
      </c>
    </row>
    <row r="199" spans="1:41" customFormat="1" x14ac:dyDescent="0.3">
      <c r="A199" s="3" t="s">
        <v>1450</v>
      </c>
      <c r="B199" s="3" t="s">
        <v>1290</v>
      </c>
      <c r="C199" s="3" t="str">
        <f>knicks_players_all_stats[[#This Row],[NAME]]&amp;" ("&amp;knicks_players_all_stats[[#This Row],[SEASON]]&amp;")"</f>
        <v>Tyson Chandler (2011-12)</v>
      </c>
      <c r="D199" s="3">
        <f>knicks_players_all_stats[[#This Row],[PLAYER_AGE]]/10</f>
        <v>29</v>
      </c>
      <c r="E199">
        <v>290</v>
      </c>
      <c r="F199" s="2">
        <v>62</v>
      </c>
      <c r="G199" s="2">
        <v>20610</v>
      </c>
      <c r="H19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1012</v>
      </c>
      <c r="I199" s="6">
        <f>knicks_players_all_stats[[#This Row],[VALORATION]]/knicks_players_all_stats[[#This Row],[GP]]</f>
        <v>16.322580645161292</v>
      </c>
      <c r="J199" s="2">
        <v>241</v>
      </c>
      <c r="K199" s="2">
        <v>355</v>
      </c>
      <c r="L199" s="4">
        <f>knicks_players_all_stats[[#This Row],[FGM]]/knicks_players_all_stats[[#This Row],[FGA]]</f>
        <v>0.6788732394366197</v>
      </c>
      <c r="M199" s="2">
        <v>0</v>
      </c>
      <c r="N199" s="2">
        <v>20</v>
      </c>
      <c r="O199" s="4">
        <f>knicks_players_all_stats[[#This Row],[FG3M]]/knicks_players_all_stats[[#This Row],[FG3A]]</f>
        <v>0</v>
      </c>
      <c r="P199" s="2">
        <v>217</v>
      </c>
      <c r="Q199" s="2">
        <v>315</v>
      </c>
      <c r="R199" s="5">
        <f>knicks_players_all_stats[[#This Row],[FTM]]/knicks_players_all_stats[[#This Row],[FTA]]</f>
        <v>0.68888888888888888</v>
      </c>
      <c r="S199" s="2">
        <f>knicks_players_all_stats[[#This Row],[OREB22]]/10</f>
        <v>212</v>
      </c>
      <c r="T199" s="2">
        <f>knicks_players_all_stats[[#This Row],[DREB33]]/10</f>
        <v>400</v>
      </c>
      <c r="U199" s="2">
        <f>knicks_players_all_stats[[#This Row],[REB44]]/10</f>
        <v>612</v>
      </c>
      <c r="V199">
        <v>2120</v>
      </c>
      <c r="W199">
        <v>4000</v>
      </c>
      <c r="X199">
        <v>6120</v>
      </c>
      <c r="Y199" s="22">
        <f>knicks_players_all_stats[[#This Row],[REB]]/knicks_players_all_stats[[#This Row],[GP]]</f>
        <v>9.870967741935484</v>
      </c>
      <c r="Z199" s="2">
        <v>56</v>
      </c>
      <c r="AA199" s="6">
        <f>knicks_players_all_stats[[#This Row],[AST]]/knicks_players_all_stats[[#This Row],[GP]]</f>
        <v>0.90322580645161288</v>
      </c>
      <c r="AB199" s="2">
        <f>knicks_players_all_stats[[#This Row],[STL2]]/10</f>
        <v>56</v>
      </c>
      <c r="AC199" s="2">
        <v>560</v>
      </c>
      <c r="AD199" s="6">
        <f>knicks_players_all_stats[[#This Row],[STL]]/knicks_players_all_stats[[#This Row],[GP]]</f>
        <v>0.90322580645161288</v>
      </c>
      <c r="AE199">
        <v>890</v>
      </c>
      <c r="AF199" s="2">
        <f>knicks_players_all_stats[[#This Row],[BLK2]]/10</f>
        <v>89</v>
      </c>
      <c r="AG199" s="6">
        <f>knicks_players_all_stats[[#This Row],[BLK]]/knicks_players_all_stats[[#This Row],[GP]]</f>
        <v>1.435483870967742</v>
      </c>
      <c r="AH199">
        <v>1020</v>
      </c>
      <c r="AI199" s="6">
        <f>knicks_players_all_stats[[#This Row],[BLKPG]]+knicks_players_all_stats[[#This Row],[STLPG]]+knicks_players_all_stats[[#This Row],[REBPG]]</f>
        <v>12.20967741935484</v>
      </c>
      <c r="AJ199" s="2">
        <f>knicks_players_all_stats[[#This Row],[TOV2]]/10</f>
        <v>102</v>
      </c>
      <c r="AK199" s="6">
        <f>knicks_players_all_stats[[#This Row],[TOV]]/knicks_players_all_stats[[#This Row],[GP]]</f>
        <v>1.6451612903225807</v>
      </c>
      <c r="AL199" s="2">
        <v>186</v>
      </c>
      <c r="AM199" s="2">
        <f>knicks_players_all_stats[[#This Row],[PF]]/knicks_players_all_stats[[#This Row],[GP]]</f>
        <v>3</v>
      </c>
      <c r="AN199" s="2">
        <v>699</v>
      </c>
      <c r="AO199" s="6">
        <f>knicks_players_all_stats[[#This Row],[PTS]]/knicks_players_all_stats[[#This Row],[GP]]</f>
        <v>11.274193548387096</v>
      </c>
    </row>
    <row r="200" spans="1:41" customFormat="1" x14ac:dyDescent="0.3">
      <c r="A200" s="3" t="s">
        <v>1738</v>
      </c>
      <c r="B200" s="3" t="s">
        <v>1290</v>
      </c>
      <c r="C200" s="3" t="str">
        <f>knicks_players_all_stats[[#This Row],[NAME]]&amp;" ("&amp;knicks_players_all_stats[[#This Row],[SEASON]]&amp;")"</f>
        <v>Amar'e Stoudemire (2011-12)</v>
      </c>
      <c r="D200" s="3">
        <f>knicks_players_all_stats[[#This Row],[PLAYER_AGE]]/10</f>
        <v>29</v>
      </c>
      <c r="E200">
        <v>290</v>
      </c>
      <c r="F200" s="2">
        <v>47</v>
      </c>
      <c r="G200" s="2">
        <v>15430</v>
      </c>
      <c r="H20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680</v>
      </c>
      <c r="I200" s="6">
        <f>knicks_players_all_stats[[#This Row],[VALORATION]]/knicks_players_all_stats[[#This Row],[GP]]</f>
        <v>14.468085106382979</v>
      </c>
      <c r="J200" s="2">
        <v>316</v>
      </c>
      <c r="K200" s="2">
        <v>654</v>
      </c>
      <c r="L200" s="2">
        <v>483</v>
      </c>
      <c r="M200" s="2">
        <v>50</v>
      </c>
      <c r="N200" s="2">
        <v>210</v>
      </c>
      <c r="O200" s="4">
        <f>knicks_players_all_stats[[#This Row],[FG3M]]/knicks_players_all_stats[[#This Row],[FG3A]]</f>
        <v>0.23809523809523808</v>
      </c>
      <c r="P200" s="2">
        <v>186</v>
      </c>
      <c r="Q200" s="2">
        <v>243</v>
      </c>
      <c r="R200" s="5">
        <f>knicks_players_all_stats[[#This Row],[FTM]]/knicks_players_all_stats[[#This Row],[FTA]]</f>
        <v>0.76543209876543206</v>
      </c>
      <c r="S200" s="2">
        <f>knicks_players_all_stats[[#This Row],[OREB22]]/10</f>
        <v>106</v>
      </c>
      <c r="T200" s="2">
        <f>knicks_players_all_stats[[#This Row],[DREB33]]/10</f>
        <v>261</v>
      </c>
      <c r="U200" s="2">
        <f>knicks_players_all_stats[[#This Row],[REB44]]/10</f>
        <v>367</v>
      </c>
      <c r="V200">
        <v>1060</v>
      </c>
      <c r="W200">
        <v>2610</v>
      </c>
      <c r="X200">
        <v>3670</v>
      </c>
      <c r="Y200" s="22">
        <f>knicks_players_all_stats[[#This Row],[REB]]/knicks_players_all_stats[[#This Row],[GP]]</f>
        <v>7.8085106382978724</v>
      </c>
      <c r="Z200" s="2">
        <v>52</v>
      </c>
      <c r="AA200" s="6">
        <f>knicks_players_all_stats[[#This Row],[AST]]/knicks_players_all_stats[[#This Row],[GP]]</f>
        <v>1.1063829787234043</v>
      </c>
      <c r="AB200" s="2">
        <f>knicks_players_all_stats[[#This Row],[STL2]]/10</f>
        <v>38</v>
      </c>
      <c r="AC200" s="2">
        <v>380</v>
      </c>
      <c r="AD200" s="6">
        <f>knicks_players_all_stats[[#This Row],[STL]]/knicks_players_all_stats[[#This Row],[GP]]</f>
        <v>0.80851063829787229</v>
      </c>
      <c r="AE200">
        <v>450</v>
      </c>
      <c r="AF200" s="2">
        <f>knicks_players_all_stats[[#This Row],[BLK2]]/10</f>
        <v>45</v>
      </c>
      <c r="AG200" s="6">
        <f>knicks_players_all_stats[[#This Row],[BLK]]/knicks_players_all_stats[[#This Row],[GP]]</f>
        <v>0.95744680851063835</v>
      </c>
      <c r="AH200">
        <v>1120</v>
      </c>
      <c r="AI200" s="6">
        <f>knicks_players_all_stats[[#This Row],[BLKPG]]+knicks_players_all_stats[[#This Row],[STLPG]]+knicks_players_all_stats[[#This Row],[REBPG]]</f>
        <v>9.5744680851063837</v>
      </c>
      <c r="AJ200" s="2">
        <f>knicks_players_all_stats[[#This Row],[TOV2]]/10</f>
        <v>112</v>
      </c>
      <c r="AK200" s="6">
        <f>knicks_players_all_stats[[#This Row],[TOV]]/knicks_players_all_stats[[#This Row],[GP]]</f>
        <v>2.3829787234042552</v>
      </c>
      <c r="AL200" s="2">
        <v>138</v>
      </c>
      <c r="AM200" s="2">
        <f>knicks_players_all_stats[[#This Row],[PF]]/knicks_players_all_stats[[#This Row],[GP]]</f>
        <v>2.9361702127659575</v>
      </c>
      <c r="AN200" s="2">
        <v>823</v>
      </c>
      <c r="AO200" s="6">
        <f>knicks_players_all_stats[[#This Row],[PTS]]/knicks_players_all_stats[[#This Row],[GP]]</f>
        <v>17.51063829787234</v>
      </c>
    </row>
    <row r="201" spans="1:41" customFormat="1" x14ac:dyDescent="0.3">
      <c r="A201" s="3" t="s">
        <v>1541</v>
      </c>
      <c r="B201" s="3" t="s">
        <v>1290</v>
      </c>
      <c r="C201" s="3" t="str">
        <f>knicks_players_all_stats[[#This Row],[NAME]]&amp;" ("&amp;knicks_players_all_stats[[#This Row],[SEASON]]&amp;")"</f>
        <v>Jeremy Lin (2011-12)</v>
      </c>
      <c r="D201" s="3">
        <f>knicks_players_all_stats[[#This Row],[PLAYER_AGE]]/10</f>
        <v>23</v>
      </c>
      <c r="E201">
        <v>230</v>
      </c>
      <c r="F201" s="2">
        <v>35</v>
      </c>
      <c r="G201" s="2">
        <v>9400</v>
      </c>
      <c r="H20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446</v>
      </c>
      <c r="I201" s="6">
        <f>knicks_players_all_stats[[#This Row],[VALORATION]]/knicks_players_all_stats[[#This Row],[GP]]</f>
        <v>12.742857142857142</v>
      </c>
      <c r="J201" s="2">
        <v>171</v>
      </c>
      <c r="K201" s="2">
        <v>383</v>
      </c>
      <c r="L201" s="4">
        <f>knicks_players_all_stats[[#This Row],[FGM]]/knicks_players_all_stats[[#This Row],[FGA]]</f>
        <v>0.44647519582245432</v>
      </c>
      <c r="M201" s="2">
        <v>240</v>
      </c>
      <c r="N201" s="2">
        <v>750</v>
      </c>
      <c r="O201" s="4">
        <f>knicks_players_all_stats[[#This Row],[FG3M]]/knicks_players_all_stats[[#This Row],[FG3A]]</f>
        <v>0.32</v>
      </c>
      <c r="P201" s="2">
        <v>146</v>
      </c>
      <c r="Q201" s="2">
        <v>183</v>
      </c>
      <c r="R201" s="5">
        <f>knicks_players_all_stats[[#This Row],[FTM]]/knicks_players_all_stats[[#This Row],[FTA]]</f>
        <v>0.79781420765027322</v>
      </c>
      <c r="S201" s="2">
        <f>knicks_players_all_stats[[#This Row],[OREB22]]/10</f>
        <v>18</v>
      </c>
      <c r="T201" s="2">
        <f>knicks_players_all_stats[[#This Row],[DREB33]]/10</f>
        <v>89</v>
      </c>
      <c r="U201" s="2">
        <f>knicks_players_all_stats[[#This Row],[REB44]]/10</f>
        <v>107</v>
      </c>
      <c r="V201">
        <v>180</v>
      </c>
      <c r="W201">
        <v>890</v>
      </c>
      <c r="X201">
        <v>1070</v>
      </c>
      <c r="Y201" s="22">
        <f>knicks_players_all_stats[[#This Row],[REB]]/knicks_players_all_stats[[#This Row],[GP]]</f>
        <v>3.0571428571428569</v>
      </c>
      <c r="Z201" s="2">
        <v>216</v>
      </c>
      <c r="AA201" s="6">
        <f>knicks_players_all_stats[[#This Row],[AST]]/knicks_players_all_stats[[#This Row],[GP]]</f>
        <v>6.1714285714285717</v>
      </c>
      <c r="AB201" s="2">
        <f>knicks_players_all_stats[[#This Row],[STL2]]/10</f>
        <v>55</v>
      </c>
      <c r="AC201" s="2">
        <v>550</v>
      </c>
      <c r="AD201" s="6">
        <f>knicks_players_all_stats[[#This Row],[STL]]/knicks_players_all_stats[[#This Row],[GP]]</f>
        <v>1.5714285714285714</v>
      </c>
      <c r="AE201">
        <v>90</v>
      </c>
      <c r="AF201" s="2">
        <f>knicks_players_all_stats[[#This Row],[BLK2]]/10</f>
        <v>9</v>
      </c>
      <c r="AG201" s="6">
        <f>knicks_players_all_stats[[#This Row],[BLK]]/knicks_players_all_stats[[#This Row],[GP]]</f>
        <v>0.25714285714285712</v>
      </c>
      <c r="AH201">
        <v>1260</v>
      </c>
      <c r="AI201" s="6">
        <f>knicks_players_all_stats[[#This Row],[BLKPG]]+knicks_players_all_stats[[#This Row],[STLPG]]+knicks_players_all_stats[[#This Row],[REBPG]]</f>
        <v>4.8857142857142852</v>
      </c>
      <c r="AJ201" s="2">
        <f>knicks_players_all_stats[[#This Row],[TOV2]]/10</f>
        <v>126</v>
      </c>
      <c r="AK201" s="6">
        <f>knicks_players_all_stats[[#This Row],[TOV]]/knicks_players_all_stats[[#This Row],[GP]]</f>
        <v>3.6</v>
      </c>
      <c r="AL201" s="2">
        <v>78</v>
      </c>
      <c r="AM201" s="2">
        <f>knicks_players_all_stats[[#This Row],[PF]]/knicks_players_all_stats[[#This Row],[GP]]</f>
        <v>2.2285714285714286</v>
      </c>
      <c r="AN201" s="2">
        <v>512</v>
      </c>
      <c r="AO201" s="6">
        <f>knicks_players_all_stats[[#This Row],[PTS]]/knicks_players_all_stats[[#This Row],[GP]]</f>
        <v>14.628571428571428</v>
      </c>
    </row>
    <row r="202" spans="1:41" customFormat="1" x14ac:dyDescent="0.3">
      <c r="A202" s="3" t="s">
        <v>1451</v>
      </c>
      <c r="B202" s="3" t="s">
        <v>1290</v>
      </c>
      <c r="C202" s="3" t="str">
        <f>knicks_players_all_stats[[#This Row],[NAME]]&amp;" ("&amp;knicks_players_all_stats[[#This Row],[SEASON]]&amp;")"</f>
        <v>JR Smith (2011-12)</v>
      </c>
      <c r="D202" s="3">
        <f>knicks_players_all_stats[[#This Row],[PLAYER_AGE]]/10</f>
        <v>26</v>
      </c>
      <c r="E202">
        <v>260</v>
      </c>
      <c r="F202" s="2">
        <v>35</v>
      </c>
      <c r="G202" s="2">
        <v>9670</v>
      </c>
      <c r="H20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327</v>
      </c>
      <c r="I202" s="6">
        <f>knicks_players_all_stats[[#This Row],[VALORATION]]/knicks_players_all_stats[[#This Row],[GP]]</f>
        <v>9.3428571428571434</v>
      </c>
      <c r="J202" s="2">
        <v>165</v>
      </c>
      <c r="K202" s="2">
        <v>405</v>
      </c>
      <c r="L202" s="4">
        <f>knicks_players_all_stats[[#This Row],[FGM]]/knicks_players_all_stats[[#This Row],[FGA]]</f>
        <v>0.40740740740740738</v>
      </c>
      <c r="M202" s="2">
        <v>670</v>
      </c>
      <c r="N202" s="2">
        <v>1930</v>
      </c>
      <c r="O202" s="4">
        <f>knicks_players_all_stats[[#This Row],[FG3M]]/knicks_players_all_stats[[#This Row],[FG3A]]</f>
        <v>0.34715025906735753</v>
      </c>
      <c r="P202" s="2">
        <v>39</v>
      </c>
      <c r="Q202" s="2">
        <v>55</v>
      </c>
      <c r="R202" s="5">
        <f>knicks_players_all_stats[[#This Row],[FTM]]/knicks_players_all_stats[[#This Row],[FTA]]</f>
        <v>0.70909090909090911</v>
      </c>
      <c r="S202" s="2">
        <f>knicks_players_all_stats[[#This Row],[OREB22]]/10</f>
        <v>29</v>
      </c>
      <c r="T202" s="2">
        <f>knicks_players_all_stats[[#This Row],[DREB33]]/10</f>
        <v>107</v>
      </c>
      <c r="U202" s="2">
        <f>knicks_players_all_stats[[#This Row],[REB44]]/10</f>
        <v>136</v>
      </c>
      <c r="V202">
        <v>290</v>
      </c>
      <c r="W202">
        <v>1070</v>
      </c>
      <c r="X202">
        <v>1360</v>
      </c>
      <c r="Y202" s="22">
        <f>knicks_players_all_stats[[#This Row],[REB]]/knicks_players_all_stats[[#This Row],[GP]]</f>
        <v>3.8857142857142857</v>
      </c>
      <c r="Z202" s="2">
        <v>84</v>
      </c>
      <c r="AA202" s="6">
        <f>knicks_players_all_stats[[#This Row],[AST]]/knicks_players_all_stats[[#This Row],[GP]]</f>
        <v>2.4</v>
      </c>
      <c r="AB202" s="2">
        <f>knicks_players_all_stats[[#This Row],[STL2]]/10</f>
        <v>54</v>
      </c>
      <c r="AC202" s="2">
        <v>540</v>
      </c>
      <c r="AD202" s="6">
        <f>knicks_players_all_stats[[#This Row],[STL]]/knicks_players_all_stats[[#This Row],[GP]]</f>
        <v>1.5428571428571429</v>
      </c>
      <c r="AE202">
        <v>60</v>
      </c>
      <c r="AF202" s="2">
        <f>knicks_players_all_stats[[#This Row],[BLK2]]/10</f>
        <v>6</v>
      </c>
      <c r="AG202" s="6">
        <f>knicks_players_all_stats[[#This Row],[BLK]]/knicks_players_all_stats[[#This Row],[GP]]</f>
        <v>0.17142857142857143</v>
      </c>
      <c r="AH202">
        <v>460</v>
      </c>
      <c r="AI202" s="6">
        <f>knicks_players_all_stats[[#This Row],[BLKPG]]+knicks_players_all_stats[[#This Row],[STLPG]]+knicks_players_all_stats[[#This Row],[REBPG]]</f>
        <v>5.6</v>
      </c>
      <c r="AJ202" s="2">
        <f>knicks_players_all_stats[[#This Row],[TOV2]]/10</f>
        <v>46</v>
      </c>
      <c r="AK202" s="6">
        <f>knicks_players_all_stats[[#This Row],[TOV]]/knicks_players_all_stats[[#This Row],[GP]]</f>
        <v>1.3142857142857143</v>
      </c>
      <c r="AL202" s="2">
        <v>87</v>
      </c>
      <c r="AM202" s="2">
        <f>knicks_players_all_stats[[#This Row],[PF]]/knicks_players_all_stats[[#This Row],[GP]]</f>
        <v>2.4857142857142858</v>
      </c>
      <c r="AN202" s="2">
        <v>436</v>
      </c>
      <c r="AO202" s="6">
        <f>knicks_players_all_stats[[#This Row],[PTS]]/knicks_players_all_stats[[#This Row],[GP]]</f>
        <v>12.457142857142857</v>
      </c>
    </row>
    <row r="203" spans="1:41" customFormat="1" x14ac:dyDescent="0.3">
      <c r="A203" s="3" t="s">
        <v>1494</v>
      </c>
      <c r="B203" s="3" t="s">
        <v>1290</v>
      </c>
      <c r="C203" s="3" t="str">
        <f>knicks_players_all_stats[[#This Row],[NAME]]&amp;" ("&amp;knicks_players_all_stats[[#This Row],[SEASON]]&amp;")"</f>
        <v>Landry Fields (2011-12)</v>
      </c>
      <c r="D203" s="3">
        <f>knicks_players_all_stats[[#This Row],[PLAYER_AGE]]/10</f>
        <v>24</v>
      </c>
      <c r="E203">
        <v>240</v>
      </c>
      <c r="F203" s="2">
        <v>66</v>
      </c>
      <c r="G203" s="2">
        <v>18940</v>
      </c>
      <c r="H20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585</v>
      </c>
      <c r="I203" s="6">
        <f>knicks_players_all_stats[[#This Row],[VALORATION]]/knicks_players_all_stats[[#This Row],[GP]]</f>
        <v>8.8636363636363633</v>
      </c>
      <c r="J203" s="2">
        <v>236</v>
      </c>
      <c r="K203" s="2">
        <v>513</v>
      </c>
      <c r="L203" s="4">
        <f>knicks_players_all_stats[[#This Row],[FGM]]/knicks_players_all_stats[[#This Row],[FGA]]</f>
        <v>0.4600389863547758</v>
      </c>
      <c r="M203" s="2">
        <v>310</v>
      </c>
      <c r="N203" s="2">
        <v>1210</v>
      </c>
      <c r="O203" s="4">
        <f>knicks_players_all_stats[[#This Row],[FG3M]]/knicks_players_all_stats[[#This Row],[FG3A]]</f>
        <v>0.256198347107438</v>
      </c>
      <c r="P203" s="2">
        <v>77</v>
      </c>
      <c r="Q203" s="2">
        <v>137</v>
      </c>
      <c r="R203" s="5">
        <f>knicks_players_all_stats[[#This Row],[FTM]]/knicks_players_all_stats[[#This Row],[FTA]]</f>
        <v>0.56204379562043794</v>
      </c>
      <c r="S203" s="2">
        <f>knicks_players_all_stats[[#This Row],[OREB22]]/10</f>
        <v>59</v>
      </c>
      <c r="T203" s="2">
        <f>knicks_players_all_stats[[#This Row],[DREB33]]/10</f>
        <v>219</v>
      </c>
      <c r="U203" s="2">
        <f>knicks_players_all_stats[[#This Row],[REB44]]/10</f>
        <v>278</v>
      </c>
      <c r="V203">
        <v>590</v>
      </c>
      <c r="W203">
        <v>2190</v>
      </c>
      <c r="X203">
        <v>2780</v>
      </c>
      <c r="Y203" s="22">
        <f>knicks_players_all_stats[[#This Row],[REB]]/knicks_players_all_stats[[#This Row],[GP]]</f>
        <v>4.2121212121212119</v>
      </c>
      <c r="Z203" s="2">
        <v>169</v>
      </c>
      <c r="AA203" s="6">
        <f>knicks_players_all_stats[[#This Row],[AST]]/knicks_players_all_stats[[#This Row],[GP]]</f>
        <v>2.5606060606060606</v>
      </c>
      <c r="AB203" s="2">
        <f>knicks_players_all_stats[[#This Row],[STL2]]/10</f>
        <v>79</v>
      </c>
      <c r="AC203" s="2">
        <v>790</v>
      </c>
      <c r="AD203" s="6">
        <f>knicks_players_all_stats[[#This Row],[STL]]/knicks_players_all_stats[[#This Row],[GP]]</f>
        <v>1.196969696969697</v>
      </c>
      <c r="AE203">
        <v>170</v>
      </c>
      <c r="AF203" s="2">
        <f>knicks_players_all_stats[[#This Row],[BLK2]]/10</f>
        <v>17</v>
      </c>
      <c r="AG203" s="6">
        <f>knicks_players_all_stats[[#This Row],[BLK]]/knicks_players_all_stats[[#This Row],[GP]]</f>
        <v>0.25757575757575757</v>
      </c>
      <c r="AH203">
        <v>1020</v>
      </c>
      <c r="AI203" s="6">
        <f>knicks_players_all_stats[[#This Row],[BLKPG]]+knicks_players_all_stats[[#This Row],[STLPG]]+knicks_players_all_stats[[#This Row],[REBPG]]</f>
        <v>5.6666666666666661</v>
      </c>
      <c r="AJ203" s="2">
        <f>knicks_players_all_stats[[#This Row],[TOV2]]/10</f>
        <v>102</v>
      </c>
      <c r="AK203" s="6">
        <f>knicks_players_all_stats[[#This Row],[TOV]]/knicks_players_all_stats[[#This Row],[GP]]</f>
        <v>1.5454545454545454</v>
      </c>
      <c r="AL203" s="2">
        <v>99</v>
      </c>
      <c r="AM203" s="2">
        <f>knicks_players_all_stats[[#This Row],[PF]]/knicks_players_all_stats[[#This Row],[GP]]</f>
        <v>1.5</v>
      </c>
      <c r="AN203" s="2">
        <v>580</v>
      </c>
      <c r="AO203" s="6">
        <f>knicks_players_all_stats[[#This Row],[PTS]]/knicks_players_all_stats[[#This Row],[GP]]</f>
        <v>8.7878787878787872</v>
      </c>
    </row>
    <row r="204" spans="1:41" customFormat="1" x14ac:dyDescent="0.3">
      <c r="A204" s="3" t="s">
        <v>1718</v>
      </c>
      <c r="B204" s="3" t="s">
        <v>1290</v>
      </c>
      <c r="C204" s="3" t="str">
        <f>knicks_players_all_stats[[#This Row],[NAME]]&amp;" ("&amp;knicks_players_all_stats[[#This Row],[SEASON]]&amp;")"</f>
        <v>Iman Shumpert (2011-12)</v>
      </c>
      <c r="D204" s="3">
        <f>knicks_players_all_stats[[#This Row],[PLAYER_AGE]]/10</f>
        <v>22</v>
      </c>
      <c r="E204">
        <v>220</v>
      </c>
      <c r="F204" s="2">
        <v>59</v>
      </c>
      <c r="G204" s="2">
        <v>17050</v>
      </c>
      <c r="H20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396</v>
      </c>
      <c r="I204" s="6">
        <f>knicks_players_all_stats[[#This Row],[VALORATION]]/knicks_players_all_stats[[#This Row],[GP]]</f>
        <v>6.7118644067796609</v>
      </c>
      <c r="J204" s="2">
        <v>214</v>
      </c>
      <c r="K204" s="2">
        <v>534</v>
      </c>
      <c r="L204" s="2">
        <v>401</v>
      </c>
      <c r="M204" s="2">
        <v>480</v>
      </c>
      <c r="N204" s="2">
        <v>1570</v>
      </c>
      <c r="O204" s="4">
        <f>knicks_players_all_stats[[#This Row],[FG3M]]/knicks_players_all_stats[[#This Row],[FG3A]]</f>
        <v>0.30573248407643311</v>
      </c>
      <c r="P204" s="2">
        <v>87</v>
      </c>
      <c r="Q204" s="2">
        <v>109</v>
      </c>
      <c r="R204" s="5">
        <f>knicks_players_all_stats[[#This Row],[FTM]]/knicks_players_all_stats[[#This Row],[FTA]]</f>
        <v>0.79816513761467889</v>
      </c>
      <c r="S204" s="2">
        <f>knicks_players_all_stats[[#This Row],[OREB22]]/10</f>
        <v>42</v>
      </c>
      <c r="T204" s="2">
        <f>knicks_players_all_stats[[#This Row],[DREB33]]/10</f>
        <v>144</v>
      </c>
      <c r="U204" s="2">
        <f>knicks_players_all_stats[[#This Row],[REB44]]/10</f>
        <v>186</v>
      </c>
      <c r="V204">
        <v>420</v>
      </c>
      <c r="W204">
        <v>1440</v>
      </c>
      <c r="X204">
        <v>1860</v>
      </c>
      <c r="Y204" s="22">
        <f>knicks_players_all_stats[[#This Row],[REB]]/knicks_players_all_stats[[#This Row],[GP]]</f>
        <v>3.152542372881356</v>
      </c>
      <c r="Z204" s="2">
        <v>164</v>
      </c>
      <c r="AA204" s="6">
        <f>knicks_players_all_stats[[#This Row],[AST]]/knicks_players_all_stats[[#This Row],[GP]]</f>
        <v>2.7796610169491527</v>
      </c>
      <c r="AB204" s="2">
        <f>knicks_players_all_stats[[#This Row],[STL2]]/10</f>
        <v>101</v>
      </c>
      <c r="AC204" s="2">
        <v>1010</v>
      </c>
      <c r="AD204" s="6">
        <f>knicks_players_all_stats[[#This Row],[STL]]/knicks_players_all_stats[[#This Row],[GP]]</f>
        <v>1.7118644067796611</v>
      </c>
      <c r="AE204">
        <v>80</v>
      </c>
      <c r="AF204" s="2">
        <f>knicks_players_all_stats[[#This Row],[BLK2]]/10</f>
        <v>8</v>
      </c>
      <c r="AG204" s="6">
        <f>knicks_players_all_stats[[#This Row],[BLK]]/knicks_players_all_stats[[#This Row],[GP]]</f>
        <v>0.13559322033898305</v>
      </c>
      <c r="AH204">
        <v>1110</v>
      </c>
      <c r="AI204" s="6">
        <f>knicks_players_all_stats[[#This Row],[BLKPG]]+knicks_players_all_stats[[#This Row],[STLPG]]+knicks_players_all_stats[[#This Row],[REBPG]]</f>
        <v>5</v>
      </c>
      <c r="AJ204" s="2">
        <f>knicks_players_all_stats[[#This Row],[TOV2]]/10</f>
        <v>111</v>
      </c>
      <c r="AK204" s="6">
        <f>knicks_players_all_stats[[#This Row],[TOV]]/knicks_players_all_stats[[#This Row],[GP]]</f>
        <v>1.8813559322033899</v>
      </c>
      <c r="AL204" s="2">
        <v>173</v>
      </c>
      <c r="AM204" s="2">
        <f>knicks_players_all_stats[[#This Row],[PF]]/knicks_players_all_stats[[#This Row],[GP]]</f>
        <v>2.9322033898305087</v>
      </c>
      <c r="AN204" s="2">
        <v>563</v>
      </c>
      <c r="AO204" s="6">
        <f>knicks_players_all_stats[[#This Row],[PTS]]/knicks_players_all_stats[[#This Row],[GP]]</f>
        <v>9.5423728813559325</v>
      </c>
    </row>
    <row r="205" spans="1:41" customFormat="1" x14ac:dyDescent="0.3">
      <c r="A205" s="3" t="s">
        <v>1291</v>
      </c>
      <c r="B205" s="3" t="s">
        <v>1290</v>
      </c>
      <c r="C205" s="3" t="str">
        <f>knicks_players_all_stats[[#This Row],[NAME]]&amp;" ("&amp;knicks_players_all_stats[[#This Row],[SEASON]]&amp;")"</f>
        <v>Steve Novak (2011-12)</v>
      </c>
      <c r="D205" s="3">
        <f>knicks_players_all_stats[[#This Row],[PLAYER_AGE]]/10</f>
        <v>29</v>
      </c>
      <c r="E205">
        <v>290</v>
      </c>
      <c r="F205" s="2">
        <v>54</v>
      </c>
      <c r="G205" s="2">
        <v>10200</v>
      </c>
      <c r="H20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358</v>
      </c>
      <c r="I205" s="6">
        <f>knicks_players_all_stats[[#This Row],[VALORATION]]/knicks_players_all_stats[[#This Row],[GP]]</f>
        <v>6.6296296296296298</v>
      </c>
      <c r="J205" s="2">
        <v>161</v>
      </c>
      <c r="K205" s="2">
        <v>337</v>
      </c>
      <c r="L205" s="4">
        <f>knicks_players_all_stats[[#This Row],[FGM]]/knicks_players_all_stats[[#This Row],[FGA]]</f>
        <v>0.47774480712166173</v>
      </c>
      <c r="M205" s="2">
        <v>1330</v>
      </c>
      <c r="N205" s="2">
        <v>2820</v>
      </c>
      <c r="O205" s="4">
        <f>knicks_players_all_stats[[#This Row],[FG3M]]/knicks_players_all_stats[[#This Row],[FG3A]]</f>
        <v>0.47163120567375888</v>
      </c>
      <c r="P205" s="2">
        <v>22</v>
      </c>
      <c r="Q205" s="2">
        <v>26</v>
      </c>
      <c r="R205" s="5">
        <f>knicks_players_all_stats[[#This Row],[FTM]]/knicks_players_all_stats[[#This Row],[FTA]]</f>
        <v>0.84615384615384615</v>
      </c>
      <c r="S205" s="2">
        <f>knicks_players_all_stats[[#This Row],[OREB22]]/10</f>
        <v>9</v>
      </c>
      <c r="T205" s="2">
        <f>knicks_players_all_stats[[#This Row],[DREB33]]/10</f>
        <v>95</v>
      </c>
      <c r="U205" s="2">
        <f>knicks_players_all_stats[[#This Row],[REB44]]/10</f>
        <v>104</v>
      </c>
      <c r="V205">
        <v>90</v>
      </c>
      <c r="W205">
        <v>950</v>
      </c>
      <c r="X205">
        <v>1040</v>
      </c>
      <c r="Y205" s="22">
        <f>knicks_players_all_stats[[#This Row],[REB]]/knicks_players_all_stats[[#This Row],[GP]]</f>
        <v>1.9259259259259258</v>
      </c>
      <c r="Z205" s="2">
        <v>12</v>
      </c>
      <c r="AA205" s="6">
        <f>knicks_players_all_stats[[#This Row],[AST]]/knicks_players_all_stats[[#This Row],[GP]]</f>
        <v>0.22222222222222221</v>
      </c>
      <c r="AB205" s="2">
        <f>knicks_players_all_stats[[#This Row],[STL2]]/10</f>
        <v>16</v>
      </c>
      <c r="AC205" s="2">
        <v>160</v>
      </c>
      <c r="AD205" s="6">
        <f>knicks_players_all_stats[[#This Row],[STL]]/knicks_players_all_stats[[#This Row],[GP]]</f>
        <v>0.29629629629629628</v>
      </c>
      <c r="AE205">
        <v>90</v>
      </c>
      <c r="AF205" s="2">
        <f>knicks_players_all_stats[[#This Row],[BLK2]]/10</f>
        <v>9</v>
      </c>
      <c r="AG205" s="6">
        <f>knicks_players_all_stats[[#This Row],[BLK]]/knicks_players_all_stats[[#This Row],[GP]]</f>
        <v>0.16666666666666666</v>
      </c>
      <c r="AH205">
        <v>210</v>
      </c>
      <c r="AI205" s="6">
        <f>knicks_players_all_stats[[#This Row],[BLKPG]]+knicks_players_all_stats[[#This Row],[STLPG]]+knicks_players_all_stats[[#This Row],[REBPG]]</f>
        <v>2.3888888888888888</v>
      </c>
      <c r="AJ205" s="2">
        <f>knicks_players_all_stats[[#This Row],[TOV2]]/10</f>
        <v>21</v>
      </c>
      <c r="AK205" s="6">
        <f>knicks_players_all_stats[[#This Row],[TOV]]/knicks_players_all_stats[[#This Row],[GP]]</f>
        <v>0.3888888888888889</v>
      </c>
      <c r="AL205" s="2">
        <v>59</v>
      </c>
      <c r="AM205" s="2">
        <f>knicks_players_all_stats[[#This Row],[PF]]/knicks_players_all_stats[[#This Row],[GP]]</f>
        <v>1.0925925925925926</v>
      </c>
      <c r="AN205" s="2">
        <v>477</v>
      </c>
      <c r="AO205" s="6">
        <f>knicks_players_all_stats[[#This Row],[PTS]]/knicks_players_all_stats[[#This Row],[GP]]</f>
        <v>8.8333333333333339</v>
      </c>
    </row>
    <row r="206" spans="1:41" customFormat="1" x14ac:dyDescent="0.3">
      <c r="A206" s="3" t="s">
        <v>1576</v>
      </c>
      <c r="B206" s="3" t="s">
        <v>1290</v>
      </c>
      <c r="C206" s="3" t="str">
        <f>knicks_players_all_stats[[#This Row],[NAME]]&amp;" ("&amp;knicks_players_all_stats[[#This Row],[SEASON]]&amp;")"</f>
        <v>Josh Harrellson (2011-12)</v>
      </c>
      <c r="D206" s="3">
        <f>knicks_players_all_stats[[#This Row],[PLAYER_AGE]]/10</f>
        <v>23</v>
      </c>
      <c r="E206">
        <v>230</v>
      </c>
      <c r="F206" s="2">
        <v>37</v>
      </c>
      <c r="G206" s="2">
        <v>5400</v>
      </c>
      <c r="H20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196</v>
      </c>
      <c r="I206" s="6">
        <f>knicks_players_all_stats[[#This Row],[VALORATION]]/knicks_players_all_stats[[#This Row],[GP]]</f>
        <v>5.2972972972972974</v>
      </c>
      <c r="J206" s="2">
        <v>63</v>
      </c>
      <c r="K206" s="2">
        <v>149</v>
      </c>
      <c r="L206" s="4">
        <f>knicks_players_all_stats[[#This Row],[FGM]]/knicks_players_all_stats[[#This Row],[FGA]]</f>
        <v>0.42281879194630873</v>
      </c>
      <c r="M206" s="2">
        <v>200</v>
      </c>
      <c r="N206" s="2">
        <v>590</v>
      </c>
      <c r="O206" s="4">
        <f>knicks_players_all_stats[[#This Row],[FG3M]]/knicks_players_all_stats[[#This Row],[FG3A]]</f>
        <v>0.33898305084745761</v>
      </c>
      <c r="P206" s="2">
        <v>16</v>
      </c>
      <c r="Q206" s="2">
        <v>26</v>
      </c>
      <c r="R206" s="5">
        <f>knicks_players_all_stats[[#This Row],[FTM]]/knicks_players_all_stats[[#This Row],[FTA]]</f>
        <v>0.61538461538461542</v>
      </c>
      <c r="S206" s="2">
        <f>knicks_players_all_stats[[#This Row],[OREB22]]/10</f>
        <v>47</v>
      </c>
      <c r="T206" s="2">
        <f>knicks_players_all_stats[[#This Row],[DREB33]]/10</f>
        <v>97</v>
      </c>
      <c r="U206" s="2">
        <f>knicks_players_all_stats[[#This Row],[REB44]]/10</f>
        <v>144</v>
      </c>
      <c r="V206">
        <v>470</v>
      </c>
      <c r="W206">
        <v>970</v>
      </c>
      <c r="X206">
        <v>1440</v>
      </c>
      <c r="Y206" s="22">
        <f>knicks_players_all_stats[[#This Row],[REB]]/knicks_players_all_stats[[#This Row],[GP]]</f>
        <v>3.8918918918918921</v>
      </c>
      <c r="Z206" s="2">
        <v>11</v>
      </c>
      <c r="AA206" s="6">
        <f>knicks_players_all_stats[[#This Row],[AST]]/knicks_players_all_stats[[#This Row],[GP]]</f>
        <v>0.29729729729729731</v>
      </c>
      <c r="AB206" s="2">
        <f>knicks_players_all_stats[[#This Row],[STL2]]/10</f>
        <v>23</v>
      </c>
      <c r="AC206" s="2">
        <v>230</v>
      </c>
      <c r="AD206" s="6">
        <f>knicks_players_all_stats[[#This Row],[STL]]/knicks_players_all_stats[[#This Row],[GP]]</f>
        <v>0.6216216216216216</v>
      </c>
      <c r="AE206">
        <v>200</v>
      </c>
      <c r="AF206" s="2">
        <f>knicks_players_all_stats[[#This Row],[BLK2]]/10</f>
        <v>20</v>
      </c>
      <c r="AG206" s="6">
        <f>knicks_players_all_stats[[#This Row],[BLK]]/knicks_players_all_stats[[#This Row],[GP]]</f>
        <v>0.54054054054054057</v>
      </c>
      <c r="AH206">
        <v>200</v>
      </c>
      <c r="AI206" s="6">
        <f>knicks_players_all_stats[[#This Row],[BLKPG]]+knicks_players_all_stats[[#This Row],[STLPG]]+knicks_players_all_stats[[#This Row],[REBPG]]</f>
        <v>5.0540540540540544</v>
      </c>
      <c r="AJ206" s="2">
        <f>knicks_players_all_stats[[#This Row],[TOV2]]/10</f>
        <v>20</v>
      </c>
      <c r="AK206" s="6">
        <f>knicks_players_all_stats[[#This Row],[TOV]]/knicks_players_all_stats[[#This Row],[GP]]</f>
        <v>0.54054054054054057</v>
      </c>
      <c r="AL206" s="2">
        <v>48</v>
      </c>
      <c r="AM206" s="2">
        <f>knicks_players_all_stats[[#This Row],[PF]]/knicks_players_all_stats[[#This Row],[GP]]</f>
        <v>1.2972972972972974</v>
      </c>
      <c r="AN206" s="2">
        <v>162</v>
      </c>
      <c r="AO206" s="6">
        <f>knicks_players_all_stats[[#This Row],[PTS]]/knicks_players_all_stats[[#This Row],[GP]]</f>
        <v>4.3783783783783781</v>
      </c>
    </row>
    <row r="207" spans="1:41" customFormat="1" x14ac:dyDescent="0.3">
      <c r="A207" s="3" t="s">
        <v>1659</v>
      </c>
      <c r="B207" s="3" t="s">
        <v>1290</v>
      </c>
      <c r="C207" s="3" t="str">
        <f>knicks_players_all_stats[[#This Row],[NAME]]&amp;" ("&amp;knicks_players_all_stats[[#This Row],[SEASON]]&amp;")"</f>
        <v>Baron Davis (2011-12)</v>
      </c>
      <c r="D207" s="3">
        <f>knicks_players_all_stats[[#This Row],[PLAYER_AGE]]/10</f>
        <v>33</v>
      </c>
      <c r="E207">
        <v>330</v>
      </c>
      <c r="F207" s="2">
        <v>29</v>
      </c>
      <c r="G207" s="2">
        <v>5950</v>
      </c>
      <c r="H20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145</v>
      </c>
      <c r="I207" s="6">
        <f>knicks_players_all_stats[[#This Row],[VALORATION]]/knicks_players_all_stats[[#This Row],[GP]]</f>
        <v>5</v>
      </c>
      <c r="J207" s="2">
        <v>68</v>
      </c>
      <c r="K207" s="2">
        <v>184</v>
      </c>
      <c r="L207" s="2">
        <v>37</v>
      </c>
      <c r="M207" s="2">
        <v>260</v>
      </c>
      <c r="N207" s="2">
        <v>850</v>
      </c>
      <c r="O207" s="4">
        <f>knicks_players_all_stats[[#This Row],[FG3M]]/knicks_players_all_stats[[#This Row],[FG3A]]</f>
        <v>0.30588235294117649</v>
      </c>
      <c r="P207" s="2">
        <v>16</v>
      </c>
      <c r="Q207" s="2">
        <v>24</v>
      </c>
      <c r="R207" s="5">
        <f>knicks_players_all_stats[[#This Row],[FTM]]/knicks_players_all_stats[[#This Row],[FTA]]</f>
        <v>0.66666666666666663</v>
      </c>
      <c r="S207" s="2">
        <f>knicks_players_all_stats[[#This Row],[OREB22]]/10</f>
        <v>13</v>
      </c>
      <c r="T207" s="2">
        <f>knicks_players_all_stats[[#This Row],[DREB33]]/10</f>
        <v>43</v>
      </c>
      <c r="U207" s="2">
        <f>knicks_players_all_stats[[#This Row],[REB44]]/10</f>
        <v>56</v>
      </c>
      <c r="V207">
        <v>130</v>
      </c>
      <c r="W207">
        <v>430</v>
      </c>
      <c r="X207">
        <v>560</v>
      </c>
      <c r="Y207" s="22">
        <f>knicks_players_all_stats[[#This Row],[REB]]/knicks_players_all_stats[[#This Row],[GP]]</f>
        <v>1.9310344827586208</v>
      </c>
      <c r="Z207" s="2">
        <v>135</v>
      </c>
      <c r="AA207" s="6">
        <f>knicks_players_all_stats[[#This Row],[AST]]/knicks_players_all_stats[[#This Row],[GP]]</f>
        <v>4.6551724137931032</v>
      </c>
      <c r="AB207" s="2">
        <f>knicks_players_all_stats[[#This Row],[STL2]]/10</f>
        <v>34</v>
      </c>
      <c r="AC207" s="2">
        <v>340</v>
      </c>
      <c r="AD207" s="6">
        <f>knicks_players_all_stats[[#This Row],[STL]]/knicks_players_all_stats[[#This Row],[GP]]</f>
        <v>1.1724137931034482</v>
      </c>
      <c r="AE207">
        <v>30</v>
      </c>
      <c r="AF207" s="2">
        <f>knicks_players_all_stats[[#This Row],[BLK2]]/10</f>
        <v>3</v>
      </c>
      <c r="AG207" s="6">
        <f>knicks_players_all_stats[[#This Row],[BLK]]/knicks_players_all_stats[[#This Row],[GP]]</f>
        <v>0.10344827586206896</v>
      </c>
      <c r="AH207">
        <v>760</v>
      </c>
      <c r="AI207" s="6">
        <f>knicks_players_all_stats[[#This Row],[BLKPG]]+knicks_players_all_stats[[#This Row],[STLPG]]+knicks_players_all_stats[[#This Row],[REBPG]]</f>
        <v>3.2068965517241379</v>
      </c>
      <c r="AJ207" s="2">
        <f>knicks_players_all_stats[[#This Row],[TOV2]]/10</f>
        <v>76</v>
      </c>
      <c r="AK207" s="6">
        <f>knicks_players_all_stats[[#This Row],[TOV]]/knicks_players_all_stats[[#This Row],[GP]]</f>
        <v>2.6206896551724137</v>
      </c>
      <c r="AL207" s="2">
        <v>61</v>
      </c>
      <c r="AM207" s="2">
        <f>knicks_players_all_stats[[#This Row],[PF]]/knicks_players_all_stats[[#This Row],[GP]]</f>
        <v>2.103448275862069</v>
      </c>
      <c r="AN207" s="2">
        <v>178</v>
      </c>
      <c r="AO207" s="6">
        <f>knicks_players_all_stats[[#This Row],[PTS]]/knicks_players_all_stats[[#This Row],[GP]]</f>
        <v>6.1379310344827589</v>
      </c>
    </row>
    <row r="208" spans="1:41" customFormat="1" x14ac:dyDescent="0.3">
      <c r="A208" s="3" t="s">
        <v>1734</v>
      </c>
      <c r="B208" s="3" t="s">
        <v>1290</v>
      </c>
      <c r="C208" s="3" t="str">
        <f>knicks_players_all_stats[[#This Row],[NAME]]&amp;" ("&amp;knicks_players_all_stats[[#This Row],[SEASON]]&amp;")"</f>
        <v>Jared Jeffries (2011-12)</v>
      </c>
      <c r="D208" s="3">
        <f>knicks_players_all_stats[[#This Row],[PLAYER_AGE]]/10</f>
        <v>30</v>
      </c>
      <c r="E208">
        <v>300</v>
      </c>
      <c r="F208" s="2">
        <v>39</v>
      </c>
      <c r="G208" s="2">
        <v>7290</v>
      </c>
      <c r="H20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176</v>
      </c>
      <c r="I208" s="6">
        <f>knicks_players_all_stats[[#This Row],[VALORATION]]/knicks_players_all_stats[[#This Row],[GP]]</f>
        <v>4.5128205128205128</v>
      </c>
      <c r="J208" s="2">
        <v>59</v>
      </c>
      <c r="K208" s="2">
        <v>144</v>
      </c>
      <c r="L208" s="2">
        <v>41</v>
      </c>
      <c r="M208" s="2">
        <v>30</v>
      </c>
      <c r="N208" s="2">
        <v>160</v>
      </c>
      <c r="O208" s="4">
        <f>knicks_players_all_stats[[#This Row],[FG3M]]/knicks_players_all_stats[[#This Row],[FG3A]]</f>
        <v>0.1875</v>
      </c>
      <c r="P208" s="2">
        <v>49</v>
      </c>
      <c r="Q208" s="2">
        <v>72</v>
      </c>
      <c r="R208" s="5">
        <f>knicks_players_all_stats[[#This Row],[FTM]]/knicks_players_all_stats[[#This Row],[FTA]]</f>
        <v>0.68055555555555558</v>
      </c>
      <c r="S208" s="2">
        <f>knicks_players_all_stats[[#This Row],[OREB22]]/10</f>
        <v>69</v>
      </c>
      <c r="T208" s="2">
        <f>knicks_players_all_stats[[#This Row],[DREB33]]/10</f>
        <v>83</v>
      </c>
      <c r="U208" s="2">
        <f>knicks_players_all_stats[[#This Row],[REB44]]/10</f>
        <v>152</v>
      </c>
      <c r="V208">
        <v>690</v>
      </c>
      <c r="W208">
        <v>830</v>
      </c>
      <c r="X208">
        <v>1520</v>
      </c>
      <c r="Y208" s="22">
        <f>knicks_players_all_stats[[#This Row],[REB]]/knicks_players_all_stats[[#This Row],[GP]]</f>
        <v>3.8974358974358974</v>
      </c>
      <c r="Z208" s="2">
        <v>26</v>
      </c>
      <c r="AA208" s="6">
        <f>knicks_players_all_stats[[#This Row],[AST]]/knicks_players_all_stats[[#This Row],[GP]]</f>
        <v>0.66666666666666663</v>
      </c>
      <c r="AB208" s="2">
        <f>knicks_players_all_stats[[#This Row],[STL2]]/10</f>
        <v>29</v>
      </c>
      <c r="AC208" s="2">
        <v>290</v>
      </c>
      <c r="AD208" s="6">
        <f>knicks_players_all_stats[[#This Row],[STL]]/knicks_players_all_stats[[#This Row],[GP]]</f>
        <v>0.74358974358974361</v>
      </c>
      <c r="AE208">
        <v>250</v>
      </c>
      <c r="AF208" s="2">
        <f>knicks_players_all_stats[[#This Row],[BLK2]]/10</f>
        <v>25</v>
      </c>
      <c r="AG208" s="6">
        <f>knicks_players_all_stats[[#This Row],[BLK]]/knicks_players_all_stats[[#This Row],[GP]]</f>
        <v>0.64102564102564108</v>
      </c>
      <c r="AH208">
        <v>290</v>
      </c>
      <c r="AI208" s="6">
        <f>knicks_players_all_stats[[#This Row],[BLKPG]]+knicks_players_all_stats[[#This Row],[STLPG]]+knicks_players_all_stats[[#This Row],[REBPG]]</f>
        <v>5.2820512820512819</v>
      </c>
      <c r="AJ208" s="2">
        <f>knicks_players_all_stats[[#This Row],[TOV2]]/10</f>
        <v>29</v>
      </c>
      <c r="AK208" s="6">
        <f>knicks_players_all_stats[[#This Row],[TOV]]/knicks_players_all_stats[[#This Row],[GP]]</f>
        <v>0.74358974358974361</v>
      </c>
      <c r="AL208" s="2">
        <v>89</v>
      </c>
      <c r="AM208" s="2">
        <f>knicks_players_all_stats[[#This Row],[PF]]/knicks_players_all_stats[[#This Row],[GP]]</f>
        <v>2.2820512820512819</v>
      </c>
      <c r="AN208" s="2">
        <v>170</v>
      </c>
      <c r="AO208" s="6">
        <f>knicks_players_all_stats[[#This Row],[PTS]]/knicks_players_all_stats[[#This Row],[GP]]</f>
        <v>4.3589743589743586</v>
      </c>
    </row>
    <row r="209" spans="1:41" customFormat="1" x14ac:dyDescent="0.3">
      <c r="A209" s="3" t="s">
        <v>1817</v>
      </c>
      <c r="B209" s="3" t="s">
        <v>1290</v>
      </c>
      <c r="C209" s="3" t="str">
        <f>knicks_players_all_stats[[#This Row],[NAME]]&amp;" ("&amp;knicks_players_all_stats[[#This Row],[SEASON]]&amp;")"</f>
        <v>Henry Walker (2011-12)</v>
      </c>
      <c r="D209" s="3">
        <f>knicks_players_all_stats[[#This Row],[PLAYER_AGE]]/10</f>
        <v>24</v>
      </c>
      <c r="E209">
        <v>240</v>
      </c>
      <c r="F209" s="2">
        <v>32</v>
      </c>
      <c r="G209" s="2">
        <v>6200</v>
      </c>
      <c r="H20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107</v>
      </c>
      <c r="I209" s="6">
        <f>knicks_players_all_stats[[#This Row],[VALORATION]]/knicks_players_all_stats[[#This Row],[GP]]</f>
        <v>3.34375</v>
      </c>
      <c r="J209" s="2">
        <v>68</v>
      </c>
      <c r="K209" s="2">
        <v>171</v>
      </c>
      <c r="L209" s="2">
        <v>398</v>
      </c>
      <c r="M209" s="2">
        <v>360</v>
      </c>
      <c r="N209" s="2">
        <v>1130</v>
      </c>
      <c r="O209" s="4">
        <f>knicks_players_all_stats[[#This Row],[FG3M]]/knicks_players_all_stats[[#This Row],[FG3A]]</f>
        <v>0.31858407079646017</v>
      </c>
      <c r="P209" s="2">
        <v>17</v>
      </c>
      <c r="Q209" s="2">
        <v>20</v>
      </c>
      <c r="R209" s="5">
        <f>knicks_players_all_stats[[#This Row],[FTM]]/knicks_players_all_stats[[#This Row],[FTA]]</f>
        <v>0.85</v>
      </c>
      <c r="S209" s="2">
        <f>knicks_players_all_stats[[#This Row],[OREB22]]/10</f>
        <v>9</v>
      </c>
      <c r="T209" s="2">
        <f>knicks_players_all_stats[[#This Row],[DREB33]]/10</f>
        <v>71</v>
      </c>
      <c r="U209" s="2">
        <f>knicks_players_all_stats[[#This Row],[REB44]]/10</f>
        <v>80</v>
      </c>
      <c r="V209">
        <v>90</v>
      </c>
      <c r="W209">
        <v>710</v>
      </c>
      <c r="X209">
        <v>800</v>
      </c>
      <c r="Y209" s="22">
        <f>knicks_players_all_stats[[#This Row],[REB]]/knicks_players_all_stats[[#This Row],[GP]]</f>
        <v>2.5</v>
      </c>
      <c r="Z209" s="2">
        <v>37</v>
      </c>
      <c r="AA209" s="6">
        <f>knicks_players_all_stats[[#This Row],[AST]]/knicks_players_all_stats[[#This Row],[GP]]</f>
        <v>1.15625</v>
      </c>
      <c r="AB209" s="2">
        <f>knicks_players_all_stats[[#This Row],[STL2]]/10</f>
        <v>19</v>
      </c>
      <c r="AC209" s="2">
        <v>190</v>
      </c>
      <c r="AD209" s="6">
        <f>knicks_players_all_stats[[#This Row],[STL]]/knicks_players_all_stats[[#This Row],[GP]]</f>
        <v>0.59375</v>
      </c>
      <c r="AE209">
        <v>70</v>
      </c>
      <c r="AF209" s="2">
        <f>knicks_players_all_stats[[#This Row],[BLK2]]/10</f>
        <v>7</v>
      </c>
      <c r="AG209" s="6">
        <f>knicks_players_all_stats[[#This Row],[BLK]]/knicks_players_all_stats[[#This Row],[GP]]</f>
        <v>0.21875</v>
      </c>
      <c r="AH209">
        <v>350</v>
      </c>
      <c r="AI209" s="6">
        <f>knicks_players_all_stats[[#This Row],[BLKPG]]+knicks_players_all_stats[[#This Row],[STLPG]]+knicks_players_all_stats[[#This Row],[REBPG]]</f>
        <v>3.3125</v>
      </c>
      <c r="AJ209" s="2">
        <f>knicks_players_all_stats[[#This Row],[TOV2]]/10</f>
        <v>35</v>
      </c>
      <c r="AK209" s="6">
        <f>knicks_players_all_stats[[#This Row],[TOV]]/knicks_players_all_stats[[#This Row],[GP]]</f>
        <v>1.09375</v>
      </c>
      <c r="AL209" s="2">
        <v>84</v>
      </c>
      <c r="AM209" s="2">
        <f>knicks_players_all_stats[[#This Row],[PF]]/knicks_players_all_stats[[#This Row],[GP]]</f>
        <v>2.625</v>
      </c>
      <c r="AN209" s="2">
        <v>189</v>
      </c>
      <c r="AO209" s="6">
        <f>knicks_players_all_stats[[#This Row],[PTS]]/knicks_players_all_stats[[#This Row],[GP]]</f>
        <v>5.90625</v>
      </c>
    </row>
    <row r="210" spans="1:41" customFormat="1" x14ac:dyDescent="0.3">
      <c r="A210" s="3" t="s">
        <v>1311</v>
      </c>
      <c r="B210" s="3" t="s">
        <v>1290</v>
      </c>
      <c r="C210" s="3" t="str">
        <f>knicks_players_all_stats[[#This Row],[NAME]]&amp;" ("&amp;knicks_players_all_stats[[#This Row],[SEASON]]&amp;")"</f>
        <v>Renaldo Balkman (2011-12)</v>
      </c>
      <c r="D210" s="3">
        <f>knicks_players_all_stats[[#This Row],[PLAYER_AGE]]/10</f>
        <v>27</v>
      </c>
      <c r="E210">
        <v>270</v>
      </c>
      <c r="F210" s="2">
        <v>14</v>
      </c>
      <c r="G210" s="2">
        <v>1150</v>
      </c>
      <c r="H21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41</v>
      </c>
      <c r="I210" s="6">
        <f>knicks_players_all_stats[[#This Row],[VALORATION]]/knicks_players_all_stats[[#This Row],[GP]]</f>
        <v>2.9285714285714284</v>
      </c>
      <c r="J210" s="2">
        <v>16</v>
      </c>
      <c r="K210" s="2">
        <v>32</v>
      </c>
      <c r="L210" s="4">
        <f>knicks_players_all_stats[[#This Row],[FGM]]/knicks_players_all_stats[[#This Row],[FGA]]</f>
        <v>0.5</v>
      </c>
      <c r="M210" s="2">
        <v>20</v>
      </c>
      <c r="N210" s="2">
        <v>90</v>
      </c>
      <c r="O210" s="4">
        <f>knicks_players_all_stats[[#This Row],[FG3M]]/knicks_players_all_stats[[#This Row],[FG3A]]</f>
        <v>0.22222222222222221</v>
      </c>
      <c r="P210" s="2">
        <v>8</v>
      </c>
      <c r="Q210" s="2">
        <v>11</v>
      </c>
      <c r="R210" s="5">
        <f>knicks_players_all_stats[[#This Row],[FTM]]/knicks_players_all_stats[[#This Row],[FTA]]</f>
        <v>0.72727272727272729</v>
      </c>
      <c r="S210" s="2">
        <f>knicks_players_all_stats[[#This Row],[OREB22]]/10</f>
        <v>6</v>
      </c>
      <c r="T210" s="2">
        <f>knicks_players_all_stats[[#This Row],[DREB33]]/10</f>
        <v>20</v>
      </c>
      <c r="U210" s="2">
        <f>knicks_players_all_stats[[#This Row],[REB44]]/10</f>
        <v>26</v>
      </c>
      <c r="V210">
        <v>60</v>
      </c>
      <c r="W210">
        <v>200</v>
      </c>
      <c r="X210">
        <v>260</v>
      </c>
      <c r="Y210" s="22">
        <f>knicks_players_all_stats[[#This Row],[REB]]/knicks_players_all_stats[[#This Row],[GP]]</f>
        <v>1.8571428571428572</v>
      </c>
      <c r="Z210" s="2">
        <v>5</v>
      </c>
      <c r="AA210" s="6">
        <f>knicks_players_all_stats[[#This Row],[AST]]/knicks_players_all_stats[[#This Row],[GP]]</f>
        <v>0.35714285714285715</v>
      </c>
      <c r="AB210" s="2">
        <f>knicks_players_all_stats[[#This Row],[STL2]]/10</f>
        <v>4</v>
      </c>
      <c r="AC210" s="2">
        <v>40</v>
      </c>
      <c r="AD210" s="6">
        <f>knicks_players_all_stats[[#This Row],[STL]]/knicks_players_all_stats[[#This Row],[GP]]</f>
        <v>0.2857142857142857</v>
      </c>
      <c r="AE210">
        <v>30</v>
      </c>
      <c r="AF210" s="2">
        <f>knicks_players_all_stats[[#This Row],[BLK2]]/10</f>
        <v>3</v>
      </c>
      <c r="AG210" s="6">
        <f>knicks_players_all_stats[[#This Row],[BLK]]/knicks_players_all_stats[[#This Row],[GP]]</f>
        <v>0.21428571428571427</v>
      </c>
      <c r="AH210">
        <v>60</v>
      </c>
      <c r="AI210" s="6">
        <f>knicks_players_all_stats[[#This Row],[BLKPG]]+knicks_players_all_stats[[#This Row],[STLPG]]+knicks_players_all_stats[[#This Row],[REBPG]]</f>
        <v>2.3571428571428572</v>
      </c>
      <c r="AJ210" s="2">
        <f>knicks_players_all_stats[[#This Row],[TOV2]]/10</f>
        <v>6</v>
      </c>
      <c r="AK210" s="6">
        <f>knicks_players_all_stats[[#This Row],[TOV]]/knicks_players_all_stats[[#This Row],[GP]]</f>
        <v>0.42857142857142855</v>
      </c>
      <c r="AL210" s="2">
        <v>14</v>
      </c>
      <c r="AM210" s="2">
        <f>knicks_players_all_stats[[#This Row],[PF]]/knicks_players_all_stats[[#This Row],[GP]]</f>
        <v>1</v>
      </c>
      <c r="AN210" s="2">
        <v>42</v>
      </c>
      <c r="AO210" s="6">
        <f>knicks_players_all_stats[[#This Row],[PTS]]/knicks_players_all_stats[[#This Row],[GP]]</f>
        <v>3</v>
      </c>
    </row>
    <row r="211" spans="1:41" x14ac:dyDescent="0.3">
      <c r="A211" s="3" t="s">
        <v>1335</v>
      </c>
      <c r="B211" s="3" t="s">
        <v>1290</v>
      </c>
      <c r="C211" s="3" t="str">
        <f>knicks_players_all_stats[[#This Row],[NAME]]&amp;" ("&amp;knicks_players_all_stats[[#This Row],[SEASON]]&amp;")"</f>
        <v>Mike Bibby (2011-12)</v>
      </c>
      <c r="D211" s="3">
        <f>knicks_players_all_stats[[#This Row],[PLAYER_AGE]]/10</f>
        <v>34</v>
      </c>
      <c r="E211">
        <v>340</v>
      </c>
      <c r="F211" s="2">
        <v>39</v>
      </c>
      <c r="G211" s="2">
        <v>5570</v>
      </c>
      <c r="H21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110</v>
      </c>
      <c r="I211" s="6">
        <f>knicks_players_all_stats[[#This Row],[VALORATION]]/knicks_players_all_stats[[#This Row],[GP]]</f>
        <v>2.8205128205128207</v>
      </c>
      <c r="J211" s="2">
        <v>35</v>
      </c>
      <c r="K211" s="2">
        <v>124</v>
      </c>
      <c r="L211" s="4">
        <f>knicks_players_all_stats[[#This Row],[FGM]]/knicks_players_all_stats[[#This Row],[FGA]]</f>
        <v>0.28225806451612906</v>
      </c>
      <c r="M211" s="2">
        <v>270</v>
      </c>
      <c r="N211" s="2">
        <v>850</v>
      </c>
      <c r="O211" s="4">
        <f>knicks_players_all_stats[[#This Row],[FG3M]]/knicks_players_all_stats[[#This Row],[FG3A]]</f>
        <v>0.31764705882352939</v>
      </c>
      <c r="P211" s="2">
        <v>6</v>
      </c>
      <c r="Q211" s="2">
        <v>8</v>
      </c>
      <c r="R211" s="5">
        <f>knicks_players_all_stats[[#This Row],[FTM]]/knicks_players_all_stats[[#This Row],[FTA]]</f>
        <v>0.75</v>
      </c>
      <c r="S211" s="2">
        <f>knicks_players_all_stats[[#This Row],[OREB22]]/10</f>
        <v>5</v>
      </c>
      <c r="T211" s="2">
        <f>knicks_players_all_stats[[#This Row],[DREB33]]/10</f>
        <v>54</v>
      </c>
      <c r="U211" s="2">
        <f>knicks_players_all_stats[[#This Row],[REB44]]/10</f>
        <v>59</v>
      </c>
      <c r="V211">
        <v>50</v>
      </c>
      <c r="W211">
        <v>540</v>
      </c>
      <c r="X211">
        <v>590</v>
      </c>
      <c r="Y211" s="22">
        <f>knicks_players_all_stats[[#This Row],[REB]]/knicks_players_all_stats[[#This Row],[GP]]</f>
        <v>1.5128205128205128</v>
      </c>
      <c r="Z211" s="2">
        <v>80</v>
      </c>
      <c r="AA211" s="6">
        <f>knicks_players_all_stats[[#This Row],[AST]]/knicks_players_all_stats[[#This Row],[GP]]</f>
        <v>2.0512820512820511</v>
      </c>
      <c r="AB211" s="2">
        <f>knicks_players_all_stats[[#This Row],[STL2]]/10</f>
        <v>21</v>
      </c>
      <c r="AC211" s="2">
        <v>210</v>
      </c>
      <c r="AD211" s="6">
        <f>knicks_players_all_stats[[#This Row],[STL]]/knicks_players_all_stats[[#This Row],[GP]]</f>
        <v>0.53846153846153844</v>
      </c>
      <c r="AE211">
        <v>30</v>
      </c>
      <c r="AF211" s="2">
        <f>knicks_players_all_stats[[#This Row],[BLK2]]/10</f>
        <v>3</v>
      </c>
      <c r="AG211" s="6">
        <f>knicks_players_all_stats[[#This Row],[BLK]]/knicks_players_all_stats[[#This Row],[GP]]</f>
        <v>7.6923076923076927E-2</v>
      </c>
      <c r="AH211">
        <v>200</v>
      </c>
      <c r="AI211" s="6">
        <f>knicks_players_all_stats[[#This Row],[BLKPG]]+knicks_players_all_stats[[#This Row],[STLPG]]+knicks_players_all_stats[[#This Row],[REBPG]]</f>
        <v>2.1282051282051282</v>
      </c>
      <c r="AJ211" s="2">
        <f>knicks_players_all_stats[[#This Row],[TOV2]]/10</f>
        <v>20</v>
      </c>
      <c r="AK211" s="6">
        <f>knicks_players_all_stats[[#This Row],[TOV]]/knicks_players_all_stats[[#This Row],[GP]]</f>
        <v>0.51282051282051277</v>
      </c>
      <c r="AL211" s="2">
        <v>45</v>
      </c>
      <c r="AM211" s="2">
        <f>knicks_players_all_stats[[#This Row],[PF]]/knicks_players_all_stats[[#This Row],[GP]]</f>
        <v>1.1538461538461537</v>
      </c>
      <c r="AN211" s="2">
        <v>103</v>
      </c>
      <c r="AO211" s="6">
        <f>knicks_players_all_stats[[#This Row],[PTS]]/knicks_players_all_stats[[#This Row],[GP]]</f>
        <v>2.641025641025641</v>
      </c>
    </row>
    <row r="212" spans="1:41" x14ac:dyDescent="0.3">
      <c r="A212" s="3" t="s">
        <v>1577</v>
      </c>
      <c r="B212" s="3" t="s">
        <v>1290</v>
      </c>
      <c r="C212" s="3" t="str">
        <f>knicks_players_all_stats[[#This Row],[NAME]]&amp;" ("&amp;knicks_players_all_stats[[#This Row],[SEASON]]&amp;")"</f>
        <v>Toney Douglas (2011-12)</v>
      </c>
      <c r="D212" s="3">
        <f>knicks_players_all_stats[[#This Row],[PLAYER_AGE]]/10</f>
        <v>26</v>
      </c>
      <c r="E212">
        <v>260</v>
      </c>
      <c r="F212" s="2">
        <v>38</v>
      </c>
      <c r="G212" s="2">
        <v>6560</v>
      </c>
      <c r="H21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105</v>
      </c>
      <c r="I212" s="6">
        <f>knicks_players_all_stats[[#This Row],[VALORATION]]/knicks_players_all_stats[[#This Row],[GP]]</f>
        <v>2.763157894736842</v>
      </c>
      <c r="J212" s="2">
        <v>94</v>
      </c>
      <c r="K212" s="2">
        <v>290</v>
      </c>
      <c r="L212" s="4">
        <f>knicks_players_all_stats[[#This Row],[FGM]]/knicks_players_all_stats[[#This Row],[FGA]]</f>
        <v>0.32413793103448274</v>
      </c>
      <c r="M212" s="2">
        <v>270</v>
      </c>
      <c r="N212" s="2">
        <v>1170</v>
      </c>
      <c r="O212" s="4">
        <f>knicks_players_all_stats[[#This Row],[FG3M]]/knicks_players_all_stats[[#This Row],[FG3A]]</f>
        <v>0.23076923076923078</v>
      </c>
      <c r="P212" s="2">
        <v>22</v>
      </c>
      <c r="Q212" s="2">
        <v>26</v>
      </c>
      <c r="R212" s="5">
        <f>knicks_players_all_stats[[#This Row],[FTM]]/knicks_players_all_stats[[#This Row],[FTA]]</f>
        <v>0.84615384615384615</v>
      </c>
      <c r="S212" s="2">
        <f>knicks_players_all_stats[[#This Row],[OREB22]]/10</f>
        <v>16</v>
      </c>
      <c r="T212" s="2">
        <f>knicks_players_all_stats[[#This Row],[DREB33]]/10</f>
        <v>56</v>
      </c>
      <c r="U212" s="2">
        <f>knicks_players_all_stats[[#This Row],[REB44]]/10</f>
        <v>72</v>
      </c>
      <c r="V212">
        <v>160</v>
      </c>
      <c r="W212">
        <v>560</v>
      </c>
      <c r="X212">
        <v>720</v>
      </c>
      <c r="Y212" s="22">
        <f>knicks_players_all_stats[[#This Row],[REB]]/knicks_players_all_stats[[#This Row],[GP]]</f>
        <v>1.8947368421052631</v>
      </c>
      <c r="Z212" s="2">
        <v>77</v>
      </c>
      <c r="AA212" s="6">
        <f>knicks_players_all_stats[[#This Row],[AST]]/knicks_players_all_stats[[#This Row],[GP]]</f>
        <v>2.0263157894736841</v>
      </c>
      <c r="AB212" s="2">
        <f>knicks_players_all_stats[[#This Row],[STL2]]/10</f>
        <v>29</v>
      </c>
      <c r="AC212" s="2">
        <v>290</v>
      </c>
      <c r="AD212" s="6">
        <f>knicks_players_all_stats[[#This Row],[STL]]/knicks_players_all_stats[[#This Row],[GP]]</f>
        <v>0.76315789473684215</v>
      </c>
      <c r="AE212">
        <v>10</v>
      </c>
      <c r="AF212" s="2">
        <f>knicks_players_all_stats[[#This Row],[BLK2]]/10</f>
        <v>1</v>
      </c>
      <c r="AG212" s="6">
        <f>knicks_players_all_stats[[#This Row],[BLK]]/knicks_players_all_stats[[#This Row],[GP]]</f>
        <v>2.6315789473684209E-2</v>
      </c>
      <c r="AH212">
        <v>560</v>
      </c>
      <c r="AI212" s="6">
        <f>knicks_players_all_stats[[#This Row],[BLKPG]]+knicks_players_all_stats[[#This Row],[STLPG]]+knicks_players_all_stats[[#This Row],[REBPG]]</f>
        <v>2.6842105263157894</v>
      </c>
      <c r="AJ212" s="2">
        <f>knicks_players_all_stats[[#This Row],[TOV2]]/10</f>
        <v>56</v>
      </c>
      <c r="AK212" s="6">
        <f>knicks_players_all_stats[[#This Row],[TOV]]/knicks_players_all_stats[[#This Row],[GP]]</f>
        <v>1.4736842105263157</v>
      </c>
      <c r="AL212" s="2">
        <v>55</v>
      </c>
      <c r="AM212" s="2">
        <f>knicks_players_all_stats[[#This Row],[PF]]/knicks_players_all_stats[[#This Row],[GP]]</f>
        <v>1.4473684210526316</v>
      </c>
      <c r="AN212" s="2">
        <v>237</v>
      </c>
      <c r="AO212" s="6">
        <f>knicks_players_all_stats[[#This Row],[PTS]]/knicks_players_all_stats[[#This Row],[GP]]</f>
        <v>6.2368421052631575</v>
      </c>
    </row>
    <row r="213" spans="1:41" x14ac:dyDescent="0.3">
      <c r="A213" s="3" t="s">
        <v>1682</v>
      </c>
      <c r="B213" s="3" t="s">
        <v>1290</v>
      </c>
      <c r="C213" s="3" t="str">
        <f>knicks_players_all_stats[[#This Row],[NAME]]&amp;" ("&amp;knicks_players_all_stats[[#This Row],[SEASON]]&amp;")"</f>
        <v>Jerome Jordan (2011-12)</v>
      </c>
      <c r="D213" s="3">
        <f>knicks_players_all_stats[[#This Row],[PLAYER_AGE]]/10</f>
        <v>25</v>
      </c>
      <c r="E213">
        <v>250</v>
      </c>
      <c r="F213" s="2">
        <v>21</v>
      </c>
      <c r="G213" s="2">
        <v>1080</v>
      </c>
      <c r="H21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45</v>
      </c>
      <c r="I213" s="6">
        <f>knicks_players_all_stats[[#This Row],[VALORATION]]/knicks_players_all_stats[[#This Row],[GP]]</f>
        <v>2.1428571428571428</v>
      </c>
      <c r="J213" s="2">
        <v>17</v>
      </c>
      <c r="K213" s="2">
        <v>33</v>
      </c>
      <c r="L213" s="2">
        <v>515</v>
      </c>
      <c r="M213" s="2">
        <v>0</v>
      </c>
      <c r="N213" s="2">
        <v>0</v>
      </c>
      <c r="O213" s="4" t="e">
        <f>knicks_players_all_stats[[#This Row],[FG3M]]/knicks_players_all_stats[[#This Row],[FG3A]]</f>
        <v>#DIV/0!</v>
      </c>
      <c r="P213" s="2">
        <v>8</v>
      </c>
      <c r="Q213" s="2">
        <v>10</v>
      </c>
      <c r="R213" s="5">
        <f>knicks_players_all_stats[[#This Row],[FTM]]/knicks_players_all_stats[[#This Row],[FTA]]</f>
        <v>0.8</v>
      </c>
      <c r="S213" s="2">
        <f>knicks_players_all_stats[[#This Row],[OREB22]]/10</f>
        <v>14</v>
      </c>
      <c r="T213" s="2">
        <f>knicks_players_all_stats[[#This Row],[DREB33]]/10</f>
        <v>13</v>
      </c>
      <c r="U213" s="2">
        <f>knicks_players_all_stats[[#This Row],[REB44]]/10</f>
        <v>27</v>
      </c>
      <c r="V213">
        <v>140</v>
      </c>
      <c r="W213">
        <v>130</v>
      </c>
      <c r="X213">
        <v>270</v>
      </c>
      <c r="Y213" s="22">
        <f>knicks_players_all_stats[[#This Row],[REB]]/knicks_players_all_stats[[#This Row],[GP]]</f>
        <v>1.2857142857142858</v>
      </c>
      <c r="Z213" s="2">
        <v>4</v>
      </c>
      <c r="AA213" s="6">
        <f>knicks_players_all_stats[[#This Row],[AST]]/knicks_players_all_stats[[#This Row],[GP]]</f>
        <v>0.19047619047619047</v>
      </c>
      <c r="AB213" s="2">
        <f>knicks_players_all_stats[[#This Row],[STL2]]/10</f>
        <v>1</v>
      </c>
      <c r="AC213" s="2">
        <v>10</v>
      </c>
      <c r="AD213" s="6">
        <f>knicks_players_all_stats[[#This Row],[STL]]/knicks_players_all_stats[[#This Row],[GP]]</f>
        <v>4.7619047619047616E-2</v>
      </c>
      <c r="AE213">
        <v>60</v>
      </c>
      <c r="AF213" s="2">
        <f>knicks_players_all_stats[[#This Row],[BLK2]]/10</f>
        <v>6</v>
      </c>
      <c r="AG213" s="6">
        <f>knicks_players_all_stats[[#This Row],[BLK]]/knicks_players_all_stats[[#This Row],[GP]]</f>
        <v>0.2857142857142857</v>
      </c>
      <c r="AH213">
        <v>20</v>
      </c>
      <c r="AI213" s="6">
        <f>knicks_players_all_stats[[#This Row],[BLKPG]]+knicks_players_all_stats[[#This Row],[STLPG]]+knicks_players_all_stats[[#This Row],[REBPG]]</f>
        <v>1.6190476190476191</v>
      </c>
      <c r="AJ213" s="2">
        <f>knicks_players_all_stats[[#This Row],[TOV2]]/10</f>
        <v>2</v>
      </c>
      <c r="AK213" s="6">
        <f>knicks_players_all_stats[[#This Row],[TOV]]/knicks_players_all_stats[[#This Row],[GP]]</f>
        <v>9.5238095238095233E-2</v>
      </c>
      <c r="AL213" s="2">
        <v>15</v>
      </c>
      <c r="AM213" s="2">
        <f>knicks_players_all_stats[[#This Row],[PF]]/knicks_players_all_stats[[#This Row],[GP]]</f>
        <v>0.7142857142857143</v>
      </c>
      <c r="AN213" s="2">
        <v>42</v>
      </c>
      <c r="AO213" s="6">
        <f>knicks_players_all_stats[[#This Row],[PTS]]/knicks_players_all_stats[[#This Row],[GP]]</f>
        <v>2</v>
      </c>
    </row>
    <row r="214" spans="1:41" x14ac:dyDescent="0.3">
      <c r="A214" s="3" t="s">
        <v>1754</v>
      </c>
      <c r="B214" s="3" t="s">
        <v>1290</v>
      </c>
      <c r="C214" s="3" t="str">
        <f>knicks_players_all_stats[[#This Row],[NAME]]&amp;" ("&amp;knicks_players_all_stats[[#This Row],[SEASON]]&amp;")"</f>
        <v>Dan Gadzuric (2011-12)</v>
      </c>
      <c r="D214" s="3">
        <f>knicks_players_all_stats[[#This Row],[PLAYER_AGE]]/10</f>
        <v>34</v>
      </c>
      <c r="E214">
        <v>340</v>
      </c>
      <c r="F214" s="2">
        <v>2</v>
      </c>
      <c r="G214" s="2">
        <v>130</v>
      </c>
      <c r="H21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-2</v>
      </c>
      <c r="I214" s="6">
        <f>knicks_players_all_stats[[#This Row],[VALORATION]]/knicks_players_all_stats[[#This Row],[GP]]</f>
        <v>-1</v>
      </c>
      <c r="J214" s="2">
        <v>0</v>
      </c>
      <c r="K214" s="2">
        <v>2</v>
      </c>
      <c r="L214" s="2">
        <v>0</v>
      </c>
      <c r="M214" s="2">
        <v>0</v>
      </c>
      <c r="N214" s="2">
        <v>0</v>
      </c>
      <c r="O214" s="4" t="e">
        <f>knicks_players_all_stats[[#This Row],[FG3M]]/knicks_players_all_stats[[#This Row],[FG3A]]</f>
        <v>#DIV/0!</v>
      </c>
      <c r="P214" s="2">
        <v>0</v>
      </c>
      <c r="Q214" s="2">
        <v>2</v>
      </c>
      <c r="R214" s="5">
        <f>knicks_players_all_stats[[#This Row],[FTM]]/knicks_players_all_stats[[#This Row],[FTA]]</f>
        <v>0</v>
      </c>
      <c r="S214" s="2">
        <f>knicks_players_all_stats[[#This Row],[OREB22]]/10</f>
        <v>1</v>
      </c>
      <c r="T214" s="2">
        <f>knicks_players_all_stats[[#This Row],[DREB33]]/10</f>
        <v>4</v>
      </c>
      <c r="U214" s="2">
        <f>knicks_players_all_stats[[#This Row],[REB44]]/10</f>
        <v>5</v>
      </c>
      <c r="V214">
        <v>10</v>
      </c>
      <c r="W214">
        <v>40</v>
      </c>
      <c r="X214">
        <v>50</v>
      </c>
      <c r="Y214" s="22">
        <f>knicks_players_all_stats[[#This Row],[REB]]/knicks_players_all_stats[[#This Row],[GP]]</f>
        <v>2.5</v>
      </c>
      <c r="Z214" s="2">
        <v>0</v>
      </c>
      <c r="AA214" s="6">
        <f>knicks_players_all_stats[[#This Row],[AST]]/knicks_players_all_stats[[#This Row],[GP]]</f>
        <v>0</v>
      </c>
      <c r="AB214" s="2">
        <f>knicks_players_all_stats[[#This Row],[STL2]]/10</f>
        <v>1</v>
      </c>
      <c r="AC214" s="2">
        <v>10</v>
      </c>
      <c r="AD214" s="6">
        <f>knicks_players_all_stats[[#This Row],[STL]]/knicks_players_all_stats[[#This Row],[GP]]</f>
        <v>0.5</v>
      </c>
      <c r="AE214">
        <v>10</v>
      </c>
      <c r="AF214" s="2">
        <f>knicks_players_all_stats[[#This Row],[BLK2]]/10</f>
        <v>1</v>
      </c>
      <c r="AG214" s="6">
        <f>knicks_players_all_stats[[#This Row],[BLK]]/knicks_players_all_stats[[#This Row],[GP]]</f>
        <v>0.5</v>
      </c>
      <c r="AH214">
        <v>10</v>
      </c>
      <c r="AI214" s="6">
        <f>knicks_players_all_stats[[#This Row],[BLKPG]]+knicks_players_all_stats[[#This Row],[STLPG]]+knicks_players_all_stats[[#This Row],[REBPG]]</f>
        <v>3.5</v>
      </c>
      <c r="AJ214" s="2">
        <f>knicks_players_all_stats[[#This Row],[TOV2]]/10</f>
        <v>1</v>
      </c>
      <c r="AK214" s="6">
        <f>knicks_players_all_stats[[#This Row],[TOV]]/knicks_players_all_stats[[#This Row],[GP]]</f>
        <v>0.5</v>
      </c>
      <c r="AL214" s="2">
        <v>4</v>
      </c>
      <c r="AM214" s="2">
        <f>knicks_players_all_stats[[#This Row],[PF]]/knicks_players_all_stats[[#This Row],[GP]]</f>
        <v>2</v>
      </c>
      <c r="AN214" s="2">
        <v>0</v>
      </c>
      <c r="AO214" s="6">
        <f>knicks_players_all_stats[[#This Row],[PTS]]/knicks_players_all_stats[[#This Row],[GP]]</f>
        <v>0</v>
      </c>
    </row>
    <row r="215" spans="1:41" x14ac:dyDescent="0.3">
      <c r="A215" s="3" t="s">
        <v>1419</v>
      </c>
      <c r="B215" s="3" t="s">
        <v>1292</v>
      </c>
      <c r="C215" s="3" t="str">
        <f>knicks_players_all_stats[[#This Row],[NAME]]&amp;" ("&amp;knicks_players_all_stats[[#This Row],[SEASON]]&amp;")"</f>
        <v>Carmelo Anthony (2012-13)</v>
      </c>
      <c r="D215" s="3">
        <f>knicks_players_all_stats[[#This Row],[PLAYER_AGE]]/10</f>
        <v>29</v>
      </c>
      <c r="E215">
        <v>290</v>
      </c>
      <c r="F215" s="2">
        <v>67</v>
      </c>
      <c r="G215" s="2">
        <v>24820</v>
      </c>
      <c r="H21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1348</v>
      </c>
      <c r="I215" s="6">
        <f>knicks_players_all_stats[[#This Row],[VALORATION]]/knicks_players_all_stats[[#This Row],[GP]]</f>
        <v>20.119402985074625</v>
      </c>
      <c r="J215" s="2">
        <v>669</v>
      </c>
      <c r="K215" s="2">
        <v>1489</v>
      </c>
      <c r="L215" s="4">
        <f>knicks_players_all_stats[[#This Row],[FGM]]/knicks_players_all_stats[[#This Row],[FGA]]</f>
        <v>0.44929482874412358</v>
      </c>
      <c r="M215" s="2">
        <v>1570</v>
      </c>
      <c r="N215" s="2">
        <v>4140</v>
      </c>
      <c r="O215" s="4">
        <f>knicks_players_all_stats[[#This Row],[FG3M]]/knicks_players_all_stats[[#This Row],[FG3A]]</f>
        <v>0.37922705314009664</v>
      </c>
      <c r="P215" s="2">
        <v>425</v>
      </c>
      <c r="Q215" s="2">
        <v>512</v>
      </c>
      <c r="R215" s="5">
        <f>knicks_players_all_stats[[#This Row],[FTM]]/knicks_players_all_stats[[#This Row],[FTA]]</f>
        <v>0.830078125</v>
      </c>
      <c r="S215" s="2">
        <f>knicks_players_all_stats[[#This Row],[OREB22]]/10</f>
        <v>134</v>
      </c>
      <c r="T215" s="2">
        <f>knicks_players_all_stats[[#This Row],[DREB33]]/10</f>
        <v>326</v>
      </c>
      <c r="U215" s="2">
        <f>knicks_players_all_stats[[#This Row],[REB44]]/10</f>
        <v>460</v>
      </c>
      <c r="V215">
        <v>1340</v>
      </c>
      <c r="W215">
        <v>3260</v>
      </c>
      <c r="X215">
        <v>4600</v>
      </c>
      <c r="Y215" s="22">
        <f>knicks_players_all_stats[[#This Row],[REB]]/knicks_players_all_stats[[#This Row],[GP]]</f>
        <v>6.8656716417910451</v>
      </c>
      <c r="Z215" s="2">
        <v>171</v>
      </c>
      <c r="AA215" s="6">
        <f>knicks_players_all_stats[[#This Row],[AST]]/knicks_players_all_stats[[#This Row],[GP]]</f>
        <v>2.5522388059701493</v>
      </c>
      <c r="AB215" s="2">
        <f>knicks_players_all_stats[[#This Row],[STL2]]/10</f>
        <v>52</v>
      </c>
      <c r="AC215" s="2">
        <v>520</v>
      </c>
      <c r="AD215" s="6">
        <f>knicks_players_all_stats[[#This Row],[STL]]/knicks_players_all_stats[[#This Row],[GP]]</f>
        <v>0.77611940298507465</v>
      </c>
      <c r="AE215">
        <v>320</v>
      </c>
      <c r="AF215" s="2">
        <f>knicks_players_all_stats[[#This Row],[BLK2]]/10</f>
        <v>32</v>
      </c>
      <c r="AG215" s="6">
        <f>knicks_players_all_stats[[#This Row],[BLK]]/knicks_players_all_stats[[#This Row],[GP]]</f>
        <v>0.47761194029850745</v>
      </c>
      <c r="AH215">
        <v>1750</v>
      </c>
      <c r="AI215" s="6">
        <f>knicks_players_all_stats[[#This Row],[BLKPG]]+knicks_players_all_stats[[#This Row],[STLPG]]+knicks_players_all_stats[[#This Row],[REBPG]]</f>
        <v>8.1194029850746272</v>
      </c>
      <c r="AJ215" s="2">
        <f>knicks_players_all_stats[[#This Row],[TOV2]]/10</f>
        <v>175</v>
      </c>
      <c r="AK215" s="6">
        <f>knicks_players_all_stats[[#This Row],[TOV]]/knicks_players_all_stats[[#This Row],[GP]]</f>
        <v>2.6119402985074629</v>
      </c>
      <c r="AL215" s="2">
        <v>205</v>
      </c>
      <c r="AM215" s="2">
        <f>knicks_players_all_stats[[#This Row],[PF]]/knicks_players_all_stats[[#This Row],[GP]]</f>
        <v>3.0597014925373136</v>
      </c>
      <c r="AN215" s="2">
        <v>1920</v>
      </c>
      <c r="AO215" s="6">
        <f>knicks_players_all_stats[[#This Row],[PTS]]/knicks_players_all_stats[[#This Row],[GP]]</f>
        <v>28.656716417910449</v>
      </c>
    </row>
    <row r="216" spans="1:41" x14ac:dyDescent="0.3">
      <c r="A216" s="3" t="s">
        <v>1324</v>
      </c>
      <c r="B216" s="3" t="s">
        <v>1292</v>
      </c>
      <c r="C216" s="3" t="str">
        <f>knicks_players_all_stats[[#This Row],[NAME]]&amp;" ("&amp;knicks_players_all_stats[[#This Row],[SEASON]]&amp;")"</f>
        <v>Earl Barron (2012-13)</v>
      </c>
      <c r="D216" s="3">
        <f>knicks_players_all_stats[[#This Row],[PLAYER_AGE]]/10</f>
        <v>31</v>
      </c>
      <c r="E216">
        <v>310</v>
      </c>
      <c r="F216" s="2">
        <v>1</v>
      </c>
      <c r="G216" s="2">
        <v>370</v>
      </c>
      <c r="H21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20</v>
      </c>
      <c r="I216" s="6">
        <f>knicks_players_all_stats[[#This Row],[VALORATION]]/knicks_players_all_stats[[#This Row],[GP]]</f>
        <v>20</v>
      </c>
      <c r="J216" s="2">
        <v>5</v>
      </c>
      <c r="K216" s="2">
        <v>14</v>
      </c>
      <c r="L216" s="4">
        <f>knicks_players_all_stats[[#This Row],[FGM]]/knicks_players_all_stats[[#This Row],[FGA]]</f>
        <v>0.35714285714285715</v>
      </c>
      <c r="M216" s="2">
        <v>0</v>
      </c>
      <c r="N216" s="2">
        <v>0</v>
      </c>
      <c r="O216" s="4" t="e">
        <f>knicks_players_all_stats[[#This Row],[FG3M]]/knicks_players_all_stats[[#This Row],[FG3A]]</f>
        <v>#DIV/0!</v>
      </c>
      <c r="P216" s="2">
        <v>1</v>
      </c>
      <c r="Q216" s="2">
        <v>2</v>
      </c>
      <c r="R216" s="5">
        <f>knicks_players_all_stats[[#This Row],[FTM]]/knicks_players_all_stats[[#This Row],[FTA]]</f>
        <v>0.5</v>
      </c>
      <c r="S216" s="2">
        <f>knicks_players_all_stats[[#This Row],[OREB22]]/10</f>
        <v>6</v>
      </c>
      <c r="T216" s="2">
        <f>knicks_players_all_stats[[#This Row],[DREB33]]/10</f>
        <v>12</v>
      </c>
      <c r="U216" s="2">
        <f>knicks_players_all_stats[[#This Row],[REB44]]/10</f>
        <v>18</v>
      </c>
      <c r="V216">
        <v>60</v>
      </c>
      <c r="W216">
        <v>120</v>
      </c>
      <c r="X216">
        <v>180</v>
      </c>
      <c r="Y216" s="22">
        <f>knicks_players_all_stats[[#This Row],[REB]]/knicks_players_all_stats[[#This Row],[GP]]</f>
        <v>18</v>
      </c>
      <c r="Z216" s="2">
        <v>2</v>
      </c>
      <c r="AA216" s="6">
        <f>knicks_players_all_stats[[#This Row],[AST]]/knicks_players_all_stats[[#This Row],[GP]]</f>
        <v>2</v>
      </c>
      <c r="AB216" s="2">
        <f>knicks_players_all_stats[[#This Row],[STL2]]/10</f>
        <v>0</v>
      </c>
      <c r="AC216" s="2">
        <v>0</v>
      </c>
      <c r="AD216" s="6">
        <f>knicks_players_all_stats[[#This Row],[STL]]/knicks_players_all_stats[[#This Row],[GP]]</f>
        <v>0</v>
      </c>
      <c r="AE216">
        <v>10</v>
      </c>
      <c r="AF216" s="2">
        <f>knicks_players_all_stats[[#This Row],[BLK2]]/10</f>
        <v>1</v>
      </c>
      <c r="AG216" s="6">
        <f>knicks_players_all_stats[[#This Row],[BLK]]/knicks_players_all_stats[[#This Row],[GP]]</f>
        <v>1</v>
      </c>
      <c r="AH216">
        <v>10</v>
      </c>
      <c r="AI216" s="6">
        <f>knicks_players_all_stats[[#This Row],[BLKPG]]+knicks_players_all_stats[[#This Row],[STLPG]]+knicks_players_all_stats[[#This Row],[REBPG]]</f>
        <v>19</v>
      </c>
      <c r="AJ216" s="2">
        <f>knicks_players_all_stats[[#This Row],[TOV2]]/10</f>
        <v>1</v>
      </c>
      <c r="AK216" s="6">
        <f>knicks_players_all_stats[[#This Row],[TOV]]/knicks_players_all_stats[[#This Row],[GP]]</f>
        <v>1</v>
      </c>
      <c r="AL216" s="2">
        <v>1</v>
      </c>
      <c r="AM216" s="2">
        <f>knicks_players_all_stats[[#This Row],[PF]]/knicks_players_all_stats[[#This Row],[GP]]</f>
        <v>1</v>
      </c>
      <c r="AN216" s="2">
        <v>11</v>
      </c>
      <c r="AO216" s="6">
        <f>knicks_players_all_stats[[#This Row],[PTS]]/knicks_players_all_stats[[#This Row],[GP]]</f>
        <v>11</v>
      </c>
    </row>
    <row r="217" spans="1:41" x14ac:dyDescent="0.3">
      <c r="A217" s="3" t="s">
        <v>1450</v>
      </c>
      <c r="B217" s="3" t="s">
        <v>1292</v>
      </c>
      <c r="C217" s="3" t="str">
        <f>knicks_players_all_stats[[#This Row],[NAME]]&amp;" ("&amp;knicks_players_all_stats[[#This Row],[SEASON]]&amp;")"</f>
        <v>Tyson Chandler (2012-13)</v>
      </c>
      <c r="D217" s="3">
        <f>knicks_players_all_stats[[#This Row],[PLAYER_AGE]]/10</f>
        <v>30</v>
      </c>
      <c r="E217">
        <v>300</v>
      </c>
      <c r="F217" s="2">
        <v>66</v>
      </c>
      <c r="G217" s="2">
        <v>21640</v>
      </c>
      <c r="H21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1072</v>
      </c>
      <c r="I217" s="6">
        <f>knicks_players_all_stats[[#This Row],[VALORATION]]/knicks_players_all_stats[[#This Row],[GP]]</f>
        <v>16.242424242424242</v>
      </c>
      <c r="J217" s="2">
        <v>255</v>
      </c>
      <c r="K217" s="2">
        <v>400</v>
      </c>
      <c r="L217" s="4">
        <f>knicks_players_all_stats[[#This Row],[FGM]]/knicks_players_all_stats[[#This Row],[FGA]]</f>
        <v>0.63749999999999996</v>
      </c>
      <c r="M217" s="2">
        <v>0</v>
      </c>
      <c r="N217" s="2">
        <v>0</v>
      </c>
      <c r="O217" s="4" t="e">
        <f>knicks_players_all_stats[[#This Row],[FG3M]]/knicks_players_all_stats[[#This Row],[FG3A]]</f>
        <v>#DIV/0!</v>
      </c>
      <c r="P217" s="2">
        <v>179</v>
      </c>
      <c r="Q217" s="2">
        <v>258</v>
      </c>
      <c r="R217" s="5">
        <f>knicks_players_all_stats[[#This Row],[FTM]]/knicks_players_all_stats[[#This Row],[FTA]]</f>
        <v>0.69379844961240311</v>
      </c>
      <c r="S217" s="2">
        <f>knicks_players_all_stats[[#This Row],[OREB22]]/10</f>
        <v>269</v>
      </c>
      <c r="T217" s="2">
        <f>knicks_players_all_stats[[#This Row],[DREB33]]/10</f>
        <v>434</v>
      </c>
      <c r="U217" s="2">
        <f>knicks_players_all_stats[[#This Row],[REB44]]/10</f>
        <v>703</v>
      </c>
      <c r="V217">
        <v>2690</v>
      </c>
      <c r="W217">
        <v>4340</v>
      </c>
      <c r="X217">
        <v>7030</v>
      </c>
      <c r="Y217" s="22">
        <f>knicks_players_all_stats[[#This Row],[REB]]/knicks_players_all_stats[[#This Row],[GP]]</f>
        <v>10.651515151515152</v>
      </c>
      <c r="Z217" s="2">
        <v>62</v>
      </c>
      <c r="AA217" s="6">
        <f>knicks_players_all_stats[[#This Row],[AST]]/knicks_players_all_stats[[#This Row],[GP]]</f>
        <v>0.93939393939393945</v>
      </c>
      <c r="AB217" s="2">
        <f>knicks_players_all_stats[[#This Row],[STL2]]/10</f>
        <v>42</v>
      </c>
      <c r="AC217" s="2">
        <v>420</v>
      </c>
      <c r="AD217" s="6">
        <f>knicks_players_all_stats[[#This Row],[STL]]/knicks_players_all_stats[[#This Row],[GP]]</f>
        <v>0.63636363636363635</v>
      </c>
      <c r="AE217">
        <v>750</v>
      </c>
      <c r="AF217" s="2">
        <f>knicks_players_all_stats[[#This Row],[BLK2]]/10</f>
        <v>75</v>
      </c>
      <c r="AG217" s="6">
        <f>knicks_players_all_stats[[#This Row],[BLK]]/knicks_players_all_stats[[#This Row],[GP]]</f>
        <v>1.1363636363636365</v>
      </c>
      <c r="AH217">
        <v>870</v>
      </c>
      <c r="AI217" s="6">
        <f>knicks_players_all_stats[[#This Row],[BLKPG]]+knicks_players_all_stats[[#This Row],[STLPG]]+knicks_players_all_stats[[#This Row],[REBPG]]</f>
        <v>12.424242424242426</v>
      </c>
      <c r="AJ217" s="2">
        <f>knicks_players_all_stats[[#This Row],[TOV2]]/10</f>
        <v>87</v>
      </c>
      <c r="AK217" s="6">
        <f>knicks_players_all_stats[[#This Row],[TOV]]/knicks_players_all_stats[[#This Row],[GP]]</f>
        <v>1.3181818181818181</v>
      </c>
      <c r="AL217" s="2">
        <v>188</v>
      </c>
      <c r="AM217" s="2">
        <f>knicks_players_all_stats[[#This Row],[PF]]/knicks_players_all_stats[[#This Row],[GP]]</f>
        <v>2.8484848484848486</v>
      </c>
      <c r="AN217" s="2">
        <v>689</v>
      </c>
      <c r="AO217" s="6">
        <f>knicks_players_all_stats[[#This Row],[PTS]]/knicks_players_all_stats[[#This Row],[GP]]</f>
        <v>10.439393939393939</v>
      </c>
    </row>
    <row r="218" spans="1:41" x14ac:dyDescent="0.3">
      <c r="A218" s="3" t="s">
        <v>1451</v>
      </c>
      <c r="B218" s="3" t="s">
        <v>1292</v>
      </c>
      <c r="C218" s="3" t="str">
        <f>knicks_players_all_stats[[#This Row],[NAME]]&amp;" ("&amp;knicks_players_all_stats[[#This Row],[SEASON]]&amp;")"</f>
        <v>JR Smith (2012-13)</v>
      </c>
      <c r="D218" s="3">
        <f>knicks_players_all_stats[[#This Row],[PLAYER_AGE]]/10</f>
        <v>27</v>
      </c>
      <c r="E218">
        <v>270</v>
      </c>
      <c r="F218" s="2">
        <v>80</v>
      </c>
      <c r="G218" s="2">
        <v>26780</v>
      </c>
      <c r="H21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1057</v>
      </c>
      <c r="I218" s="6">
        <f>knicks_players_all_stats[[#This Row],[VALORATION]]/knicks_players_all_stats[[#This Row],[GP]]</f>
        <v>13.2125</v>
      </c>
      <c r="J218" s="2">
        <v>527</v>
      </c>
      <c r="K218" s="2">
        <v>1249</v>
      </c>
      <c r="L218" s="4">
        <f>knicks_players_all_stats[[#This Row],[FGM]]/knicks_players_all_stats[[#This Row],[FGA]]</f>
        <v>0.42193755004003203</v>
      </c>
      <c r="M218" s="2">
        <v>1550</v>
      </c>
      <c r="N218" s="2">
        <v>4360</v>
      </c>
      <c r="O218" s="4">
        <f>knicks_players_all_stats[[#This Row],[FG3M]]/knicks_players_all_stats[[#This Row],[FG3A]]</f>
        <v>0.35550458715596328</v>
      </c>
      <c r="P218" s="2">
        <v>237</v>
      </c>
      <c r="Q218" s="2">
        <v>311</v>
      </c>
      <c r="R218" s="5">
        <f>knicks_players_all_stats[[#This Row],[FTM]]/knicks_players_all_stats[[#This Row],[FTA]]</f>
        <v>0.76205787781350487</v>
      </c>
      <c r="S218" s="2">
        <f>knicks_players_all_stats[[#This Row],[OREB22]]/10</f>
        <v>64</v>
      </c>
      <c r="T218" s="2">
        <f>knicks_players_all_stats[[#This Row],[DREB33]]/10</f>
        <v>361</v>
      </c>
      <c r="U218" s="2">
        <f>knicks_players_all_stats[[#This Row],[REB44]]/10</f>
        <v>425</v>
      </c>
      <c r="V218">
        <v>640</v>
      </c>
      <c r="W218">
        <v>3610</v>
      </c>
      <c r="X218">
        <v>4250</v>
      </c>
      <c r="Y218" s="22">
        <f>knicks_players_all_stats[[#This Row],[REB]]/knicks_players_all_stats[[#This Row],[GP]]</f>
        <v>5.3125</v>
      </c>
      <c r="Z218" s="2">
        <v>218</v>
      </c>
      <c r="AA218" s="6">
        <f>knicks_players_all_stats[[#This Row],[AST]]/knicks_players_all_stats[[#This Row],[GP]]</f>
        <v>2.7250000000000001</v>
      </c>
      <c r="AB218" s="2">
        <f>knicks_players_all_stats[[#This Row],[STL2]]/10</f>
        <v>100</v>
      </c>
      <c r="AC218" s="2">
        <v>1000</v>
      </c>
      <c r="AD218" s="6">
        <f>knicks_players_all_stats[[#This Row],[STL]]/knicks_players_all_stats[[#This Row],[GP]]</f>
        <v>1.25</v>
      </c>
      <c r="AE218">
        <v>240</v>
      </c>
      <c r="AF218" s="2">
        <f>knicks_players_all_stats[[#This Row],[BLK2]]/10</f>
        <v>24</v>
      </c>
      <c r="AG218" s="6">
        <f>knicks_players_all_stats[[#This Row],[BLK]]/knicks_players_all_stats[[#This Row],[GP]]</f>
        <v>0.3</v>
      </c>
      <c r="AH218">
        <v>1340</v>
      </c>
      <c r="AI218" s="6">
        <f>knicks_players_all_stats[[#This Row],[BLKPG]]+knicks_players_all_stats[[#This Row],[STLPG]]+knicks_players_all_stats[[#This Row],[REBPG]]</f>
        <v>6.8624999999999998</v>
      </c>
      <c r="AJ218" s="2">
        <f>knicks_players_all_stats[[#This Row],[TOV2]]/10</f>
        <v>134</v>
      </c>
      <c r="AK218" s="6">
        <f>knicks_players_all_stats[[#This Row],[TOV]]/knicks_players_all_stats[[#This Row],[GP]]</f>
        <v>1.675</v>
      </c>
      <c r="AL218" s="2">
        <v>226</v>
      </c>
      <c r="AM218" s="2">
        <f>knicks_players_all_stats[[#This Row],[PF]]/knicks_players_all_stats[[#This Row],[GP]]</f>
        <v>2.8250000000000002</v>
      </c>
      <c r="AN218" s="2">
        <v>1446</v>
      </c>
      <c r="AO218" s="6">
        <f>knicks_players_all_stats[[#This Row],[PTS]]/knicks_players_all_stats[[#This Row],[GP]]</f>
        <v>18.074999999999999</v>
      </c>
    </row>
    <row r="219" spans="1:41" customFormat="1" x14ac:dyDescent="0.3">
      <c r="A219" s="3" t="s">
        <v>1505</v>
      </c>
      <c r="B219" s="3" t="s">
        <v>1292</v>
      </c>
      <c r="C219" s="3" t="str">
        <f>knicks_players_all_stats[[#This Row],[NAME]]&amp;" ("&amp;knicks_players_all_stats[[#This Row],[SEASON]]&amp;")"</f>
        <v>Raymond Felton (2012-13)</v>
      </c>
      <c r="D219" s="3">
        <f>knicks_players_all_stats[[#This Row],[PLAYER_AGE]]/10</f>
        <v>29</v>
      </c>
      <c r="E219">
        <v>290</v>
      </c>
      <c r="F219" s="2">
        <v>68</v>
      </c>
      <c r="G219" s="2">
        <v>23130</v>
      </c>
      <c r="H21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805</v>
      </c>
      <c r="I219" s="6">
        <f>knicks_players_all_stats[[#This Row],[VALORATION]]/knicks_players_all_stats[[#This Row],[GP]]</f>
        <v>11.838235294117647</v>
      </c>
      <c r="J219" s="2">
        <v>377</v>
      </c>
      <c r="K219" s="2">
        <v>882</v>
      </c>
      <c r="L219" s="4">
        <f>knicks_players_all_stats[[#This Row],[FGM]]/knicks_players_all_stats[[#This Row],[FGA]]</f>
        <v>0.42743764172335602</v>
      </c>
      <c r="M219" s="2">
        <v>930</v>
      </c>
      <c r="N219" s="2">
        <v>2580</v>
      </c>
      <c r="O219" s="4">
        <f>knicks_players_all_stats[[#This Row],[FG3M]]/knicks_players_all_stats[[#This Row],[FG3A]]</f>
        <v>0.36046511627906974</v>
      </c>
      <c r="P219" s="2">
        <v>101</v>
      </c>
      <c r="Q219" s="2">
        <v>128</v>
      </c>
      <c r="R219" s="5">
        <f>knicks_players_all_stats[[#This Row],[FTM]]/knicks_players_all_stats[[#This Row],[FTA]]</f>
        <v>0.7890625</v>
      </c>
      <c r="S219" s="2">
        <f>knicks_players_all_stats[[#This Row],[OREB22]]/10</f>
        <v>51</v>
      </c>
      <c r="T219" s="2">
        <f>knicks_players_all_stats[[#This Row],[DREB33]]/10</f>
        <v>143</v>
      </c>
      <c r="U219" s="2">
        <f>knicks_players_all_stats[[#This Row],[REB44]]/10</f>
        <v>194</v>
      </c>
      <c r="V219">
        <v>510</v>
      </c>
      <c r="W219">
        <v>1430</v>
      </c>
      <c r="X219">
        <v>1940</v>
      </c>
      <c r="Y219" s="22">
        <f>knicks_players_all_stats[[#This Row],[REB]]/knicks_players_all_stats[[#This Row],[GP]]</f>
        <v>2.8529411764705883</v>
      </c>
      <c r="Z219" s="2">
        <v>372</v>
      </c>
      <c r="AA219" s="6">
        <f>knicks_players_all_stats[[#This Row],[AST]]/knicks_players_all_stats[[#This Row],[GP]]</f>
        <v>5.4705882352941178</v>
      </c>
      <c r="AB219" s="2">
        <f>knicks_players_all_stats[[#This Row],[STL2]]/10</f>
        <v>94</v>
      </c>
      <c r="AC219" s="2">
        <v>940</v>
      </c>
      <c r="AD219" s="6">
        <f>knicks_players_all_stats[[#This Row],[STL]]/knicks_players_all_stats[[#This Row],[GP]]</f>
        <v>1.3823529411764706</v>
      </c>
      <c r="AE219">
        <v>140</v>
      </c>
      <c r="AF219" s="2">
        <f>knicks_players_all_stats[[#This Row],[BLK2]]/10</f>
        <v>14</v>
      </c>
      <c r="AG219" s="6">
        <f>knicks_players_all_stats[[#This Row],[BLK]]/knicks_players_all_stats[[#This Row],[GP]]</f>
        <v>0.20588235294117646</v>
      </c>
      <c r="AH219">
        <v>1550</v>
      </c>
      <c r="AI219" s="6">
        <f>knicks_players_all_stats[[#This Row],[BLKPG]]+knicks_players_all_stats[[#This Row],[STLPG]]+knicks_players_all_stats[[#This Row],[REBPG]]</f>
        <v>4.4411764705882355</v>
      </c>
      <c r="AJ219" s="2">
        <f>knicks_players_all_stats[[#This Row],[TOV2]]/10</f>
        <v>155</v>
      </c>
      <c r="AK219" s="6">
        <f>knicks_players_all_stats[[#This Row],[TOV]]/knicks_players_all_stats[[#This Row],[GP]]</f>
        <v>2.2794117647058822</v>
      </c>
      <c r="AL219" s="2">
        <v>130</v>
      </c>
      <c r="AM219" s="2">
        <f>knicks_players_all_stats[[#This Row],[PF]]/knicks_players_all_stats[[#This Row],[GP]]</f>
        <v>1.911764705882353</v>
      </c>
      <c r="AN219" s="2">
        <v>948</v>
      </c>
      <c r="AO219" s="6">
        <f>knicks_players_all_stats[[#This Row],[PTS]]/knicks_players_all_stats[[#This Row],[GP]]</f>
        <v>13.941176470588236</v>
      </c>
    </row>
    <row r="220" spans="1:41" x14ac:dyDescent="0.3">
      <c r="A220" s="3" t="s">
        <v>1738</v>
      </c>
      <c r="B220" s="3" t="s">
        <v>1292</v>
      </c>
      <c r="C220" s="3" t="str">
        <f>knicks_players_all_stats[[#This Row],[NAME]]&amp;" ("&amp;knicks_players_all_stats[[#This Row],[SEASON]]&amp;")"</f>
        <v>Amar'e Stoudemire (2012-13)</v>
      </c>
      <c r="D220" s="3">
        <f>knicks_players_all_stats[[#This Row],[PLAYER_AGE]]/10</f>
        <v>30</v>
      </c>
      <c r="E220">
        <v>300</v>
      </c>
      <c r="F220" s="2">
        <v>29</v>
      </c>
      <c r="G220" s="2">
        <v>6820</v>
      </c>
      <c r="H22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325</v>
      </c>
      <c r="I220" s="6">
        <f>knicks_players_all_stats[[#This Row],[VALORATION]]/knicks_players_all_stats[[#This Row],[GP]]</f>
        <v>11.206896551724139</v>
      </c>
      <c r="J220" s="2">
        <v>154</v>
      </c>
      <c r="K220" s="2">
        <v>267</v>
      </c>
      <c r="L220" s="2">
        <v>577</v>
      </c>
      <c r="M220" s="2">
        <v>0</v>
      </c>
      <c r="N220" s="2">
        <v>0</v>
      </c>
      <c r="O220" s="4" t="e">
        <f>knicks_players_all_stats[[#This Row],[FG3M]]/knicks_players_all_stats[[#This Row],[FG3A]]</f>
        <v>#DIV/0!</v>
      </c>
      <c r="P220" s="2">
        <v>105</v>
      </c>
      <c r="Q220" s="2">
        <v>130</v>
      </c>
      <c r="R220" s="5">
        <f>knicks_players_all_stats[[#This Row],[FTM]]/knicks_players_all_stats[[#This Row],[FTA]]</f>
        <v>0.80769230769230771</v>
      </c>
      <c r="S220" s="2">
        <f>knicks_players_all_stats[[#This Row],[OREB22]]/10</f>
        <v>60</v>
      </c>
      <c r="T220" s="2">
        <f>knicks_players_all_stats[[#This Row],[DREB33]]/10</f>
        <v>85</v>
      </c>
      <c r="U220" s="2">
        <f>knicks_players_all_stats[[#This Row],[REB44]]/10</f>
        <v>145</v>
      </c>
      <c r="V220">
        <v>600</v>
      </c>
      <c r="W220">
        <v>850</v>
      </c>
      <c r="X220">
        <v>1450</v>
      </c>
      <c r="Y220" s="22">
        <f>knicks_players_all_stats[[#This Row],[REB]]/knicks_players_all_stats[[#This Row],[GP]]</f>
        <v>5</v>
      </c>
      <c r="Z220" s="2">
        <v>13</v>
      </c>
      <c r="AA220" s="6">
        <f>knicks_players_all_stats[[#This Row],[AST]]/knicks_players_all_stats[[#This Row],[GP]]</f>
        <v>0.44827586206896552</v>
      </c>
      <c r="AB220" s="2">
        <f>knicks_players_all_stats[[#This Row],[STL2]]/10</f>
        <v>10</v>
      </c>
      <c r="AC220" s="2">
        <v>100</v>
      </c>
      <c r="AD220" s="6">
        <f>knicks_players_all_stats[[#This Row],[STL]]/knicks_players_all_stats[[#This Row],[GP]]</f>
        <v>0.34482758620689657</v>
      </c>
      <c r="AE220">
        <v>210</v>
      </c>
      <c r="AF220" s="2">
        <f>knicks_players_all_stats[[#This Row],[BLK2]]/10</f>
        <v>21</v>
      </c>
      <c r="AG220" s="6">
        <f>knicks_players_all_stats[[#This Row],[BLK]]/knicks_players_all_stats[[#This Row],[GP]]</f>
        <v>0.72413793103448276</v>
      </c>
      <c r="AH220">
        <v>500</v>
      </c>
      <c r="AI220" s="6">
        <f>knicks_players_all_stats[[#This Row],[BLKPG]]+knicks_players_all_stats[[#This Row],[STLPG]]+knicks_players_all_stats[[#This Row],[REBPG]]</f>
        <v>6.068965517241379</v>
      </c>
      <c r="AJ220" s="2">
        <f>knicks_players_all_stats[[#This Row],[TOV2]]/10</f>
        <v>50</v>
      </c>
      <c r="AK220" s="6">
        <f>knicks_players_all_stats[[#This Row],[TOV]]/knicks_players_all_stats[[#This Row],[GP]]</f>
        <v>1.7241379310344827</v>
      </c>
      <c r="AL220" s="2">
        <v>89</v>
      </c>
      <c r="AM220" s="2">
        <f>knicks_players_all_stats[[#This Row],[PF]]/knicks_players_all_stats[[#This Row],[GP]]</f>
        <v>3.0689655172413794</v>
      </c>
      <c r="AN220" s="2">
        <v>413</v>
      </c>
      <c r="AO220" s="6">
        <f>knicks_players_all_stats[[#This Row],[PTS]]/knicks_players_all_stats[[#This Row],[GP]]</f>
        <v>14.241379310344827</v>
      </c>
    </row>
    <row r="221" spans="1:41" x14ac:dyDescent="0.3">
      <c r="A221" s="3" t="s">
        <v>1660</v>
      </c>
      <c r="B221" s="3" t="s">
        <v>1292</v>
      </c>
      <c r="C221" s="3" t="str">
        <f>knicks_players_all_stats[[#This Row],[NAME]]&amp;" ("&amp;knicks_players_all_stats[[#This Row],[SEASON]]&amp;")"</f>
        <v>Jason Kidd (2012-13)</v>
      </c>
      <c r="D221" s="3">
        <f>knicks_players_all_stats[[#This Row],[PLAYER_AGE]]/10</f>
        <v>40</v>
      </c>
      <c r="E221">
        <v>400</v>
      </c>
      <c r="F221" s="2">
        <v>76</v>
      </c>
      <c r="G221" s="2">
        <v>20430</v>
      </c>
      <c r="H22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714</v>
      </c>
      <c r="I221" s="6">
        <f>knicks_players_all_stats[[#This Row],[VALORATION]]/knicks_players_all_stats[[#This Row],[GP]]</f>
        <v>9.3947368421052637</v>
      </c>
      <c r="J221" s="2">
        <v>152</v>
      </c>
      <c r="K221" s="2">
        <v>409</v>
      </c>
      <c r="L221" s="2">
        <v>372</v>
      </c>
      <c r="M221" s="2">
        <v>1140</v>
      </c>
      <c r="N221" s="2">
        <v>3250</v>
      </c>
      <c r="O221" s="4">
        <f>knicks_players_all_stats[[#This Row],[FG3M]]/knicks_players_all_stats[[#This Row],[FG3A]]</f>
        <v>0.35076923076923078</v>
      </c>
      <c r="P221" s="2">
        <v>40</v>
      </c>
      <c r="Q221" s="2">
        <v>48</v>
      </c>
      <c r="R221" s="5">
        <f>knicks_players_all_stats[[#This Row],[FTM]]/knicks_players_all_stats[[#This Row],[FTA]]</f>
        <v>0.83333333333333337</v>
      </c>
      <c r="S221" s="2">
        <f>knicks_players_all_stats[[#This Row],[OREB22]]/10</f>
        <v>50</v>
      </c>
      <c r="T221" s="2">
        <f>knicks_players_all_stats[[#This Row],[DREB33]]/10</f>
        <v>273</v>
      </c>
      <c r="U221" s="2">
        <f>knicks_players_all_stats[[#This Row],[REB44]]/10</f>
        <v>323</v>
      </c>
      <c r="V221">
        <v>500</v>
      </c>
      <c r="W221">
        <v>2730</v>
      </c>
      <c r="X221">
        <v>3230</v>
      </c>
      <c r="Y221" s="22">
        <f>knicks_players_all_stats[[#This Row],[REB]]/knicks_players_all_stats[[#This Row],[GP]]</f>
        <v>4.25</v>
      </c>
      <c r="Z221" s="2">
        <v>249</v>
      </c>
      <c r="AA221" s="6">
        <f>knicks_players_all_stats[[#This Row],[AST]]/knicks_players_all_stats[[#This Row],[GP]]</f>
        <v>3.2763157894736841</v>
      </c>
      <c r="AB221" s="2">
        <f>knicks_players_all_stats[[#This Row],[STL2]]/10</f>
        <v>125</v>
      </c>
      <c r="AC221" s="2">
        <v>1250</v>
      </c>
      <c r="AD221" s="6">
        <f>knicks_players_all_stats[[#This Row],[STL]]/knicks_players_all_stats[[#This Row],[GP]]</f>
        <v>1.6447368421052631</v>
      </c>
      <c r="AE221">
        <v>250</v>
      </c>
      <c r="AF221" s="2">
        <f>knicks_players_all_stats[[#This Row],[BLK2]]/10</f>
        <v>25</v>
      </c>
      <c r="AG221" s="6">
        <f>knicks_players_all_stats[[#This Row],[BLK]]/knicks_players_all_stats[[#This Row],[GP]]</f>
        <v>0.32894736842105265</v>
      </c>
      <c r="AH221">
        <v>760</v>
      </c>
      <c r="AI221" s="6">
        <f>knicks_players_all_stats[[#This Row],[BLKPG]]+knicks_players_all_stats[[#This Row],[STLPG]]+knicks_players_all_stats[[#This Row],[REBPG]]</f>
        <v>6.2236842105263159</v>
      </c>
      <c r="AJ221" s="2">
        <f>knicks_players_all_stats[[#This Row],[TOV2]]/10</f>
        <v>76</v>
      </c>
      <c r="AK221" s="6">
        <f>knicks_players_all_stats[[#This Row],[TOV]]/knicks_players_all_stats[[#This Row],[GP]]</f>
        <v>1</v>
      </c>
      <c r="AL221" s="2">
        <v>125</v>
      </c>
      <c r="AM221" s="2">
        <f>knicks_players_all_stats[[#This Row],[PF]]/knicks_players_all_stats[[#This Row],[GP]]</f>
        <v>1.6447368421052631</v>
      </c>
      <c r="AN221" s="2">
        <v>458</v>
      </c>
      <c r="AO221" s="6">
        <f>knicks_players_all_stats[[#This Row],[PTS]]/knicks_players_all_stats[[#This Row],[GP]]</f>
        <v>6.0263157894736841</v>
      </c>
    </row>
    <row r="222" spans="1:41" customFormat="1" x14ac:dyDescent="0.3">
      <c r="A222" s="3" t="s">
        <v>1486</v>
      </c>
      <c r="B222" s="3" t="s">
        <v>1292</v>
      </c>
      <c r="C222" s="3" t="str">
        <f>knicks_players_all_stats[[#This Row],[NAME]]&amp;" ("&amp;knicks_players_all_stats[[#This Row],[SEASON]]&amp;")"</f>
        <v>Kenyon Martin (2012-13)</v>
      </c>
      <c r="D222" s="3">
        <f>knicks_players_all_stats[[#This Row],[PLAYER_AGE]]/10</f>
        <v>35</v>
      </c>
      <c r="E222">
        <v>350</v>
      </c>
      <c r="F222" s="2">
        <v>18</v>
      </c>
      <c r="G222" s="2">
        <v>4310</v>
      </c>
      <c r="H22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125</v>
      </c>
      <c r="I222" s="6">
        <f>knicks_players_all_stats[[#This Row],[VALORATION]]/knicks_players_all_stats[[#This Row],[GP]]</f>
        <v>6.9444444444444446</v>
      </c>
      <c r="J222" s="2">
        <v>56</v>
      </c>
      <c r="K222" s="2">
        <v>93</v>
      </c>
      <c r="L222" s="4">
        <f>knicks_players_all_stats[[#This Row],[FGM]]/knicks_players_all_stats[[#This Row],[FGA]]</f>
        <v>0.60215053763440862</v>
      </c>
      <c r="M222" s="2">
        <v>0</v>
      </c>
      <c r="N222" s="2">
        <v>0</v>
      </c>
      <c r="O222" s="4" t="e">
        <f>knicks_players_all_stats[[#This Row],[FG3M]]/knicks_players_all_stats[[#This Row],[FG3A]]</f>
        <v>#DIV/0!</v>
      </c>
      <c r="P222" s="2">
        <v>17</v>
      </c>
      <c r="Q222" s="2">
        <v>40</v>
      </c>
      <c r="R222" s="5">
        <f>knicks_players_all_stats[[#This Row],[FTM]]/knicks_players_all_stats[[#This Row],[FTA]]</f>
        <v>0.42499999999999999</v>
      </c>
      <c r="S222" s="2">
        <f>knicks_players_all_stats[[#This Row],[OREB22]]/10</f>
        <v>34</v>
      </c>
      <c r="T222" s="2">
        <f>knicks_players_all_stats[[#This Row],[DREB33]]/10</f>
        <v>61</v>
      </c>
      <c r="U222" s="2">
        <f>knicks_players_all_stats[[#This Row],[REB44]]/10</f>
        <v>95</v>
      </c>
      <c r="V222">
        <v>340</v>
      </c>
      <c r="W222">
        <v>610</v>
      </c>
      <c r="X222">
        <v>950</v>
      </c>
      <c r="Y222" s="22">
        <f>knicks_players_all_stats[[#This Row],[REB]]/knicks_players_all_stats[[#This Row],[GP]]</f>
        <v>5.2777777777777777</v>
      </c>
      <c r="Z222" s="2">
        <v>8</v>
      </c>
      <c r="AA222" s="6">
        <f>knicks_players_all_stats[[#This Row],[AST]]/knicks_players_all_stats[[#This Row],[GP]]</f>
        <v>0.44444444444444442</v>
      </c>
      <c r="AB222" s="2">
        <f>knicks_players_all_stats[[#This Row],[STL2]]/10</f>
        <v>16</v>
      </c>
      <c r="AC222" s="2">
        <v>160</v>
      </c>
      <c r="AD222" s="6">
        <f>knicks_players_all_stats[[#This Row],[STL]]/knicks_players_all_stats[[#This Row],[GP]]</f>
        <v>0.88888888888888884</v>
      </c>
      <c r="AE222">
        <v>170</v>
      </c>
      <c r="AF222" s="2">
        <f>knicks_players_all_stats[[#This Row],[BLK2]]/10</f>
        <v>17</v>
      </c>
      <c r="AG222" s="6">
        <f>knicks_players_all_stats[[#This Row],[BLK]]/knicks_players_all_stats[[#This Row],[GP]]</f>
        <v>0.94444444444444442</v>
      </c>
      <c r="AH222">
        <v>160</v>
      </c>
      <c r="AI222" s="6">
        <f>knicks_players_all_stats[[#This Row],[BLKPG]]+knicks_players_all_stats[[#This Row],[STLPG]]+knicks_players_all_stats[[#This Row],[REBPG]]</f>
        <v>7.1111111111111107</v>
      </c>
      <c r="AJ222" s="2">
        <f>knicks_players_all_stats[[#This Row],[TOV2]]/10</f>
        <v>16</v>
      </c>
      <c r="AK222" s="6">
        <f>knicks_players_all_stats[[#This Row],[TOV]]/knicks_players_all_stats[[#This Row],[GP]]</f>
        <v>0.88888888888888884</v>
      </c>
      <c r="AL222" s="2">
        <v>64</v>
      </c>
      <c r="AM222" s="2">
        <f>knicks_players_all_stats[[#This Row],[PF]]/knicks_players_all_stats[[#This Row],[GP]]</f>
        <v>3.5555555555555554</v>
      </c>
      <c r="AN222" s="2">
        <v>129</v>
      </c>
      <c r="AO222" s="6">
        <f>knicks_players_all_stats[[#This Row],[PTS]]/knicks_players_all_stats[[#This Row],[GP]]</f>
        <v>7.166666666666667</v>
      </c>
    </row>
    <row r="223" spans="1:41" customFormat="1" x14ac:dyDescent="0.3">
      <c r="A223" s="3" t="s">
        <v>1821</v>
      </c>
      <c r="B223" s="3" t="s">
        <v>1292</v>
      </c>
      <c r="C223" s="3" t="str">
        <f>knicks_players_all_stats[[#This Row],[NAME]]&amp;" ("&amp;knicks_players_all_stats[[#This Row],[SEASON]]&amp;")"</f>
        <v>Rasheed Wallace (2012-13)</v>
      </c>
      <c r="D223" s="3">
        <f>knicks_players_all_stats[[#This Row],[PLAYER_AGE]]/10</f>
        <v>38</v>
      </c>
      <c r="E223">
        <v>380</v>
      </c>
      <c r="F223" s="2">
        <v>21</v>
      </c>
      <c r="G223" s="2">
        <v>2960</v>
      </c>
      <c r="H22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120</v>
      </c>
      <c r="I223" s="6">
        <f>knicks_players_all_stats[[#This Row],[VALORATION]]/knicks_players_all_stats[[#This Row],[GP]]</f>
        <v>5.7142857142857144</v>
      </c>
      <c r="J223" s="2">
        <v>55</v>
      </c>
      <c r="K223" s="2">
        <v>142</v>
      </c>
      <c r="L223" s="2">
        <v>387</v>
      </c>
      <c r="M223" s="2">
        <v>220</v>
      </c>
      <c r="N223" s="2">
        <v>690</v>
      </c>
      <c r="O223" s="4">
        <f>knicks_players_all_stats[[#This Row],[FG3M]]/knicks_players_all_stats[[#This Row],[FG3A]]</f>
        <v>0.3188405797101449</v>
      </c>
      <c r="P223" s="2">
        <v>14</v>
      </c>
      <c r="Q223" s="2">
        <v>20</v>
      </c>
      <c r="R223" s="5">
        <f>knicks_players_all_stats[[#This Row],[FTM]]/knicks_players_all_stats[[#This Row],[FTA]]</f>
        <v>0.7</v>
      </c>
      <c r="S223" s="2">
        <f>knicks_players_all_stats[[#This Row],[OREB22]]/10</f>
        <v>11</v>
      </c>
      <c r="T223" s="2">
        <f>knicks_players_all_stats[[#This Row],[DREB33]]/10</f>
        <v>72</v>
      </c>
      <c r="U223" s="2">
        <f>knicks_players_all_stats[[#This Row],[REB44]]/10</f>
        <v>83</v>
      </c>
      <c r="V223">
        <v>110</v>
      </c>
      <c r="W223">
        <v>720</v>
      </c>
      <c r="X223">
        <v>830</v>
      </c>
      <c r="Y223" s="22">
        <f>knicks_players_all_stats[[#This Row],[REB]]/knicks_players_all_stats[[#This Row],[GP]]</f>
        <v>3.9523809523809526</v>
      </c>
      <c r="Z223" s="2">
        <v>6</v>
      </c>
      <c r="AA223" s="6">
        <f>knicks_players_all_stats[[#This Row],[AST]]/knicks_players_all_stats[[#This Row],[GP]]</f>
        <v>0.2857142857142857</v>
      </c>
      <c r="AB223" s="2">
        <f>knicks_players_all_stats[[#This Row],[STL2]]/10</f>
        <v>13</v>
      </c>
      <c r="AC223" s="2">
        <v>130</v>
      </c>
      <c r="AD223" s="6">
        <f>knicks_players_all_stats[[#This Row],[STL]]/knicks_players_all_stats[[#This Row],[GP]]</f>
        <v>0.61904761904761907</v>
      </c>
      <c r="AE223">
        <v>150</v>
      </c>
      <c r="AF223" s="2">
        <f>knicks_players_all_stats[[#This Row],[BLK2]]/10</f>
        <v>15</v>
      </c>
      <c r="AG223" s="6">
        <f>knicks_players_all_stats[[#This Row],[BLK]]/knicks_players_all_stats[[#This Row],[GP]]</f>
        <v>0.7142857142857143</v>
      </c>
      <c r="AH223">
        <v>100</v>
      </c>
      <c r="AI223" s="6">
        <f>knicks_players_all_stats[[#This Row],[BLKPG]]+knicks_players_all_stats[[#This Row],[STLPG]]+knicks_players_all_stats[[#This Row],[REBPG]]</f>
        <v>5.2857142857142865</v>
      </c>
      <c r="AJ223" s="2">
        <f>knicks_players_all_stats[[#This Row],[TOV2]]/10</f>
        <v>10</v>
      </c>
      <c r="AK223" s="6">
        <f>knicks_players_all_stats[[#This Row],[TOV]]/knicks_players_all_stats[[#This Row],[GP]]</f>
        <v>0.47619047619047616</v>
      </c>
      <c r="AL223" s="2">
        <v>40</v>
      </c>
      <c r="AM223" s="2">
        <f>knicks_players_all_stats[[#This Row],[PF]]/knicks_players_all_stats[[#This Row],[GP]]</f>
        <v>1.9047619047619047</v>
      </c>
      <c r="AN223" s="2">
        <v>146</v>
      </c>
      <c r="AO223" s="6">
        <f>knicks_players_all_stats[[#This Row],[PTS]]/knicks_players_all_stats[[#This Row],[GP]]</f>
        <v>6.9523809523809526</v>
      </c>
    </row>
    <row r="224" spans="1:41" x14ac:dyDescent="0.3">
      <c r="A224" s="3" t="s">
        <v>1718</v>
      </c>
      <c r="B224" s="3" t="s">
        <v>1292</v>
      </c>
      <c r="C224" s="3" t="str">
        <f>knicks_players_all_stats[[#This Row],[NAME]]&amp;" ("&amp;knicks_players_all_stats[[#This Row],[SEASON]]&amp;")"</f>
        <v>Iman Shumpert (2012-13)</v>
      </c>
      <c r="D224" s="3">
        <f>knicks_players_all_stats[[#This Row],[PLAYER_AGE]]/10</f>
        <v>23</v>
      </c>
      <c r="E224">
        <v>230</v>
      </c>
      <c r="F224" s="2">
        <v>45</v>
      </c>
      <c r="G224" s="2">
        <v>9960</v>
      </c>
      <c r="H22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253</v>
      </c>
      <c r="I224" s="6">
        <f>knicks_players_all_stats[[#This Row],[VALORATION]]/knicks_players_all_stats[[#This Row],[GP]]</f>
        <v>5.6222222222222218</v>
      </c>
      <c r="J224" s="2">
        <v>109</v>
      </c>
      <c r="K224" s="2">
        <v>275</v>
      </c>
      <c r="L224" s="2">
        <v>396</v>
      </c>
      <c r="M224" s="2">
        <v>510</v>
      </c>
      <c r="N224" s="2">
        <v>1270</v>
      </c>
      <c r="O224" s="4">
        <f>knicks_players_all_stats[[#This Row],[FG3M]]/knicks_players_all_stats[[#This Row],[FG3A]]</f>
        <v>0.40157480314960631</v>
      </c>
      <c r="P224" s="2">
        <v>36</v>
      </c>
      <c r="Q224" s="2">
        <v>47</v>
      </c>
      <c r="R224" s="5">
        <f>knicks_players_all_stats[[#This Row],[FTM]]/knicks_players_all_stats[[#This Row],[FTA]]</f>
        <v>0.76595744680851063</v>
      </c>
      <c r="S224" s="2">
        <f>knicks_players_all_stats[[#This Row],[OREB22]]/10</f>
        <v>31</v>
      </c>
      <c r="T224" s="2">
        <f>knicks_players_all_stats[[#This Row],[DREB33]]/10</f>
        <v>105</v>
      </c>
      <c r="U224" s="2">
        <f>knicks_players_all_stats[[#This Row],[REB44]]/10</f>
        <v>136</v>
      </c>
      <c r="V224">
        <v>310</v>
      </c>
      <c r="W224">
        <v>1050</v>
      </c>
      <c r="X224">
        <v>1360</v>
      </c>
      <c r="Y224" s="22">
        <f>knicks_players_all_stats[[#This Row],[REB]]/knicks_players_all_stats[[#This Row],[GP]]</f>
        <v>3.0222222222222221</v>
      </c>
      <c r="Z224" s="2">
        <v>75</v>
      </c>
      <c r="AA224" s="6">
        <f>knicks_players_all_stats[[#This Row],[AST]]/knicks_players_all_stats[[#This Row],[GP]]</f>
        <v>1.6666666666666667</v>
      </c>
      <c r="AB224" s="2">
        <f>knicks_players_all_stats[[#This Row],[STL2]]/10</f>
        <v>43</v>
      </c>
      <c r="AC224" s="2">
        <v>430</v>
      </c>
      <c r="AD224" s="6">
        <f>knicks_players_all_stats[[#This Row],[STL]]/knicks_players_all_stats[[#This Row],[GP]]</f>
        <v>0.9555555555555556</v>
      </c>
      <c r="AE224">
        <v>70</v>
      </c>
      <c r="AF224" s="2">
        <f>knicks_players_all_stats[[#This Row],[BLK2]]/10</f>
        <v>7</v>
      </c>
      <c r="AG224" s="6">
        <f>knicks_players_all_stats[[#This Row],[BLK]]/knicks_players_all_stats[[#This Row],[GP]]</f>
        <v>0.15555555555555556</v>
      </c>
      <c r="AH224">
        <v>370</v>
      </c>
      <c r="AI224" s="6">
        <f>knicks_players_all_stats[[#This Row],[BLKPG]]+knicks_players_all_stats[[#This Row],[STLPG]]+knicks_players_all_stats[[#This Row],[REBPG]]</f>
        <v>4.1333333333333329</v>
      </c>
      <c r="AJ224" s="2">
        <f>knicks_players_all_stats[[#This Row],[TOV2]]/10</f>
        <v>37</v>
      </c>
      <c r="AK224" s="6">
        <f>knicks_players_all_stats[[#This Row],[TOV]]/knicks_players_all_stats[[#This Row],[GP]]</f>
        <v>0.82222222222222219</v>
      </c>
      <c r="AL224" s="2">
        <v>99</v>
      </c>
      <c r="AM224" s="2">
        <f>knicks_players_all_stats[[#This Row],[PF]]/knicks_players_all_stats[[#This Row],[GP]]</f>
        <v>2.2000000000000002</v>
      </c>
      <c r="AN224" s="2">
        <v>305</v>
      </c>
      <c r="AO224" s="6">
        <f>knicks_players_all_stats[[#This Row],[PTS]]/knicks_players_all_stats[[#This Row],[GP]]</f>
        <v>6.7777777777777777</v>
      </c>
    </row>
    <row r="225" spans="1:41" x14ac:dyDescent="0.3">
      <c r="A225" s="3" t="s">
        <v>1711</v>
      </c>
      <c r="B225" s="3" t="s">
        <v>1292</v>
      </c>
      <c r="C225" s="3" t="str">
        <f>knicks_players_all_stats[[#This Row],[NAME]]&amp;" ("&amp;knicks_players_all_stats[[#This Row],[SEASON]]&amp;")"</f>
        <v>Chris Copeland (2012-13)</v>
      </c>
      <c r="D225" s="3">
        <f>knicks_players_all_stats[[#This Row],[PLAYER_AGE]]/10</f>
        <v>29</v>
      </c>
      <c r="E225">
        <v>290</v>
      </c>
      <c r="F225" s="2">
        <v>56</v>
      </c>
      <c r="G225" s="2">
        <v>8620</v>
      </c>
      <c r="H22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288</v>
      </c>
      <c r="I225" s="6">
        <f>knicks_players_all_stats[[#This Row],[VALORATION]]/knicks_players_all_stats[[#This Row],[GP]]</f>
        <v>5.1428571428571432</v>
      </c>
      <c r="J225" s="2">
        <v>182</v>
      </c>
      <c r="K225" s="2">
        <v>380</v>
      </c>
      <c r="L225" s="2">
        <v>479</v>
      </c>
      <c r="M225" s="2">
        <v>590</v>
      </c>
      <c r="N225" s="2">
        <v>1400</v>
      </c>
      <c r="O225" s="4">
        <f>knicks_players_all_stats[[#This Row],[FG3M]]/knicks_players_all_stats[[#This Row],[FG3A]]</f>
        <v>0.42142857142857143</v>
      </c>
      <c r="P225" s="2">
        <v>63</v>
      </c>
      <c r="Q225" s="2">
        <v>83</v>
      </c>
      <c r="R225" s="5">
        <f>knicks_players_all_stats[[#This Row],[FTM]]/knicks_players_all_stats[[#This Row],[FTA]]</f>
        <v>0.75903614457831325</v>
      </c>
      <c r="S225" s="2">
        <f>knicks_players_all_stats[[#This Row],[OREB22]]/10</f>
        <v>34</v>
      </c>
      <c r="T225" s="2">
        <f>knicks_players_all_stats[[#This Row],[DREB33]]/10</f>
        <v>85</v>
      </c>
      <c r="U225" s="2">
        <f>knicks_players_all_stats[[#This Row],[REB44]]/10</f>
        <v>119</v>
      </c>
      <c r="V225">
        <v>340</v>
      </c>
      <c r="W225">
        <v>850</v>
      </c>
      <c r="X225">
        <v>1190</v>
      </c>
      <c r="Y225" s="22">
        <f>knicks_players_all_stats[[#This Row],[REB]]/knicks_players_all_stats[[#This Row],[GP]]</f>
        <v>2.125</v>
      </c>
      <c r="Z225" s="2">
        <v>27</v>
      </c>
      <c r="AA225" s="6">
        <f>knicks_players_all_stats[[#This Row],[AST]]/knicks_players_all_stats[[#This Row],[GP]]</f>
        <v>0.48214285714285715</v>
      </c>
      <c r="AB225" s="2">
        <f>knicks_players_all_stats[[#This Row],[STL2]]/10</f>
        <v>16</v>
      </c>
      <c r="AC225" s="2">
        <v>160</v>
      </c>
      <c r="AD225" s="6">
        <f>knicks_players_all_stats[[#This Row],[STL]]/knicks_players_all_stats[[#This Row],[GP]]</f>
        <v>0.2857142857142857</v>
      </c>
      <c r="AE225">
        <v>120</v>
      </c>
      <c r="AF225" s="2">
        <f>knicks_players_all_stats[[#This Row],[BLK2]]/10</f>
        <v>12</v>
      </c>
      <c r="AG225" s="6">
        <f>knicks_players_all_stats[[#This Row],[BLK]]/knicks_players_all_stats[[#This Row],[GP]]</f>
        <v>0.21428571428571427</v>
      </c>
      <c r="AH225">
        <v>500</v>
      </c>
      <c r="AI225" s="6">
        <f>knicks_players_all_stats[[#This Row],[BLKPG]]+knicks_players_all_stats[[#This Row],[STLPG]]+knicks_players_all_stats[[#This Row],[REBPG]]</f>
        <v>2.625</v>
      </c>
      <c r="AJ225" s="2">
        <f>knicks_players_all_stats[[#This Row],[TOV2]]/10</f>
        <v>50</v>
      </c>
      <c r="AK225" s="6">
        <f>knicks_players_all_stats[[#This Row],[TOV]]/knicks_players_all_stats[[#This Row],[GP]]</f>
        <v>0.8928571428571429</v>
      </c>
      <c r="AL225" s="2">
        <v>104</v>
      </c>
      <c r="AM225" s="2">
        <f>knicks_players_all_stats[[#This Row],[PF]]/knicks_players_all_stats[[#This Row],[GP]]</f>
        <v>1.8571428571428572</v>
      </c>
      <c r="AN225" s="2">
        <v>486</v>
      </c>
      <c r="AO225" s="6">
        <f>knicks_players_all_stats[[#This Row],[PTS]]/knicks_players_all_stats[[#This Row],[GP]]</f>
        <v>8.6785714285714288</v>
      </c>
    </row>
    <row r="226" spans="1:41" x14ac:dyDescent="0.3">
      <c r="A226" s="3" t="s">
        <v>1404</v>
      </c>
      <c r="B226" s="3" t="s">
        <v>1292</v>
      </c>
      <c r="C226" s="3" t="str">
        <f>knicks_players_all_stats[[#This Row],[NAME]]&amp;" ("&amp;knicks_players_all_stats[[#This Row],[SEASON]]&amp;")"</f>
        <v>Pablo Prigioni (2012-13)</v>
      </c>
      <c r="D226" s="3">
        <f>knicks_players_all_stats[[#This Row],[PLAYER_AGE]]/10</f>
        <v>36</v>
      </c>
      <c r="E226">
        <v>360</v>
      </c>
      <c r="F226" s="2">
        <v>78</v>
      </c>
      <c r="G226" s="2">
        <v>12630</v>
      </c>
      <c r="H22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389</v>
      </c>
      <c r="I226" s="6">
        <f>knicks_players_all_stats[[#This Row],[VALORATION]]/knicks_players_all_stats[[#This Row],[GP]]</f>
        <v>4.9871794871794872</v>
      </c>
      <c r="J226" s="2">
        <v>100</v>
      </c>
      <c r="K226" s="2">
        <v>220</v>
      </c>
      <c r="L226" s="4">
        <f>knicks_players_all_stats[[#This Row],[FGM]]/knicks_players_all_stats[[#This Row],[FGA]]</f>
        <v>0.45454545454545453</v>
      </c>
      <c r="M226" s="2">
        <v>530</v>
      </c>
      <c r="N226" s="2">
        <v>1340</v>
      </c>
      <c r="O226" s="4">
        <f>knicks_players_all_stats[[#This Row],[FG3M]]/knicks_players_all_stats[[#This Row],[FG3A]]</f>
        <v>0.39552238805970147</v>
      </c>
      <c r="P226" s="2">
        <v>22</v>
      </c>
      <c r="Q226" s="2">
        <v>25</v>
      </c>
      <c r="R226" s="5">
        <f>knicks_players_all_stats[[#This Row],[FTM]]/knicks_players_all_stats[[#This Row],[FTA]]</f>
        <v>0.88</v>
      </c>
      <c r="S226" s="2">
        <f>knicks_players_all_stats[[#This Row],[OREB22]]/10</f>
        <v>41</v>
      </c>
      <c r="T226" s="2">
        <f>knicks_players_all_stats[[#This Row],[DREB33]]/10</f>
        <v>102</v>
      </c>
      <c r="U226" s="2">
        <f>knicks_players_all_stats[[#This Row],[REB44]]/10</f>
        <v>143</v>
      </c>
      <c r="V226">
        <v>410</v>
      </c>
      <c r="W226">
        <v>1020</v>
      </c>
      <c r="X226">
        <v>1430</v>
      </c>
      <c r="Y226" s="22">
        <f>knicks_players_all_stats[[#This Row],[REB]]/knicks_players_all_stats[[#This Row],[GP]]</f>
        <v>1.8333333333333333</v>
      </c>
      <c r="Z226" s="2">
        <v>236</v>
      </c>
      <c r="AA226" s="6">
        <f>knicks_players_all_stats[[#This Row],[AST]]/knicks_players_all_stats[[#This Row],[GP]]</f>
        <v>3.0256410256410255</v>
      </c>
      <c r="AB226" s="2">
        <f>knicks_players_all_stats[[#This Row],[STL2]]/10</f>
        <v>69</v>
      </c>
      <c r="AC226" s="2">
        <v>690</v>
      </c>
      <c r="AD226" s="6">
        <f>knicks_players_all_stats[[#This Row],[STL]]/knicks_players_all_stats[[#This Row],[GP]]</f>
        <v>0.88461538461538458</v>
      </c>
      <c r="AE226">
        <v>20</v>
      </c>
      <c r="AF226" s="2">
        <f>knicks_players_all_stats[[#This Row],[BLK2]]/10</f>
        <v>2</v>
      </c>
      <c r="AG226" s="6">
        <f>knicks_players_all_stats[[#This Row],[BLK]]/knicks_players_all_stats[[#This Row],[GP]]</f>
        <v>2.564102564102564E-2</v>
      </c>
      <c r="AH226">
        <v>860</v>
      </c>
      <c r="AI226" s="6">
        <f>knicks_players_all_stats[[#This Row],[BLKPG]]+knicks_players_all_stats[[#This Row],[STLPG]]+knicks_players_all_stats[[#This Row],[REBPG]]</f>
        <v>2.7435897435897436</v>
      </c>
      <c r="AJ226" s="2">
        <f>knicks_players_all_stats[[#This Row],[TOV2]]/10</f>
        <v>86</v>
      </c>
      <c r="AK226" s="6">
        <f>knicks_players_all_stats[[#This Row],[TOV]]/knicks_players_all_stats[[#This Row],[GP]]</f>
        <v>1.1025641025641026</v>
      </c>
      <c r="AL226" s="2">
        <v>127</v>
      </c>
      <c r="AM226" s="2">
        <f>knicks_players_all_stats[[#This Row],[PF]]/knicks_players_all_stats[[#This Row],[GP]]</f>
        <v>1.6282051282051282</v>
      </c>
      <c r="AN226" s="2">
        <v>275</v>
      </c>
      <c r="AO226" s="6">
        <f>knicks_players_all_stats[[#This Row],[PTS]]/knicks_players_all_stats[[#This Row],[GP]]</f>
        <v>3.5256410256410255</v>
      </c>
    </row>
    <row r="227" spans="1:41" x14ac:dyDescent="0.3">
      <c r="A227" s="3" t="s">
        <v>1291</v>
      </c>
      <c r="B227" s="3" t="s">
        <v>1292</v>
      </c>
      <c r="C227" s="3" t="str">
        <f>knicks_players_all_stats[[#This Row],[NAME]]&amp;" ("&amp;knicks_players_all_stats[[#This Row],[SEASON]]&amp;")"</f>
        <v>Steve Novak (2012-13)</v>
      </c>
      <c r="D227" s="3">
        <f>knicks_players_all_stats[[#This Row],[PLAYER_AGE]]/10</f>
        <v>30</v>
      </c>
      <c r="E227">
        <v>300</v>
      </c>
      <c r="F227" s="2">
        <v>81</v>
      </c>
      <c r="G227" s="2">
        <v>16410</v>
      </c>
      <c r="H22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394</v>
      </c>
      <c r="I227" s="6">
        <f>knicks_players_all_stats[[#This Row],[VALORATION]]/knicks_players_all_stats[[#This Row],[GP]]</f>
        <v>4.8641975308641978</v>
      </c>
      <c r="J227" s="2">
        <v>178</v>
      </c>
      <c r="K227" s="2">
        <v>430</v>
      </c>
      <c r="L227" s="4">
        <f>knicks_players_all_stats[[#This Row],[FGM]]/knicks_players_all_stats[[#This Row],[FGA]]</f>
        <v>0.413953488372093</v>
      </c>
      <c r="M227" s="2">
        <v>1490</v>
      </c>
      <c r="N227" s="2">
        <v>3510</v>
      </c>
      <c r="O227" s="4">
        <f>knicks_players_all_stats[[#This Row],[FG3M]]/knicks_players_all_stats[[#This Row],[FG3A]]</f>
        <v>0.42450142450142453</v>
      </c>
      <c r="P227" s="2">
        <v>30</v>
      </c>
      <c r="Q227" s="2">
        <v>33</v>
      </c>
      <c r="R227" s="5">
        <f>knicks_players_all_stats[[#This Row],[FTM]]/knicks_players_all_stats[[#This Row],[FTA]]</f>
        <v>0.90909090909090906</v>
      </c>
      <c r="S227" s="2">
        <f>knicks_players_all_stats[[#This Row],[OREB22]]/10</f>
        <v>17</v>
      </c>
      <c r="T227" s="2">
        <f>knicks_players_all_stats[[#This Row],[DREB33]]/10</f>
        <v>135</v>
      </c>
      <c r="U227" s="2">
        <f>knicks_players_all_stats[[#This Row],[REB44]]/10</f>
        <v>152</v>
      </c>
      <c r="V227">
        <v>170</v>
      </c>
      <c r="W227">
        <v>1350</v>
      </c>
      <c r="X227">
        <v>1520</v>
      </c>
      <c r="Y227" s="22">
        <f>knicks_players_all_stats[[#This Row],[REB]]/knicks_players_all_stats[[#This Row],[GP]]</f>
        <v>1.8765432098765431</v>
      </c>
      <c r="Z227" s="2">
        <v>35</v>
      </c>
      <c r="AA227" s="6">
        <f>knicks_players_all_stats[[#This Row],[AST]]/knicks_players_all_stats[[#This Row],[GP]]</f>
        <v>0.43209876543209874</v>
      </c>
      <c r="AB227" s="2">
        <f>knicks_players_all_stats[[#This Row],[STL2]]/10</f>
        <v>28</v>
      </c>
      <c r="AC227" s="2">
        <v>280</v>
      </c>
      <c r="AD227" s="6">
        <f>knicks_players_all_stats[[#This Row],[STL]]/knicks_players_all_stats[[#This Row],[GP]]</f>
        <v>0.34567901234567899</v>
      </c>
      <c r="AE227">
        <v>80</v>
      </c>
      <c r="AF227" s="2">
        <f>knicks_players_all_stats[[#This Row],[BLK2]]/10</f>
        <v>8</v>
      </c>
      <c r="AG227" s="6">
        <f>knicks_players_all_stats[[#This Row],[BLK]]/knicks_players_all_stats[[#This Row],[GP]]</f>
        <v>9.8765432098765427E-2</v>
      </c>
      <c r="AH227">
        <v>120</v>
      </c>
      <c r="AI227" s="6">
        <f>knicks_players_all_stats[[#This Row],[BLKPG]]+knicks_players_all_stats[[#This Row],[STLPG]]+knicks_players_all_stats[[#This Row],[REBPG]]</f>
        <v>2.3209876543209873</v>
      </c>
      <c r="AJ227" s="2">
        <f>knicks_players_all_stats[[#This Row],[TOV2]]/10</f>
        <v>12</v>
      </c>
      <c r="AK227" s="6">
        <f>knicks_players_all_stats[[#This Row],[TOV]]/knicks_players_all_stats[[#This Row],[GP]]</f>
        <v>0.14814814814814814</v>
      </c>
      <c r="AL227" s="2">
        <v>97</v>
      </c>
      <c r="AM227" s="2">
        <f>knicks_players_all_stats[[#This Row],[PF]]/knicks_players_all_stats[[#This Row],[GP]]</f>
        <v>1.1975308641975309</v>
      </c>
      <c r="AN227" s="2">
        <v>535</v>
      </c>
      <c r="AO227" s="6">
        <f>knicks_players_all_stats[[#This Row],[PTS]]/knicks_players_all_stats[[#This Row],[GP]]</f>
        <v>6.6049382716049383</v>
      </c>
    </row>
    <row r="228" spans="1:41" x14ac:dyDescent="0.3">
      <c r="A228" s="3" t="s">
        <v>1620</v>
      </c>
      <c r="B228" s="3" t="s">
        <v>1292</v>
      </c>
      <c r="C228" s="3" t="str">
        <f>knicks_players_all_stats[[#This Row],[NAME]]&amp;" ("&amp;knicks_players_all_stats[[#This Row],[SEASON]]&amp;")"</f>
        <v>Ronnie Brewer (2012-13)</v>
      </c>
      <c r="D228" s="3">
        <f>knicks_players_all_stats[[#This Row],[PLAYER_AGE]]/10</f>
        <v>28</v>
      </c>
      <c r="E228">
        <v>280</v>
      </c>
      <c r="F228" s="2">
        <v>46</v>
      </c>
      <c r="G228" s="2">
        <v>7110</v>
      </c>
      <c r="H22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171</v>
      </c>
      <c r="I228" s="6">
        <f>knicks_players_all_stats[[#This Row],[VALORATION]]/knicks_players_all_stats[[#This Row],[GP]]</f>
        <v>3.7173913043478262</v>
      </c>
      <c r="J228" s="2">
        <v>64</v>
      </c>
      <c r="K228" s="2">
        <v>175</v>
      </c>
      <c r="L228" s="4">
        <f>knicks_players_all_stats[[#This Row],[FGM]]/knicks_players_all_stats[[#This Row],[FGA]]</f>
        <v>0.36571428571428571</v>
      </c>
      <c r="M228" s="2">
        <v>220</v>
      </c>
      <c r="N228" s="2">
        <v>710</v>
      </c>
      <c r="O228" s="4">
        <f>knicks_players_all_stats[[#This Row],[FG3M]]/knicks_players_all_stats[[#This Row],[FG3A]]</f>
        <v>0.30985915492957744</v>
      </c>
      <c r="P228" s="2">
        <v>16</v>
      </c>
      <c r="Q228" s="2">
        <v>39</v>
      </c>
      <c r="R228" s="5">
        <f>knicks_players_all_stats[[#This Row],[FTM]]/knicks_players_all_stats[[#This Row],[FTA]]</f>
        <v>0.41025641025641024</v>
      </c>
      <c r="S228" s="2">
        <f>knicks_players_all_stats[[#This Row],[OREB22]]/10</f>
        <v>29</v>
      </c>
      <c r="T228" s="2">
        <f>knicks_players_all_stats[[#This Row],[DREB33]]/10</f>
        <v>71</v>
      </c>
      <c r="U228" s="2">
        <f>knicks_players_all_stats[[#This Row],[REB44]]/10</f>
        <v>100</v>
      </c>
      <c r="V228">
        <v>290</v>
      </c>
      <c r="W228">
        <v>710</v>
      </c>
      <c r="X228">
        <v>1000</v>
      </c>
      <c r="Y228" s="22">
        <f>knicks_players_all_stats[[#This Row],[REB]]/knicks_players_all_stats[[#This Row],[GP]]</f>
        <v>2.1739130434782608</v>
      </c>
      <c r="Z228" s="2">
        <v>40</v>
      </c>
      <c r="AA228" s="6">
        <f>knicks_players_all_stats[[#This Row],[AST]]/knicks_players_all_stats[[#This Row],[GP]]</f>
        <v>0.86956521739130432</v>
      </c>
      <c r="AB228" s="2">
        <f>knicks_players_all_stats[[#This Row],[STL2]]/10</f>
        <v>34</v>
      </c>
      <c r="AC228" s="2">
        <v>340</v>
      </c>
      <c r="AD228" s="6">
        <f>knicks_players_all_stats[[#This Row],[STL]]/knicks_players_all_stats[[#This Row],[GP]]</f>
        <v>0.73913043478260865</v>
      </c>
      <c r="AE228">
        <v>60</v>
      </c>
      <c r="AF228" s="2">
        <f>knicks_players_all_stats[[#This Row],[BLK2]]/10</f>
        <v>6</v>
      </c>
      <c r="AG228" s="6">
        <f>knicks_players_all_stats[[#This Row],[BLK]]/knicks_players_all_stats[[#This Row],[GP]]</f>
        <v>0.13043478260869565</v>
      </c>
      <c r="AH228">
        <v>140</v>
      </c>
      <c r="AI228" s="6">
        <f>knicks_players_all_stats[[#This Row],[BLKPG]]+knicks_players_all_stats[[#This Row],[STLPG]]+knicks_players_all_stats[[#This Row],[REBPG]]</f>
        <v>3.043478260869565</v>
      </c>
      <c r="AJ228" s="2">
        <f>knicks_players_all_stats[[#This Row],[TOV2]]/10</f>
        <v>14</v>
      </c>
      <c r="AK228" s="6">
        <f>knicks_players_all_stats[[#This Row],[TOV]]/knicks_players_all_stats[[#This Row],[GP]]</f>
        <v>0.30434782608695654</v>
      </c>
      <c r="AL228" s="2">
        <v>27</v>
      </c>
      <c r="AM228" s="2">
        <f>knicks_players_all_stats[[#This Row],[PF]]/knicks_players_all_stats[[#This Row],[GP]]</f>
        <v>0.58695652173913049</v>
      </c>
      <c r="AN228" s="2">
        <v>166</v>
      </c>
      <c r="AO228" s="6">
        <f>knicks_players_all_stats[[#This Row],[PTS]]/knicks_players_all_stats[[#This Row],[GP]]</f>
        <v>3.6086956521739131</v>
      </c>
    </row>
    <row r="229" spans="1:41" x14ac:dyDescent="0.3">
      <c r="A229" s="3" t="s">
        <v>1790</v>
      </c>
      <c r="B229" s="3" t="s">
        <v>1292</v>
      </c>
      <c r="C229" s="3" t="str">
        <f>knicks_players_all_stats[[#This Row],[NAME]]&amp;" ("&amp;knicks_players_all_stats[[#This Row],[SEASON]]&amp;")"</f>
        <v>Kurt Thomas (2012-13)</v>
      </c>
      <c r="D229" s="3">
        <f>knicks_players_all_stats[[#This Row],[PLAYER_AGE]]/10</f>
        <v>40</v>
      </c>
      <c r="E229">
        <v>400</v>
      </c>
      <c r="F229" s="2">
        <v>39</v>
      </c>
      <c r="G229" s="2">
        <v>3920</v>
      </c>
      <c r="H22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128</v>
      </c>
      <c r="I229" s="6">
        <f>knicks_players_all_stats[[#This Row],[VALORATION]]/knicks_players_all_stats[[#This Row],[GP]]</f>
        <v>3.2820512820512819</v>
      </c>
      <c r="J229" s="2">
        <v>45</v>
      </c>
      <c r="K229" s="2">
        <v>83</v>
      </c>
      <c r="L229" s="2">
        <v>542</v>
      </c>
      <c r="M229" s="2">
        <v>10</v>
      </c>
      <c r="N229" s="2">
        <v>10</v>
      </c>
      <c r="O229" s="4">
        <f>knicks_players_all_stats[[#This Row],[FG3M]]/knicks_players_all_stats[[#This Row],[FG3A]]</f>
        <v>1</v>
      </c>
      <c r="P229" s="2">
        <v>6</v>
      </c>
      <c r="Q229" s="2">
        <v>13</v>
      </c>
      <c r="R229" s="5">
        <f>knicks_players_all_stats[[#This Row],[FTM]]/knicks_players_all_stats[[#This Row],[FTA]]</f>
        <v>0.46153846153846156</v>
      </c>
      <c r="S229" s="2">
        <f>knicks_players_all_stats[[#This Row],[OREB22]]/10</f>
        <v>24</v>
      </c>
      <c r="T229" s="2">
        <f>knicks_players_all_stats[[#This Row],[DREB33]]/10</f>
        <v>65</v>
      </c>
      <c r="U229" s="2">
        <f>knicks_players_all_stats[[#This Row],[REB44]]/10</f>
        <v>89</v>
      </c>
      <c r="V229">
        <v>240</v>
      </c>
      <c r="W229">
        <v>650</v>
      </c>
      <c r="X229">
        <v>890</v>
      </c>
      <c r="Y229" s="22">
        <f>knicks_players_all_stats[[#This Row],[REB]]/knicks_players_all_stats[[#This Row],[GP]]</f>
        <v>2.2820512820512819</v>
      </c>
      <c r="Z229" s="2">
        <v>21</v>
      </c>
      <c r="AA229" s="6">
        <f>knicks_players_all_stats[[#This Row],[AST]]/knicks_players_all_stats[[#This Row],[GP]]</f>
        <v>0.53846153846153844</v>
      </c>
      <c r="AB229" s="2">
        <f>knicks_players_all_stats[[#This Row],[STL2]]/10</f>
        <v>10</v>
      </c>
      <c r="AC229" s="2">
        <v>100</v>
      </c>
      <c r="AD229" s="6">
        <f>knicks_players_all_stats[[#This Row],[STL]]/knicks_players_all_stats[[#This Row],[GP]]</f>
        <v>0.25641025641025639</v>
      </c>
      <c r="AE229">
        <v>160</v>
      </c>
      <c r="AF229" s="2">
        <f>knicks_players_all_stats[[#This Row],[BLK2]]/10</f>
        <v>16</v>
      </c>
      <c r="AG229" s="6">
        <f>knicks_players_all_stats[[#This Row],[BLK]]/knicks_players_all_stats[[#This Row],[GP]]</f>
        <v>0.41025641025641024</v>
      </c>
      <c r="AH229">
        <v>80</v>
      </c>
      <c r="AI229" s="6">
        <f>knicks_players_all_stats[[#This Row],[BLKPG]]+knicks_players_all_stats[[#This Row],[STLPG]]+knicks_players_all_stats[[#This Row],[REBPG]]</f>
        <v>2.9487179487179485</v>
      </c>
      <c r="AJ229" s="2">
        <f>knicks_players_all_stats[[#This Row],[TOV2]]/10</f>
        <v>8</v>
      </c>
      <c r="AK229" s="6">
        <f>knicks_players_all_stats[[#This Row],[TOV]]/knicks_players_all_stats[[#This Row],[GP]]</f>
        <v>0.20512820512820512</v>
      </c>
      <c r="AL229" s="2">
        <v>52</v>
      </c>
      <c r="AM229" s="2">
        <f>knicks_players_all_stats[[#This Row],[PF]]/knicks_players_all_stats[[#This Row],[GP]]</f>
        <v>1.3333333333333333</v>
      </c>
      <c r="AN229" s="2">
        <v>97</v>
      </c>
      <c r="AO229" s="6">
        <f>knicks_players_all_stats[[#This Row],[PTS]]/knicks_players_all_stats[[#This Row],[GP]]</f>
        <v>2.4871794871794872</v>
      </c>
    </row>
    <row r="230" spans="1:41" customFormat="1" x14ac:dyDescent="0.3">
      <c r="A230" s="3" t="s">
        <v>1773</v>
      </c>
      <c r="B230" s="3" t="s">
        <v>1292</v>
      </c>
      <c r="C230" s="3" t="str">
        <f>knicks_players_all_stats[[#This Row],[NAME]]&amp;" ("&amp;knicks_players_all_stats[[#This Row],[SEASON]]&amp;")"</f>
        <v>Quentin Richardson (2012-13)</v>
      </c>
      <c r="D230" s="3">
        <f>knicks_players_all_stats[[#This Row],[PLAYER_AGE]]/10</f>
        <v>33</v>
      </c>
      <c r="E230">
        <v>330</v>
      </c>
      <c r="F230" s="2">
        <v>1</v>
      </c>
      <c r="G230" s="2">
        <v>290</v>
      </c>
      <c r="H23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</v>
      </c>
      <c r="I230" s="6">
        <f>knicks_players_all_stats[[#This Row],[VALORATION]]/knicks_players_all_stats[[#This Row],[GP]]</f>
        <v>3</v>
      </c>
      <c r="J230" s="2">
        <v>1</v>
      </c>
      <c r="K230" s="2">
        <v>11</v>
      </c>
      <c r="L230" s="2">
        <v>91</v>
      </c>
      <c r="M230" s="2">
        <v>10</v>
      </c>
      <c r="N230" s="2">
        <v>40</v>
      </c>
      <c r="O230" s="4">
        <f>knicks_players_all_stats[[#This Row],[FG3M]]/knicks_players_all_stats[[#This Row],[FG3A]]</f>
        <v>0.25</v>
      </c>
      <c r="P230" s="2">
        <v>2</v>
      </c>
      <c r="Q230" s="2">
        <v>2</v>
      </c>
      <c r="R230" s="5">
        <f>knicks_players_all_stats[[#This Row],[FTM]]/knicks_players_all_stats[[#This Row],[FTA]]</f>
        <v>1</v>
      </c>
      <c r="S230" s="2">
        <f>knicks_players_all_stats[[#This Row],[OREB22]]/10</f>
        <v>5</v>
      </c>
      <c r="T230" s="2">
        <f>knicks_players_all_stats[[#This Row],[DREB33]]/10</f>
        <v>5</v>
      </c>
      <c r="U230" s="2">
        <f>knicks_players_all_stats[[#This Row],[REB44]]/10</f>
        <v>10</v>
      </c>
      <c r="V230">
        <v>50</v>
      </c>
      <c r="W230">
        <v>50</v>
      </c>
      <c r="X230">
        <v>100</v>
      </c>
      <c r="Y230" s="22">
        <f>knicks_players_all_stats[[#This Row],[REB]]/knicks_players_all_stats[[#This Row],[GP]]</f>
        <v>10</v>
      </c>
      <c r="Z230" s="2">
        <v>1</v>
      </c>
      <c r="AA230" s="6">
        <f>knicks_players_all_stats[[#This Row],[AST]]/knicks_players_all_stats[[#This Row],[GP]]</f>
        <v>1</v>
      </c>
      <c r="AB230" s="2">
        <f>knicks_players_all_stats[[#This Row],[STL2]]/10</f>
        <v>0</v>
      </c>
      <c r="AC230" s="2">
        <v>0</v>
      </c>
      <c r="AD230" s="6">
        <f>knicks_players_all_stats[[#This Row],[STL]]/knicks_players_all_stats[[#This Row],[GP]]</f>
        <v>0</v>
      </c>
      <c r="AE230">
        <v>0</v>
      </c>
      <c r="AF230" s="2">
        <f>knicks_players_all_stats[[#This Row],[BLK2]]/10</f>
        <v>0</v>
      </c>
      <c r="AG230" s="6">
        <f>knicks_players_all_stats[[#This Row],[BLK]]/knicks_players_all_stats[[#This Row],[GP]]</f>
        <v>0</v>
      </c>
      <c r="AH230">
        <v>20</v>
      </c>
      <c r="AI230" s="6">
        <f>knicks_players_all_stats[[#This Row],[BLKPG]]+knicks_players_all_stats[[#This Row],[STLPG]]+knicks_players_all_stats[[#This Row],[REBPG]]</f>
        <v>10</v>
      </c>
      <c r="AJ230" s="2">
        <f>knicks_players_all_stats[[#This Row],[TOV2]]/10</f>
        <v>2</v>
      </c>
      <c r="AK230" s="6">
        <f>knicks_players_all_stats[[#This Row],[TOV]]/knicks_players_all_stats[[#This Row],[GP]]</f>
        <v>2</v>
      </c>
      <c r="AL230" s="2">
        <v>1</v>
      </c>
      <c r="AM230" s="2">
        <f>knicks_players_all_stats[[#This Row],[PF]]/knicks_players_all_stats[[#This Row],[GP]]</f>
        <v>1</v>
      </c>
      <c r="AN230" s="2">
        <v>5</v>
      </c>
      <c r="AO230" s="6">
        <f>knicks_players_all_stats[[#This Row],[PTS]]/knicks_players_all_stats[[#This Row],[GP]]</f>
        <v>5</v>
      </c>
    </row>
    <row r="231" spans="1:41" customFormat="1" x14ac:dyDescent="0.3">
      <c r="A231" s="3" t="s">
        <v>1501</v>
      </c>
      <c r="B231" s="3" t="s">
        <v>1292</v>
      </c>
      <c r="C231" s="3" t="str">
        <f>knicks_players_all_stats[[#This Row],[NAME]]&amp;" ("&amp;knicks_players_all_stats[[#This Row],[SEASON]]&amp;")"</f>
        <v>Marcus Camby (2012-13)</v>
      </c>
      <c r="D231" s="3">
        <f>knicks_players_all_stats[[#This Row],[PLAYER_AGE]]/10</f>
        <v>39</v>
      </c>
      <c r="E231">
        <v>390</v>
      </c>
      <c r="F231" s="2">
        <v>24</v>
      </c>
      <c r="G231" s="2">
        <v>2500</v>
      </c>
      <c r="H23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67</v>
      </c>
      <c r="I231" s="6">
        <f>knicks_players_all_stats[[#This Row],[VALORATION]]/knicks_players_all_stats[[#This Row],[GP]]</f>
        <v>2.7916666666666665</v>
      </c>
      <c r="J231" s="2">
        <v>17</v>
      </c>
      <c r="K231" s="2">
        <v>53</v>
      </c>
      <c r="L231" s="4">
        <f>knicks_players_all_stats[[#This Row],[FGM]]/knicks_players_all_stats[[#This Row],[FGA]]</f>
        <v>0.32075471698113206</v>
      </c>
      <c r="M231" s="2">
        <v>0</v>
      </c>
      <c r="N231" s="2">
        <v>0</v>
      </c>
      <c r="O231" s="4" t="e">
        <f>knicks_players_all_stats[[#This Row],[FG3M]]/knicks_players_all_stats[[#This Row],[FG3A]]</f>
        <v>#DIV/0!</v>
      </c>
      <c r="P231" s="2">
        <v>8</v>
      </c>
      <c r="Q231" s="2">
        <v>19</v>
      </c>
      <c r="R231" s="5">
        <f>knicks_players_all_stats[[#This Row],[FTM]]/knicks_players_all_stats[[#This Row],[FTA]]</f>
        <v>0.42105263157894735</v>
      </c>
      <c r="S231" s="2">
        <f>knicks_players_all_stats[[#This Row],[OREB22]]/10</f>
        <v>24</v>
      </c>
      <c r="T231" s="2">
        <f>knicks_players_all_stats[[#This Row],[DREB33]]/10</f>
        <v>56</v>
      </c>
      <c r="U231" s="2">
        <f>knicks_players_all_stats[[#This Row],[REB44]]/10</f>
        <v>80</v>
      </c>
      <c r="V231">
        <v>240</v>
      </c>
      <c r="W231">
        <v>560</v>
      </c>
      <c r="X231">
        <v>800</v>
      </c>
      <c r="Y231" s="22">
        <f>knicks_players_all_stats[[#This Row],[REB]]/knicks_players_all_stats[[#This Row],[GP]]</f>
        <v>3.3333333333333335</v>
      </c>
      <c r="Z231" s="2">
        <v>14</v>
      </c>
      <c r="AA231" s="6">
        <f>knicks_players_all_stats[[#This Row],[AST]]/knicks_players_all_stats[[#This Row],[GP]]</f>
        <v>0.58333333333333337</v>
      </c>
      <c r="AB231" s="2">
        <f>knicks_players_all_stats[[#This Row],[STL2]]/10</f>
        <v>7</v>
      </c>
      <c r="AC231" s="2">
        <v>70</v>
      </c>
      <c r="AD231" s="6">
        <f>knicks_players_all_stats[[#This Row],[STL]]/knicks_players_all_stats[[#This Row],[GP]]</f>
        <v>0.29166666666666669</v>
      </c>
      <c r="AE231">
        <v>140</v>
      </c>
      <c r="AF231" s="2">
        <f>knicks_players_all_stats[[#This Row],[BLK2]]/10</f>
        <v>14</v>
      </c>
      <c r="AG231" s="6">
        <f>knicks_players_all_stats[[#This Row],[BLK]]/knicks_players_all_stats[[#This Row],[GP]]</f>
        <v>0.58333333333333337</v>
      </c>
      <c r="AH231">
        <v>150</v>
      </c>
      <c r="AI231" s="6">
        <f>knicks_players_all_stats[[#This Row],[BLKPG]]+knicks_players_all_stats[[#This Row],[STLPG]]+knicks_players_all_stats[[#This Row],[REBPG]]</f>
        <v>4.2083333333333339</v>
      </c>
      <c r="AJ231" s="2">
        <f>knicks_players_all_stats[[#This Row],[TOV2]]/10</f>
        <v>15</v>
      </c>
      <c r="AK231" s="6">
        <f>knicks_players_all_stats[[#This Row],[TOV]]/knicks_players_all_stats[[#This Row],[GP]]</f>
        <v>0.625</v>
      </c>
      <c r="AL231" s="2">
        <v>28</v>
      </c>
      <c r="AM231" s="2">
        <f>knicks_players_all_stats[[#This Row],[PF]]/knicks_players_all_stats[[#This Row],[GP]]</f>
        <v>1.1666666666666667</v>
      </c>
      <c r="AN231" s="2">
        <v>42</v>
      </c>
      <c r="AO231" s="6">
        <f>knicks_players_all_stats[[#This Row],[PTS]]/knicks_players_all_stats[[#This Row],[GP]]</f>
        <v>1.75</v>
      </c>
    </row>
    <row r="232" spans="1:41" customFormat="1" x14ac:dyDescent="0.3">
      <c r="A232" s="3" t="s">
        <v>1829</v>
      </c>
      <c r="B232" s="3" t="s">
        <v>1292</v>
      </c>
      <c r="C232" s="3" t="str">
        <f>knicks_players_all_stats[[#This Row],[NAME]]&amp;" ("&amp;knicks_players_all_stats[[#This Row],[SEASON]]&amp;")"</f>
        <v>James White (2012-13)</v>
      </c>
      <c r="D232" s="3">
        <f>knicks_players_all_stats[[#This Row],[PLAYER_AGE]]/10</f>
        <v>30</v>
      </c>
      <c r="E232">
        <v>300</v>
      </c>
      <c r="F232" s="2">
        <v>57</v>
      </c>
      <c r="G232" s="2">
        <v>4350</v>
      </c>
      <c r="H23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84</v>
      </c>
      <c r="I232" s="6">
        <f>knicks_players_all_stats[[#This Row],[VALORATION]]/knicks_players_all_stats[[#This Row],[GP]]</f>
        <v>1.4736842105263157</v>
      </c>
      <c r="J232" s="2">
        <v>50</v>
      </c>
      <c r="K232" s="2">
        <v>116</v>
      </c>
      <c r="L232" s="2">
        <v>431</v>
      </c>
      <c r="M232" s="2">
        <v>140</v>
      </c>
      <c r="N232" s="2">
        <v>410</v>
      </c>
      <c r="O232" s="4">
        <f>knicks_players_all_stats[[#This Row],[FG3M]]/knicks_players_all_stats[[#This Row],[FG3A]]</f>
        <v>0.34146341463414637</v>
      </c>
      <c r="P232" s="2">
        <v>11</v>
      </c>
      <c r="Q232" s="2">
        <v>19</v>
      </c>
      <c r="R232" s="5">
        <f>knicks_players_all_stats[[#This Row],[FTM]]/knicks_players_all_stats[[#This Row],[FTA]]</f>
        <v>0.57894736842105265</v>
      </c>
      <c r="S232" s="2">
        <f>knicks_players_all_stats[[#This Row],[OREB22]]/10</f>
        <v>5</v>
      </c>
      <c r="T232" s="2">
        <f>knicks_players_all_stats[[#This Row],[DREB33]]/10</f>
        <v>43</v>
      </c>
      <c r="U232" s="2">
        <f>knicks_players_all_stats[[#This Row],[REB44]]/10</f>
        <v>48</v>
      </c>
      <c r="V232">
        <v>50</v>
      </c>
      <c r="W232">
        <v>430</v>
      </c>
      <c r="X232">
        <v>480</v>
      </c>
      <c r="Y232" s="22">
        <f>knicks_players_all_stats[[#This Row],[REB]]/knicks_players_all_stats[[#This Row],[GP]]</f>
        <v>0.84210526315789469</v>
      </c>
      <c r="Z232" s="2">
        <v>29</v>
      </c>
      <c r="AA232" s="6">
        <f>knicks_players_all_stats[[#This Row],[AST]]/knicks_players_all_stats[[#This Row],[GP]]</f>
        <v>0.50877192982456143</v>
      </c>
      <c r="AB232" s="2">
        <f>knicks_players_all_stats[[#This Row],[STL2]]/10</f>
        <v>13</v>
      </c>
      <c r="AC232" s="2">
        <v>130</v>
      </c>
      <c r="AD232" s="6">
        <f>knicks_players_all_stats[[#This Row],[STL]]/knicks_players_all_stats[[#This Row],[GP]]</f>
        <v>0.22807017543859648</v>
      </c>
      <c r="AE232">
        <v>40</v>
      </c>
      <c r="AF232" s="2">
        <f>knicks_players_all_stats[[#This Row],[BLK2]]/10</f>
        <v>4</v>
      </c>
      <c r="AG232" s="6">
        <f>knicks_players_all_stats[[#This Row],[BLK]]/knicks_players_all_stats[[#This Row],[GP]]</f>
        <v>7.0175438596491224E-2</v>
      </c>
      <c r="AH232">
        <v>170</v>
      </c>
      <c r="AI232" s="6">
        <f>knicks_players_all_stats[[#This Row],[BLKPG]]+knicks_players_all_stats[[#This Row],[STLPG]]+knicks_players_all_stats[[#This Row],[REBPG]]</f>
        <v>1.1403508771929824</v>
      </c>
      <c r="AJ232" s="2">
        <f>knicks_players_all_stats[[#This Row],[TOV2]]/10</f>
        <v>17</v>
      </c>
      <c r="AK232" s="6">
        <f>knicks_players_all_stats[[#This Row],[TOV]]/knicks_players_all_stats[[#This Row],[GP]]</f>
        <v>0.2982456140350877</v>
      </c>
      <c r="AL232" s="2">
        <v>44</v>
      </c>
      <c r="AM232" s="2">
        <f>knicks_players_all_stats[[#This Row],[PF]]/knicks_players_all_stats[[#This Row],[GP]]</f>
        <v>0.77192982456140347</v>
      </c>
      <c r="AN232" s="2">
        <v>125</v>
      </c>
      <c r="AO232" s="6">
        <f>knicks_players_all_stats[[#This Row],[PTS]]/knicks_players_all_stats[[#This Row],[GP]]</f>
        <v>2.192982456140351</v>
      </c>
    </row>
    <row r="233" spans="1:41" customFormat="1" x14ac:dyDescent="0.3">
      <c r="A233" s="3" t="s">
        <v>1695</v>
      </c>
      <c r="B233" s="3" t="s">
        <v>1292</v>
      </c>
      <c r="C233" s="3" t="str">
        <f>knicks_players_all_stats[[#This Row],[NAME]]&amp;" ("&amp;knicks_players_all_stats[[#This Row],[SEASON]]&amp;")"</f>
        <v>Solomon Jones (2012-13)</v>
      </c>
      <c r="D233" s="3">
        <f>knicks_players_all_stats[[#This Row],[PLAYER_AGE]]/10</f>
        <v>28</v>
      </c>
      <c r="E233">
        <v>280</v>
      </c>
      <c r="F233" s="2">
        <v>2</v>
      </c>
      <c r="G233" s="2">
        <v>260</v>
      </c>
      <c r="H23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-3</v>
      </c>
      <c r="I233" s="6">
        <f>knicks_players_all_stats[[#This Row],[VALORATION]]/knicks_players_all_stats[[#This Row],[GP]]</f>
        <v>-1.5</v>
      </c>
      <c r="J233" s="2">
        <v>0</v>
      </c>
      <c r="K233" s="2">
        <v>1</v>
      </c>
      <c r="L233" s="2">
        <v>0</v>
      </c>
      <c r="M233" s="2">
        <v>0</v>
      </c>
      <c r="N233" s="2">
        <v>0</v>
      </c>
      <c r="O233" s="4" t="e">
        <f>knicks_players_all_stats[[#This Row],[FG3M]]/knicks_players_all_stats[[#This Row],[FG3A]]</f>
        <v>#DIV/0!</v>
      </c>
      <c r="P233" s="2">
        <v>0</v>
      </c>
      <c r="Q233" s="2">
        <v>0</v>
      </c>
      <c r="R233" s="5" t="e">
        <f>knicks_players_all_stats[[#This Row],[FTM]]/knicks_players_all_stats[[#This Row],[FTA]]</f>
        <v>#DIV/0!</v>
      </c>
      <c r="S233" s="2">
        <f>knicks_players_all_stats[[#This Row],[OREB22]]/10</f>
        <v>1</v>
      </c>
      <c r="T233" s="2">
        <f>knicks_players_all_stats[[#This Row],[DREB33]]/10</f>
        <v>2</v>
      </c>
      <c r="U233" s="2">
        <f>knicks_players_all_stats[[#This Row],[REB44]]/10</f>
        <v>3</v>
      </c>
      <c r="V233">
        <v>10</v>
      </c>
      <c r="W233">
        <v>20</v>
      </c>
      <c r="X233">
        <v>30</v>
      </c>
      <c r="Y233" s="22">
        <f>knicks_players_all_stats[[#This Row],[REB]]/knicks_players_all_stats[[#This Row],[GP]]</f>
        <v>1.5</v>
      </c>
      <c r="Z233" s="2">
        <v>0</v>
      </c>
      <c r="AA233" s="6">
        <f>knicks_players_all_stats[[#This Row],[AST]]/knicks_players_all_stats[[#This Row],[GP]]</f>
        <v>0</v>
      </c>
      <c r="AB233" s="2">
        <f>knicks_players_all_stats[[#This Row],[STL2]]/10</f>
        <v>0</v>
      </c>
      <c r="AC233" s="2">
        <v>0</v>
      </c>
      <c r="AD233" s="6">
        <f>knicks_players_all_stats[[#This Row],[STL]]/knicks_players_all_stats[[#This Row],[GP]]</f>
        <v>0</v>
      </c>
      <c r="AE233">
        <v>10</v>
      </c>
      <c r="AF233" s="2">
        <f>knicks_players_all_stats[[#This Row],[BLK2]]/10</f>
        <v>1</v>
      </c>
      <c r="AG233" s="6">
        <f>knicks_players_all_stats[[#This Row],[BLK]]/knicks_players_all_stats[[#This Row],[GP]]</f>
        <v>0.5</v>
      </c>
      <c r="AH233">
        <v>30</v>
      </c>
      <c r="AI233" s="6">
        <f>knicks_players_all_stats[[#This Row],[BLKPG]]+knicks_players_all_stats[[#This Row],[STLPG]]+knicks_players_all_stats[[#This Row],[REBPG]]</f>
        <v>2</v>
      </c>
      <c r="AJ233" s="2">
        <f>knicks_players_all_stats[[#This Row],[TOV2]]/10</f>
        <v>3</v>
      </c>
      <c r="AK233" s="6">
        <f>knicks_players_all_stats[[#This Row],[TOV]]/knicks_players_all_stats[[#This Row],[GP]]</f>
        <v>1.5</v>
      </c>
      <c r="AL233" s="2">
        <v>3</v>
      </c>
      <c r="AM233" s="2">
        <f>knicks_players_all_stats[[#This Row],[PF]]/knicks_players_all_stats[[#This Row],[GP]]</f>
        <v>1.5</v>
      </c>
      <c r="AN233" s="2">
        <v>0</v>
      </c>
      <c r="AO233" s="6">
        <f>knicks_players_all_stats[[#This Row],[PTS]]/knicks_players_all_stats[[#This Row],[GP]]</f>
        <v>0</v>
      </c>
    </row>
    <row r="234" spans="1:41" x14ac:dyDescent="0.3">
      <c r="A234" s="3" t="s">
        <v>1419</v>
      </c>
      <c r="B234" s="3" t="s">
        <v>1337</v>
      </c>
      <c r="C234" s="3" t="str">
        <f>knicks_players_all_stats[[#This Row],[NAME]]&amp;" ("&amp;knicks_players_all_stats[[#This Row],[SEASON]]&amp;")"</f>
        <v>Carmelo Anthony (2013-14)</v>
      </c>
      <c r="D234" s="3">
        <f>knicks_players_all_stats[[#This Row],[PLAYER_AGE]]/10</f>
        <v>30</v>
      </c>
      <c r="E234">
        <v>300</v>
      </c>
      <c r="F234" s="2">
        <v>77</v>
      </c>
      <c r="G234" s="2">
        <v>29820</v>
      </c>
      <c r="H23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1718</v>
      </c>
      <c r="I234" s="6">
        <f>knicks_players_all_stats[[#This Row],[VALORATION]]/knicks_players_all_stats[[#This Row],[GP]]</f>
        <v>22.311688311688311</v>
      </c>
      <c r="J234" s="2">
        <v>743</v>
      </c>
      <c r="K234" s="2">
        <v>1643</v>
      </c>
      <c r="L234" s="4">
        <f>knicks_players_all_stats[[#This Row],[FGM]]/knicks_players_all_stats[[#This Row],[FGA]]</f>
        <v>0.45222154595252589</v>
      </c>
      <c r="M234" s="2">
        <v>1670</v>
      </c>
      <c r="N234" s="2">
        <v>4150</v>
      </c>
      <c r="O234" s="4">
        <f>knicks_players_all_stats[[#This Row],[FG3M]]/knicks_players_all_stats[[#This Row],[FG3A]]</f>
        <v>0.40240963855421685</v>
      </c>
      <c r="P234" s="2">
        <v>459</v>
      </c>
      <c r="Q234" s="2">
        <v>541</v>
      </c>
      <c r="R234" s="5">
        <f>knicks_players_all_stats[[#This Row],[FTM]]/knicks_players_all_stats[[#This Row],[FTA]]</f>
        <v>0.84842883548983361</v>
      </c>
      <c r="S234" s="2">
        <f>knicks_players_all_stats[[#This Row],[OREB22]]/10</f>
        <v>145</v>
      </c>
      <c r="T234" s="2">
        <f>knicks_players_all_stats[[#This Row],[DREB33]]/10</f>
        <v>477</v>
      </c>
      <c r="U234" s="2">
        <f>knicks_players_all_stats[[#This Row],[REB44]]/10</f>
        <v>622</v>
      </c>
      <c r="V234">
        <v>1450</v>
      </c>
      <c r="W234">
        <v>4770</v>
      </c>
      <c r="X234">
        <v>6220</v>
      </c>
      <c r="Y234" s="22">
        <f>knicks_players_all_stats[[#This Row],[REB]]/knicks_players_all_stats[[#This Row],[GP]]</f>
        <v>8.0779220779220786</v>
      </c>
      <c r="Z234" s="2">
        <v>242</v>
      </c>
      <c r="AA234" s="6">
        <f>knicks_players_all_stats[[#This Row],[AST]]/knicks_players_all_stats[[#This Row],[GP]]</f>
        <v>3.1428571428571428</v>
      </c>
      <c r="AB234" s="2">
        <f>knicks_players_all_stats[[#This Row],[STL2]]/10</f>
        <v>95</v>
      </c>
      <c r="AC234" s="2">
        <v>950</v>
      </c>
      <c r="AD234" s="6">
        <f>knicks_players_all_stats[[#This Row],[STL]]/knicks_players_all_stats[[#This Row],[GP]]</f>
        <v>1.2337662337662338</v>
      </c>
      <c r="AE234">
        <v>510</v>
      </c>
      <c r="AF234" s="2">
        <f>knicks_players_all_stats[[#This Row],[BLK2]]/10</f>
        <v>51</v>
      </c>
      <c r="AG234" s="6">
        <f>knicks_players_all_stats[[#This Row],[BLK]]/knicks_players_all_stats[[#This Row],[GP]]</f>
        <v>0.66233766233766234</v>
      </c>
      <c r="AH234">
        <v>1980</v>
      </c>
      <c r="AI234" s="6">
        <f>knicks_players_all_stats[[#This Row],[BLKPG]]+knicks_players_all_stats[[#This Row],[STLPG]]+knicks_players_all_stats[[#This Row],[REBPG]]</f>
        <v>9.9740259740259738</v>
      </c>
      <c r="AJ234" s="2">
        <f>knicks_players_all_stats[[#This Row],[TOV2]]/10</f>
        <v>198</v>
      </c>
      <c r="AK234" s="6">
        <f>knicks_players_all_stats[[#This Row],[TOV]]/knicks_players_all_stats[[#This Row],[GP]]</f>
        <v>2.5714285714285716</v>
      </c>
      <c r="AL234" s="2">
        <v>224</v>
      </c>
      <c r="AM234" s="2">
        <f>knicks_players_all_stats[[#This Row],[PF]]/knicks_players_all_stats[[#This Row],[GP]]</f>
        <v>2.9090909090909092</v>
      </c>
      <c r="AN234" s="2">
        <v>2112</v>
      </c>
      <c r="AO234" s="6">
        <f>knicks_players_all_stats[[#This Row],[PTS]]/knicks_players_all_stats[[#This Row],[GP]]</f>
        <v>27.428571428571427</v>
      </c>
    </row>
    <row r="235" spans="1:41" customFormat="1" x14ac:dyDescent="0.3">
      <c r="A235" s="3" t="s">
        <v>1450</v>
      </c>
      <c r="B235" s="3" t="s">
        <v>1337</v>
      </c>
      <c r="C235" s="3" t="str">
        <f>knicks_players_all_stats[[#This Row],[NAME]]&amp;" ("&amp;knicks_players_all_stats[[#This Row],[SEASON]]&amp;")"</f>
        <v>Tyson Chandler (2013-14)</v>
      </c>
      <c r="D235" s="3">
        <f>knicks_players_all_stats[[#This Row],[PLAYER_AGE]]/10</f>
        <v>31</v>
      </c>
      <c r="E235">
        <v>310</v>
      </c>
      <c r="F235" s="2">
        <v>55</v>
      </c>
      <c r="G235" s="2">
        <v>16620</v>
      </c>
      <c r="H23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763</v>
      </c>
      <c r="I235" s="6">
        <f>knicks_players_all_stats[[#This Row],[VALORATION]]/knicks_players_all_stats[[#This Row],[GP]]</f>
        <v>13.872727272727273</v>
      </c>
      <c r="J235" s="2">
        <v>191</v>
      </c>
      <c r="K235" s="2">
        <v>322</v>
      </c>
      <c r="L235" s="4">
        <f>knicks_players_all_stats[[#This Row],[FGM]]/knicks_players_all_stats[[#This Row],[FGA]]</f>
        <v>0.59316770186335399</v>
      </c>
      <c r="M235" s="2">
        <v>0</v>
      </c>
      <c r="N235" s="2">
        <v>10</v>
      </c>
      <c r="O235" s="4">
        <f>knicks_players_all_stats[[#This Row],[FG3M]]/knicks_players_all_stats[[#This Row],[FG3A]]</f>
        <v>0</v>
      </c>
      <c r="P235" s="2">
        <v>98</v>
      </c>
      <c r="Q235" s="2">
        <v>155</v>
      </c>
      <c r="R235" s="5">
        <f>knicks_players_all_stats[[#This Row],[FTM]]/knicks_players_all_stats[[#This Row],[FTA]]</f>
        <v>0.63225806451612898</v>
      </c>
      <c r="S235" s="2">
        <f>knicks_players_all_stats[[#This Row],[OREB22]]/10</f>
        <v>159</v>
      </c>
      <c r="T235" s="2">
        <f>knicks_players_all_stats[[#This Row],[DREB33]]/10</f>
        <v>370</v>
      </c>
      <c r="U235" s="2">
        <f>knicks_players_all_stats[[#This Row],[REB44]]/10</f>
        <v>529</v>
      </c>
      <c r="V235">
        <v>1590</v>
      </c>
      <c r="W235">
        <v>3700</v>
      </c>
      <c r="X235">
        <v>5290</v>
      </c>
      <c r="Y235" s="22">
        <f>knicks_players_all_stats[[#This Row],[REB]]/knicks_players_all_stats[[#This Row],[GP]]</f>
        <v>9.6181818181818191</v>
      </c>
      <c r="Z235" s="2">
        <v>59</v>
      </c>
      <c r="AA235" s="6">
        <f>knicks_players_all_stats[[#This Row],[AST]]/knicks_players_all_stats[[#This Row],[GP]]</f>
        <v>1.0727272727272728</v>
      </c>
      <c r="AB235" s="2">
        <f>knicks_players_all_stats[[#This Row],[STL2]]/10</f>
        <v>36</v>
      </c>
      <c r="AC235" s="2">
        <v>360</v>
      </c>
      <c r="AD235" s="6">
        <f>knicks_players_all_stats[[#This Row],[STL]]/knicks_players_all_stats[[#This Row],[GP]]</f>
        <v>0.65454545454545454</v>
      </c>
      <c r="AE235">
        <v>630</v>
      </c>
      <c r="AF235" s="2">
        <f>knicks_players_all_stats[[#This Row],[BLK2]]/10</f>
        <v>63</v>
      </c>
      <c r="AG235" s="6">
        <f>knicks_players_all_stats[[#This Row],[BLK]]/knicks_players_all_stats[[#This Row],[GP]]</f>
        <v>1.1454545454545455</v>
      </c>
      <c r="AH235">
        <v>710</v>
      </c>
      <c r="AI235" s="6">
        <f>knicks_players_all_stats[[#This Row],[BLKPG]]+knicks_players_all_stats[[#This Row],[STLPG]]+knicks_players_all_stats[[#This Row],[REBPG]]</f>
        <v>11.41818181818182</v>
      </c>
      <c r="AJ235" s="2">
        <f>knicks_players_all_stats[[#This Row],[TOV2]]/10</f>
        <v>71</v>
      </c>
      <c r="AK235" s="6">
        <f>knicks_players_all_stats[[#This Row],[TOV]]/knicks_players_all_stats[[#This Row],[GP]]</f>
        <v>1.290909090909091</v>
      </c>
      <c r="AL235" s="2">
        <v>145</v>
      </c>
      <c r="AM235" s="2">
        <f>knicks_players_all_stats[[#This Row],[PF]]/knicks_players_all_stats[[#This Row],[GP]]</f>
        <v>2.6363636363636362</v>
      </c>
      <c r="AN235" s="2">
        <v>480</v>
      </c>
      <c r="AO235" s="6">
        <f>knicks_players_all_stats[[#This Row],[PTS]]/knicks_players_all_stats[[#This Row],[GP]]</f>
        <v>8.7272727272727266</v>
      </c>
    </row>
    <row r="236" spans="1:41" customFormat="1" x14ac:dyDescent="0.3">
      <c r="A236" s="3" t="s">
        <v>1342</v>
      </c>
      <c r="B236" s="3" t="s">
        <v>1337</v>
      </c>
      <c r="C236" s="3" t="str">
        <f>knicks_players_all_stats[[#This Row],[NAME]]&amp;" ("&amp;knicks_players_all_stats[[#This Row],[SEASON]]&amp;")"</f>
        <v>Andrea Bargnani (2013-14)</v>
      </c>
      <c r="D236" s="3">
        <f>knicks_players_all_stats[[#This Row],[PLAYER_AGE]]/10</f>
        <v>28</v>
      </c>
      <c r="E236">
        <v>280</v>
      </c>
      <c r="F236" s="2">
        <v>42</v>
      </c>
      <c r="G236" s="2">
        <v>12570</v>
      </c>
      <c r="H23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435</v>
      </c>
      <c r="I236" s="6">
        <f>knicks_players_all_stats[[#This Row],[VALORATION]]/knicks_players_all_stats[[#This Row],[GP]]</f>
        <v>10.357142857142858</v>
      </c>
      <c r="J236" s="2">
        <v>222</v>
      </c>
      <c r="K236" s="2">
        <v>502</v>
      </c>
      <c r="L236" s="4">
        <f>knicks_players_all_stats[[#This Row],[FGM]]/knicks_players_all_stats[[#This Row],[FGA]]</f>
        <v>0.44223107569721115</v>
      </c>
      <c r="M236" s="2">
        <v>300</v>
      </c>
      <c r="N236" s="2">
        <v>1080</v>
      </c>
      <c r="O236" s="4">
        <f>knicks_players_all_stats[[#This Row],[FG3M]]/knicks_players_all_stats[[#This Row],[FG3A]]</f>
        <v>0.27777777777777779</v>
      </c>
      <c r="P236" s="2">
        <v>84</v>
      </c>
      <c r="Q236" s="2">
        <v>102</v>
      </c>
      <c r="R236" s="5">
        <f>knicks_players_all_stats[[#This Row],[FTM]]/knicks_players_all_stats[[#This Row],[FTA]]</f>
        <v>0.82352941176470584</v>
      </c>
      <c r="S236" s="2">
        <f>knicks_players_all_stats[[#This Row],[OREB22]]/10</f>
        <v>69</v>
      </c>
      <c r="T236" s="2">
        <f>knicks_players_all_stats[[#This Row],[DREB33]]/10</f>
        <v>153</v>
      </c>
      <c r="U236" s="2">
        <f>knicks_players_all_stats[[#This Row],[REB44]]/10</f>
        <v>222</v>
      </c>
      <c r="V236">
        <v>690</v>
      </c>
      <c r="W236">
        <v>1530</v>
      </c>
      <c r="X236">
        <v>2220</v>
      </c>
      <c r="Y236" s="22">
        <f>knicks_players_all_stats[[#This Row],[REB]]/knicks_players_all_stats[[#This Row],[GP]]</f>
        <v>5.2857142857142856</v>
      </c>
      <c r="Z236" s="2">
        <v>45</v>
      </c>
      <c r="AA236" s="6">
        <f>knicks_players_all_stats[[#This Row],[AST]]/knicks_players_all_stats[[#This Row],[GP]]</f>
        <v>1.0714285714285714</v>
      </c>
      <c r="AB236" s="2">
        <f>knicks_players_all_stats[[#This Row],[STL2]]/10</f>
        <v>14</v>
      </c>
      <c r="AC236" s="2">
        <v>140</v>
      </c>
      <c r="AD236" s="6">
        <f>knicks_players_all_stats[[#This Row],[STL]]/knicks_players_all_stats[[#This Row],[GP]]</f>
        <v>0.33333333333333331</v>
      </c>
      <c r="AE236">
        <v>520</v>
      </c>
      <c r="AF236" s="2">
        <f>knicks_players_all_stats[[#This Row],[BLK2]]/10</f>
        <v>52</v>
      </c>
      <c r="AG236" s="6">
        <f>knicks_players_all_stats[[#This Row],[BLK]]/knicks_players_all_stats[[#This Row],[GP]]</f>
        <v>1.2380952380952381</v>
      </c>
      <c r="AH236">
        <v>580</v>
      </c>
      <c r="AI236" s="6">
        <f>knicks_players_all_stats[[#This Row],[BLKPG]]+knicks_players_all_stats[[#This Row],[STLPG]]+knicks_players_all_stats[[#This Row],[REBPG]]</f>
        <v>6.8571428571428568</v>
      </c>
      <c r="AJ236" s="2">
        <f>knicks_players_all_stats[[#This Row],[TOV2]]/10</f>
        <v>58</v>
      </c>
      <c r="AK236" s="6">
        <f>knicks_players_all_stats[[#This Row],[TOV]]/knicks_players_all_stats[[#This Row],[GP]]</f>
        <v>1.3809523809523809</v>
      </c>
      <c r="AL236" s="2">
        <v>100</v>
      </c>
      <c r="AM236" s="2">
        <f>knicks_players_all_stats[[#This Row],[PF]]/knicks_players_all_stats[[#This Row],[GP]]</f>
        <v>2.3809523809523809</v>
      </c>
      <c r="AN236" s="2">
        <v>558</v>
      </c>
      <c r="AO236" s="6">
        <f>knicks_players_all_stats[[#This Row],[PTS]]/knicks_players_all_stats[[#This Row],[GP]]</f>
        <v>13.285714285714286</v>
      </c>
    </row>
    <row r="237" spans="1:41" x14ac:dyDescent="0.3">
      <c r="A237" s="3" t="s">
        <v>1451</v>
      </c>
      <c r="B237" s="3" t="s">
        <v>1337</v>
      </c>
      <c r="C237" s="3" t="str">
        <f>knicks_players_all_stats[[#This Row],[NAME]]&amp;" ("&amp;knicks_players_all_stats[[#This Row],[SEASON]]&amp;")"</f>
        <v>JR Smith (2013-14)</v>
      </c>
      <c r="D237" s="3">
        <f>knicks_players_all_stats[[#This Row],[PLAYER_AGE]]/10</f>
        <v>28</v>
      </c>
      <c r="E237">
        <v>280</v>
      </c>
      <c r="F237" s="2">
        <v>74</v>
      </c>
      <c r="G237" s="2">
        <v>24210</v>
      </c>
      <c r="H23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760</v>
      </c>
      <c r="I237" s="6">
        <f>knicks_players_all_stats[[#This Row],[VALORATION]]/knicks_players_all_stats[[#This Row],[GP]]</f>
        <v>10.27027027027027</v>
      </c>
      <c r="J237" s="2">
        <v>396</v>
      </c>
      <c r="K237" s="2">
        <v>955</v>
      </c>
      <c r="L237" s="4">
        <f>knicks_players_all_stats[[#This Row],[FGM]]/knicks_players_all_stats[[#This Row],[FGA]]</f>
        <v>0.41465968586387436</v>
      </c>
      <c r="M237" s="2">
        <v>1890</v>
      </c>
      <c r="N237" s="2">
        <v>4800</v>
      </c>
      <c r="O237" s="4">
        <f>knicks_players_all_stats[[#This Row],[FG3M]]/knicks_players_all_stats[[#This Row],[FG3A]]</f>
        <v>0.39374999999999999</v>
      </c>
      <c r="P237" s="2">
        <v>90</v>
      </c>
      <c r="Q237" s="2">
        <v>138</v>
      </c>
      <c r="R237" s="5">
        <f>knicks_players_all_stats[[#This Row],[FTM]]/knicks_players_all_stats[[#This Row],[FTA]]</f>
        <v>0.65217391304347827</v>
      </c>
      <c r="S237" s="2">
        <f>knicks_players_all_stats[[#This Row],[OREB22]]/10</f>
        <v>35</v>
      </c>
      <c r="T237" s="2">
        <f>knicks_players_all_stats[[#This Row],[DREB33]]/10</f>
        <v>261</v>
      </c>
      <c r="U237" s="2">
        <f>knicks_players_all_stats[[#This Row],[REB44]]/10</f>
        <v>296</v>
      </c>
      <c r="V237">
        <v>350</v>
      </c>
      <c r="W237">
        <v>2610</v>
      </c>
      <c r="X237">
        <v>2960</v>
      </c>
      <c r="Y237" s="22">
        <f>knicks_players_all_stats[[#This Row],[REB]]/knicks_players_all_stats[[#This Row],[GP]]</f>
        <v>4</v>
      </c>
      <c r="Z237" s="2">
        <v>219</v>
      </c>
      <c r="AA237" s="6">
        <f>knicks_players_all_stats[[#This Row],[AST]]/knicks_players_all_stats[[#This Row],[GP]]</f>
        <v>2.9594594594594597</v>
      </c>
      <c r="AB237" s="2">
        <f>knicks_players_all_stats[[#This Row],[STL2]]/10</f>
        <v>65</v>
      </c>
      <c r="AC237" s="2">
        <v>650</v>
      </c>
      <c r="AD237" s="6">
        <f>knicks_players_all_stats[[#This Row],[STL]]/knicks_players_all_stats[[#This Row],[GP]]</f>
        <v>0.8783783783783784</v>
      </c>
      <c r="AE237">
        <v>200</v>
      </c>
      <c r="AF237" s="2">
        <f>knicks_players_all_stats[[#This Row],[BLK2]]/10</f>
        <v>20</v>
      </c>
      <c r="AG237" s="6">
        <f>knicks_players_all_stats[[#This Row],[BLK]]/knicks_players_all_stats[[#This Row],[GP]]</f>
        <v>0.27027027027027029</v>
      </c>
      <c r="AH237">
        <v>1080</v>
      </c>
      <c r="AI237" s="6">
        <f>knicks_players_all_stats[[#This Row],[BLKPG]]+knicks_players_all_stats[[#This Row],[STLPG]]+knicks_players_all_stats[[#This Row],[REBPG]]</f>
        <v>5.1486486486486491</v>
      </c>
      <c r="AJ237" s="2">
        <f>knicks_players_all_stats[[#This Row],[TOV2]]/10</f>
        <v>108</v>
      </c>
      <c r="AK237" s="6">
        <f>knicks_players_all_stats[[#This Row],[TOV]]/knicks_players_all_stats[[#This Row],[GP]]</f>
        <v>1.4594594594594594</v>
      </c>
      <c r="AL237" s="2">
        <v>196</v>
      </c>
      <c r="AM237" s="2">
        <f>knicks_players_all_stats[[#This Row],[PF]]/knicks_players_all_stats[[#This Row],[GP]]</f>
        <v>2.6486486486486487</v>
      </c>
      <c r="AN237" s="2">
        <v>1071</v>
      </c>
      <c r="AO237" s="6">
        <f>knicks_players_all_stats[[#This Row],[PTS]]/knicks_players_all_stats[[#This Row],[GP]]</f>
        <v>14.472972972972974</v>
      </c>
    </row>
    <row r="238" spans="1:41" customFormat="1" x14ac:dyDescent="0.3">
      <c r="A238" s="3" t="s">
        <v>1738</v>
      </c>
      <c r="B238" s="3" t="s">
        <v>1337</v>
      </c>
      <c r="C238" s="3" t="str">
        <f>knicks_players_all_stats[[#This Row],[NAME]]&amp;" ("&amp;knicks_players_all_stats[[#This Row],[SEASON]]&amp;")"</f>
        <v>Amar'e Stoudemire (2013-14)</v>
      </c>
      <c r="D238" s="3">
        <f>knicks_players_all_stats[[#This Row],[PLAYER_AGE]]/10</f>
        <v>31</v>
      </c>
      <c r="E238">
        <v>310</v>
      </c>
      <c r="F238" s="2">
        <v>65</v>
      </c>
      <c r="G238" s="2">
        <v>14660</v>
      </c>
      <c r="H23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636</v>
      </c>
      <c r="I238" s="6">
        <f>knicks_players_all_stats[[#This Row],[VALORATION]]/knicks_players_all_stats[[#This Row],[GP]]</f>
        <v>9.7846153846153854</v>
      </c>
      <c r="J238" s="2">
        <v>311</v>
      </c>
      <c r="K238" s="2">
        <v>558</v>
      </c>
      <c r="L238" s="2">
        <v>557</v>
      </c>
      <c r="M238" s="2">
        <v>0</v>
      </c>
      <c r="N238" s="2">
        <v>0</v>
      </c>
      <c r="O238" s="4" t="e">
        <f>knicks_players_all_stats[[#This Row],[FG3M]]/knicks_players_all_stats[[#This Row],[FG3A]]</f>
        <v>#DIV/0!</v>
      </c>
      <c r="P238" s="2">
        <v>150</v>
      </c>
      <c r="Q238" s="2">
        <v>203</v>
      </c>
      <c r="R238" s="5">
        <f>knicks_players_all_stats[[#This Row],[FTM]]/knicks_players_all_stats[[#This Row],[FTA]]</f>
        <v>0.73891625615763545</v>
      </c>
      <c r="S238" s="2">
        <f>knicks_players_all_stats[[#This Row],[OREB22]]/10</f>
        <v>112</v>
      </c>
      <c r="T238" s="2">
        <f>knicks_players_all_stats[[#This Row],[DREB33]]/10</f>
        <v>208</v>
      </c>
      <c r="U238" s="2">
        <f>knicks_players_all_stats[[#This Row],[REB44]]/10</f>
        <v>320</v>
      </c>
      <c r="V238">
        <v>1120</v>
      </c>
      <c r="W238">
        <v>2080</v>
      </c>
      <c r="X238">
        <v>3200</v>
      </c>
      <c r="Y238" s="22">
        <f>knicks_players_all_stats[[#This Row],[REB]]/knicks_players_all_stats[[#This Row],[GP]]</f>
        <v>4.9230769230769234</v>
      </c>
      <c r="Z238" s="2">
        <v>34</v>
      </c>
      <c r="AA238" s="6">
        <f>knicks_players_all_stats[[#This Row],[AST]]/knicks_players_all_stats[[#This Row],[GP]]</f>
        <v>0.52307692307692311</v>
      </c>
      <c r="AB238" s="2">
        <f>knicks_players_all_stats[[#This Row],[STL2]]/10</f>
        <v>23</v>
      </c>
      <c r="AC238" s="2">
        <v>230</v>
      </c>
      <c r="AD238" s="6">
        <f>knicks_players_all_stats[[#This Row],[STL]]/knicks_players_all_stats[[#This Row],[GP]]</f>
        <v>0.35384615384615387</v>
      </c>
      <c r="AE238">
        <v>370</v>
      </c>
      <c r="AF238" s="2">
        <f>knicks_players_all_stats[[#This Row],[BLK2]]/10</f>
        <v>37</v>
      </c>
      <c r="AG238" s="6">
        <f>knicks_players_all_stats[[#This Row],[BLK]]/knicks_players_all_stats[[#This Row],[GP]]</f>
        <v>0.56923076923076921</v>
      </c>
      <c r="AH238">
        <v>910</v>
      </c>
      <c r="AI238" s="6">
        <f>knicks_players_all_stats[[#This Row],[BLKPG]]+knicks_players_all_stats[[#This Row],[STLPG]]+knicks_players_all_stats[[#This Row],[REBPG]]</f>
        <v>5.8461538461538467</v>
      </c>
      <c r="AJ238" s="2">
        <f>knicks_players_all_stats[[#This Row],[TOV2]]/10</f>
        <v>91</v>
      </c>
      <c r="AK238" s="6">
        <f>knicks_players_all_stats[[#This Row],[TOV]]/knicks_players_all_stats[[#This Row],[GP]]</f>
        <v>1.4</v>
      </c>
      <c r="AL238" s="2">
        <v>159</v>
      </c>
      <c r="AM238" s="2">
        <f>knicks_players_all_stats[[#This Row],[PF]]/knicks_players_all_stats[[#This Row],[GP]]</f>
        <v>2.4461538461538463</v>
      </c>
      <c r="AN238" s="2">
        <v>772</v>
      </c>
      <c r="AO238" s="6">
        <f>knicks_players_all_stats[[#This Row],[PTS]]/knicks_players_all_stats[[#This Row],[GP]]</f>
        <v>11.876923076923077</v>
      </c>
    </row>
    <row r="239" spans="1:41" customFormat="1" x14ac:dyDescent="0.3">
      <c r="A239" s="3" t="s">
        <v>1505</v>
      </c>
      <c r="B239" s="3" t="s">
        <v>1337</v>
      </c>
      <c r="C239" s="3" t="str">
        <f>knicks_players_all_stats[[#This Row],[NAME]]&amp;" ("&amp;knicks_players_all_stats[[#This Row],[SEASON]]&amp;")"</f>
        <v>Raymond Felton (2013-14)</v>
      </c>
      <c r="D239" s="3">
        <f>knicks_players_all_stats[[#This Row],[PLAYER_AGE]]/10</f>
        <v>30</v>
      </c>
      <c r="E239">
        <v>300</v>
      </c>
      <c r="F239" s="2">
        <v>65</v>
      </c>
      <c r="G239" s="2">
        <v>20170</v>
      </c>
      <c r="H23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609</v>
      </c>
      <c r="I239" s="6">
        <f>knicks_players_all_stats[[#This Row],[VALORATION]]/knicks_players_all_stats[[#This Row],[GP]]</f>
        <v>9.3692307692307697</v>
      </c>
      <c r="J239" s="2">
        <v>240</v>
      </c>
      <c r="K239" s="2">
        <v>608</v>
      </c>
      <c r="L239" s="4">
        <f>knicks_players_all_stats[[#This Row],[FGM]]/knicks_players_all_stats[[#This Row],[FGA]]</f>
        <v>0.39473684210526316</v>
      </c>
      <c r="M239" s="2">
        <v>620</v>
      </c>
      <c r="N239" s="2">
        <v>1950</v>
      </c>
      <c r="O239" s="4">
        <f>knicks_players_all_stats[[#This Row],[FG3M]]/knicks_players_all_stats[[#This Row],[FG3A]]</f>
        <v>0.31794871794871793</v>
      </c>
      <c r="P239" s="2">
        <v>88</v>
      </c>
      <c r="Q239" s="2">
        <v>122</v>
      </c>
      <c r="R239" s="5">
        <f>knicks_players_all_stats[[#This Row],[FTM]]/knicks_players_all_stats[[#This Row],[FTA]]</f>
        <v>0.72131147540983609</v>
      </c>
      <c r="S239" s="2">
        <f>knicks_players_all_stats[[#This Row],[OREB22]]/10</f>
        <v>54</v>
      </c>
      <c r="T239" s="2">
        <f>knicks_players_all_stats[[#This Row],[DREB33]]/10</f>
        <v>143</v>
      </c>
      <c r="U239" s="2">
        <f>knicks_players_all_stats[[#This Row],[REB44]]/10</f>
        <v>197</v>
      </c>
      <c r="V239">
        <v>540</v>
      </c>
      <c r="W239">
        <v>1430</v>
      </c>
      <c r="X239">
        <v>1970</v>
      </c>
      <c r="Y239" s="22">
        <f>knicks_players_all_stats[[#This Row],[REB]]/knicks_players_all_stats[[#This Row],[GP]]</f>
        <v>3.0307692307692307</v>
      </c>
      <c r="Z239" s="2">
        <v>365</v>
      </c>
      <c r="AA239" s="6">
        <f>knicks_players_all_stats[[#This Row],[AST]]/knicks_players_all_stats[[#This Row],[GP]]</f>
        <v>5.615384615384615</v>
      </c>
      <c r="AB239" s="2">
        <f>knicks_players_all_stats[[#This Row],[STL2]]/10</f>
        <v>78</v>
      </c>
      <c r="AC239" s="2">
        <v>780</v>
      </c>
      <c r="AD239" s="6">
        <f>knicks_players_all_stats[[#This Row],[STL]]/knicks_players_all_stats[[#This Row],[GP]]</f>
        <v>1.2</v>
      </c>
      <c r="AE239">
        <v>270</v>
      </c>
      <c r="AF239" s="2">
        <f>knicks_players_all_stats[[#This Row],[BLK2]]/10</f>
        <v>27</v>
      </c>
      <c r="AG239" s="6">
        <f>knicks_players_all_stats[[#This Row],[BLK]]/knicks_players_all_stats[[#This Row],[GP]]</f>
        <v>0.41538461538461541</v>
      </c>
      <c r="AH239">
        <v>1290</v>
      </c>
      <c r="AI239" s="6">
        <f>knicks_players_all_stats[[#This Row],[BLKPG]]+knicks_players_all_stats[[#This Row],[STLPG]]+knicks_players_all_stats[[#This Row],[REBPG]]</f>
        <v>4.6461538461538456</v>
      </c>
      <c r="AJ239" s="2">
        <f>knicks_players_all_stats[[#This Row],[TOV2]]/10</f>
        <v>129</v>
      </c>
      <c r="AK239" s="6">
        <f>knicks_players_all_stats[[#This Row],[TOV]]/knicks_players_all_stats[[#This Row],[GP]]</f>
        <v>1.9846153846153847</v>
      </c>
      <c r="AL239" s="2">
        <v>157</v>
      </c>
      <c r="AM239" s="2">
        <f>knicks_players_all_stats[[#This Row],[PF]]/knicks_players_all_stats[[#This Row],[GP]]</f>
        <v>2.4153846153846152</v>
      </c>
      <c r="AN239" s="2">
        <v>630</v>
      </c>
      <c r="AO239" s="6">
        <f>knicks_players_all_stats[[#This Row],[PTS]]/knicks_players_all_stats[[#This Row],[GP]]</f>
        <v>9.6923076923076916</v>
      </c>
    </row>
    <row r="240" spans="1:41" customFormat="1" x14ac:dyDescent="0.3">
      <c r="A240" s="3" t="s">
        <v>1486</v>
      </c>
      <c r="B240" s="3" t="s">
        <v>1337</v>
      </c>
      <c r="C240" s="3" t="str">
        <f>knicks_players_all_stats[[#This Row],[NAME]]&amp;" ("&amp;knicks_players_all_stats[[#This Row],[SEASON]]&amp;")"</f>
        <v>Kenyon Martin (2013-14)</v>
      </c>
      <c r="D240" s="3">
        <f>knicks_players_all_stats[[#This Row],[PLAYER_AGE]]/10</f>
        <v>36</v>
      </c>
      <c r="E240">
        <v>360</v>
      </c>
      <c r="F240" s="2">
        <v>32</v>
      </c>
      <c r="G240" s="2">
        <v>6330</v>
      </c>
      <c r="H24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194</v>
      </c>
      <c r="I240" s="6">
        <f>knicks_players_all_stats[[#This Row],[VALORATION]]/knicks_players_all_stats[[#This Row],[GP]]</f>
        <v>6.0625</v>
      </c>
      <c r="J240" s="2">
        <v>63</v>
      </c>
      <c r="K240" s="2">
        <v>123</v>
      </c>
      <c r="L240" s="4">
        <f>knicks_players_all_stats[[#This Row],[FGM]]/knicks_players_all_stats[[#This Row],[FGA]]</f>
        <v>0.51219512195121952</v>
      </c>
      <c r="M240" s="2">
        <v>0</v>
      </c>
      <c r="N240" s="2">
        <v>10</v>
      </c>
      <c r="O240" s="4">
        <f>knicks_players_all_stats[[#This Row],[FG3M]]/knicks_players_all_stats[[#This Row],[FG3A]]</f>
        <v>0</v>
      </c>
      <c r="P240" s="2">
        <v>11</v>
      </c>
      <c r="Q240" s="2">
        <v>19</v>
      </c>
      <c r="R240" s="5">
        <f>knicks_players_all_stats[[#This Row],[FTM]]/knicks_players_all_stats[[#This Row],[FTA]]</f>
        <v>0.57894736842105265</v>
      </c>
      <c r="S240" s="2">
        <f>knicks_players_all_stats[[#This Row],[OREB22]]/10</f>
        <v>36</v>
      </c>
      <c r="T240" s="2">
        <f>knicks_players_all_stats[[#This Row],[DREB33]]/10</f>
        <v>98</v>
      </c>
      <c r="U240" s="2">
        <f>knicks_players_all_stats[[#This Row],[REB44]]/10</f>
        <v>134</v>
      </c>
      <c r="V240">
        <v>360</v>
      </c>
      <c r="W240">
        <v>980</v>
      </c>
      <c r="X240">
        <v>1340</v>
      </c>
      <c r="Y240" s="22">
        <f>knicks_players_all_stats[[#This Row],[REB]]/knicks_players_all_stats[[#This Row],[GP]]</f>
        <v>4.1875</v>
      </c>
      <c r="Z240" s="2">
        <v>50</v>
      </c>
      <c r="AA240" s="6">
        <f>knicks_players_all_stats[[#This Row],[AST]]/knicks_players_all_stats[[#This Row],[GP]]</f>
        <v>1.5625</v>
      </c>
      <c r="AB240" s="2">
        <f>knicks_players_all_stats[[#This Row],[STL2]]/10</f>
        <v>25</v>
      </c>
      <c r="AC240" s="2">
        <v>250</v>
      </c>
      <c r="AD240" s="6">
        <f>knicks_players_all_stats[[#This Row],[STL]]/knicks_players_all_stats[[#This Row],[GP]]</f>
        <v>0.78125</v>
      </c>
      <c r="AE240">
        <v>270</v>
      </c>
      <c r="AF240" s="2">
        <f>knicks_players_all_stats[[#This Row],[BLK2]]/10</f>
        <v>27</v>
      </c>
      <c r="AG240" s="6">
        <f>knicks_players_all_stats[[#This Row],[BLK]]/knicks_players_all_stats[[#This Row],[GP]]</f>
        <v>0.84375</v>
      </c>
      <c r="AH240">
        <v>260</v>
      </c>
      <c r="AI240" s="6">
        <f>knicks_players_all_stats[[#This Row],[BLKPG]]+knicks_players_all_stats[[#This Row],[STLPG]]+knicks_players_all_stats[[#This Row],[REBPG]]</f>
        <v>5.8125</v>
      </c>
      <c r="AJ240" s="2">
        <f>knicks_players_all_stats[[#This Row],[TOV2]]/10</f>
        <v>26</v>
      </c>
      <c r="AK240" s="6">
        <f>knicks_players_all_stats[[#This Row],[TOV]]/knicks_players_all_stats[[#This Row],[GP]]</f>
        <v>0.8125</v>
      </c>
      <c r="AL240" s="2">
        <v>85</v>
      </c>
      <c r="AM240" s="2">
        <f>knicks_players_all_stats[[#This Row],[PF]]/knicks_players_all_stats[[#This Row],[GP]]</f>
        <v>2.65625</v>
      </c>
      <c r="AN240" s="2">
        <v>137</v>
      </c>
      <c r="AO240" s="6">
        <f>knicks_players_all_stats[[#This Row],[PTS]]/knicks_players_all_stats[[#This Row],[GP]]</f>
        <v>4.28125</v>
      </c>
    </row>
    <row r="241" spans="1:41" x14ac:dyDescent="0.3">
      <c r="A241" s="3" t="s">
        <v>1825</v>
      </c>
      <c r="B241" s="3" t="s">
        <v>1337</v>
      </c>
      <c r="C241" s="3" t="str">
        <f>knicks_players_all_stats[[#This Row],[NAME]]&amp;" ("&amp;knicks_players_all_stats[[#This Row],[SEASON]]&amp;")"</f>
        <v>Beno Udrih (2013-14)</v>
      </c>
      <c r="D241" s="3">
        <f>knicks_players_all_stats[[#This Row],[PLAYER_AGE]]/10</f>
        <v>31</v>
      </c>
      <c r="E241">
        <v>310</v>
      </c>
      <c r="F241" s="2">
        <v>31</v>
      </c>
      <c r="G241" s="2">
        <v>5880</v>
      </c>
      <c r="H24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181</v>
      </c>
      <c r="I241" s="6">
        <f>knicks_players_all_stats[[#This Row],[VALORATION]]/knicks_players_all_stats[[#This Row],[GP]]</f>
        <v>5.838709677419355</v>
      </c>
      <c r="J241" s="2">
        <v>68</v>
      </c>
      <c r="K241" s="2">
        <v>160</v>
      </c>
      <c r="L241" s="2">
        <v>425</v>
      </c>
      <c r="M241" s="2">
        <v>170</v>
      </c>
      <c r="N241" s="2">
        <v>400</v>
      </c>
      <c r="O241" s="4">
        <f>knicks_players_all_stats[[#This Row],[FG3M]]/knicks_players_all_stats[[#This Row],[FG3A]]</f>
        <v>0.42499999999999999</v>
      </c>
      <c r="P241" s="2">
        <v>20</v>
      </c>
      <c r="Q241" s="2">
        <v>24</v>
      </c>
      <c r="R241" s="5">
        <f>knicks_players_all_stats[[#This Row],[FTM]]/knicks_players_all_stats[[#This Row],[FTA]]</f>
        <v>0.83333333333333337</v>
      </c>
      <c r="S241" s="2">
        <f>knicks_players_all_stats[[#This Row],[OREB22]]/10</f>
        <v>10</v>
      </c>
      <c r="T241" s="2">
        <f>knicks_players_all_stats[[#This Row],[DREB33]]/10</f>
        <v>47</v>
      </c>
      <c r="U241" s="2">
        <f>knicks_players_all_stats[[#This Row],[REB44]]/10</f>
        <v>57</v>
      </c>
      <c r="V241">
        <v>100</v>
      </c>
      <c r="W241">
        <v>470</v>
      </c>
      <c r="X241">
        <v>570</v>
      </c>
      <c r="Y241" s="22">
        <f>knicks_players_all_stats[[#This Row],[REB]]/knicks_players_all_stats[[#This Row],[GP]]</f>
        <v>1.8387096774193548</v>
      </c>
      <c r="Z241" s="2">
        <v>110</v>
      </c>
      <c r="AA241" s="6">
        <f>knicks_players_all_stats[[#This Row],[AST]]/knicks_players_all_stats[[#This Row],[GP]]</f>
        <v>3.5483870967741935</v>
      </c>
      <c r="AB241" s="2">
        <f>knicks_players_all_stats[[#This Row],[STL2]]/10</f>
        <v>22</v>
      </c>
      <c r="AC241" s="2">
        <v>220</v>
      </c>
      <c r="AD241" s="6">
        <f>knicks_players_all_stats[[#This Row],[STL]]/knicks_players_all_stats[[#This Row],[GP]]</f>
        <v>0.70967741935483875</v>
      </c>
      <c r="AE241">
        <v>30</v>
      </c>
      <c r="AF241" s="2">
        <f>knicks_players_all_stats[[#This Row],[BLK2]]/10</f>
        <v>3</v>
      </c>
      <c r="AG241" s="6">
        <f>knicks_players_all_stats[[#This Row],[BLK]]/knicks_players_all_stats[[#This Row],[GP]]</f>
        <v>9.6774193548387094E-2</v>
      </c>
      <c r="AH241">
        <v>420</v>
      </c>
      <c r="AI241" s="6">
        <f>knicks_players_all_stats[[#This Row],[BLKPG]]+knicks_players_all_stats[[#This Row],[STLPG]]+knicks_players_all_stats[[#This Row],[REBPG]]</f>
        <v>2.6451612903225805</v>
      </c>
      <c r="AJ241" s="2">
        <f>knicks_players_all_stats[[#This Row],[TOV2]]/10</f>
        <v>42</v>
      </c>
      <c r="AK241" s="6">
        <f>knicks_players_all_stats[[#This Row],[TOV]]/knicks_players_all_stats[[#This Row],[GP]]</f>
        <v>1.3548387096774193</v>
      </c>
      <c r="AL241" s="2">
        <v>46</v>
      </c>
      <c r="AM241" s="2">
        <f>knicks_players_all_stats[[#This Row],[PF]]/knicks_players_all_stats[[#This Row],[GP]]</f>
        <v>1.4838709677419355</v>
      </c>
      <c r="AN241" s="2">
        <v>173</v>
      </c>
      <c r="AO241" s="6">
        <f>knicks_players_all_stats[[#This Row],[PTS]]/knicks_players_all_stats[[#This Row],[GP]]</f>
        <v>5.580645161290323</v>
      </c>
    </row>
    <row r="242" spans="1:41" x14ac:dyDescent="0.3">
      <c r="A242" s="3" t="s">
        <v>1718</v>
      </c>
      <c r="B242" s="3" t="s">
        <v>1337</v>
      </c>
      <c r="C242" s="3" t="str">
        <f>knicks_players_all_stats[[#This Row],[NAME]]&amp;" ("&amp;knicks_players_all_stats[[#This Row],[SEASON]]&amp;")"</f>
        <v>Iman Shumpert (2013-14)</v>
      </c>
      <c r="D242" s="3">
        <f>knicks_players_all_stats[[#This Row],[PLAYER_AGE]]/10</f>
        <v>24</v>
      </c>
      <c r="E242">
        <v>240</v>
      </c>
      <c r="F242" s="2">
        <v>74</v>
      </c>
      <c r="G242" s="2">
        <v>19620</v>
      </c>
      <c r="H24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430</v>
      </c>
      <c r="I242" s="6">
        <f>knicks_players_all_stats[[#This Row],[VALORATION]]/knicks_players_all_stats[[#This Row],[GP]]</f>
        <v>5.8108108108108105</v>
      </c>
      <c r="J242" s="2">
        <v>183</v>
      </c>
      <c r="K242" s="2">
        <v>484</v>
      </c>
      <c r="L242" s="2">
        <v>378</v>
      </c>
      <c r="M242" s="2">
        <v>760</v>
      </c>
      <c r="N242" s="2">
        <v>2280</v>
      </c>
      <c r="O242" s="4">
        <f>knicks_players_all_stats[[#This Row],[FG3M]]/knicks_players_all_stats[[#This Row],[FG3A]]</f>
        <v>0.33333333333333331</v>
      </c>
      <c r="P242" s="2">
        <v>53</v>
      </c>
      <c r="Q242" s="2">
        <v>71</v>
      </c>
      <c r="R242" s="5">
        <f>knicks_players_all_stats[[#This Row],[FTM]]/knicks_players_all_stats[[#This Row],[FTA]]</f>
        <v>0.74647887323943662</v>
      </c>
      <c r="S242" s="2">
        <f>knicks_players_all_stats[[#This Row],[OREB22]]/10</f>
        <v>81</v>
      </c>
      <c r="T242" s="2">
        <f>knicks_players_all_stats[[#This Row],[DREB33]]/10</f>
        <v>227</v>
      </c>
      <c r="U242" s="2">
        <f>knicks_players_all_stats[[#This Row],[REB44]]/10</f>
        <v>308</v>
      </c>
      <c r="V242">
        <v>810</v>
      </c>
      <c r="W242">
        <v>2270</v>
      </c>
      <c r="X242">
        <v>3080</v>
      </c>
      <c r="Y242" s="22">
        <f>knicks_players_all_stats[[#This Row],[REB]]/knicks_players_all_stats[[#This Row],[GP]]</f>
        <v>4.1621621621621623</v>
      </c>
      <c r="Z242" s="2">
        <v>129</v>
      </c>
      <c r="AA242" s="6">
        <f>knicks_players_all_stats[[#This Row],[AST]]/knicks_players_all_stats[[#This Row],[GP]]</f>
        <v>1.7432432432432432</v>
      </c>
      <c r="AB242" s="2">
        <f>knicks_players_all_stats[[#This Row],[STL2]]/10</f>
        <v>92</v>
      </c>
      <c r="AC242" s="2">
        <v>920</v>
      </c>
      <c r="AD242" s="6">
        <f>knicks_players_all_stats[[#This Row],[STL]]/knicks_players_all_stats[[#This Row],[GP]]</f>
        <v>1.2432432432432432</v>
      </c>
      <c r="AE242">
        <v>130</v>
      </c>
      <c r="AF242" s="2">
        <f>knicks_players_all_stats[[#This Row],[BLK2]]/10</f>
        <v>13</v>
      </c>
      <c r="AG242" s="6">
        <f>knicks_players_all_stats[[#This Row],[BLK]]/knicks_players_all_stats[[#This Row],[GP]]</f>
        <v>0.17567567567567569</v>
      </c>
      <c r="AH242">
        <v>790</v>
      </c>
      <c r="AI242" s="6">
        <f>knicks_players_all_stats[[#This Row],[BLKPG]]+knicks_players_all_stats[[#This Row],[STLPG]]+knicks_players_all_stats[[#This Row],[REBPG]]</f>
        <v>5.5810810810810807</v>
      </c>
      <c r="AJ242" s="2">
        <f>knicks_players_all_stats[[#This Row],[TOV2]]/10</f>
        <v>79</v>
      </c>
      <c r="AK242" s="6">
        <f>knicks_players_all_stats[[#This Row],[TOV]]/knicks_players_all_stats[[#This Row],[GP]]</f>
        <v>1.0675675675675675</v>
      </c>
      <c r="AL242" s="2">
        <v>209</v>
      </c>
      <c r="AM242" s="2">
        <f>knicks_players_all_stats[[#This Row],[PF]]/knicks_players_all_stats[[#This Row],[GP]]</f>
        <v>2.8243243243243241</v>
      </c>
      <c r="AN242" s="2">
        <v>495</v>
      </c>
      <c r="AO242" s="6">
        <f>knicks_players_all_stats[[#This Row],[PTS]]/knicks_players_all_stats[[#This Row],[GP]]</f>
        <v>6.6891891891891895</v>
      </c>
    </row>
    <row r="243" spans="1:41" x14ac:dyDescent="0.3">
      <c r="A243" s="3" t="s">
        <v>1404</v>
      </c>
      <c r="B243" s="3" t="s">
        <v>1337</v>
      </c>
      <c r="C243" s="3" t="str">
        <f>knicks_players_all_stats[[#This Row],[NAME]]&amp;" ("&amp;knicks_players_all_stats[[#This Row],[SEASON]]&amp;")"</f>
        <v>Pablo Prigioni (2013-14)</v>
      </c>
      <c r="D243" s="3">
        <f>knicks_players_all_stats[[#This Row],[PLAYER_AGE]]/10</f>
        <v>37</v>
      </c>
      <c r="E243">
        <v>370</v>
      </c>
      <c r="F243" s="2">
        <v>66</v>
      </c>
      <c r="G243" s="2">
        <v>12830</v>
      </c>
      <c r="H24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382</v>
      </c>
      <c r="I243" s="6">
        <f>knicks_players_all_stats[[#This Row],[VALORATION]]/knicks_players_all_stats[[#This Row],[GP]]</f>
        <v>5.7878787878787881</v>
      </c>
      <c r="J243" s="2">
        <v>88</v>
      </c>
      <c r="K243" s="2">
        <v>191</v>
      </c>
      <c r="L243" s="4">
        <f>knicks_players_all_stats[[#This Row],[FGM]]/knicks_players_all_stats[[#This Row],[FGA]]</f>
        <v>0.4607329842931937</v>
      </c>
      <c r="M243" s="2">
        <v>650</v>
      </c>
      <c r="N243" s="2">
        <v>1400</v>
      </c>
      <c r="O243" s="4">
        <f>knicks_players_all_stats[[#This Row],[FG3M]]/knicks_players_all_stats[[#This Row],[FG3A]]</f>
        <v>0.4642857142857143</v>
      </c>
      <c r="P243" s="2">
        <v>11</v>
      </c>
      <c r="Q243" s="2">
        <v>12</v>
      </c>
      <c r="R243" s="5">
        <f>knicks_players_all_stats[[#This Row],[FTM]]/knicks_players_all_stats[[#This Row],[FTA]]</f>
        <v>0.91666666666666663</v>
      </c>
      <c r="S243" s="2">
        <f>knicks_players_all_stats[[#This Row],[OREB22]]/10</f>
        <v>36</v>
      </c>
      <c r="T243" s="2">
        <f>knicks_players_all_stats[[#This Row],[DREB33]]/10</f>
        <v>93</v>
      </c>
      <c r="U243" s="2">
        <f>knicks_players_all_stats[[#This Row],[REB44]]/10</f>
        <v>129</v>
      </c>
      <c r="V243">
        <v>360</v>
      </c>
      <c r="W243">
        <v>930</v>
      </c>
      <c r="X243">
        <v>1290</v>
      </c>
      <c r="Y243" s="22">
        <f>knicks_players_all_stats[[#This Row],[REB]]/knicks_players_all_stats[[#This Row],[GP]]</f>
        <v>1.9545454545454546</v>
      </c>
      <c r="Z243" s="2">
        <v>228</v>
      </c>
      <c r="AA243" s="6">
        <f>knicks_players_all_stats[[#This Row],[AST]]/knicks_players_all_stats[[#This Row],[GP]]</f>
        <v>3.4545454545454546</v>
      </c>
      <c r="AB243" s="2">
        <f>knicks_players_all_stats[[#This Row],[STL2]]/10</f>
        <v>67</v>
      </c>
      <c r="AC243" s="2">
        <v>670</v>
      </c>
      <c r="AD243" s="6">
        <f>knicks_players_all_stats[[#This Row],[STL]]/knicks_players_all_stats[[#This Row],[GP]]</f>
        <v>1.0151515151515151</v>
      </c>
      <c r="AE243">
        <v>20</v>
      </c>
      <c r="AF243" s="2">
        <f>knicks_players_all_stats[[#This Row],[BLK2]]/10</f>
        <v>2</v>
      </c>
      <c r="AG243" s="6">
        <f>knicks_players_all_stats[[#This Row],[BLK]]/knicks_players_all_stats[[#This Row],[GP]]</f>
        <v>3.0303030303030304E-2</v>
      </c>
      <c r="AH243">
        <v>600</v>
      </c>
      <c r="AI243" s="6">
        <f>knicks_players_all_stats[[#This Row],[BLKPG]]+knicks_players_all_stats[[#This Row],[STLPG]]+knicks_players_all_stats[[#This Row],[REBPG]]</f>
        <v>3</v>
      </c>
      <c r="AJ243" s="2">
        <f>knicks_players_all_stats[[#This Row],[TOV2]]/10</f>
        <v>60</v>
      </c>
      <c r="AK243" s="6">
        <f>knicks_players_all_stats[[#This Row],[TOV]]/knicks_players_all_stats[[#This Row],[GP]]</f>
        <v>0.90909090909090906</v>
      </c>
      <c r="AL243" s="2">
        <v>132</v>
      </c>
      <c r="AM243" s="2">
        <f>knicks_players_all_stats[[#This Row],[PF]]/knicks_players_all_stats[[#This Row],[GP]]</f>
        <v>2</v>
      </c>
      <c r="AN243" s="2">
        <v>252</v>
      </c>
      <c r="AO243" s="6">
        <f>knicks_players_all_stats[[#This Row],[PTS]]/knicks_players_all_stats[[#This Row],[GP]]</f>
        <v>3.8181818181818183</v>
      </c>
    </row>
    <row r="244" spans="1:41" customFormat="1" x14ac:dyDescent="0.3">
      <c r="A244" s="3" t="s">
        <v>1607</v>
      </c>
      <c r="B244" s="3" t="s">
        <v>1337</v>
      </c>
      <c r="C244" s="3" t="str">
        <f>knicks_players_all_stats[[#This Row],[NAME]]&amp;" ("&amp;knicks_players_all_stats[[#This Row],[SEASON]]&amp;")"</f>
        <v>Tim Hardaway Jr. (2013-14)</v>
      </c>
      <c r="D244" s="3">
        <f>knicks_players_all_stats[[#This Row],[PLAYER_AGE]]/10</f>
        <v>22</v>
      </c>
      <c r="E244">
        <v>220</v>
      </c>
      <c r="F244" s="2">
        <v>81</v>
      </c>
      <c r="G244" s="2">
        <v>18750</v>
      </c>
      <c r="H24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456</v>
      </c>
      <c r="I244" s="6">
        <f>knicks_players_all_stats[[#This Row],[VALORATION]]/knicks_players_all_stats[[#This Row],[GP]]</f>
        <v>5.6296296296296298</v>
      </c>
      <c r="J244" s="2">
        <v>294</v>
      </c>
      <c r="K244" s="2">
        <v>687</v>
      </c>
      <c r="L244" s="4">
        <f>knicks_players_all_stats[[#This Row],[FGM]]/knicks_players_all_stats[[#This Row],[FGA]]</f>
        <v>0.42794759825327511</v>
      </c>
      <c r="M244" s="2">
        <v>1300</v>
      </c>
      <c r="N244" s="2">
        <v>3580</v>
      </c>
      <c r="O244" s="4">
        <f>knicks_players_all_stats[[#This Row],[FG3M]]/knicks_players_all_stats[[#This Row],[FG3A]]</f>
        <v>0.36312849162011174</v>
      </c>
      <c r="P244" s="2">
        <v>106</v>
      </c>
      <c r="Q244" s="2">
        <v>128</v>
      </c>
      <c r="R244" s="5">
        <f>knicks_players_all_stats[[#This Row],[FTM]]/knicks_players_all_stats[[#This Row],[FTA]]</f>
        <v>0.828125</v>
      </c>
      <c r="S244" s="2">
        <f>knicks_players_all_stats[[#This Row],[OREB22]]/10</f>
        <v>19</v>
      </c>
      <c r="T244" s="2">
        <f>knicks_players_all_stats[[#This Row],[DREB33]]/10</f>
        <v>102</v>
      </c>
      <c r="U244" s="2">
        <f>knicks_players_all_stats[[#This Row],[REB44]]/10</f>
        <v>121</v>
      </c>
      <c r="V244">
        <v>190</v>
      </c>
      <c r="W244">
        <v>1020</v>
      </c>
      <c r="X244">
        <v>1210</v>
      </c>
      <c r="Y244" s="22">
        <f>knicks_players_all_stats[[#This Row],[REB]]/knicks_players_all_stats[[#This Row],[GP]]</f>
        <v>1.4938271604938271</v>
      </c>
      <c r="Z244" s="2">
        <v>66</v>
      </c>
      <c r="AA244" s="6">
        <f>knicks_players_all_stats[[#This Row],[AST]]/knicks_players_all_stats[[#This Row],[GP]]</f>
        <v>0.81481481481481477</v>
      </c>
      <c r="AB244" s="2">
        <f>knicks_players_all_stats[[#This Row],[STL2]]/10</f>
        <v>44</v>
      </c>
      <c r="AC244" s="2">
        <v>440</v>
      </c>
      <c r="AD244" s="6">
        <f>knicks_players_all_stats[[#This Row],[STL]]/knicks_players_all_stats[[#This Row],[GP]]</f>
        <v>0.54320987654320985</v>
      </c>
      <c r="AE244">
        <v>70</v>
      </c>
      <c r="AF244" s="2">
        <f>knicks_players_all_stats[[#This Row],[BLK2]]/10</f>
        <v>7</v>
      </c>
      <c r="AG244" s="6">
        <f>knicks_players_all_stats[[#This Row],[BLK]]/knicks_players_all_stats[[#This Row],[GP]]</f>
        <v>8.6419753086419748E-2</v>
      </c>
      <c r="AH244">
        <v>470</v>
      </c>
      <c r="AI244" s="6">
        <f>knicks_players_all_stats[[#This Row],[BLKPG]]+knicks_players_all_stats[[#This Row],[STLPG]]+knicks_players_all_stats[[#This Row],[REBPG]]</f>
        <v>2.1234567901234565</v>
      </c>
      <c r="AJ244" s="2">
        <f>knicks_players_all_stats[[#This Row],[TOV2]]/10</f>
        <v>47</v>
      </c>
      <c r="AK244" s="6">
        <f>knicks_players_all_stats[[#This Row],[TOV]]/knicks_players_all_stats[[#This Row],[GP]]</f>
        <v>0.58024691358024694</v>
      </c>
      <c r="AL244" s="2">
        <v>144</v>
      </c>
      <c r="AM244" s="2">
        <f>knicks_players_all_stats[[#This Row],[PF]]/knicks_players_all_stats[[#This Row],[GP]]</f>
        <v>1.7777777777777777</v>
      </c>
      <c r="AN244" s="2">
        <v>824</v>
      </c>
      <c r="AO244" s="6">
        <f>knicks_players_all_stats[[#This Row],[PTS]]/knicks_players_all_stats[[#This Row],[GP]]</f>
        <v>10.17283950617284</v>
      </c>
    </row>
    <row r="245" spans="1:41" customFormat="1" x14ac:dyDescent="0.3">
      <c r="A245" s="3" t="s">
        <v>1421</v>
      </c>
      <c r="B245" s="3" t="s">
        <v>1337</v>
      </c>
      <c r="C245" s="3" t="str">
        <f>knicks_players_all_stats[[#This Row],[NAME]]&amp;" ("&amp;knicks_players_all_stats[[#This Row],[SEASON]]&amp;")"</f>
        <v>Cole Aldrich (2013-14)</v>
      </c>
      <c r="D245" s="3">
        <f>knicks_players_all_stats[[#This Row],[PLAYER_AGE]]/10</f>
        <v>25</v>
      </c>
      <c r="E245">
        <v>250</v>
      </c>
      <c r="F245" s="2">
        <v>46</v>
      </c>
      <c r="G245" s="2">
        <v>3300</v>
      </c>
      <c r="H24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183</v>
      </c>
      <c r="I245" s="6">
        <f>knicks_players_all_stats[[#This Row],[VALORATION]]/knicks_players_all_stats[[#This Row],[GP]]</f>
        <v>3.9782608695652173</v>
      </c>
      <c r="J245" s="2">
        <v>33</v>
      </c>
      <c r="K245" s="2">
        <v>61</v>
      </c>
      <c r="L245" s="4">
        <f>knicks_players_all_stats[[#This Row],[FGM]]/knicks_players_all_stats[[#This Row],[FGA]]</f>
        <v>0.54098360655737709</v>
      </c>
      <c r="M245" s="2">
        <v>0</v>
      </c>
      <c r="N245" s="2">
        <v>0</v>
      </c>
      <c r="O245" s="4" t="e">
        <f>knicks_players_all_stats[[#This Row],[FG3M]]/knicks_players_all_stats[[#This Row],[FG3A]]</f>
        <v>#DIV/0!</v>
      </c>
      <c r="P245" s="2">
        <v>26</v>
      </c>
      <c r="Q245" s="2">
        <v>30</v>
      </c>
      <c r="R245" s="5">
        <f>knicks_players_all_stats[[#This Row],[FTM]]/knicks_players_all_stats[[#This Row],[FTA]]</f>
        <v>0.8666666666666667</v>
      </c>
      <c r="S245" s="2">
        <f>knicks_players_all_stats[[#This Row],[OREB22]]/10</f>
        <v>37</v>
      </c>
      <c r="T245" s="2">
        <f>knicks_players_all_stats[[#This Row],[DREB33]]/10</f>
        <v>92</v>
      </c>
      <c r="U245" s="2">
        <f>knicks_players_all_stats[[#This Row],[REB44]]/10</f>
        <v>129</v>
      </c>
      <c r="V245">
        <v>370</v>
      </c>
      <c r="W245">
        <v>920</v>
      </c>
      <c r="X245">
        <v>1290</v>
      </c>
      <c r="Y245" s="22">
        <f>knicks_players_all_stats[[#This Row],[REB]]/knicks_players_all_stats[[#This Row],[GP]]</f>
        <v>2.8043478260869565</v>
      </c>
      <c r="Z245" s="2">
        <v>14</v>
      </c>
      <c r="AA245" s="6">
        <f>knicks_players_all_stats[[#This Row],[AST]]/knicks_players_all_stats[[#This Row],[GP]]</f>
        <v>0.30434782608695654</v>
      </c>
      <c r="AB245" s="2">
        <f>knicks_players_all_stats[[#This Row],[STL2]]/10</f>
        <v>8</v>
      </c>
      <c r="AC245" s="2">
        <v>80</v>
      </c>
      <c r="AD245" s="6">
        <f>knicks_players_all_stats[[#This Row],[STL]]/knicks_players_all_stats[[#This Row],[GP]]</f>
        <v>0.17391304347826086</v>
      </c>
      <c r="AE245">
        <v>300</v>
      </c>
      <c r="AF245" s="2">
        <f>knicks_players_all_stats[[#This Row],[BLK2]]/10</f>
        <v>30</v>
      </c>
      <c r="AG245" s="6">
        <f>knicks_players_all_stats[[#This Row],[BLK]]/knicks_players_all_stats[[#This Row],[GP]]</f>
        <v>0.65217391304347827</v>
      </c>
      <c r="AH245">
        <v>180</v>
      </c>
      <c r="AI245" s="6">
        <f>knicks_players_all_stats[[#This Row],[BLKPG]]+knicks_players_all_stats[[#This Row],[STLPG]]+knicks_players_all_stats[[#This Row],[REBPG]]</f>
        <v>3.6304347826086958</v>
      </c>
      <c r="AJ245" s="2">
        <f>knicks_players_all_stats[[#This Row],[TOV2]]/10</f>
        <v>18</v>
      </c>
      <c r="AK245" s="6">
        <f>knicks_players_all_stats[[#This Row],[TOV]]/knicks_players_all_stats[[#This Row],[GP]]</f>
        <v>0.39130434782608697</v>
      </c>
      <c r="AL245" s="2">
        <v>40</v>
      </c>
      <c r="AM245" s="2">
        <f>knicks_players_all_stats[[#This Row],[PF]]/knicks_players_all_stats[[#This Row],[GP]]</f>
        <v>0.86956521739130432</v>
      </c>
      <c r="AN245" s="2">
        <v>92</v>
      </c>
      <c r="AO245" s="6">
        <f>knicks_players_all_stats[[#This Row],[PTS]]/knicks_players_all_stats[[#This Row],[GP]]</f>
        <v>2</v>
      </c>
    </row>
    <row r="246" spans="1:41" customFormat="1" x14ac:dyDescent="0.3">
      <c r="A246" s="3" t="s">
        <v>1850</v>
      </c>
      <c r="B246" s="3" t="s">
        <v>1337</v>
      </c>
      <c r="C246" s="3" t="str">
        <f>knicks_players_all_stats[[#This Row],[NAME]]&amp;" ("&amp;knicks_players_all_stats[[#This Row],[SEASON]]&amp;")"</f>
        <v>Metta World Peace (2013-14)</v>
      </c>
      <c r="D246" s="3">
        <f>knicks_players_all_stats[[#This Row],[PLAYER_AGE]]/10</f>
        <v>34</v>
      </c>
      <c r="E246">
        <v>340</v>
      </c>
      <c r="F246" s="2">
        <v>29</v>
      </c>
      <c r="G246" s="2">
        <v>3880</v>
      </c>
      <c r="H24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93</v>
      </c>
      <c r="I246" s="6">
        <f>knicks_players_all_stats[[#This Row],[VALORATION]]/knicks_players_all_stats[[#This Row],[GP]]</f>
        <v>3.2068965517241379</v>
      </c>
      <c r="J246" s="2">
        <v>56</v>
      </c>
      <c r="K246" s="2">
        <v>141</v>
      </c>
      <c r="L246" s="2">
        <v>397</v>
      </c>
      <c r="M246" s="2">
        <v>170</v>
      </c>
      <c r="N246" s="2">
        <v>540</v>
      </c>
      <c r="O246" s="4">
        <f>knicks_players_all_stats[[#This Row],[FG3M]]/knicks_players_all_stats[[#This Row],[FG3A]]</f>
        <v>0.31481481481481483</v>
      </c>
      <c r="P246" s="2">
        <v>10</v>
      </c>
      <c r="Q246" s="2">
        <v>16</v>
      </c>
      <c r="R246" s="5">
        <f>knicks_players_all_stats[[#This Row],[FTM]]/knicks_players_all_stats[[#This Row],[FTA]]</f>
        <v>0.625</v>
      </c>
      <c r="S246" s="2">
        <f>knicks_players_all_stats[[#This Row],[OREB22]]/10</f>
        <v>18</v>
      </c>
      <c r="T246" s="2">
        <f>knicks_players_all_stats[[#This Row],[DREB33]]/10</f>
        <v>41</v>
      </c>
      <c r="U246" s="2">
        <f>knicks_players_all_stats[[#This Row],[REB44]]/10</f>
        <v>59</v>
      </c>
      <c r="V246">
        <v>180</v>
      </c>
      <c r="W246">
        <v>410</v>
      </c>
      <c r="X246">
        <v>590</v>
      </c>
      <c r="Y246" s="22">
        <f>knicks_players_all_stats[[#This Row],[REB]]/knicks_players_all_stats[[#This Row],[GP]]</f>
        <v>2.0344827586206895</v>
      </c>
      <c r="Z246" s="2">
        <v>17</v>
      </c>
      <c r="AA246" s="6">
        <f>knicks_players_all_stats[[#This Row],[AST]]/knicks_players_all_stats[[#This Row],[GP]]</f>
        <v>0.58620689655172409</v>
      </c>
      <c r="AB246" s="2">
        <f>knicks_players_all_stats[[#This Row],[STL2]]/10</f>
        <v>24</v>
      </c>
      <c r="AC246" s="2">
        <v>240</v>
      </c>
      <c r="AD246" s="6">
        <f>knicks_players_all_stats[[#This Row],[STL]]/knicks_players_all_stats[[#This Row],[GP]]</f>
        <v>0.82758620689655171</v>
      </c>
      <c r="AE246">
        <v>80</v>
      </c>
      <c r="AF246" s="2">
        <f>knicks_players_all_stats[[#This Row],[BLK2]]/10</f>
        <v>8</v>
      </c>
      <c r="AG246" s="6">
        <f>knicks_players_all_stats[[#This Row],[BLK]]/knicks_players_all_stats[[#This Row],[GP]]</f>
        <v>0.27586206896551724</v>
      </c>
      <c r="AH246">
        <v>190</v>
      </c>
      <c r="AI246" s="6">
        <f>knicks_players_all_stats[[#This Row],[BLKPG]]+knicks_players_all_stats[[#This Row],[STLPG]]+knicks_players_all_stats[[#This Row],[REBPG]]</f>
        <v>3.1379310344827585</v>
      </c>
      <c r="AJ246" s="2">
        <f>knicks_players_all_stats[[#This Row],[TOV2]]/10</f>
        <v>19</v>
      </c>
      <c r="AK246" s="6">
        <f>knicks_players_all_stats[[#This Row],[TOV]]/knicks_players_all_stats[[#This Row],[GP]]</f>
        <v>0.65517241379310343</v>
      </c>
      <c r="AL246" s="2">
        <v>44</v>
      </c>
      <c r="AM246" s="2">
        <f>knicks_players_all_stats[[#This Row],[PF]]/knicks_players_all_stats[[#This Row],[GP]]</f>
        <v>1.5172413793103448</v>
      </c>
      <c r="AN246" s="2">
        <v>139</v>
      </c>
      <c r="AO246" s="6">
        <f>knicks_players_all_stats[[#This Row],[PTS]]/knicks_players_all_stats[[#This Row],[GP]]</f>
        <v>4.7931034482758621</v>
      </c>
    </row>
    <row r="247" spans="1:41" x14ac:dyDescent="0.3">
      <c r="A247" s="3" t="s">
        <v>1805</v>
      </c>
      <c r="B247" s="3" t="s">
        <v>1337</v>
      </c>
      <c r="C247" s="3" t="str">
        <f>knicks_players_all_stats[[#This Row],[NAME]]&amp;" ("&amp;knicks_players_all_stats[[#This Row],[SEASON]]&amp;")"</f>
        <v>Jeremy Tyler (2013-14)</v>
      </c>
      <c r="D247" s="3">
        <f>knicks_players_all_stats[[#This Row],[PLAYER_AGE]]/10</f>
        <v>23</v>
      </c>
      <c r="E247">
        <v>230</v>
      </c>
      <c r="F247" s="2">
        <v>41</v>
      </c>
      <c r="G247" s="2">
        <v>3980</v>
      </c>
      <c r="H24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115</v>
      </c>
      <c r="I247" s="6">
        <f>knicks_players_all_stats[[#This Row],[VALORATION]]/knicks_players_all_stats[[#This Row],[GP]]</f>
        <v>2.8048780487804876</v>
      </c>
      <c r="J247" s="2">
        <v>60</v>
      </c>
      <c r="K247" s="2">
        <v>116</v>
      </c>
      <c r="L247" s="2">
        <v>517</v>
      </c>
      <c r="M247" s="2">
        <v>0</v>
      </c>
      <c r="N247" s="2">
        <v>0</v>
      </c>
      <c r="O247" s="4" t="e">
        <f>knicks_players_all_stats[[#This Row],[FG3M]]/knicks_players_all_stats[[#This Row],[FG3A]]</f>
        <v>#DIV/0!</v>
      </c>
      <c r="P247" s="2">
        <v>26</v>
      </c>
      <c r="Q247" s="2">
        <v>48</v>
      </c>
      <c r="R247" s="5">
        <f>knicks_players_all_stats[[#This Row],[FTM]]/knicks_players_all_stats[[#This Row],[FTA]]</f>
        <v>0.54166666666666663</v>
      </c>
      <c r="S247" s="2">
        <f>knicks_players_all_stats[[#This Row],[OREB22]]/10</f>
        <v>38</v>
      </c>
      <c r="T247" s="2">
        <f>knicks_players_all_stats[[#This Row],[DREB33]]/10</f>
        <v>71</v>
      </c>
      <c r="U247" s="2">
        <f>knicks_players_all_stats[[#This Row],[REB44]]/10</f>
        <v>109</v>
      </c>
      <c r="V247">
        <v>380</v>
      </c>
      <c r="W247">
        <v>710</v>
      </c>
      <c r="X247">
        <v>1090</v>
      </c>
      <c r="Y247" s="22">
        <f>knicks_players_all_stats[[#This Row],[REB]]/knicks_players_all_stats[[#This Row],[GP]]</f>
        <v>2.6585365853658538</v>
      </c>
      <c r="Z247" s="2">
        <v>8</v>
      </c>
      <c r="AA247" s="6">
        <f>knicks_players_all_stats[[#This Row],[AST]]/knicks_players_all_stats[[#This Row],[GP]]</f>
        <v>0.1951219512195122</v>
      </c>
      <c r="AB247" s="2">
        <f>knicks_players_all_stats[[#This Row],[STL2]]/10</f>
        <v>6</v>
      </c>
      <c r="AC247" s="2">
        <v>60</v>
      </c>
      <c r="AD247" s="6">
        <f>knicks_players_all_stats[[#This Row],[STL]]/knicks_players_all_stats[[#This Row],[GP]]</f>
        <v>0.14634146341463414</v>
      </c>
      <c r="AE247">
        <v>200</v>
      </c>
      <c r="AF247" s="2">
        <f>knicks_players_all_stats[[#This Row],[BLK2]]/10</f>
        <v>20</v>
      </c>
      <c r="AG247" s="6">
        <f>knicks_players_all_stats[[#This Row],[BLK]]/knicks_players_all_stats[[#This Row],[GP]]</f>
        <v>0.48780487804878048</v>
      </c>
      <c r="AH247">
        <v>260</v>
      </c>
      <c r="AI247" s="6">
        <f>knicks_players_all_stats[[#This Row],[BLKPG]]+knicks_players_all_stats[[#This Row],[STLPG]]+knicks_players_all_stats[[#This Row],[REBPG]]</f>
        <v>3.2926829268292686</v>
      </c>
      <c r="AJ247" s="2">
        <f>knicks_players_all_stats[[#This Row],[TOV2]]/10</f>
        <v>26</v>
      </c>
      <c r="AK247" s="6">
        <f>knicks_players_all_stats[[#This Row],[TOV]]/knicks_players_all_stats[[#This Row],[GP]]</f>
        <v>0.63414634146341464</v>
      </c>
      <c r="AL247" s="2">
        <v>70</v>
      </c>
      <c r="AM247" s="2">
        <f>knicks_players_all_stats[[#This Row],[PF]]/knicks_players_all_stats[[#This Row],[GP]]</f>
        <v>1.7073170731707317</v>
      </c>
      <c r="AN247" s="2">
        <v>146</v>
      </c>
      <c r="AO247" s="6">
        <f>knicks_players_all_stats[[#This Row],[PTS]]/knicks_players_all_stats[[#This Row],[GP]]</f>
        <v>3.5609756097560976</v>
      </c>
    </row>
    <row r="248" spans="1:41" x14ac:dyDescent="0.3">
      <c r="A248" s="3" t="s">
        <v>1755</v>
      </c>
      <c r="B248" s="3" t="s">
        <v>1337</v>
      </c>
      <c r="C248" s="3" t="str">
        <f>knicks_players_all_stats[[#This Row],[NAME]]&amp;" ("&amp;knicks_players_all_stats[[#This Row],[SEASON]]&amp;")"</f>
        <v>Earl Clark (2013-14)</v>
      </c>
      <c r="D248" s="3">
        <f>knicks_players_all_stats[[#This Row],[PLAYER_AGE]]/10</f>
        <v>26</v>
      </c>
      <c r="E248">
        <v>260</v>
      </c>
      <c r="F248" s="2">
        <v>9</v>
      </c>
      <c r="G248" s="2">
        <v>700</v>
      </c>
      <c r="H24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25</v>
      </c>
      <c r="I248" s="6">
        <f>knicks_players_all_stats[[#This Row],[VALORATION]]/knicks_players_all_stats[[#This Row],[GP]]</f>
        <v>2.7777777777777777</v>
      </c>
      <c r="J248" s="2">
        <v>7</v>
      </c>
      <c r="K248" s="2">
        <v>21</v>
      </c>
      <c r="L248" s="2">
        <v>333</v>
      </c>
      <c r="M248" s="2">
        <v>10</v>
      </c>
      <c r="N248" s="2">
        <v>60</v>
      </c>
      <c r="O248" s="4">
        <f>knicks_players_all_stats[[#This Row],[FG3M]]/knicks_players_all_stats[[#This Row],[FG3A]]</f>
        <v>0.16666666666666666</v>
      </c>
      <c r="P248" s="2">
        <v>8</v>
      </c>
      <c r="Q248" s="2">
        <v>10</v>
      </c>
      <c r="R248" s="5">
        <f>knicks_players_all_stats[[#This Row],[FTM]]/knicks_players_all_stats[[#This Row],[FTA]]</f>
        <v>0.8</v>
      </c>
      <c r="S248" s="2">
        <f>knicks_players_all_stats[[#This Row],[OREB22]]/10</f>
        <v>2</v>
      </c>
      <c r="T248" s="2">
        <f>knicks_players_all_stats[[#This Row],[DREB33]]/10</f>
        <v>14</v>
      </c>
      <c r="U248" s="2">
        <f>knicks_players_all_stats[[#This Row],[REB44]]/10</f>
        <v>16</v>
      </c>
      <c r="V248">
        <v>20</v>
      </c>
      <c r="W248">
        <v>140</v>
      </c>
      <c r="X248">
        <v>160</v>
      </c>
      <c r="Y248" s="22">
        <f>knicks_players_all_stats[[#This Row],[REB]]/knicks_players_all_stats[[#This Row],[GP]]</f>
        <v>1.7777777777777777</v>
      </c>
      <c r="Z248" s="2">
        <v>2</v>
      </c>
      <c r="AA248" s="6">
        <f>knicks_players_all_stats[[#This Row],[AST]]/knicks_players_all_stats[[#This Row],[GP]]</f>
        <v>0.22222222222222221</v>
      </c>
      <c r="AB248" s="2">
        <f>knicks_players_all_stats[[#This Row],[STL2]]/10</f>
        <v>1</v>
      </c>
      <c r="AC248" s="2">
        <v>10</v>
      </c>
      <c r="AD248" s="6">
        <f>knicks_players_all_stats[[#This Row],[STL]]/knicks_players_all_stats[[#This Row],[GP]]</f>
        <v>0.1111111111111111</v>
      </c>
      <c r="AE248">
        <v>60</v>
      </c>
      <c r="AF248" s="2">
        <f>knicks_players_all_stats[[#This Row],[BLK2]]/10</f>
        <v>6</v>
      </c>
      <c r="AG248" s="6">
        <f>knicks_players_all_stats[[#This Row],[BLK]]/knicks_players_all_stats[[#This Row],[GP]]</f>
        <v>0.66666666666666663</v>
      </c>
      <c r="AH248">
        <v>10</v>
      </c>
      <c r="AI248" s="6">
        <f>knicks_players_all_stats[[#This Row],[BLKPG]]+knicks_players_all_stats[[#This Row],[STLPG]]+knicks_players_all_stats[[#This Row],[REBPG]]</f>
        <v>2.5555555555555554</v>
      </c>
      <c r="AJ248" s="2">
        <f>knicks_players_all_stats[[#This Row],[TOV2]]/10</f>
        <v>1</v>
      </c>
      <c r="AK248" s="6">
        <f>knicks_players_all_stats[[#This Row],[TOV]]/knicks_players_all_stats[[#This Row],[GP]]</f>
        <v>0.1111111111111111</v>
      </c>
      <c r="AL248" s="2">
        <v>6</v>
      </c>
      <c r="AM248" s="2">
        <f>knicks_players_all_stats[[#This Row],[PF]]/knicks_players_all_stats[[#This Row],[GP]]</f>
        <v>0.66666666666666663</v>
      </c>
      <c r="AN248" s="2">
        <v>23</v>
      </c>
      <c r="AO248" s="6">
        <f>knicks_players_all_stats[[#This Row],[PTS]]/knicks_players_all_stats[[#This Row],[GP]]</f>
        <v>2.5555555555555554</v>
      </c>
    </row>
    <row r="249" spans="1:41" customFormat="1" x14ac:dyDescent="0.3">
      <c r="A249" s="3" t="s">
        <v>1338</v>
      </c>
      <c r="B249" s="3" t="s">
        <v>1337</v>
      </c>
      <c r="C249" s="3" t="str">
        <f>knicks_players_all_stats[[#This Row],[NAME]]&amp;" ("&amp;knicks_players_all_stats[[#This Row],[SEASON]]&amp;")"</f>
        <v>Toure' Murry (2013-14)</v>
      </c>
      <c r="D249" s="3">
        <f>knicks_players_all_stats[[#This Row],[PLAYER_AGE]]/10</f>
        <v>24</v>
      </c>
      <c r="E249">
        <v>240</v>
      </c>
      <c r="F249" s="2">
        <v>51</v>
      </c>
      <c r="G249" s="2">
        <v>3720</v>
      </c>
      <c r="H24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84</v>
      </c>
      <c r="I249" s="6">
        <f>knicks_players_all_stats[[#This Row],[VALORATION]]/knicks_players_all_stats[[#This Row],[GP]]</f>
        <v>1.6470588235294117</v>
      </c>
      <c r="J249" s="2">
        <v>56</v>
      </c>
      <c r="K249" s="2">
        <v>129</v>
      </c>
      <c r="L249" s="4">
        <f>knicks_players_all_stats[[#This Row],[FGM]]/knicks_players_all_stats[[#This Row],[FGA]]</f>
        <v>0.43410852713178294</v>
      </c>
      <c r="M249" s="2">
        <v>50</v>
      </c>
      <c r="N249" s="2">
        <v>120</v>
      </c>
      <c r="O249" s="4">
        <f>knicks_players_all_stats[[#This Row],[FG3M]]/knicks_players_all_stats[[#This Row],[FG3A]]</f>
        <v>0.41666666666666669</v>
      </c>
      <c r="P249" s="2">
        <v>23</v>
      </c>
      <c r="Q249" s="2">
        <v>39</v>
      </c>
      <c r="R249" s="5">
        <f>knicks_players_all_stats[[#This Row],[FTM]]/knicks_players_all_stats[[#This Row],[FTA]]</f>
        <v>0.58974358974358976</v>
      </c>
      <c r="S249" s="2">
        <f>knicks_players_all_stats[[#This Row],[OREB22]]/10</f>
        <v>13</v>
      </c>
      <c r="T249" s="2">
        <f>knicks_players_all_stats[[#This Row],[DREB33]]/10</f>
        <v>31</v>
      </c>
      <c r="U249" s="2">
        <f>knicks_players_all_stats[[#This Row],[REB44]]/10</f>
        <v>44</v>
      </c>
      <c r="V249">
        <v>130</v>
      </c>
      <c r="W249">
        <v>310</v>
      </c>
      <c r="X249">
        <v>440</v>
      </c>
      <c r="Y249" s="22">
        <f>knicks_players_all_stats[[#This Row],[REB]]/knicks_players_all_stats[[#This Row],[GP]]</f>
        <v>0.86274509803921573</v>
      </c>
      <c r="Z249" s="2">
        <v>49</v>
      </c>
      <c r="AA249" s="6">
        <f>knicks_players_all_stats[[#This Row],[AST]]/knicks_players_all_stats[[#This Row],[GP]]</f>
        <v>0.96078431372549022</v>
      </c>
      <c r="AB249" s="2">
        <f>knicks_players_all_stats[[#This Row],[STL2]]/10</f>
        <v>19</v>
      </c>
      <c r="AC249" s="2">
        <v>190</v>
      </c>
      <c r="AD249" s="6">
        <f>knicks_players_all_stats[[#This Row],[STL]]/knicks_players_all_stats[[#This Row],[GP]]</f>
        <v>0.37254901960784315</v>
      </c>
      <c r="AE249">
        <v>10</v>
      </c>
      <c r="AF249" s="2">
        <f>knicks_players_all_stats[[#This Row],[BLK2]]/10</f>
        <v>1</v>
      </c>
      <c r="AG249" s="6">
        <f>knicks_players_all_stats[[#This Row],[BLK]]/knicks_players_all_stats[[#This Row],[GP]]</f>
        <v>1.9607843137254902E-2</v>
      </c>
      <c r="AH249">
        <v>340</v>
      </c>
      <c r="AI249" s="6">
        <f>knicks_players_all_stats[[#This Row],[BLKPG]]+knicks_players_all_stats[[#This Row],[STLPG]]+knicks_players_all_stats[[#This Row],[REBPG]]</f>
        <v>1.2549019607843137</v>
      </c>
      <c r="AJ249" s="2">
        <f>knicks_players_all_stats[[#This Row],[TOV2]]/10</f>
        <v>34</v>
      </c>
      <c r="AK249" s="6">
        <f>knicks_players_all_stats[[#This Row],[TOV]]/knicks_players_all_stats[[#This Row],[GP]]</f>
        <v>0.66666666666666663</v>
      </c>
      <c r="AL249" s="2">
        <v>46</v>
      </c>
      <c r="AM249" s="2">
        <f>knicks_players_all_stats[[#This Row],[PF]]/knicks_players_all_stats[[#This Row],[GP]]</f>
        <v>0.90196078431372551</v>
      </c>
      <c r="AN249" s="2">
        <v>140</v>
      </c>
      <c r="AO249" s="6">
        <f>knicks_players_all_stats[[#This Row],[PTS]]/knicks_players_all_stats[[#This Row],[GP]]</f>
        <v>2.7450980392156863</v>
      </c>
    </row>
    <row r="250" spans="1:41" customFormat="1" x14ac:dyDescent="0.3">
      <c r="A250" s="3" t="s">
        <v>1601</v>
      </c>
      <c r="B250" s="3" t="s">
        <v>1337</v>
      </c>
      <c r="C250" s="3" t="str">
        <f>knicks_players_all_stats[[#This Row],[NAME]]&amp;" ("&amp;knicks_players_all_stats[[#This Row],[SEASON]]&amp;")"</f>
        <v>Shannon Brown (2013-14)</v>
      </c>
      <c r="D250" s="3">
        <f>knicks_players_all_stats[[#This Row],[PLAYER_AGE]]/10</f>
        <v>28</v>
      </c>
      <c r="E250">
        <v>280</v>
      </c>
      <c r="F250" s="2">
        <v>19</v>
      </c>
      <c r="G250" s="2">
        <v>1480</v>
      </c>
      <c r="H25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23</v>
      </c>
      <c r="I250" s="6">
        <f>knicks_players_all_stats[[#This Row],[VALORATION]]/knicks_players_all_stats[[#This Row],[GP]]</f>
        <v>1.2105263157894737</v>
      </c>
      <c r="J250" s="2">
        <v>16</v>
      </c>
      <c r="K250" s="2">
        <v>38</v>
      </c>
      <c r="L250" s="4">
        <f>knicks_players_all_stats[[#This Row],[FGM]]/knicks_players_all_stats[[#This Row],[FGA]]</f>
        <v>0.42105263157894735</v>
      </c>
      <c r="M250" s="2">
        <v>0</v>
      </c>
      <c r="N250" s="2">
        <v>0</v>
      </c>
      <c r="O250" s="4" t="e">
        <f>knicks_players_all_stats[[#This Row],[FG3M]]/knicks_players_all_stats[[#This Row],[FG3A]]</f>
        <v>#DIV/0!</v>
      </c>
      <c r="P250" s="2">
        <v>8</v>
      </c>
      <c r="Q250" s="2">
        <v>12</v>
      </c>
      <c r="R250" s="5">
        <f>knicks_players_all_stats[[#This Row],[FTM]]/knicks_players_all_stats[[#This Row],[FTA]]</f>
        <v>0.66666666666666663</v>
      </c>
      <c r="S250" s="2">
        <f>knicks_players_all_stats[[#This Row],[OREB22]]/10</f>
        <v>6</v>
      </c>
      <c r="T250" s="2">
        <f>knicks_players_all_stats[[#This Row],[DREB33]]/10</f>
        <v>9</v>
      </c>
      <c r="U250" s="2">
        <f>knicks_players_all_stats[[#This Row],[REB44]]/10</f>
        <v>15</v>
      </c>
      <c r="V250">
        <v>60</v>
      </c>
      <c r="W250">
        <v>90</v>
      </c>
      <c r="X250">
        <v>150</v>
      </c>
      <c r="Y250" s="22">
        <f>knicks_players_all_stats[[#This Row],[REB]]/knicks_players_all_stats[[#This Row],[GP]]</f>
        <v>0.78947368421052633</v>
      </c>
      <c r="Z250" s="2">
        <v>4</v>
      </c>
      <c r="AA250" s="6">
        <f>knicks_players_all_stats[[#This Row],[AST]]/knicks_players_all_stats[[#This Row],[GP]]</f>
        <v>0.21052631578947367</v>
      </c>
      <c r="AB250" s="2">
        <f>knicks_players_all_stats[[#This Row],[STL2]]/10</f>
        <v>12</v>
      </c>
      <c r="AC250" s="2">
        <v>120</v>
      </c>
      <c r="AD250" s="6">
        <f>knicks_players_all_stats[[#This Row],[STL]]/knicks_players_all_stats[[#This Row],[GP]]</f>
        <v>0.63157894736842102</v>
      </c>
      <c r="AE250">
        <v>0</v>
      </c>
      <c r="AF250" s="2">
        <f>knicks_players_all_stats[[#This Row],[BLK2]]/10</f>
        <v>0</v>
      </c>
      <c r="AG250" s="6">
        <f>knicks_players_all_stats[[#This Row],[BLK]]/knicks_players_all_stats[[#This Row],[GP]]</f>
        <v>0</v>
      </c>
      <c r="AH250">
        <v>100</v>
      </c>
      <c r="AI250" s="6">
        <f>knicks_players_all_stats[[#This Row],[BLKPG]]+knicks_players_all_stats[[#This Row],[STLPG]]+knicks_players_all_stats[[#This Row],[REBPG]]</f>
        <v>1.4210526315789473</v>
      </c>
      <c r="AJ250" s="2">
        <f>knicks_players_all_stats[[#This Row],[TOV2]]/10</f>
        <v>10</v>
      </c>
      <c r="AK250" s="6">
        <f>knicks_players_all_stats[[#This Row],[TOV]]/knicks_players_all_stats[[#This Row],[GP]]</f>
        <v>0.52631578947368418</v>
      </c>
      <c r="AL250" s="2">
        <v>12</v>
      </c>
      <c r="AM250" s="2">
        <f>knicks_players_all_stats[[#This Row],[PF]]/knicks_players_all_stats[[#This Row],[GP]]</f>
        <v>0.63157894736842102</v>
      </c>
      <c r="AN250" s="2">
        <v>40</v>
      </c>
      <c r="AO250" s="6">
        <f>knicks_players_all_stats[[#This Row],[PTS]]/knicks_players_all_stats[[#This Row],[GP]]</f>
        <v>2.1052631578947367</v>
      </c>
    </row>
    <row r="251" spans="1:41" customFormat="1" x14ac:dyDescent="0.3">
      <c r="A251" s="3" t="s">
        <v>1723</v>
      </c>
      <c r="B251" s="3" t="s">
        <v>1337</v>
      </c>
      <c r="C251" s="3" t="str">
        <f>knicks_players_all_stats[[#This Row],[NAME]]&amp;" ("&amp;knicks_players_all_stats[[#This Row],[SEASON]]&amp;")"</f>
        <v>Chris Smith (2013-14)</v>
      </c>
      <c r="D251" s="3">
        <f>knicks_players_all_stats[[#This Row],[PLAYER_AGE]]/10</f>
        <v>26</v>
      </c>
      <c r="E251">
        <v>260</v>
      </c>
      <c r="F251" s="2">
        <v>2</v>
      </c>
      <c r="G251" s="2">
        <v>20</v>
      </c>
      <c r="H25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0</v>
      </c>
      <c r="I251" s="6">
        <f>knicks_players_all_stats[[#This Row],[VALORATION]]/knicks_players_all_stats[[#This Row],[GP]]</f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4" t="e">
        <f>knicks_players_all_stats[[#This Row],[FG3M]]/knicks_players_all_stats[[#This Row],[FG3A]]</f>
        <v>#DIV/0!</v>
      </c>
      <c r="P251" s="2">
        <v>0</v>
      </c>
      <c r="Q251" s="2">
        <v>0</v>
      </c>
      <c r="R251" s="5" t="e">
        <f>knicks_players_all_stats[[#This Row],[FTM]]/knicks_players_all_stats[[#This Row],[FTA]]</f>
        <v>#DIV/0!</v>
      </c>
      <c r="S251" s="2">
        <f>knicks_players_all_stats[[#This Row],[OREB22]]/10</f>
        <v>0</v>
      </c>
      <c r="T251" s="2">
        <f>knicks_players_all_stats[[#This Row],[DREB33]]/10</f>
        <v>0</v>
      </c>
      <c r="U251" s="2">
        <f>knicks_players_all_stats[[#This Row],[REB44]]/10</f>
        <v>0</v>
      </c>
      <c r="V251">
        <v>0</v>
      </c>
      <c r="W251">
        <v>0</v>
      </c>
      <c r="X251">
        <v>0</v>
      </c>
      <c r="Y251" s="22">
        <f>knicks_players_all_stats[[#This Row],[REB]]/knicks_players_all_stats[[#This Row],[GP]]</f>
        <v>0</v>
      </c>
      <c r="Z251" s="2">
        <v>0</v>
      </c>
      <c r="AA251" s="6">
        <f>knicks_players_all_stats[[#This Row],[AST]]/knicks_players_all_stats[[#This Row],[GP]]</f>
        <v>0</v>
      </c>
      <c r="AB251" s="2">
        <f>knicks_players_all_stats[[#This Row],[STL2]]/10</f>
        <v>0</v>
      </c>
      <c r="AC251" s="2">
        <v>0</v>
      </c>
      <c r="AD251" s="6">
        <f>knicks_players_all_stats[[#This Row],[STL]]/knicks_players_all_stats[[#This Row],[GP]]</f>
        <v>0</v>
      </c>
      <c r="AE251">
        <v>0</v>
      </c>
      <c r="AF251" s="2">
        <f>knicks_players_all_stats[[#This Row],[BLK2]]/10</f>
        <v>0</v>
      </c>
      <c r="AG251" s="6">
        <f>knicks_players_all_stats[[#This Row],[BLK]]/knicks_players_all_stats[[#This Row],[GP]]</f>
        <v>0</v>
      </c>
      <c r="AH251">
        <v>0</v>
      </c>
      <c r="AI251" s="6">
        <f>knicks_players_all_stats[[#This Row],[BLKPG]]+knicks_players_all_stats[[#This Row],[STLPG]]+knicks_players_all_stats[[#This Row],[REBPG]]</f>
        <v>0</v>
      </c>
      <c r="AJ251" s="2">
        <f>knicks_players_all_stats[[#This Row],[TOV2]]/10</f>
        <v>0</v>
      </c>
      <c r="AK251" s="6">
        <f>knicks_players_all_stats[[#This Row],[TOV]]/knicks_players_all_stats[[#This Row],[GP]]</f>
        <v>0</v>
      </c>
      <c r="AL251" s="2">
        <v>0</v>
      </c>
      <c r="AM251" s="2">
        <f>knicks_players_all_stats[[#This Row],[PF]]/knicks_players_all_stats[[#This Row],[GP]]</f>
        <v>0</v>
      </c>
      <c r="AN251" s="2">
        <v>0</v>
      </c>
      <c r="AO251" s="6">
        <f>knicks_players_all_stats[[#This Row],[PTS]]/knicks_players_all_stats[[#This Row],[GP]]</f>
        <v>0</v>
      </c>
    </row>
    <row r="252" spans="1:41" customFormat="1" x14ac:dyDescent="0.3">
      <c r="A252" s="3" t="s">
        <v>1419</v>
      </c>
      <c r="B252" s="3" t="s">
        <v>1343</v>
      </c>
      <c r="C252" s="3" t="str">
        <f>knicks_players_all_stats[[#This Row],[NAME]]&amp;" ("&amp;knicks_players_all_stats[[#This Row],[SEASON]]&amp;")"</f>
        <v>Carmelo Anthony (2014-15)</v>
      </c>
      <c r="D252" s="3">
        <f>knicks_players_all_stats[[#This Row],[PLAYER_AGE]]/10</f>
        <v>31</v>
      </c>
      <c r="E252">
        <v>310</v>
      </c>
      <c r="F252" s="2">
        <v>40</v>
      </c>
      <c r="G252" s="2">
        <v>14280</v>
      </c>
      <c r="H25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737</v>
      </c>
      <c r="I252" s="6">
        <f>knicks_players_all_stats[[#This Row],[VALORATION]]/knicks_players_all_stats[[#This Row],[GP]]</f>
        <v>18.425000000000001</v>
      </c>
      <c r="J252" s="2">
        <v>358</v>
      </c>
      <c r="K252" s="2">
        <v>806</v>
      </c>
      <c r="L252" s="4">
        <f>knicks_players_all_stats[[#This Row],[FGM]]/knicks_players_all_stats[[#This Row],[FGA]]</f>
        <v>0.44416873449131511</v>
      </c>
      <c r="M252" s="2">
        <v>610</v>
      </c>
      <c r="N252" s="2">
        <v>1790</v>
      </c>
      <c r="O252" s="4">
        <f>knicks_players_all_stats[[#This Row],[FG3M]]/knicks_players_all_stats[[#This Row],[FG3A]]</f>
        <v>0.34078212290502791</v>
      </c>
      <c r="P252" s="2">
        <v>189</v>
      </c>
      <c r="Q252" s="2">
        <v>237</v>
      </c>
      <c r="R252" s="5">
        <f>knicks_players_all_stats[[#This Row],[FTM]]/knicks_players_all_stats[[#This Row],[FTA]]</f>
        <v>0.79746835443037978</v>
      </c>
      <c r="S252" s="2">
        <f>knicks_players_all_stats[[#This Row],[OREB22]]/10</f>
        <v>72</v>
      </c>
      <c r="T252" s="2">
        <f>knicks_players_all_stats[[#This Row],[DREB33]]/10</f>
        <v>192</v>
      </c>
      <c r="U252" s="2">
        <f>knicks_players_all_stats[[#This Row],[REB44]]/10</f>
        <v>264</v>
      </c>
      <c r="V252">
        <v>720</v>
      </c>
      <c r="W252">
        <v>1920</v>
      </c>
      <c r="X252">
        <v>2640</v>
      </c>
      <c r="Y252" s="22">
        <f>knicks_players_all_stats[[#This Row],[REB]]/knicks_players_all_stats[[#This Row],[GP]]</f>
        <v>6.6</v>
      </c>
      <c r="Z252" s="2">
        <v>122</v>
      </c>
      <c r="AA252" s="6">
        <f>knicks_players_all_stats[[#This Row],[AST]]/knicks_players_all_stats[[#This Row],[GP]]</f>
        <v>3.05</v>
      </c>
      <c r="AB252" s="2">
        <f>knicks_players_all_stats[[#This Row],[STL2]]/10</f>
        <v>40</v>
      </c>
      <c r="AC252" s="2">
        <v>400</v>
      </c>
      <c r="AD252" s="6">
        <f>knicks_players_all_stats[[#This Row],[STL]]/knicks_players_all_stats[[#This Row],[GP]]</f>
        <v>1</v>
      </c>
      <c r="AE252">
        <v>170</v>
      </c>
      <c r="AF252" s="2">
        <f>knicks_players_all_stats[[#This Row],[BLK2]]/10</f>
        <v>17</v>
      </c>
      <c r="AG252" s="6">
        <f>knicks_players_all_stats[[#This Row],[BLK]]/knicks_players_all_stats[[#This Row],[GP]]</f>
        <v>0.42499999999999999</v>
      </c>
      <c r="AH252">
        <v>890</v>
      </c>
      <c r="AI252" s="6">
        <f>knicks_players_all_stats[[#This Row],[BLKPG]]+knicks_players_all_stats[[#This Row],[STLPG]]+knicks_players_all_stats[[#This Row],[REBPG]]</f>
        <v>8.0250000000000004</v>
      </c>
      <c r="AJ252" s="2">
        <f>knicks_players_all_stats[[#This Row],[TOV2]]/10</f>
        <v>89</v>
      </c>
      <c r="AK252" s="6">
        <f>knicks_players_all_stats[[#This Row],[TOV]]/knicks_players_all_stats[[#This Row],[GP]]</f>
        <v>2.2250000000000001</v>
      </c>
      <c r="AL252" s="2">
        <v>87</v>
      </c>
      <c r="AM252" s="2">
        <f>knicks_players_all_stats[[#This Row],[PF]]/knicks_players_all_stats[[#This Row],[GP]]</f>
        <v>2.1749999999999998</v>
      </c>
      <c r="AN252" s="2">
        <v>966</v>
      </c>
      <c r="AO252" s="6">
        <f>knicks_players_all_stats[[#This Row],[PTS]]/knicks_players_all_stats[[#This Row],[GP]]</f>
        <v>24.15</v>
      </c>
    </row>
    <row r="253" spans="1:41" customFormat="1" x14ac:dyDescent="0.3">
      <c r="A253" s="3" t="s">
        <v>1372</v>
      </c>
      <c r="B253" s="3" t="s">
        <v>1343</v>
      </c>
      <c r="C253" s="3" t="str">
        <f>knicks_players_all_stats[[#This Row],[NAME]]&amp;" ("&amp;knicks_players_all_stats[[#This Row],[SEASON]]&amp;")"</f>
        <v>Alexey Shved (2014-15)</v>
      </c>
      <c r="D253" s="3">
        <f>knicks_players_all_stats[[#This Row],[PLAYER_AGE]]/10</f>
        <v>26</v>
      </c>
      <c r="E253">
        <v>260</v>
      </c>
      <c r="F253" s="2">
        <v>16</v>
      </c>
      <c r="G253" s="2">
        <v>4230</v>
      </c>
      <c r="H25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210</v>
      </c>
      <c r="I253" s="6">
        <f>knicks_players_all_stats[[#This Row],[VALORATION]]/knicks_players_all_stats[[#This Row],[GP]]</f>
        <v>13.125</v>
      </c>
      <c r="J253" s="2">
        <v>73</v>
      </c>
      <c r="K253" s="2">
        <v>181</v>
      </c>
      <c r="L253" s="4">
        <f>knicks_players_all_stats[[#This Row],[FGM]]/knicks_players_all_stats[[#This Row],[FGA]]</f>
        <v>0.40331491712707185</v>
      </c>
      <c r="M253" s="2">
        <v>260</v>
      </c>
      <c r="N253" s="2">
        <v>700</v>
      </c>
      <c r="O253" s="4">
        <f>knicks_players_all_stats[[#This Row],[FG3M]]/knicks_players_all_stats[[#This Row],[FG3A]]</f>
        <v>0.37142857142857144</v>
      </c>
      <c r="P253" s="2">
        <v>64</v>
      </c>
      <c r="Q253" s="2">
        <v>82</v>
      </c>
      <c r="R253" s="5">
        <f>knicks_players_all_stats[[#This Row],[FTM]]/knicks_players_all_stats[[#This Row],[FTA]]</f>
        <v>0.78048780487804881</v>
      </c>
      <c r="S253" s="2">
        <f>knicks_players_all_stats[[#This Row],[OREB22]]/10</f>
        <v>14</v>
      </c>
      <c r="T253" s="2">
        <f>knicks_players_all_stats[[#This Row],[DREB33]]/10</f>
        <v>59</v>
      </c>
      <c r="U253" s="2">
        <f>knicks_players_all_stats[[#This Row],[REB44]]/10</f>
        <v>73</v>
      </c>
      <c r="V253">
        <v>140</v>
      </c>
      <c r="W253">
        <v>590</v>
      </c>
      <c r="X253">
        <v>730</v>
      </c>
      <c r="Y253" s="22">
        <f>knicks_players_all_stats[[#This Row],[REB]]/knicks_players_all_stats[[#This Row],[GP]]</f>
        <v>4.5625</v>
      </c>
      <c r="Z253" s="2">
        <v>57</v>
      </c>
      <c r="AA253" s="6">
        <f>knicks_players_all_stats[[#This Row],[AST]]/knicks_players_all_stats[[#This Row],[GP]]</f>
        <v>3.5625</v>
      </c>
      <c r="AB253" s="2">
        <f>knicks_players_all_stats[[#This Row],[STL2]]/10</f>
        <v>15</v>
      </c>
      <c r="AC253" s="2">
        <v>150</v>
      </c>
      <c r="AD253" s="6">
        <f>knicks_players_all_stats[[#This Row],[STL]]/knicks_players_all_stats[[#This Row],[GP]]</f>
        <v>0.9375</v>
      </c>
      <c r="AE253">
        <v>50</v>
      </c>
      <c r="AF253" s="2">
        <f>knicks_players_all_stats[[#This Row],[BLK2]]/10</f>
        <v>5</v>
      </c>
      <c r="AG253" s="6">
        <f>knicks_players_all_stats[[#This Row],[BLK]]/knicks_players_all_stats[[#This Row],[GP]]</f>
        <v>0.3125</v>
      </c>
      <c r="AH253">
        <v>250</v>
      </c>
      <c r="AI253" s="6">
        <f>knicks_players_all_stats[[#This Row],[BLKPG]]+knicks_players_all_stats[[#This Row],[STLPG]]+knicks_players_all_stats[[#This Row],[REBPG]]</f>
        <v>5.8125</v>
      </c>
      <c r="AJ253" s="2">
        <f>knicks_players_all_stats[[#This Row],[TOV2]]/10</f>
        <v>25</v>
      </c>
      <c r="AK253" s="6">
        <f>knicks_players_all_stats[[#This Row],[TOV]]/knicks_players_all_stats[[#This Row],[GP]]</f>
        <v>1.5625</v>
      </c>
      <c r="AL253" s="2">
        <v>25</v>
      </c>
      <c r="AM253" s="2">
        <f>knicks_players_all_stats[[#This Row],[PF]]/knicks_players_all_stats[[#This Row],[GP]]</f>
        <v>1.5625</v>
      </c>
      <c r="AN253" s="2">
        <v>236</v>
      </c>
      <c r="AO253" s="6">
        <f>knicks_players_all_stats[[#This Row],[PTS]]/knicks_players_all_stats[[#This Row],[GP]]</f>
        <v>14.75</v>
      </c>
    </row>
    <row r="254" spans="1:41" customFormat="1" x14ac:dyDescent="0.3">
      <c r="A254" s="3" t="s">
        <v>1738</v>
      </c>
      <c r="B254" s="3" t="s">
        <v>1343</v>
      </c>
      <c r="C254" s="3" t="str">
        <f>knicks_players_all_stats[[#This Row],[NAME]]&amp;" ("&amp;knicks_players_all_stats[[#This Row],[SEASON]]&amp;")"</f>
        <v>Amar'e Stoudemire (2014-15)</v>
      </c>
      <c r="D254" s="3">
        <f>knicks_players_all_stats[[#This Row],[PLAYER_AGE]]/10</f>
        <v>32</v>
      </c>
      <c r="E254">
        <v>320</v>
      </c>
      <c r="F254" s="2">
        <v>36</v>
      </c>
      <c r="G254" s="2">
        <v>8650</v>
      </c>
      <c r="H25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419</v>
      </c>
      <c r="I254" s="6">
        <f>knicks_players_all_stats[[#This Row],[VALORATION]]/knicks_players_all_stats[[#This Row],[GP]]</f>
        <v>11.638888888888889</v>
      </c>
      <c r="J254" s="2">
        <v>169</v>
      </c>
      <c r="K254" s="2">
        <v>311</v>
      </c>
      <c r="L254" s="2">
        <v>543</v>
      </c>
      <c r="M254" s="2">
        <v>0</v>
      </c>
      <c r="N254" s="2">
        <v>30</v>
      </c>
      <c r="O254" s="4">
        <f>knicks_players_all_stats[[#This Row],[FG3M]]/knicks_players_all_stats[[#This Row],[FG3A]]</f>
        <v>0</v>
      </c>
      <c r="P254" s="2">
        <v>94</v>
      </c>
      <c r="Q254" s="2">
        <v>127</v>
      </c>
      <c r="R254" s="5">
        <f>knicks_players_all_stats[[#This Row],[FTM]]/knicks_players_all_stats[[#This Row],[FTA]]</f>
        <v>0.74015748031496065</v>
      </c>
      <c r="S254" s="2">
        <f>knicks_players_all_stats[[#This Row],[OREB22]]/10</f>
        <v>83</v>
      </c>
      <c r="T254" s="2">
        <f>knicks_players_all_stats[[#This Row],[DREB33]]/10</f>
        <v>162</v>
      </c>
      <c r="U254" s="2">
        <f>knicks_players_all_stats[[#This Row],[REB44]]/10</f>
        <v>245</v>
      </c>
      <c r="V254">
        <v>830</v>
      </c>
      <c r="W254">
        <v>1620</v>
      </c>
      <c r="X254">
        <v>2450</v>
      </c>
      <c r="Y254" s="22">
        <f>knicks_players_all_stats[[#This Row],[REB]]/knicks_players_all_stats[[#This Row],[GP]]</f>
        <v>6.8055555555555554</v>
      </c>
      <c r="Z254" s="2">
        <v>37</v>
      </c>
      <c r="AA254" s="6">
        <f>knicks_players_all_stats[[#This Row],[AST]]/knicks_players_all_stats[[#This Row],[GP]]</f>
        <v>1.0277777777777777</v>
      </c>
      <c r="AB254" s="2">
        <f>knicks_players_all_stats[[#This Row],[STL2]]/10</f>
        <v>20</v>
      </c>
      <c r="AC254" s="2">
        <v>200</v>
      </c>
      <c r="AD254" s="6">
        <f>knicks_players_all_stats[[#This Row],[STL]]/knicks_players_all_stats[[#This Row],[GP]]</f>
        <v>0.55555555555555558</v>
      </c>
      <c r="AE254">
        <v>340</v>
      </c>
      <c r="AF254" s="2">
        <f>knicks_players_all_stats[[#This Row],[BLK2]]/10</f>
        <v>34</v>
      </c>
      <c r="AG254" s="6">
        <f>knicks_players_all_stats[[#This Row],[BLK]]/knicks_players_all_stats[[#This Row],[GP]]</f>
        <v>0.94444444444444442</v>
      </c>
      <c r="AH254">
        <v>630</v>
      </c>
      <c r="AI254" s="6">
        <f>knicks_players_all_stats[[#This Row],[BLKPG]]+knicks_players_all_stats[[#This Row],[STLPG]]+knicks_players_all_stats[[#This Row],[REBPG]]</f>
        <v>8.3055555555555554</v>
      </c>
      <c r="AJ254" s="2">
        <f>knicks_players_all_stats[[#This Row],[TOV2]]/10</f>
        <v>63</v>
      </c>
      <c r="AK254" s="6">
        <f>knicks_players_all_stats[[#This Row],[TOV]]/knicks_players_all_stats[[#This Row],[GP]]</f>
        <v>1.75</v>
      </c>
      <c r="AL254" s="2">
        <v>111</v>
      </c>
      <c r="AM254" s="2">
        <f>knicks_players_all_stats[[#This Row],[PF]]/knicks_players_all_stats[[#This Row],[GP]]</f>
        <v>3.0833333333333335</v>
      </c>
      <c r="AN254" s="2">
        <v>432</v>
      </c>
      <c r="AO254" s="6">
        <f>knicks_players_all_stats[[#This Row],[PTS]]/knicks_players_all_stats[[#This Row],[GP]]</f>
        <v>12</v>
      </c>
    </row>
    <row r="255" spans="1:41" customFormat="1" x14ac:dyDescent="0.3">
      <c r="A255" s="3" t="s">
        <v>1342</v>
      </c>
      <c r="B255" s="3" t="s">
        <v>1343</v>
      </c>
      <c r="C255" s="3" t="str">
        <f>knicks_players_all_stats[[#This Row],[NAME]]&amp;" ("&amp;knicks_players_all_stats[[#This Row],[SEASON]]&amp;")"</f>
        <v>Andrea Bargnani (2014-15)</v>
      </c>
      <c r="D255" s="3">
        <f>knicks_players_all_stats[[#This Row],[PLAYER_AGE]]/10</f>
        <v>29</v>
      </c>
      <c r="E255">
        <v>290</v>
      </c>
      <c r="F255" s="2">
        <v>29</v>
      </c>
      <c r="G255" s="2">
        <v>7850</v>
      </c>
      <c r="H25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320</v>
      </c>
      <c r="I255" s="6">
        <f>knicks_players_all_stats[[#This Row],[VALORATION]]/knicks_players_all_stats[[#This Row],[GP]]</f>
        <v>11.03448275862069</v>
      </c>
      <c r="J255" s="2">
        <v>164</v>
      </c>
      <c r="K255" s="2">
        <v>361</v>
      </c>
      <c r="L255" s="4">
        <f>knicks_players_all_stats[[#This Row],[FGM]]/knicks_players_all_stats[[#This Row],[FGA]]</f>
        <v>0.45429362880886426</v>
      </c>
      <c r="M255" s="2">
        <v>150</v>
      </c>
      <c r="N255" s="2">
        <v>410</v>
      </c>
      <c r="O255" s="4">
        <f>knicks_players_all_stats[[#This Row],[FG3M]]/knicks_players_all_stats[[#This Row],[FG3A]]</f>
        <v>0.36585365853658536</v>
      </c>
      <c r="P255" s="2">
        <v>87</v>
      </c>
      <c r="Q255" s="2">
        <v>107</v>
      </c>
      <c r="R255" s="5">
        <f>knicks_players_all_stats[[#This Row],[FTM]]/knicks_players_all_stats[[#This Row],[FTA]]</f>
        <v>0.81308411214953269</v>
      </c>
      <c r="S255" s="2">
        <f>knicks_players_all_stats[[#This Row],[OREB22]]/10</f>
        <v>32</v>
      </c>
      <c r="T255" s="2">
        <f>knicks_players_all_stats[[#This Row],[DREB33]]/10</f>
        <v>95</v>
      </c>
      <c r="U255" s="2">
        <f>knicks_players_all_stats[[#This Row],[REB44]]/10</f>
        <v>127</v>
      </c>
      <c r="V255">
        <v>320</v>
      </c>
      <c r="W255">
        <v>950</v>
      </c>
      <c r="X255">
        <v>1270</v>
      </c>
      <c r="Y255" s="22">
        <f>knicks_players_all_stats[[#This Row],[REB]]/knicks_players_all_stats[[#This Row],[GP]]</f>
        <v>4.3793103448275863</v>
      </c>
      <c r="Z255" s="2">
        <v>46</v>
      </c>
      <c r="AA255" s="6">
        <f>knicks_players_all_stats[[#This Row],[AST]]/knicks_players_all_stats[[#This Row],[GP]]</f>
        <v>1.5862068965517242</v>
      </c>
      <c r="AB255" s="2">
        <f>knicks_players_all_stats[[#This Row],[STL2]]/10</f>
        <v>2</v>
      </c>
      <c r="AC255" s="2">
        <v>20</v>
      </c>
      <c r="AD255" s="6">
        <f>knicks_players_all_stats[[#This Row],[STL]]/knicks_players_all_stats[[#This Row],[GP]]</f>
        <v>6.8965517241379309E-2</v>
      </c>
      <c r="AE255">
        <v>270</v>
      </c>
      <c r="AF255" s="2">
        <f>knicks_players_all_stats[[#This Row],[BLK2]]/10</f>
        <v>27</v>
      </c>
      <c r="AG255" s="6">
        <f>knicks_players_all_stats[[#This Row],[BLK]]/knicks_players_all_stats[[#This Row],[GP]]</f>
        <v>0.93103448275862066</v>
      </c>
      <c r="AH255">
        <v>420</v>
      </c>
      <c r="AI255" s="6">
        <f>knicks_players_all_stats[[#This Row],[BLKPG]]+knicks_players_all_stats[[#This Row],[STLPG]]+knicks_players_all_stats[[#This Row],[REBPG]]</f>
        <v>5.3793103448275863</v>
      </c>
      <c r="AJ255" s="2">
        <f>knicks_players_all_stats[[#This Row],[TOV2]]/10</f>
        <v>42</v>
      </c>
      <c r="AK255" s="6">
        <f>knicks_players_all_stats[[#This Row],[TOV]]/knicks_players_all_stats[[#This Row],[GP]]</f>
        <v>1.4482758620689655</v>
      </c>
      <c r="AL255" s="2">
        <v>53</v>
      </c>
      <c r="AM255" s="2">
        <f>knicks_players_all_stats[[#This Row],[PF]]/knicks_players_all_stats[[#This Row],[GP]]</f>
        <v>1.8275862068965518</v>
      </c>
      <c r="AN255" s="2">
        <v>430</v>
      </c>
      <c r="AO255" s="6">
        <f>knicks_players_all_stats[[#This Row],[PTS]]/knicks_players_all_stats[[#This Row],[GP]]</f>
        <v>14.827586206896552</v>
      </c>
    </row>
    <row r="256" spans="1:41" customFormat="1" x14ac:dyDescent="0.3">
      <c r="A256" s="3" t="s">
        <v>1735</v>
      </c>
      <c r="B256" s="3" t="s">
        <v>1343</v>
      </c>
      <c r="C256" s="3" t="str">
        <f>knicks_players_all_stats[[#This Row],[NAME]]&amp;" ("&amp;knicks_players_all_stats[[#This Row],[SEASON]]&amp;")"</f>
        <v>Langston Galloway (2014-15)</v>
      </c>
      <c r="D256" s="3">
        <f>knicks_players_all_stats[[#This Row],[PLAYER_AGE]]/10</f>
        <v>23</v>
      </c>
      <c r="E256">
        <v>230</v>
      </c>
      <c r="F256" s="2">
        <v>45</v>
      </c>
      <c r="G256" s="2">
        <v>14570</v>
      </c>
      <c r="H25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425</v>
      </c>
      <c r="I256" s="6">
        <f>knicks_players_all_stats[[#This Row],[VALORATION]]/knicks_players_all_stats[[#This Row],[GP]]</f>
        <v>9.4444444444444446</v>
      </c>
      <c r="J256" s="2">
        <v>204</v>
      </c>
      <c r="K256" s="2">
        <v>511</v>
      </c>
      <c r="L256" s="2">
        <v>399</v>
      </c>
      <c r="M256" s="2">
        <v>620</v>
      </c>
      <c r="N256" s="2">
        <v>1760</v>
      </c>
      <c r="O256" s="4">
        <f>knicks_players_all_stats[[#This Row],[FG3M]]/knicks_players_all_stats[[#This Row],[FG3A]]</f>
        <v>0.35227272727272729</v>
      </c>
      <c r="P256" s="2">
        <v>63</v>
      </c>
      <c r="Q256" s="2">
        <v>78</v>
      </c>
      <c r="R256" s="5">
        <f>knicks_players_all_stats[[#This Row],[FTM]]/knicks_players_all_stats[[#This Row],[FTA]]</f>
        <v>0.80769230769230771</v>
      </c>
      <c r="S256" s="2">
        <f>knicks_players_all_stats[[#This Row],[OREB22]]/10</f>
        <v>37</v>
      </c>
      <c r="T256" s="2">
        <f>knicks_players_all_stats[[#This Row],[DREB33]]/10</f>
        <v>153</v>
      </c>
      <c r="U256" s="2">
        <f>knicks_players_all_stats[[#This Row],[REB44]]/10</f>
        <v>190</v>
      </c>
      <c r="V256">
        <v>370</v>
      </c>
      <c r="W256">
        <v>1530</v>
      </c>
      <c r="X256">
        <v>1900</v>
      </c>
      <c r="Y256" s="22">
        <f>knicks_players_all_stats[[#This Row],[REB]]/knicks_players_all_stats[[#This Row],[GP]]</f>
        <v>4.2222222222222223</v>
      </c>
      <c r="Z256" s="2">
        <v>150</v>
      </c>
      <c r="AA256" s="6">
        <f>knicks_players_all_stats[[#This Row],[AST]]/knicks_players_all_stats[[#This Row],[GP]]</f>
        <v>3.3333333333333335</v>
      </c>
      <c r="AB256" s="2">
        <f>knicks_players_all_stats[[#This Row],[STL2]]/10</f>
        <v>52</v>
      </c>
      <c r="AC256" s="2">
        <v>520</v>
      </c>
      <c r="AD256" s="6">
        <f>knicks_players_all_stats[[#This Row],[STL]]/knicks_players_all_stats[[#This Row],[GP]]</f>
        <v>1.1555555555555554</v>
      </c>
      <c r="AE256">
        <v>120</v>
      </c>
      <c r="AF256" s="2">
        <f>knicks_players_all_stats[[#This Row],[BLK2]]/10</f>
        <v>12</v>
      </c>
      <c r="AG256" s="6">
        <f>knicks_players_all_stats[[#This Row],[BLK]]/knicks_players_all_stats[[#This Row],[GP]]</f>
        <v>0.26666666666666666</v>
      </c>
      <c r="AH256">
        <v>610</v>
      </c>
      <c r="AI256" s="6">
        <f>knicks_players_all_stats[[#This Row],[BLKPG]]+knicks_players_all_stats[[#This Row],[STLPG]]+knicks_players_all_stats[[#This Row],[REBPG]]</f>
        <v>5.6444444444444439</v>
      </c>
      <c r="AJ256" s="2">
        <f>knicks_players_all_stats[[#This Row],[TOV2]]/10</f>
        <v>61</v>
      </c>
      <c r="AK256" s="6">
        <f>knicks_players_all_stats[[#This Row],[TOV]]/knicks_players_all_stats[[#This Row],[GP]]</f>
        <v>1.3555555555555556</v>
      </c>
      <c r="AL256" s="2">
        <v>129</v>
      </c>
      <c r="AM256" s="2">
        <f>knicks_players_all_stats[[#This Row],[PF]]/knicks_players_all_stats[[#This Row],[GP]]</f>
        <v>2.8666666666666667</v>
      </c>
      <c r="AN256" s="2">
        <v>533</v>
      </c>
      <c r="AO256" s="6">
        <f>knicks_players_all_stats[[#This Row],[PTS]]/knicks_players_all_stats[[#This Row],[GP]]</f>
        <v>11.844444444444445</v>
      </c>
    </row>
    <row r="257" spans="1:41" customFormat="1" x14ac:dyDescent="0.3">
      <c r="A257" s="3" t="s">
        <v>1510</v>
      </c>
      <c r="B257" s="3" t="s">
        <v>1343</v>
      </c>
      <c r="C257" s="3" t="str">
        <f>knicks_players_all_stats[[#This Row],[NAME]]&amp;" ("&amp;knicks_players_all_stats[[#This Row],[SEASON]]&amp;")"</f>
        <v>Jose Calderon (2014-15)</v>
      </c>
      <c r="D257" s="3">
        <f>knicks_players_all_stats[[#This Row],[PLAYER_AGE]]/10</f>
        <v>33</v>
      </c>
      <c r="E257">
        <v>330</v>
      </c>
      <c r="F257" s="2">
        <v>42</v>
      </c>
      <c r="G257" s="2">
        <v>12700</v>
      </c>
      <c r="H25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374</v>
      </c>
      <c r="I257" s="6">
        <f>knicks_players_all_stats[[#This Row],[VALORATION]]/knicks_players_all_stats[[#This Row],[GP]]</f>
        <v>8.9047619047619051</v>
      </c>
      <c r="J257" s="2">
        <v>147</v>
      </c>
      <c r="K257" s="2">
        <v>354</v>
      </c>
      <c r="L257" s="4">
        <f>knicks_players_all_stats[[#This Row],[FGM]]/knicks_players_all_stats[[#This Row],[FGA]]</f>
        <v>0.4152542372881356</v>
      </c>
      <c r="M257" s="2">
        <v>590</v>
      </c>
      <c r="N257" s="2">
        <v>1420</v>
      </c>
      <c r="O257" s="4">
        <f>knicks_players_all_stats[[#This Row],[FG3M]]/knicks_players_all_stats[[#This Row],[FG3A]]</f>
        <v>0.41549295774647887</v>
      </c>
      <c r="P257" s="2">
        <v>29</v>
      </c>
      <c r="Q257" s="2">
        <v>32</v>
      </c>
      <c r="R257" s="5">
        <f>knicks_players_all_stats[[#This Row],[FTM]]/knicks_players_all_stats[[#This Row],[FTA]]</f>
        <v>0.90625</v>
      </c>
      <c r="S257" s="2">
        <f>knicks_players_all_stats[[#This Row],[OREB22]]/10</f>
        <v>19</v>
      </c>
      <c r="T257" s="2">
        <f>knicks_players_all_stats[[#This Row],[DREB33]]/10</f>
        <v>105</v>
      </c>
      <c r="U257" s="2">
        <f>knicks_players_all_stats[[#This Row],[REB44]]/10</f>
        <v>124</v>
      </c>
      <c r="V257">
        <v>190</v>
      </c>
      <c r="W257">
        <v>1050</v>
      </c>
      <c r="X257">
        <v>1240</v>
      </c>
      <c r="Y257" s="22">
        <f>knicks_players_all_stats[[#This Row],[REB]]/knicks_players_all_stats[[#This Row],[GP]]</f>
        <v>2.9523809523809526</v>
      </c>
      <c r="Z257" s="2">
        <v>198</v>
      </c>
      <c r="AA257" s="6">
        <f>knicks_players_all_stats[[#This Row],[AST]]/knicks_players_all_stats[[#This Row],[GP]]</f>
        <v>4.7142857142857144</v>
      </c>
      <c r="AB257" s="2">
        <f>knicks_players_all_stats[[#This Row],[STL2]]/10</f>
        <v>31</v>
      </c>
      <c r="AC257" s="2">
        <v>310</v>
      </c>
      <c r="AD257" s="6">
        <f>knicks_players_all_stats[[#This Row],[STL]]/knicks_players_all_stats[[#This Row],[GP]]</f>
        <v>0.73809523809523814</v>
      </c>
      <c r="AE257">
        <v>0</v>
      </c>
      <c r="AF257" s="2">
        <f>knicks_players_all_stats[[#This Row],[BLK2]]/10</f>
        <v>0</v>
      </c>
      <c r="AG257" s="6">
        <f>knicks_players_all_stats[[#This Row],[BLK]]/knicks_players_all_stats[[#This Row],[GP]]</f>
        <v>0</v>
      </c>
      <c r="AH257">
        <v>750</v>
      </c>
      <c r="AI257" s="6">
        <f>knicks_players_all_stats[[#This Row],[BLKPG]]+knicks_players_all_stats[[#This Row],[STLPG]]+knicks_players_all_stats[[#This Row],[REBPG]]</f>
        <v>3.6904761904761907</v>
      </c>
      <c r="AJ257" s="2">
        <f>knicks_players_all_stats[[#This Row],[TOV2]]/10</f>
        <v>75</v>
      </c>
      <c r="AK257" s="6">
        <f>knicks_players_all_stats[[#This Row],[TOV]]/knicks_players_all_stats[[#This Row],[GP]]</f>
        <v>1.7857142857142858</v>
      </c>
      <c r="AL257" s="2">
        <v>76</v>
      </c>
      <c r="AM257" s="2">
        <f>knicks_players_all_stats[[#This Row],[PF]]/knicks_players_all_stats[[#This Row],[GP]]</f>
        <v>1.8095238095238095</v>
      </c>
      <c r="AN257" s="2">
        <v>382</v>
      </c>
      <c r="AO257" s="6">
        <f>knicks_players_all_stats[[#This Row],[PTS]]/knicks_players_all_stats[[#This Row],[GP]]</f>
        <v>9.0952380952380949</v>
      </c>
    </row>
    <row r="258" spans="1:41" customFormat="1" x14ac:dyDescent="0.3">
      <c r="A258" s="3" t="s">
        <v>1421</v>
      </c>
      <c r="B258" s="3" t="s">
        <v>1343</v>
      </c>
      <c r="C258" s="3" t="str">
        <f>knicks_players_all_stats[[#This Row],[NAME]]&amp;" ("&amp;knicks_players_all_stats[[#This Row],[SEASON]]&amp;")"</f>
        <v>Cole Aldrich (2014-15)</v>
      </c>
      <c r="D258" s="3">
        <f>knicks_players_all_stats[[#This Row],[PLAYER_AGE]]/10</f>
        <v>26</v>
      </c>
      <c r="E258">
        <v>260</v>
      </c>
      <c r="F258" s="2">
        <v>61</v>
      </c>
      <c r="G258" s="2">
        <v>9760</v>
      </c>
      <c r="H25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501</v>
      </c>
      <c r="I258" s="6">
        <f>knicks_players_all_stats[[#This Row],[VALORATION]]/knicks_players_all_stats[[#This Row],[GP]]</f>
        <v>8.2131147540983598</v>
      </c>
      <c r="J258" s="2">
        <v>144</v>
      </c>
      <c r="K258" s="2">
        <v>301</v>
      </c>
      <c r="L258" s="4">
        <f>knicks_players_all_stats[[#This Row],[FGM]]/knicks_players_all_stats[[#This Row],[FGA]]</f>
        <v>0.47840531561461797</v>
      </c>
      <c r="M258" s="2">
        <v>0</v>
      </c>
      <c r="N258" s="2">
        <v>0</v>
      </c>
      <c r="O258" s="4" t="e">
        <f>knicks_players_all_stats[[#This Row],[FG3M]]/knicks_players_all_stats[[#This Row],[FG3A]]</f>
        <v>#DIV/0!</v>
      </c>
      <c r="P258" s="2">
        <v>50</v>
      </c>
      <c r="Q258" s="2">
        <v>64</v>
      </c>
      <c r="R258" s="5">
        <f>knicks_players_all_stats[[#This Row],[FTM]]/knicks_players_all_stats[[#This Row],[FTA]]</f>
        <v>0.78125</v>
      </c>
      <c r="S258" s="2">
        <f>knicks_players_all_stats[[#This Row],[OREB22]]/10</f>
        <v>101</v>
      </c>
      <c r="T258" s="2">
        <f>knicks_players_all_stats[[#This Row],[DREB33]]/10</f>
        <v>237</v>
      </c>
      <c r="U258" s="2">
        <f>knicks_players_all_stats[[#This Row],[REB44]]/10</f>
        <v>338</v>
      </c>
      <c r="V258">
        <v>1010</v>
      </c>
      <c r="W258">
        <v>2370</v>
      </c>
      <c r="X258">
        <v>3380</v>
      </c>
      <c r="Y258" s="22">
        <f>knicks_players_all_stats[[#This Row],[REB]]/knicks_players_all_stats[[#This Row],[GP]]</f>
        <v>5.5409836065573774</v>
      </c>
      <c r="Z258" s="2">
        <v>75</v>
      </c>
      <c r="AA258" s="6">
        <f>knicks_players_all_stats[[#This Row],[AST]]/knicks_players_all_stats[[#This Row],[GP]]</f>
        <v>1.2295081967213115</v>
      </c>
      <c r="AB258" s="2">
        <f>knicks_players_all_stats[[#This Row],[STL2]]/10</f>
        <v>37</v>
      </c>
      <c r="AC258" s="2">
        <v>370</v>
      </c>
      <c r="AD258" s="6">
        <f>knicks_players_all_stats[[#This Row],[STL]]/knicks_players_all_stats[[#This Row],[GP]]</f>
        <v>0.60655737704918034</v>
      </c>
      <c r="AE258">
        <v>650</v>
      </c>
      <c r="AF258" s="2">
        <f>knicks_players_all_stats[[#This Row],[BLK2]]/10</f>
        <v>65</v>
      </c>
      <c r="AG258" s="6">
        <f>knicks_players_all_stats[[#This Row],[BLK]]/knicks_players_all_stats[[#This Row],[GP]]</f>
        <v>1.0655737704918034</v>
      </c>
      <c r="AH258">
        <v>590</v>
      </c>
      <c r="AI258" s="6">
        <f>knicks_players_all_stats[[#This Row],[BLKPG]]+knicks_players_all_stats[[#This Row],[STLPG]]+knicks_players_all_stats[[#This Row],[REBPG]]</f>
        <v>7.2131147540983616</v>
      </c>
      <c r="AJ258" s="2">
        <f>knicks_players_all_stats[[#This Row],[TOV2]]/10</f>
        <v>59</v>
      </c>
      <c r="AK258" s="6">
        <f>knicks_players_all_stats[[#This Row],[TOV]]/knicks_players_all_stats[[#This Row],[GP]]</f>
        <v>0.96721311475409832</v>
      </c>
      <c r="AL258" s="2">
        <v>122</v>
      </c>
      <c r="AM258" s="2">
        <f>knicks_players_all_stats[[#This Row],[PF]]/knicks_players_all_stats[[#This Row],[GP]]</f>
        <v>2</v>
      </c>
      <c r="AN258" s="2">
        <v>338</v>
      </c>
      <c r="AO258" s="6">
        <f>knicks_players_all_stats[[#This Row],[PTS]]/knicks_players_all_stats[[#This Row],[GP]]</f>
        <v>5.5409836065573774</v>
      </c>
    </row>
    <row r="259" spans="1:41" customFormat="1" x14ac:dyDescent="0.3">
      <c r="A259" s="3" t="s">
        <v>1451</v>
      </c>
      <c r="B259" s="3" t="s">
        <v>1343</v>
      </c>
      <c r="C259" s="3" t="str">
        <f>knicks_players_all_stats[[#This Row],[NAME]]&amp;" ("&amp;knicks_players_all_stats[[#This Row],[SEASON]]&amp;")"</f>
        <v>JR Smith (2014-15)</v>
      </c>
      <c r="D259" s="3">
        <f>knicks_players_all_stats[[#This Row],[PLAYER_AGE]]/10</f>
        <v>29</v>
      </c>
      <c r="E259">
        <v>290</v>
      </c>
      <c r="F259" s="2">
        <v>24</v>
      </c>
      <c r="G259" s="2">
        <v>6190</v>
      </c>
      <c r="H25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171</v>
      </c>
      <c r="I259" s="6">
        <f>knicks_players_all_stats[[#This Row],[VALORATION]]/knicks_players_all_stats[[#This Row],[GP]]</f>
        <v>7.125</v>
      </c>
      <c r="J259" s="2">
        <v>101</v>
      </c>
      <c r="K259" s="2">
        <v>251</v>
      </c>
      <c r="L259" s="4">
        <f>knicks_players_all_stats[[#This Row],[FGM]]/knicks_players_all_stats[[#This Row],[FGA]]</f>
        <v>0.40239043824701193</v>
      </c>
      <c r="M259" s="2">
        <v>320</v>
      </c>
      <c r="N259" s="2">
        <v>900</v>
      </c>
      <c r="O259" s="4">
        <f>knicks_players_all_stats[[#This Row],[FG3M]]/knicks_players_all_stats[[#This Row],[FG3A]]</f>
        <v>0.35555555555555557</v>
      </c>
      <c r="P259" s="2">
        <v>27</v>
      </c>
      <c r="Q259" s="2">
        <v>39</v>
      </c>
      <c r="R259" s="5">
        <f>knicks_players_all_stats[[#This Row],[FTM]]/knicks_players_all_stats[[#This Row],[FTA]]</f>
        <v>0.69230769230769229</v>
      </c>
      <c r="S259" s="2">
        <f>knicks_players_all_stats[[#This Row],[OREB22]]/10</f>
        <v>4</v>
      </c>
      <c r="T259" s="2">
        <f>knicks_players_all_stats[[#This Row],[DREB33]]/10</f>
        <v>54</v>
      </c>
      <c r="U259" s="2">
        <f>knicks_players_all_stats[[#This Row],[REB44]]/10</f>
        <v>58</v>
      </c>
      <c r="V259">
        <v>40</v>
      </c>
      <c r="W259">
        <v>540</v>
      </c>
      <c r="X259">
        <v>580</v>
      </c>
      <c r="Y259" s="22">
        <f>knicks_players_all_stats[[#This Row],[REB]]/knicks_players_all_stats[[#This Row],[GP]]</f>
        <v>2.4166666666666665</v>
      </c>
      <c r="Z259" s="2">
        <v>81</v>
      </c>
      <c r="AA259" s="6">
        <f>knicks_players_all_stats[[#This Row],[AST]]/knicks_players_all_stats[[#This Row],[GP]]</f>
        <v>3.375</v>
      </c>
      <c r="AB259" s="2">
        <f>knicks_players_all_stats[[#This Row],[STL2]]/10</f>
        <v>18</v>
      </c>
      <c r="AC259" s="2">
        <v>180</v>
      </c>
      <c r="AD259" s="6">
        <f>knicks_players_all_stats[[#This Row],[STL]]/knicks_players_all_stats[[#This Row],[GP]]</f>
        <v>0.75</v>
      </c>
      <c r="AE259">
        <v>40</v>
      </c>
      <c r="AF259" s="2">
        <f>knicks_players_all_stats[[#This Row],[BLK2]]/10</f>
        <v>4</v>
      </c>
      <c r="AG259" s="6">
        <f>knicks_players_all_stats[[#This Row],[BLK]]/knicks_players_all_stats[[#This Row],[GP]]</f>
        <v>0.16666666666666666</v>
      </c>
      <c r="AH259">
        <v>450</v>
      </c>
      <c r="AI259" s="6">
        <f>knicks_players_all_stats[[#This Row],[BLKPG]]+knicks_players_all_stats[[#This Row],[STLPG]]+knicks_players_all_stats[[#This Row],[REBPG]]</f>
        <v>3.333333333333333</v>
      </c>
      <c r="AJ259" s="2">
        <f>knicks_players_all_stats[[#This Row],[TOV2]]/10</f>
        <v>45</v>
      </c>
      <c r="AK259" s="6">
        <f>knicks_players_all_stats[[#This Row],[TOV]]/knicks_players_all_stats[[#This Row],[GP]]</f>
        <v>1.875</v>
      </c>
      <c r="AL259" s="2">
        <v>44</v>
      </c>
      <c r="AM259" s="2">
        <f>knicks_players_all_stats[[#This Row],[PF]]/knicks_players_all_stats[[#This Row],[GP]]</f>
        <v>1.8333333333333333</v>
      </c>
      <c r="AN259" s="2">
        <v>261</v>
      </c>
      <c r="AO259" s="6">
        <f>knicks_players_all_stats[[#This Row],[PTS]]/knicks_players_all_stats[[#This Row],[GP]]</f>
        <v>10.875</v>
      </c>
    </row>
    <row r="260" spans="1:41" customFormat="1" x14ac:dyDescent="0.3">
      <c r="A260" s="3" t="s">
        <v>1718</v>
      </c>
      <c r="B260" s="3" t="s">
        <v>1343</v>
      </c>
      <c r="C260" s="3" t="str">
        <f>knicks_players_all_stats[[#This Row],[NAME]]&amp;" ("&amp;knicks_players_all_stats[[#This Row],[SEASON]]&amp;")"</f>
        <v>Iman Shumpert (2014-15)</v>
      </c>
      <c r="D260" s="3">
        <f>knicks_players_all_stats[[#This Row],[PLAYER_AGE]]/10</f>
        <v>25</v>
      </c>
      <c r="E260">
        <v>250</v>
      </c>
      <c r="F260" s="2">
        <v>24</v>
      </c>
      <c r="G260" s="2">
        <v>6250</v>
      </c>
      <c r="H26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168</v>
      </c>
      <c r="I260" s="6">
        <f>knicks_players_all_stats[[#This Row],[VALORATION]]/knicks_players_all_stats[[#This Row],[GP]]</f>
        <v>7</v>
      </c>
      <c r="J260" s="2">
        <v>88</v>
      </c>
      <c r="K260" s="2">
        <v>215</v>
      </c>
      <c r="L260" s="2">
        <v>409</v>
      </c>
      <c r="M260" s="2">
        <v>230</v>
      </c>
      <c r="N260" s="2">
        <v>660</v>
      </c>
      <c r="O260" s="4">
        <f>knicks_players_all_stats[[#This Row],[FG3M]]/knicks_players_all_stats[[#This Row],[FG3A]]</f>
        <v>0.34848484848484851</v>
      </c>
      <c r="P260" s="2">
        <v>25</v>
      </c>
      <c r="Q260" s="2">
        <v>37</v>
      </c>
      <c r="R260" s="5">
        <f>knicks_players_all_stats[[#This Row],[FTM]]/knicks_players_all_stats[[#This Row],[FTA]]</f>
        <v>0.67567567567567566</v>
      </c>
      <c r="S260" s="2">
        <f>knicks_players_all_stats[[#This Row],[OREB22]]/10</f>
        <v>22</v>
      </c>
      <c r="T260" s="2">
        <f>knicks_players_all_stats[[#This Row],[DREB33]]/10</f>
        <v>59</v>
      </c>
      <c r="U260" s="2">
        <f>knicks_players_all_stats[[#This Row],[REB44]]/10</f>
        <v>81</v>
      </c>
      <c r="V260">
        <v>220</v>
      </c>
      <c r="W260">
        <v>590</v>
      </c>
      <c r="X260">
        <v>810</v>
      </c>
      <c r="Y260" s="22">
        <f>knicks_players_all_stats[[#This Row],[REB]]/knicks_players_all_stats[[#This Row],[GP]]</f>
        <v>3.375</v>
      </c>
      <c r="Z260" s="2">
        <v>78</v>
      </c>
      <c r="AA260" s="6">
        <f>knicks_players_all_stats[[#This Row],[AST]]/knicks_players_all_stats[[#This Row],[GP]]</f>
        <v>3.25</v>
      </c>
      <c r="AB260" s="2">
        <f>knicks_players_all_stats[[#This Row],[STL2]]/10</f>
        <v>30</v>
      </c>
      <c r="AC260" s="2">
        <v>300</v>
      </c>
      <c r="AD260" s="6">
        <f>knicks_players_all_stats[[#This Row],[STL]]/knicks_players_all_stats[[#This Row],[GP]]</f>
        <v>1.25</v>
      </c>
      <c r="AE260">
        <v>30</v>
      </c>
      <c r="AF260" s="2">
        <f>knicks_players_all_stats[[#This Row],[BLK2]]/10</f>
        <v>3</v>
      </c>
      <c r="AG260" s="6">
        <f>knicks_players_all_stats[[#This Row],[BLK]]/knicks_players_all_stats[[#This Row],[GP]]</f>
        <v>0.125</v>
      </c>
      <c r="AH260">
        <v>420</v>
      </c>
      <c r="AI260" s="6">
        <f>knicks_players_all_stats[[#This Row],[BLKPG]]+knicks_players_all_stats[[#This Row],[STLPG]]+knicks_players_all_stats[[#This Row],[REBPG]]</f>
        <v>4.75</v>
      </c>
      <c r="AJ260" s="2">
        <f>knicks_players_all_stats[[#This Row],[TOV2]]/10</f>
        <v>42</v>
      </c>
      <c r="AK260" s="6">
        <f>knicks_players_all_stats[[#This Row],[TOV]]/knicks_players_all_stats[[#This Row],[GP]]</f>
        <v>1.75</v>
      </c>
      <c r="AL260" s="2">
        <v>67</v>
      </c>
      <c r="AM260" s="2">
        <f>knicks_players_all_stats[[#This Row],[PF]]/knicks_players_all_stats[[#This Row],[GP]]</f>
        <v>2.7916666666666665</v>
      </c>
      <c r="AN260" s="2">
        <v>224</v>
      </c>
      <c r="AO260" s="6">
        <f>knicks_players_all_stats[[#This Row],[PTS]]/knicks_players_all_stats[[#This Row],[GP]]</f>
        <v>9.3333333333333339</v>
      </c>
    </row>
    <row r="261" spans="1:41" customFormat="1" x14ac:dyDescent="0.3">
      <c r="A261" s="3" t="s">
        <v>1772</v>
      </c>
      <c r="B261" s="3" t="s">
        <v>1343</v>
      </c>
      <c r="C261" s="3" t="str">
        <f>knicks_players_all_stats[[#This Row],[NAME]]&amp;" ("&amp;knicks_players_all_stats[[#This Row],[SEASON]]&amp;")"</f>
        <v>Lou Amundson (2014-15)</v>
      </c>
      <c r="D261" s="3">
        <f>knicks_players_all_stats[[#This Row],[PLAYER_AGE]]/10</f>
        <v>32</v>
      </c>
      <c r="E261">
        <v>320</v>
      </c>
      <c r="F261" s="2">
        <v>41</v>
      </c>
      <c r="G261" s="2">
        <v>8580</v>
      </c>
      <c r="H26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280</v>
      </c>
      <c r="I261" s="6">
        <f>knicks_players_all_stats[[#This Row],[VALORATION]]/knicks_players_all_stats[[#This Row],[GP]]</f>
        <v>6.8292682926829267</v>
      </c>
      <c r="J261" s="2">
        <v>105</v>
      </c>
      <c r="K261" s="2">
        <v>243</v>
      </c>
      <c r="L261" s="2">
        <v>432</v>
      </c>
      <c r="M261" s="2">
        <v>0</v>
      </c>
      <c r="N261" s="2">
        <v>10</v>
      </c>
      <c r="O261" s="4">
        <f>knicks_players_all_stats[[#This Row],[FG3M]]/knicks_players_all_stats[[#This Row],[FG3A]]</f>
        <v>0</v>
      </c>
      <c r="P261" s="2">
        <v>38</v>
      </c>
      <c r="Q261" s="2">
        <v>82</v>
      </c>
      <c r="R261" s="5">
        <f>knicks_players_all_stats[[#This Row],[FTM]]/knicks_players_all_stats[[#This Row],[FTA]]</f>
        <v>0.46341463414634149</v>
      </c>
      <c r="S261" s="2">
        <f>knicks_players_all_stats[[#This Row],[OREB22]]/10</f>
        <v>89</v>
      </c>
      <c r="T261" s="2">
        <f>knicks_players_all_stats[[#This Row],[DREB33]]/10</f>
        <v>159</v>
      </c>
      <c r="U261" s="2">
        <f>knicks_players_all_stats[[#This Row],[REB44]]/10</f>
        <v>248</v>
      </c>
      <c r="V261">
        <v>890</v>
      </c>
      <c r="W261">
        <v>1590</v>
      </c>
      <c r="X261">
        <v>2480</v>
      </c>
      <c r="Y261" s="22">
        <f>knicks_players_all_stats[[#This Row],[REB]]/knicks_players_all_stats[[#This Row],[GP]]</f>
        <v>6.0487804878048781</v>
      </c>
      <c r="Z261" s="2">
        <v>65</v>
      </c>
      <c r="AA261" s="6">
        <f>knicks_players_all_stats[[#This Row],[AST]]/knicks_players_all_stats[[#This Row],[GP]]</f>
        <v>1.5853658536585367</v>
      </c>
      <c r="AB261" s="2">
        <f>knicks_players_all_stats[[#This Row],[STL2]]/10</f>
        <v>21</v>
      </c>
      <c r="AC261" s="2">
        <v>210</v>
      </c>
      <c r="AD261" s="6">
        <f>knicks_players_all_stats[[#This Row],[STL]]/knicks_players_all_stats[[#This Row],[GP]]</f>
        <v>0.51219512195121952</v>
      </c>
      <c r="AE261">
        <v>520</v>
      </c>
      <c r="AF261" s="2">
        <f>knicks_players_all_stats[[#This Row],[BLK2]]/10</f>
        <v>52</v>
      </c>
      <c r="AG261" s="6">
        <f>knicks_players_all_stats[[#This Row],[BLK]]/knicks_players_all_stats[[#This Row],[GP]]</f>
        <v>1.2682926829268293</v>
      </c>
      <c r="AH261">
        <v>570</v>
      </c>
      <c r="AI261" s="6">
        <f>knicks_players_all_stats[[#This Row],[BLKPG]]+knicks_players_all_stats[[#This Row],[STLPG]]+knicks_players_all_stats[[#This Row],[REBPG]]</f>
        <v>7.8292682926829267</v>
      </c>
      <c r="AJ261" s="2">
        <f>knicks_players_all_stats[[#This Row],[TOV2]]/10</f>
        <v>57</v>
      </c>
      <c r="AK261" s="6">
        <f>knicks_players_all_stats[[#This Row],[TOV]]/knicks_players_all_stats[[#This Row],[GP]]</f>
        <v>1.3902439024390243</v>
      </c>
      <c r="AL261" s="2">
        <v>115</v>
      </c>
      <c r="AM261" s="2">
        <f>knicks_players_all_stats[[#This Row],[PF]]/knicks_players_all_stats[[#This Row],[GP]]</f>
        <v>2.8048780487804876</v>
      </c>
      <c r="AN261" s="2">
        <v>248</v>
      </c>
      <c r="AO261" s="6">
        <f>knicks_players_all_stats[[#This Row],[PTS]]/knicks_players_all_stats[[#This Row],[GP]]</f>
        <v>6.0487804878048781</v>
      </c>
    </row>
    <row r="262" spans="1:41" customFormat="1" x14ac:dyDescent="0.3">
      <c r="A262" s="3" t="s">
        <v>1607</v>
      </c>
      <c r="B262" s="3" t="s">
        <v>1343</v>
      </c>
      <c r="C262" s="3" t="str">
        <f>knicks_players_all_stats[[#This Row],[NAME]]&amp;" ("&amp;knicks_players_all_stats[[#This Row],[SEASON]]&amp;")"</f>
        <v>Tim Hardaway Jr. (2014-15)</v>
      </c>
      <c r="D262" s="3">
        <f>knicks_players_all_stats[[#This Row],[PLAYER_AGE]]/10</f>
        <v>23</v>
      </c>
      <c r="E262">
        <v>230</v>
      </c>
      <c r="F262" s="2">
        <v>70</v>
      </c>
      <c r="G262" s="2">
        <v>16810</v>
      </c>
      <c r="H26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451</v>
      </c>
      <c r="I262" s="6">
        <f>knicks_players_all_stats[[#This Row],[VALORATION]]/knicks_players_all_stats[[#This Row],[GP]]</f>
        <v>6.4428571428571431</v>
      </c>
      <c r="J262" s="2">
        <v>279</v>
      </c>
      <c r="K262" s="2">
        <v>717</v>
      </c>
      <c r="L262" s="4">
        <f>knicks_players_all_stats[[#This Row],[FGM]]/knicks_players_all_stats[[#This Row],[FGA]]</f>
        <v>0.38912133891213391</v>
      </c>
      <c r="M262" s="2">
        <v>1210</v>
      </c>
      <c r="N262" s="2">
        <v>3540</v>
      </c>
      <c r="O262" s="4">
        <f>knicks_players_all_stats[[#This Row],[FG3M]]/knicks_players_all_stats[[#This Row],[FG3A]]</f>
        <v>0.34180790960451979</v>
      </c>
      <c r="P262" s="2">
        <v>125</v>
      </c>
      <c r="Q262" s="2">
        <v>156</v>
      </c>
      <c r="R262" s="5">
        <f>knicks_players_all_stats[[#This Row],[FTM]]/knicks_players_all_stats[[#This Row],[FTA]]</f>
        <v>0.80128205128205132</v>
      </c>
      <c r="S262" s="2">
        <f>knicks_players_all_stats[[#This Row],[OREB22]]/10</f>
        <v>12</v>
      </c>
      <c r="T262" s="2">
        <f>knicks_players_all_stats[[#This Row],[DREB33]]/10</f>
        <v>144</v>
      </c>
      <c r="U262" s="2">
        <f>knicks_players_all_stats[[#This Row],[REB44]]/10</f>
        <v>156</v>
      </c>
      <c r="V262">
        <v>120</v>
      </c>
      <c r="W262">
        <v>1440</v>
      </c>
      <c r="X262">
        <v>1560</v>
      </c>
      <c r="Y262" s="22">
        <f>knicks_players_all_stats[[#This Row],[REB]]/knicks_players_all_stats[[#This Row],[GP]]</f>
        <v>2.2285714285714286</v>
      </c>
      <c r="Z262" s="2">
        <v>127</v>
      </c>
      <c r="AA262" s="6">
        <f>knicks_players_all_stats[[#This Row],[AST]]/knicks_players_all_stats[[#This Row],[GP]]</f>
        <v>1.8142857142857143</v>
      </c>
      <c r="AB262" s="2">
        <f>knicks_players_all_stats[[#This Row],[STL2]]/10</f>
        <v>20</v>
      </c>
      <c r="AC262" s="2">
        <v>200</v>
      </c>
      <c r="AD262" s="6">
        <f>knicks_players_all_stats[[#This Row],[STL]]/knicks_players_all_stats[[#This Row],[GP]]</f>
        <v>0.2857142857142857</v>
      </c>
      <c r="AE262">
        <v>140</v>
      </c>
      <c r="AF262" s="2">
        <f>knicks_players_all_stats[[#This Row],[BLK2]]/10</f>
        <v>14</v>
      </c>
      <c r="AG262" s="6">
        <f>knicks_players_all_stats[[#This Row],[BLK]]/knicks_players_all_stats[[#This Row],[GP]]</f>
        <v>0.2</v>
      </c>
      <c r="AH262">
        <v>820</v>
      </c>
      <c r="AI262" s="6">
        <f>knicks_players_all_stats[[#This Row],[BLKPG]]+knicks_players_all_stats[[#This Row],[STLPG]]+knicks_players_all_stats[[#This Row],[REBPG]]</f>
        <v>2.7142857142857144</v>
      </c>
      <c r="AJ262" s="2">
        <f>knicks_players_all_stats[[#This Row],[TOV2]]/10</f>
        <v>82</v>
      </c>
      <c r="AK262" s="6">
        <f>knicks_players_all_stats[[#This Row],[TOV]]/knicks_players_all_stats[[#This Row],[GP]]</f>
        <v>1.1714285714285715</v>
      </c>
      <c r="AL262" s="2">
        <v>119</v>
      </c>
      <c r="AM262" s="2">
        <f>knicks_players_all_stats[[#This Row],[PF]]/knicks_players_all_stats[[#This Row],[GP]]</f>
        <v>1.7</v>
      </c>
      <c r="AN262" s="2">
        <v>804</v>
      </c>
      <c r="AO262" s="6">
        <f>knicks_players_all_stats[[#This Row],[PTS]]/knicks_players_all_stats[[#This Row],[GP]]</f>
        <v>11.485714285714286</v>
      </c>
    </row>
    <row r="263" spans="1:41" customFormat="1" x14ac:dyDescent="0.3">
      <c r="A263" s="3" t="s">
        <v>1533</v>
      </c>
      <c r="B263" s="3" t="s">
        <v>1343</v>
      </c>
      <c r="C263" s="3" t="str">
        <f>knicks_players_all_stats[[#This Row],[NAME]]&amp;" ("&amp;knicks_players_all_stats[[#This Row],[SEASON]]&amp;")"</f>
        <v>Jason Smith (2014-15)</v>
      </c>
      <c r="D263" s="3">
        <f>knicks_players_all_stats[[#This Row],[PLAYER_AGE]]/10</f>
        <v>29</v>
      </c>
      <c r="E263">
        <v>290</v>
      </c>
      <c r="F263" s="2">
        <v>82</v>
      </c>
      <c r="G263" s="2">
        <v>17850</v>
      </c>
      <c r="H26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526</v>
      </c>
      <c r="I263" s="6">
        <f>knicks_players_all_stats[[#This Row],[VALORATION]]/knicks_players_all_stats[[#This Row],[GP]]</f>
        <v>6.4146341463414638</v>
      </c>
      <c r="J263" s="2">
        <v>257</v>
      </c>
      <c r="K263" s="2">
        <v>592</v>
      </c>
      <c r="L263" s="4">
        <f>knicks_players_all_stats[[#This Row],[FGM]]/knicks_players_all_stats[[#This Row],[FGA]]</f>
        <v>0.4341216216216216</v>
      </c>
      <c r="M263" s="2">
        <v>150</v>
      </c>
      <c r="N263" s="2">
        <v>420</v>
      </c>
      <c r="O263" s="4">
        <f>knicks_players_all_stats[[#This Row],[FG3M]]/knicks_players_all_stats[[#This Row],[FG3A]]</f>
        <v>0.35714285714285715</v>
      </c>
      <c r="P263" s="2">
        <v>127</v>
      </c>
      <c r="Q263" s="2">
        <v>153</v>
      </c>
      <c r="R263" s="5">
        <f>knicks_players_all_stats[[#This Row],[FTM]]/knicks_players_all_stats[[#This Row],[FTA]]</f>
        <v>0.83006535947712423</v>
      </c>
      <c r="S263" s="2">
        <f>knicks_players_all_stats[[#This Row],[OREB22]]/10</f>
        <v>98</v>
      </c>
      <c r="T263" s="2">
        <f>knicks_players_all_stats[[#This Row],[DREB33]]/10</f>
        <v>226</v>
      </c>
      <c r="U263" s="2">
        <f>knicks_players_all_stats[[#This Row],[REB44]]/10</f>
        <v>324</v>
      </c>
      <c r="V263">
        <v>980</v>
      </c>
      <c r="W263">
        <v>2260</v>
      </c>
      <c r="X263">
        <v>3240</v>
      </c>
      <c r="Y263" s="22">
        <f>knicks_players_all_stats[[#This Row],[REB]]/knicks_players_all_stats[[#This Row],[GP]]</f>
        <v>3.9512195121951219</v>
      </c>
      <c r="Z263" s="2">
        <v>140</v>
      </c>
      <c r="AA263" s="6">
        <f>knicks_players_all_stats[[#This Row],[AST]]/knicks_players_all_stats[[#This Row],[GP]]</f>
        <v>1.7073170731707317</v>
      </c>
      <c r="AB263" s="2">
        <f>knicks_players_all_stats[[#This Row],[STL2]]/10</f>
        <v>32</v>
      </c>
      <c r="AC263" s="2">
        <v>320</v>
      </c>
      <c r="AD263" s="6">
        <f>knicks_players_all_stats[[#This Row],[STL]]/knicks_players_all_stats[[#This Row],[GP]]</f>
        <v>0.3902439024390244</v>
      </c>
      <c r="AE263">
        <v>440</v>
      </c>
      <c r="AF263" s="2">
        <f>knicks_players_all_stats[[#This Row],[BLK2]]/10</f>
        <v>44</v>
      </c>
      <c r="AG263" s="6">
        <f>knicks_players_all_stats[[#This Row],[BLK]]/knicks_players_all_stats[[#This Row],[GP]]</f>
        <v>0.53658536585365857</v>
      </c>
      <c r="AH263">
        <v>1040</v>
      </c>
      <c r="AI263" s="6">
        <f>knicks_players_all_stats[[#This Row],[BLKPG]]+knicks_players_all_stats[[#This Row],[STLPG]]+knicks_players_all_stats[[#This Row],[REBPG]]</f>
        <v>4.8780487804878048</v>
      </c>
      <c r="AJ263" s="2">
        <f>knicks_players_all_stats[[#This Row],[TOV2]]/10</f>
        <v>104</v>
      </c>
      <c r="AK263" s="6">
        <f>knicks_players_all_stats[[#This Row],[TOV]]/knicks_players_all_stats[[#This Row],[GP]]</f>
        <v>1.2682926829268293</v>
      </c>
      <c r="AL263" s="2">
        <v>205</v>
      </c>
      <c r="AM263" s="2">
        <f>knicks_players_all_stats[[#This Row],[PF]]/knicks_players_all_stats[[#This Row],[GP]]</f>
        <v>2.5</v>
      </c>
      <c r="AN263" s="2">
        <v>656</v>
      </c>
      <c r="AO263" s="6">
        <f>knicks_players_all_stats[[#This Row],[PTS]]/knicks_players_all_stats[[#This Row],[GP]]</f>
        <v>8</v>
      </c>
    </row>
    <row r="264" spans="1:41" customFormat="1" x14ac:dyDescent="0.3">
      <c r="A264" s="3" t="s">
        <v>1570</v>
      </c>
      <c r="B264" s="3" t="s">
        <v>1343</v>
      </c>
      <c r="C264" s="3" t="str">
        <f>knicks_players_all_stats[[#This Row],[NAME]]&amp;" ("&amp;knicks_players_all_stats[[#This Row],[SEASON]]&amp;")"</f>
        <v>Shane Larkin (2014-15)</v>
      </c>
      <c r="D264" s="3">
        <f>knicks_players_all_stats[[#This Row],[PLAYER_AGE]]/10</f>
        <v>22</v>
      </c>
      <c r="E264">
        <v>220</v>
      </c>
      <c r="F264" s="2">
        <v>76</v>
      </c>
      <c r="G264" s="2">
        <v>18650</v>
      </c>
      <c r="H26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479</v>
      </c>
      <c r="I264" s="6">
        <f>knicks_players_all_stats[[#This Row],[VALORATION]]/knicks_players_all_stats[[#This Row],[GP]]</f>
        <v>6.3026315789473681</v>
      </c>
      <c r="J264" s="2">
        <v>187</v>
      </c>
      <c r="K264" s="2">
        <v>432</v>
      </c>
      <c r="L264" s="4">
        <f>knicks_players_all_stats[[#This Row],[FGM]]/knicks_players_all_stats[[#This Row],[FGA]]</f>
        <v>0.43287037037037035</v>
      </c>
      <c r="M264" s="2">
        <v>350</v>
      </c>
      <c r="N264" s="2">
        <v>1160</v>
      </c>
      <c r="O264" s="4">
        <f>knicks_players_all_stats[[#This Row],[FG3M]]/knicks_players_all_stats[[#This Row],[FG3A]]</f>
        <v>0.30172413793103448</v>
      </c>
      <c r="P264" s="2">
        <v>61</v>
      </c>
      <c r="Q264" s="2">
        <v>78</v>
      </c>
      <c r="R264" s="5">
        <f>knicks_players_all_stats[[#This Row],[FTM]]/knicks_players_all_stats[[#This Row],[FTA]]</f>
        <v>0.78205128205128205</v>
      </c>
      <c r="S264" s="2">
        <f>knicks_players_all_stats[[#This Row],[OREB22]]/10</f>
        <v>29</v>
      </c>
      <c r="T264" s="2">
        <f>knicks_players_all_stats[[#This Row],[DREB33]]/10</f>
        <v>147</v>
      </c>
      <c r="U264" s="2">
        <f>knicks_players_all_stats[[#This Row],[REB44]]/10</f>
        <v>176</v>
      </c>
      <c r="V264">
        <v>290</v>
      </c>
      <c r="W264">
        <v>1470</v>
      </c>
      <c r="X264">
        <v>1760</v>
      </c>
      <c r="Y264" s="22">
        <f>knicks_players_all_stats[[#This Row],[REB]]/knicks_players_all_stats[[#This Row],[GP]]</f>
        <v>2.3157894736842106</v>
      </c>
      <c r="Z264" s="2">
        <v>226</v>
      </c>
      <c r="AA264" s="6">
        <f>knicks_players_all_stats[[#This Row],[AST]]/knicks_players_all_stats[[#This Row],[GP]]</f>
        <v>2.9736842105263159</v>
      </c>
      <c r="AB264" s="2">
        <f>knicks_players_all_stats[[#This Row],[STL2]]/10</f>
        <v>93</v>
      </c>
      <c r="AC264" s="2">
        <v>930</v>
      </c>
      <c r="AD264" s="6">
        <f>knicks_players_all_stats[[#This Row],[STL]]/knicks_players_all_stats[[#This Row],[GP]]</f>
        <v>1.2236842105263157</v>
      </c>
      <c r="AE264">
        <v>90</v>
      </c>
      <c r="AF264" s="2">
        <f>knicks_players_all_stats[[#This Row],[BLK2]]/10</f>
        <v>9</v>
      </c>
      <c r="AG264" s="6">
        <f>knicks_players_all_stats[[#This Row],[BLK]]/knicks_players_all_stats[[#This Row],[GP]]</f>
        <v>0.11842105263157894</v>
      </c>
      <c r="AH264">
        <v>830</v>
      </c>
      <c r="AI264" s="6">
        <f>knicks_players_all_stats[[#This Row],[BLKPG]]+knicks_players_all_stats[[#This Row],[STLPG]]+knicks_players_all_stats[[#This Row],[REBPG]]</f>
        <v>3.6578947368421053</v>
      </c>
      <c r="AJ264" s="2">
        <f>knicks_players_all_stats[[#This Row],[TOV2]]/10</f>
        <v>83</v>
      </c>
      <c r="AK264" s="6">
        <f>knicks_players_all_stats[[#This Row],[TOV]]/knicks_players_all_stats[[#This Row],[GP]]</f>
        <v>1.0921052631578947</v>
      </c>
      <c r="AL264" s="2">
        <v>150</v>
      </c>
      <c r="AM264" s="2">
        <f>knicks_players_all_stats[[#This Row],[PF]]/knicks_players_all_stats[[#This Row],[GP]]</f>
        <v>1.9736842105263157</v>
      </c>
      <c r="AN264" s="2">
        <v>470</v>
      </c>
      <c r="AO264" s="6">
        <f>knicks_players_all_stats[[#This Row],[PTS]]/knicks_players_all_stats[[#This Row],[GP]]</f>
        <v>6.1842105263157894</v>
      </c>
    </row>
    <row r="265" spans="1:41" customFormat="1" x14ac:dyDescent="0.3">
      <c r="A265" s="3" t="s">
        <v>1703</v>
      </c>
      <c r="B265" s="3" t="s">
        <v>1343</v>
      </c>
      <c r="C265" s="3" t="str">
        <f>knicks_players_all_stats[[#This Row],[NAME]]&amp;" ("&amp;knicks_players_all_stats[[#This Row],[SEASON]]&amp;")"</f>
        <v>Quincy Acy (2014-15)</v>
      </c>
      <c r="D265" s="3">
        <f>knicks_players_all_stats[[#This Row],[PLAYER_AGE]]/10</f>
        <v>24</v>
      </c>
      <c r="E265">
        <v>240</v>
      </c>
      <c r="F265" s="2">
        <v>68</v>
      </c>
      <c r="G265" s="2">
        <v>12870</v>
      </c>
      <c r="H26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409</v>
      </c>
      <c r="I265" s="6">
        <f>knicks_players_all_stats[[#This Row],[VALORATION]]/knicks_players_all_stats[[#This Row],[GP]]</f>
        <v>6.0147058823529411</v>
      </c>
      <c r="J265" s="2">
        <v>152</v>
      </c>
      <c r="K265" s="2">
        <v>331</v>
      </c>
      <c r="L265" s="2">
        <v>459</v>
      </c>
      <c r="M265" s="2">
        <v>180</v>
      </c>
      <c r="N265" s="2">
        <v>600</v>
      </c>
      <c r="O265" s="4">
        <f>knicks_players_all_stats[[#This Row],[FG3M]]/knicks_players_all_stats[[#This Row],[FG3A]]</f>
        <v>0.3</v>
      </c>
      <c r="P265" s="2">
        <v>76</v>
      </c>
      <c r="Q265" s="2">
        <v>97</v>
      </c>
      <c r="R265" s="5">
        <f>knicks_players_all_stats[[#This Row],[FTM]]/knicks_players_all_stats[[#This Row],[FTA]]</f>
        <v>0.78350515463917525</v>
      </c>
      <c r="S265" s="2">
        <f>knicks_players_all_stats[[#This Row],[OREB22]]/10</f>
        <v>79</v>
      </c>
      <c r="T265" s="2">
        <f>knicks_players_all_stats[[#This Row],[DREB33]]/10</f>
        <v>222</v>
      </c>
      <c r="U265" s="2">
        <f>knicks_players_all_stats[[#This Row],[REB44]]/10</f>
        <v>301</v>
      </c>
      <c r="V265">
        <v>790</v>
      </c>
      <c r="W265">
        <v>2220</v>
      </c>
      <c r="X265">
        <v>3010</v>
      </c>
      <c r="Y265" s="22">
        <f>knicks_players_all_stats[[#This Row],[REB]]/knicks_players_all_stats[[#This Row],[GP]]</f>
        <v>4.4264705882352944</v>
      </c>
      <c r="Z265" s="2">
        <v>68</v>
      </c>
      <c r="AA265" s="6">
        <f>knicks_players_all_stats[[#This Row],[AST]]/knicks_players_all_stats[[#This Row],[GP]]</f>
        <v>1</v>
      </c>
      <c r="AB265" s="2">
        <f>knicks_players_all_stats[[#This Row],[STL2]]/10</f>
        <v>27</v>
      </c>
      <c r="AC265" s="2">
        <v>270</v>
      </c>
      <c r="AD265" s="6">
        <f>knicks_players_all_stats[[#This Row],[STL]]/knicks_players_all_stats[[#This Row],[GP]]</f>
        <v>0.39705882352941174</v>
      </c>
      <c r="AE265">
        <v>220</v>
      </c>
      <c r="AF265" s="2">
        <f>knicks_players_all_stats[[#This Row],[BLK2]]/10</f>
        <v>22</v>
      </c>
      <c r="AG265" s="6">
        <f>knicks_players_all_stats[[#This Row],[BLK]]/knicks_players_all_stats[[#This Row],[GP]]</f>
        <v>0.3235294117647059</v>
      </c>
      <c r="AH265">
        <v>600</v>
      </c>
      <c r="AI265" s="6">
        <f>knicks_players_all_stats[[#This Row],[BLKPG]]+knicks_players_all_stats[[#This Row],[STLPG]]+knicks_players_all_stats[[#This Row],[REBPG]]</f>
        <v>5.1470588235294121</v>
      </c>
      <c r="AJ265" s="2">
        <f>knicks_players_all_stats[[#This Row],[TOV2]]/10</f>
        <v>60</v>
      </c>
      <c r="AK265" s="6">
        <f>knicks_players_all_stats[[#This Row],[TOV]]/knicks_players_all_stats[[#This Row],[GP]]</f>
        <v>0.88235294117647056</v>
      </c>
      <c r="AL265" s="2">
        <v>147</v>
      </c>
      <c r="AM265" s="2">
        <f>knicks_players_all_stats[[#This Row],[PF]]/knicks_players_all_stats[[#This Row],[GP]]</f>
        <v>2.1617647058823528</v>
      </c>
      <c r="AN265" s="2">
        <v>398</v>
      </c>
      <c r="AO265" s="6">
        <f>knicks_players_all_stats[[#This Row],[PTS]]/knicks_players_all_stats[[#This Row],[GP]]</f>
        <v>5.8529411764705879</v>
      </c>
    </row>
    <row r="266" spans="1:41" x14ac:dyDescent="0.3">
      <c r="A266" s="3" t="s">
        <v>1671</v>
      </c>
      <c r="B266" s="3" t="s">
        <v>1343</v>
      </c>
      <c r="C266" s="3" t="str">
        <f>knicks_players_all_stats[[#This Row],[NAME]]&amp;" ("&amp;knicks_players_all_stats[[#This Row],[SEASON]]&amp;")"</f>
        <v>Samuel Dalembert (2014-15)</v>
      </c>
      <c r="D266" s="3">
        <f>knicks_players_all_stats[[#This Row],[PLAYER_AGE]]/10</f>
        <v>35</v>
      </c>
      <c r="E266">
        <v>350</v>
      </c>
      <c r="F266" s="2">
        <v>32</v>
      </c>
      <c r="G266" s="2">
        <v>5440</v>
      </c>
      <c r="H26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192</v>
      </c>
      <c r="I266" s="6">
        <f>knicks_players_all_stats[[#This Row],[VALORATION]]/knicks_players_all_stats[[#This Row],[GP]]</f>
        <v>6</v>
      </c>
      <c r="J266" s="2">
        <v>57</v>
      </c>
      <c r="K266" s="2">
        <v>130</v>
      </c>
      <c r="L266" s="2">
        <v>438</v>
      </c>
      <c r="M266" s="2">
        <v>0</v>
      </c>
      <c r="N266" s="2">
        <v>0</v>
      </c>
      <c r="O266" s="4" t="e">
        <f>knicks_players_all_stats[[#This Row],[FG3M]]/knicks_players_all_stats[[#This Row],[FG3A]]</f>
        <v>#DIV/0!</v>
      </c>
      <c r="P266" s="2">
        <v>14</v>
      </c>
      <c r="Q266" s="2">
        <v>20</v>
      </c>
      <c r="R266" s="5">
        <f>knicks_players_all_stats[[#This Row],[FTM]]/knicks_players_all_stats[[#This Row],[FTA]]</f>
        <v>0.7</v>
      </c>
      <c r="S266" s="2">
        <f>knicks_players_all_stats[[#This Row],[OREB22]]/10</f>
        <v>53</v>
      </c>
      <c r="T266" s="2">
        <f>knicks_players_all_stats[[#This Row],[DREB33]]/10</f>
        <v>115</v>
      </c>
      <c r="U266" s="2">
        <f>knicks_players_all_stats[[#This Row],[REB44]]/10</f>
        <v>168</v>
      </c>
      <c r="V266">
        <v>530</v>
      </c>
      <c r="W266">
        <v>1150</v>
      </c>
      <c r="X266">
        <v>1680</v>
      </c>
      <c r="Y266" s="22">
        <f>knicks_players_all_stats[[#This Row],[REB]]/knicks_players_all_stats[[#This Row],[GP]]</f>
        <v>5.25</v>
      </c>
      <c r="Z266" s="2">
        <v>29</v>
      </c>
      <c r="AA266" s="6">
        <f>knicks_players_all_stats[[#This Row],[AST]]/knicks_players_all_stats[[#This Row],[GP]]</f>
        <v>0.90625</v>
      </c>
      <c r="AB266" s="2">
        <f>knicks_players_all_stats[[#This Row],[STL2]]/10</f>
        <v>14</v>
      </c>
      <c r="AC266" s="2">
        <v>140</v>
      </c>
      <c r="AD266" s="6">
        <f>knicks_players_all_stats[[#This Row],[STL]]/knicks_players_all_stats[[#This Row],[GP]]</f>
        <v>0.4375</v>
      </c>
      <c r="AE266">
        <v>410</v>
      </c>
      <c r="AF266" s="2">
        <f>knicks_players_all_stats[[#This Row],[BLK2]]/10</f>
        <v>41</v>
      </c>
      <c r="AG266" s="6">
        <f>knicks_players_all_stats[[#This Row],[BLK]]/knicks_players_all_stats[[#This Row],[GP]]</f>
        <v>1.28125</v>
      </c>
      <c r="AH266">
        <v>390</v>
      </c>
      <c r="AI266" s="6">
        <f>knicks_players_all_stats[[#This Row],[BLKPG]]+knicks_players_all_stats[[#This Row],[STLPG]]+knicks_players_all_stats[[#This Row],[REBPG]]</f>
        <v>6.96875</v>
      </c>
      <c r="AJ266" s="2">
        <f>knicks_players_all_stats[[#This Row],[TOV2]]/10</f>
        <v>39</v>
      </c>
      <c r="AK266" s="6">
        <f>knicks_players_all_stats[[#This Row],[TOV]]/knicks_players_all_stats[[#This Row],[GP]]</f>
        <v>1.21875</v>
      </c>
      <c r="AL266" s="2">
        <v>70</v>
      </c>
      <c r="AM266" s="2">
        <f>knicks_players_all_stats[[#This Row],[PF]]/knicks_players_all_stats[[#This Row],[GP]]</f>
        <v>2.1875</v>
      </c>
      <c r="AN266" s="2">
        <v>128</v>
      </c>
      <c r="AO266" s="6">
        <f>knicks_players_all_stats[[#This Row],[PTS]]/knicks_players_all_stats[[#This Row],[GP]]</f>
        <v>4</v>
      </c>
    </row>
    <row r="267" spans="1:41" x14ac:dyDescent="0.3">
      <c r="A267" s="3" t="s">
        <v>1404</v>
      </c>
      <c r="B267" s="3" t="s">
        <v>1343</v>
      </c>
      <c r="C267" s="3" t="str">
        <f>knicks_players_all_stats[[#This Row],[NAME]]&amp;" ("&amp;knicks_players_all_stats[[#This Row],[SEASON]]&amp;")"</f>
        <v>Pablo Prigioni (2014-15)</v>
      </c>
      <c r="D267" s="3">
        <f>knicks_players_all_stats[[#This Row],[PLAYER_AGE]]/10</f>
        <v>38</v>
      </c>
      <c r="E267">
        <v>380</v>
      </c>
      <c r="F267" s="2">
        <v>43</v>
      </c>
      <c r="G267" s="2">
        <v>7950</v>
      </c>
      <c r="H26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241</v>
      </c>
      <c r="I267" s="6">
        <f>knicks_players_all_stats[[#This Row],[VALORATION]]/knicks_players_all_stats[[#This Row],[GP]]</f>
        <v>5.6046511627906979</v>
      </c>
      <c r="J267" s="2">
        <v>68</v>
      </c>
      <c r="K267" s="2">
        <v>161</v>
      </c>
      <c r="L267" s="4">
        <f>knicks_players_all_stats[[#This Row],[FGM]]/knicks_players_all_stats[[#This Row],[FGA]]</f>
        <v>0.42236024844720499</v>
      </c>
      <c r="M267" s="2">
        <v>430</v>
      </c>
      <c r="N267" s="2">
        <v>1150</v>
      </c>
      <c r="O267" s="4">
        <f>knicks_players_all_stats[[#This Row],[FG3M]]/knicks_players_all_stats[[#This Row],[FG3A]]</f>
        <v>0.37391304347826088</v>
      </c>
      <c r="P267" s="2">
        <v>22</v>
      </c>
      <c r="Q267" s="2">
        <v>26</v>
      </c>
      <c r="R267" s="5">
        <f>knicks_players_all_stats[[#This Row],[FTM]]/knicks_players_all_stats[[#This Row],[FTA]]</f>
        <v>0.84615384615384615</v>
      </c>
      <c r="S267" s="2">
        <f>knicks_players_all_stats[[#This Row],[OREB22]]/10</f>
        <v>18</v>
      </c>
      <c r="T267" s="2">
        <f>knicks_players_all_stats[[#This Row],[DREB33]]/10</f>
        <v>62</v>
      </c>
      <c r="U267" s="2">
        <f>knicks_players_all_stats[[#This Row],[REB44]]/10</f>
        <v>80</v>
      </c>
      <c r="V267">
        <v>180</v>
      </c>
      <c r="W267">
        <v>620</v>
      </c>
      <c r="X267">
        <v>800</v>
      </c>
      <c r="Y267" s="22">
        <f>knicks_players_all_stats[[#This Row],[REB]]/knicks_players_all_stats[[#This Row],[GP]]</f>
        <v>1.8604651162790697</v>
      </c>
      <c r="Z267" s="2">
        <v>104</v>
      </c>
      <c r="AA267" s="6">
        <f>knicks_players_all_stats[[#This Row],[AST]]/knicks_players_all_stats[[#This Row],[GP]]</f>
        <v>2.4186046511627906</v>
      </c>
      <c r="AB267" s="2">
        <f>knicks_players_all_stats[[#This Row],[STL2]]/10</f>
        <v>52</v>
      </c>
      <c r="AC267" s="2">
        <v>520</v>
      </c>
      <c r="AD267" s="6">
        <f>knicks_players_all_stats[[#This Row],[STL]]/knicks_players_all_stats[[#This Row],[GP]]</f>
        <v>1.2093023255813953</v>
      </c>
      <c r="AE267">
        <v>10</v>
      </c>
      <c r="AF267" s="2">
        <f>knicks_players_all_stats[[#This Row],[BLK2]]/10</f>
        <v>1</v>
      </c>
      <c r="AG267" s="6">
        <f>knicks_players_all_stats[[#This Row],[BLK]]/knicks_players_all_stats[[#This Row],[GP]]</f>
        <v>2.3255813953488372E-2</v>
      </c>
      <c r="AH267">
        <v>470</v>
      </c>
      <c r="AI267" s="6">
        <f>knicks_players_all_stats[[#This Row],[BLKPG]]+knicks_players_all_stats[[#This Row],[STLPG]]+knicks_players_all_stats[[#This Row],[REBPG]]</f>
        <v>3.0930232558139537</v>
      </c>
      <c r="AJ267" s="2">
        <f>knicks_players_all_stats[[#This Row],[TOV2]]/10</f>
        <v>47</v>
      </c>
      <c r="AK267" s="6">
        <f>knicks_players_all_stats[[#This Row],[TOV]]/knicks_players_all_stats[[#This Row],[GP]]</f>
        <v>1.0930232558139534</v>
      </c>
      <c r="AL267" s="2">
        <v>53</v>
      </c>
      <c r="AM267" s="2">
        <f>knicks_players_all_stats[[#This Row],[PF]]/knicks_players_all_stats[[#This Row],[GP]]</f>
        <v>1.2325581395348837</v>
      </c>
      <c r="AN267" s="2">
        <v>201</v>
      </c>
      <c r="AO267" s="6">
        <f>knicks_players_all_stats[[#This Row],[PTS]]/knicks_players_all_stats[[#This Row],[GP]]</f>
        <v>4.6744186046511631</v>
      </c>
    </row>
    <row r="268" spans="1:41" x14ac:dyDescent="0.3">
      <c r="A268" s="3" t="s">
        <v>1791</v>
      </c>
      <c r="B268" s="3" t="s">
        <v>1343</v>
      </c>
      <c r="C268" s="3" t="str">
        <f>knicks_players_all_stats[[#This Row],[NAME]]&amp;" ("&amp;knicks_players_all_stats[[#This Row],[SEASON]]&amp;")"</f>
        <v>Lance Thomas (2014-15)</v>
      </c>
      <c r="D268" s="3">
        <f>knicks_players_all_stats[[#This Row],[PLAYER_AGE]]/10</f>
        <v>27</v>
      </c>
      <c r="E268">
        <v>270</v>
      </c>
      <c r="F268" s="2">
        <v>40</v>
      </c>
      <c r="G268" s="2">
        <v>10400</v>
      </c>
      <c r="H26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217</v>
      </c>
      <c r="I268" s="6">
        <f>knicks_players_all_stats[[#This Row],[VALORATION]]/knicks_players_all_stats[[#This Row],[GP]]</f>
        <v>5.4249999999999998</v>
      </c>
      <c r="J268" s="2">
        <v>137</v>
      </c>
      <c r="K268" s="2">
        <v>316</v>
      </c>
      <c r="L268" s="2">
        <v>434</v>
      </c>
      <c r="M268" s="2">
        <v>70</v>
      </c>
      <c r="N268" s="2">
        <v>210</v>
      </c>
      <c r="O268" s="4">
        <f>knicks_players_all_stats[[#This Row],[FG3M]]/knicks_players_all_stats[[#This Row],[FG3A]]</f>
        <v>0.33333333333333331</v>
      </c>
      <c r="P268" s="2">
        <v>49</v>
      </c>
      <c r="Q268" s="2">
        <v>66</v>
      </c>
      <c r="R268" s="5">
        <f>knicks_players_all_stats[[#This Row],[FTM]]/knicks_players_all_stats[[#This Row],[FTA]]</f>
        <v>0.74242424242424243</v>
      </c>
      <c r="S268" s="2">
        <f>knicks_players_all_stats[[#This Row],[OREB22]]/10</f>
        <v>37</v>
      </c>
      <c r="T268" s="2">
        <f>knicks_players_all_stats[[#This Row],[DREB33]]/10</f>
        <v>83</v>
      </c>
      <c r="U268" s="2">
        <f>knicks_players_all_stats[[#This Row],[REB44]]/10</f>
        <v>120</v>
      </c>
      <c r="V268">
        <v>370</v>
      </c>
      <c r="W268">
        <v>830</v>
      </c>
      <c r="X268">
        <v>1200</v>
      </c>
      <c r="Y268" s="22">
        <f>knicks_players_all_stats[[#This Row],[REB]]/knicks_players_all_stats[[#This Row],[GP]]</f>
        <v>3</v>
      </c>
      <c r="Z268" s="2">
        <v>49</v>
      </c>
      <c r="AA268" s="6">
        <f>knicks_players_all_stats[[#This Row],[AST]]/knicks_players_all_stats[[#This Row],[GP]]</f>
        <v>1.2250000000000001</v>
      </c>
      <c r="AB268" s="2">
        <f>knicks_players_all_stats[[#This Row],[STL2]]/10</f>
        <v>26</v>
      </c>
      <c r="AC268" s="2">
        <v>260</v>
      </c>
      <c r="AD268" s="6">
        <f>knicks_players_all_stats[[#This Row],[STL]]/knicks_players_all_stats[[#This Row],[GP]]</f>
        <v>0.65</v>
      </c>
      <c r="AE268">
        <v>80</v>
      </c>
      <c r="AF268" s="2">
        <f>knicks_players_all_stats[[#This Row],[BLK2]]/10</f>
        <v>8</v>
      </c>
      <c r="AG268" s="6">
        <f>knicks_players_all_stats[[#This Row],[BLK]]/knicks_players_all_stats[[#This Row],[GP]]</f>
        <v>0.2</v>
      </c>
      <c r="AH268">
        <v>570</v>
      </c>
      <c r="AI268" s="6">
        <f>knicks_players_all_stats[[#This Row],[BLKPG]]+knicks_players_all_stats[[#This Row],[STLPG]]+knicks_players_all_stats[[#This Row],[REBPG]]</f>
        <v>3.85</v>
      </c>
      <c r="AJ268" s="2">
        <f>knicks_players_all_stats[[#This Row],[TOV2]]/10</f>
        <v>57</v>
      </c>
      <c r="AK268" s="6">
        <f>knicks_players_all_stats[[#This Row],[TOV]]/knicks_players_all_stats[[#This Row],[GP]]</f>
        <v>1.425</v>
      </c>
      <c r="AL268" s="2">
        <v>63</v>
      </c>
      <c r="AM268" s="2">
        <f>knicks_players_all_stats[[#This Row],[PF]]/knicks_players_all_stats[[#This Row],[GP]]</f>
        <v>1.575</v>
      </c>
      <c r="AN268" s="2">
        <v>330</v>
      </c>
      <c r="AO268" s="6">
        <f>knicks_players_all_stats[[#This Row],[PTS]]/knicks_players_all_stats[[#This Row],[GP]]</f>
        <v>8.25</v>
      </c>
    </row>
    <row r="269" spans="1:41" x14ac:dyDescent="0.3">
      <c r="A269" s="3" t="s">
        <v>1557</v>
      </c>
      <c r="B269" s="3" t="s">
        <v>1343</v>
      </c>
      <c r="C269" s="3" t="str">
        <f>knicks_players_all_stats[[#This Row],[NAME]]&amp;" ("&amp;knicks_players_all_stats[[#This Row],[SEASON]]&amp;")"</f>
        <v>Ricky Ledo (2014-15)</v>
      </c>
      <c r="D269" s="3">
        <f>knicks_players_all_stats[[#This Row],[PLAYER_AGE]]/10</f>
        <v>22</v>
      </c>
      <c r="E269">
        <v>220</v>
      </c>
      <c r="F269" s="2">
        <v>12</v>
      </c>
      <c r="G269" s="2">
        <v>2330</v>
      </c>
      <c r="H26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41</v>
      </c>
      <c r="I269" s="6">
        <f>knicks_players_all_stats[[#This Row],[VALORATION]]/knicks_players_all_stats[[#This Row],[GP]]</f>
        <v>3.4166666666666665</v>
      </c>
      <c r="J269" s="2">
        <v>32</v>
      </c>
      <c r="K269" s="2">
        <v>90</v>
      </c>
      <c r="L269" s="4">
        <f>knicks_players_all_stats[[#This Row],[FGM]]/knicks_players_all_stats[[#This Row],[FGA]]</f>
        <v>0.35555555555555557</v>
      </c>
      <c r="M269" s="2">
        <v>100</v>
      </c>
      <c r="N269" s="2">
        <v>240</v>
      </c>
      <c r="O269" s="4">
        <f>knicks_players_all_stats[[#This Row],[FG3M]]/knicks_players_all_stats[[#This Row],[FG3A]]</f>
        <v>0.41666666666666669</v>
      </c>
      <c r="P269" s="2">
        <v>15</v>
      </c>
      <c r="Q269" s="2">
        <v>20</v>
      </c>
      <c r="R269" s="5">
        <f>knicks_players_all_stats[[#This Row],[FTM]]/knicks_players_all_stats[[#This Row],[FTA]]</f>
        <v>0.75</v>
      </c>
      <c r="S269" s="2">
        <f>knicks_players_all_stats[[#This Row],[OREB22]]/10</f>
        <v>15</v>
      </c>
      <c r="T269" s="2">
        <f>knicks_players_all_stats[[#This Row],[DREB33]]/10</f>
        <v>19</v>
      </c>
      <c r="U269" s="2">
        <f>knicks_players_all_stats[[#This Row],[REB44]]/10</f>
        <v>34</v>
      </c>
      <c r="V269">
        <v>150</v>
      </c>
      <c r="W269">
        <v>190</v>
      </c>
      <c r="X269">
        <v>340</v>
      </c>
      <c r="Y269" s="22">
        <f>knicks_players_all_stats[[#This Row],[REB]]/knicks_players_all_stats[[#This Row],[GP]]</f>
        <v>2.8333333333333335</v>
      </c>
      <c r="Z269" s="2">
        <v>18</v>
      </c>
      <c r="AA269" s="6">
        <f>knicks_players_all_stats[[#This Row],[AST]]/knicks_players_all_stats[[#This Row],[GP]]</f>
        <v>1.5</v>
      </c>
      <c r="AB269" s="2">
        <f>knicks_players_all_stats[[#This Row],[STL2]]/10</f>
        <v>6</v>
      </c>
      <c r="AC269" s="2">
        <v>60</v>
      </c>
      <c r="AD269" s="6">
        <f>knicks_players_all_stats[[#This Row],[STL]]/knicks_players_all_stats[[#This Row],[GP]]</f>
        <v>0.5</v>
      </c>
      <c r="AE269">
        <v>10</v>
      </c>
      <c r="AF269" s="2">
        <f>knicks_players_all_stats[[#This Row],[BLK2]]/10</f>
        <v>1</v>
      </c>
      <c r="AG269" s="6">
        <f>knicks_players_all_stats[[#This Row],[BLK]]/knicks_players_all_stats[[#This Row],[GP]]</f>
        <v>8.3333333333333329E-2</v>
      </c>
      <c r="AH269">
        <v>240</v>
      </c>
      <c r="AI269" s="6">
        <f>knicks_players_all_stats[[#This Row],[BLKPG]]+knicks_players_all_stats[[#This Row],[STLPG]]+knicks_players_all_stats[[#This Row],[REBPG]]</f>
        <v>3.416666666666667</v>
      </c>
      <c r="AJ269" s="2">
        <f>knicks_players_all_stats[[#This Row],[TOV2]]/10</f>
        <v>24</v>
      </c>
      <c r="AK269" s="6">
        <f>knicks_players_all_stats[[#This Row],[TOV]]/knicks_players_all_stats[[#This Row],[GP]]</f>
        <v>2</v>
      </c>
      <c r="AL269" s="2">
        <v>20</v>
      </c>
      <c r="AM269" s="2">
        <f>knicks_players_all_stats[[#This Row],[PF]]/knicks_players_all_stats[[#This Row],[GP]]</f>
        <v>1.6666666666666667</v>
      </c>
      <c r="AN269" s="2">
        <v>89</v>
      </c>
      <c r="AO269" s="6">
        <f>knicks_players_all_stats[[#This Row],[PTS]]/knicks_players_all_stats[[#This Row],[GP]]</f>
        <v>7.416666666666667</v>
      </c>
    </row>
    <row r="270" spans="1:41" customFormat="1" x14ac:dyDescent="0.3">
      <c r="A270" s="3" t="s">
        <v>1559</v>
      </c>
      <c r="B270" s="3" t="s">
        <v>1343</v>
      </c>
      <c r="C270" s="3" t="str">
        <f>knicks_players_all_stats[[#This Row],[NAME]]&amp;" ("&amp;knicks_players_all_stats[[#This Row],[SEASON]]&amp;")"</f>
        <v>Cleanthony Early (2014-15)</v>
      </c>
      <c r="D270" s="3">
        <f>knicks_players_all_stats[[#This Row],[PLAYER_AGE]]/10</f>
        <v>24</v>
      </c>
      <c r="E270">
        <v>240</v>
      </c>
      <c r="F270" s="2">
        <v>39</v>
      </c>
      <c r="G270" s="2">
        <v>6470</v>
      </c>
      <c r="H27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132</v>
      </c>
      <c r="I270" s="6">
        <f>knicks_players_all_stats[[#This Row],[VALORATION]]/knicks_players_all_stats[[#This Row],[GP]]</f>
        <v>3.3846153846153846</v>
      </c>
      <c r="J270" s="2">
        <v>76</v>
      </c>
      <c r="K270" s="2">
        <v>214</v>
      </c>
      <c r="L270" s="4">
        <f>knicks_players_all_stats[[#This Row],[FGM]]/knicks_players_all_stats[[#This Row],[FGA]]</f>
        <v>0.35514018691588783</v>
      </c>
      <c r="M270" s="2">
        <v>220</v>
      </c>
      <c r="N270" s="2">
        <v>840</v>
      </c>
      <c r="O270" s="4">
        <f>knicks_players_all_stats[[#This Row],[FG3M]]/knicks_players_all_stats[[#This Row],[FG3A]]</f>
        <v>0.26190476190476192</v>
      </c>
      <c r="P270" s="2">
        <v>36</v>
      </c>
      <c r="Q270" s="2">
        <v>48</v>
      </c>
      <c r="R270" s="5">
        <f>knicks_players_all_stats[[#This Row],[FTM]]/knicks_players_all_stats[[#This Row],[FTA]]</f>
        <v>0.75</v>
      </c>
      <c r="S270" s="2">
        <f>knicks_players_all_stats[[#This Row],[OREB22]]/10</f>
        <v>22</v>
      </c>
      <c r="T270" s="2">
        <f>knicks_players_all_stats[[#This Row],[DREB33]]/10</f>
        <v>75</v>
      </c>
      <c r="U270" s="2">
        <f>knicks_players_all_stats[[#This Row],[REB44]]/10</f>
        <v>97</v>
      </c>
      <c r="V270">
        <v>220</v>
      </c>
      <c r="W270">
        <v>750</v>
      </c>
      <c r="X270">
        <v>970</v>
      </c>
      <c r="Y270" s="22">
        <f>knicks_players_all_stats[[#This Row],[REB]]/knicks_players_all_stats[[#This Row],[GP]]</f>
        <v>2.4871794871794872</v>
      </c>
      <c r="Z270" s="2">
        <v>36</v>
      </c>
      <c r="AA270" s="6">
        <f>knicks_players_all_stats[[#This Row],[AST]]/knicks_players_all_stats[[#This Row],[GP]]</f>
        <v>0.92307692307692313</v>
      </c>
      <c r="AB270" s="2">
        <f>knicks_players_all_stats[[#This Row],[STL2]]/10</f>
        <v>24</v>
      </c>
      <c r="AC270" s="2">
        <v>240</v>
      </c>
      <c r="AD270" s="6">
        <f>knicks_players_all_stats[[#This Row],[STL]]/knicks_players_all_stats[[#This Row],[GP]]</f>
        <v>0.61538461538461542</v>
      </c>
      <c r="AE270">
        <v>120</v>
      </c>
      <c r="AF270" s="2">
        <f>knicks_players_all_stats[[#This Row],[BLK2]]/10</f>
        <v>12</v>
      </c>
      <c r="AG270" s="6">
        <f>knicks_players_all_stats[[#This Row],[BLK]]/knicks_players_all_stats[[#This Row],[GP]]</f>
        <v>0.30769230769230771</v>
      </c>
      <c r="AH270">
        <v>400</v>
      </c>
      <c r="AI270" s="6">
        <f>knicks_players_all_stats[[#This Row],[BLKPG]]+knicks_players_all_stats[[#This Row],[STLPG]]+knicks_players_all_stats[[#This Row],[REBPG]]</f>
        <v>3.4102564102564106</v>
      </c>
      <c r="AJ270" s="2">
        <f>knicks_players_all_stats[[#This Row],[TOV2]]/10</f>
        <v>40</v>
      </c>
      <c r="AK270" s="6">
        <f>knicks_players_all_stats[[#This Row],[TOV]]/knicks_players_all_stats[[#This Row],[GP]]</f>
        <v>1.0256410256410255</v>
      </c>
      <c r="AL270" s="2">
        <v>57</v>
      </c>
      <c r="AM270" s="2">
        <f>knicks_players_all_stats[[#This Row],[PF]]/knicks_players_all_stats[[#This Row],[GP]]</f>
        <v>1.4615384615384615</v>
      </c>
      <c r="AN270" s="2">
        <v>210</v>
      </c>
      <c r="AO270" s="6">
        <f>knicks_players_all_stats[[#This Row],[PTS]]/knicks_players_all_stats[[#This Row],[GP]]</f>
        <v>5.384615384615385</v>
      </c>
    </row>
    <row r="271" spans="1:41" customFormat="1" x14ac:dyDescent="0.3">
      <c r="A271" s="3" t="s">
        <v>1824</v>
      </c>
      <c r="B271" s="3" t="s">
        <v>1343</v>
      </c>
      <c r="C271" s="3" t="str">
        <f>knicks_players_all_stats[[#This Row],[NAME]]&amp;" ("&amp;knicks_players_all_stats[[#This Row],[SEASON]]&amp;")"</f>
        <v>Travis Wear (2014-15)</v>
      </c>
      <c r="D271" s="3">
        <f>knicks_players_all_stats[[#This Row],[PLAYER_AGE]]/10</f>
        <v>24</v>
      </c>
      <c r="E271">
        <v>240</v>
      </c>
      <c r="F271" s="2">
        <v>51</v>
      </c>
      <c r="G271" s="2">
        <v>6720</v>
      </c>
      <c r="H27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150</v>
      </c>
      <c r="I271" s="6">
        <f>knicks_players_all_stats[[#This Row],[VALORATION]]/knicks_players_all_stats[[#This Row],[GP]]</f>
        <v>2.9411764705882355</v>
      </c>
      <c r="J271" s="2">
        <v>84</v>
      </c>
      <c r="K271" s="2">
        <v>209</v>
      </c>
      <c r="L271" s="2">
        <v>402</v>
      </c>
      <c r="M271" s="2">
        <v>110</v>
      </c>
      <c r="N271" s="2">
        <v>300</v>
      </c>
      <c r="O271" s="4">
        <f>knicks_players_all_stats[[#This Row],[FG3M]]/knicks_players_all_stats[[#This Row],[FG3A]]</f>
        <v>0.36666666666666664</v>
      </c>
      <c r="P271" s="2">
        <v>20</v>
      </c>
      <c r="Q271" s="2">
        <v>26</v>
      </c>
      <c r="R271" s="5">
        <f>knicks_players_all_stats[[#This Row],[FTM]]/knicks_players_all_stats[[#This Row],[FTA]]</f>
        <v>0.76923076923076927</v>
      </c>
      <c r="S271" s="2">
        <f>knicks_players_all_stats[[#This Row],[OREB22]]/10</f>
        <v>31</v>
      </c>
      <c r="T271" s="2">
        <f>knicks_players_all_stats[[#This Row],[DREB33]]/10</f>
        <v>75</v>
      </c>
      <c r="U271" s="2">
        <f>knicks_players_all_stats[[#This Row],[REB44]]/10</f>
        <v>106</v>
      </c>
      <c r="V271">
        <v>310</v>
      </c>
      <c r="W271">
        <v>750</v>
      </c>
      <c r="X271">
        <v>1060</v>
      </c>
      <c r="Y271" s="22">
        <f>knicks_players_all_stats[[#This Row],[REB]]/knicks_players_all_stats[[#This Row],[GP]]</f>
        <v>2.0784313725490198</v>
      </c>
      <c r="Z271" s="2">
        <v>40</v>
      </c>
      <c r="AA271" s="6">
        <f>knicks_players_all_stats[[#This Row],[AST]]/knicks_players_all_stats[[#This Row],[GP]]</f>
        <v>0.78431372549019607</v>
      </c>
      <c r="AB271" s="2">
        <f>knicks_players_all_stats[[#This Row],[STL2]]/10</f>
        <v>15</v>
      </c>
      <c r="AC271" s="2">
        <v>150</v>
      </c>
      <c r="AD271" s="6">
        <f>knicks_players_all_stats[[#This Row],[STL]]/knicks_players_all_stats[[#This Row],[GP]]</f>
        <v>0.29411764705882354</v>
      </c>
      <c r="AE271">
        <v>110</v>
      </c>
      <c r="AF271" s="2">
        <f>knicks_players_all_stats[[#This Row],[BLK2]]/10</f>
        <v>11</v>
      </c>
      <c r="AG271" s="6">
        <f>knicks_players_all_stats[[#This Row],[BLK]]/knicks_players_all_stats[[#This Row],[GP]]</f>
        <v>0.21568627450980393</v>
      </c>
      <c r="AH271">
        <v>350</v>
      </c>
      <c r="AI271" s="6">
        <f>knicks_players_all_stats[[#This Row],[BLKPG]]+knicks_players_all_stats[[#This Row],[STLPG]]+knicks_players_all_stats[[#This Row],[REBPG]]</f>
        <v>2.5882352941176472</v>
      </c>
      <c r="AJ271" s="2">
        <f>knicks_players_all_stats[[#This Row],[TOV2]]/10</f>
        <v>35</v>
      </c>
      <c r="AK271" s="6">
        <f>knicks_players_all_stats[[#This Row],[TOV]]/knicks_players_all_stats[[#This Row],[GP]]</f>
        <v>0.68627450980392157</v>
      </c>
      <c r="AL271" s="2">
        <v>55</v>
      </c>
      <c r="AM271" s="2">
        <f>knicks_players_all_stats[[#This Row],[PF]]/knicks_players_all_stats[[#This Row],[GP]]</f>
        <v>1.0784313725490196</v>
      </c>
      <c r="AN271" s="2">
        <v>199</v>
      </c>
      <c r="AO271" s="6">
        <f>knicks_players_all_stats[[#This Row],[PTS]]/knicks_players_all_stats[[#This Row],[GP]]</f>
        <v>3.9019607843137254</v>
      </c>
    </row>
    <row r="272" spans="1:41" x14ac:dyDescent="0.3">
      <c r="A272" s="3" t="s">
        <v>1419</v>
      </c>
      <c r="B272" s="3" t="s">
        <v>1279</v>
      </c>
      <c r="C272" s="3" t="str">
        <f>knicks_players_all_stats[[#This Row],[NAME]]&amp;" ("&amp;knicks_players_all_stats[[#This Row],[SEASON]]&amp;")"</f>
        <v>Carmelo Anthony (2015-16)</v>
      </c>
      <c r="D272" s="3">
        <f>knicks_players_all_stats[[#This Row],[PLAYER_AGE]]/10</f>
        <v>32</v>
      </c>
      <c r="E272">
        <v>320</v>
      </c>
      <c r="F272" s="2">
        <v>72</v>
      </c>
      <c r="G272" s="2">
        <v>25300</v>
      </c>
      <c r="H27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1363</v>
      </c>
      <c r="I272" s="6">
        <f>knicks_players_all_stats[[#This Row],[VALORATION]]/knicks_players_all_stats[[#This Row],[GP]]</f>
        <v>18.930555555555557</v>
      </c>
      <c r="J272" s="2">
        <v>567</v>
      </c>
      <c r="K272" s="2">
        <v>1307</v>
      </c>
      <c r="L272" s="4">
        <f>knicks_players_all_stats[[#This Row],[FGM]]/knicks_players_all_stats[[#This Row],[FGA]]</f>
        <v>0.4338179035960214</v>
      </c>
      <c r="M272" s="2">
        <v>1050</v>
      </c>
      <c r="N272" s="2">
        <v>3100</v>
      </c>
      <c r="O272" s="4">
        <f>knicks_players_all_stats[[#This Row],[FG3M]]/knicks_players_all_stats[[#This Row],[FG3A]]</f>
        <v>0.33870967741935482</v>
      </c>
      <c r="P272" s="2">
        <v>334</v>
      </c>
      <c r="Q272" s="2">
        <v>403</v>
      </c>
      <c r="R272" s="5">
        <f>knicks_players_all_stats[[#This Row],[FTM]]/knicks_players_all_stats[[#This Row],[FTA]]</f>
        <v>0.8287841191066998</v>
      </c>
      <c r="S272" s="2">
        <f>knicks_players_all_stats[[#This Row],[OREB22]]/10</f>
        <v>98</v>
      </c>
      <c r="T272" s="2">
        <f>knicks_players_all_stats[[#This Row],[DREB33]]/10</f>
        <v>458</v>
      </c>
      <c r="U272" s="2">
        <f>knicks_players_all_stats[[#This Row],[REB44]]/10</f>
        <v>556</v>
      </c>
      <c r="V272">
        <v>980</v>
      </c>
      <c r="W272">
        <v>4580</v>
      </c>
      <c r="X272">
        <v>5560</v>
      </c>
      <c r="Y272" s="22">
        <f>knicks_players_all_stats[[#This Row],[REB]]/knicks_players_all_stats[[#This Row],[GP]]</f>
        <v>7.7222222222222223</v>
      </c>
      <c r="Z272" s="2">
        <v>299</v>
      </c>
      <c r="AA272" s="6">
        <f>knicks_players_all_stats[[#This Row],[AST]]/knicks_players_all_stats[[#This Row],[GP]]</f>
        <v>4.1527777777777777</v>
      </c>
      <c r="AB272" s="2">
        <f>knicks_players_all_stats[[#This Row],[STL2]]/10</f>
        <v>62</v>
      </c>
      <c r="AC272" s="2">
        <v>620</v>
      </c>
      <c r="AD272" s="6">
        <f>knicks_players_all_stats[[#This Row],[STL]]/knicks_players_all_stats[[#This Row],[GP]]</f>
        <v>0.86111111111111116</v>
      </c>
      <c r="AE272">
        <v>380</v>
      </c>
      <c r="AF272" s="2">
        <f>knicks_players_all_stats[[#This Row],[BLK2]]/10</f>
        <v>38</v>
      </c>
      <c r="AG272" s="6">
        <f>knicks_players_all_stats[[#This Row],[BLK]]/knicks_players_all_stats[[#This Row],[GP]]</f>
        <v>0.52777777777777779</v>
      </c>
      <c r="AH272">
        <v>1760</v>
      </c>
      <c r="AI272" s="6">
        <f>knicks_players_all_stats[[#This Row],[BLKPG]]+knicks_players_all_stats[[#This Row],[STLPG]]+knicks_players_all_stats[[#This Row],[REBPG]]</f>
        <v>9.1111111111111107</v>
      </c>
      <c r="AJ272" s="2">
        <f>knicks_players_all_stats[[#This Row],[TOV2]]/10</f>
        <v>176</v>
      </c>
      <c r="AK272" s="6">
        <f>knicks_players_all_stats[[#This Row],[TOV]]/knicks_players_all_stats[[#This Row],[GP]]</f>
        <v>2.4444444444444446</v>
      </c>
      <c r="AL272" s="2">
        <v>180</v>
      </c>
      <c r="AM272" s="2">
        <f>knicks_players_all_stats[[#This Row],[PF]]/knicks_players_all_stats[[#This Row],[GP]]</f>
        <v>2.5</v>
      </c>
      <c r="AN272" s="2">
        <v>1573</v>
      </c>
      <c r="AO272" s="6">
        <f>knicks_players_all_stats[[#This Row],[PTS]]/knicks_players_all_stats[[#This Row],[GP]]</f>
        <v>21.847222222222221</v>
      </c>
    </row>
    <row r="273" spans="1:41" x14ac:dyDescent="0.3">
      <c r="A273" s="3" t="s">
        <v>1306</v>
      </c>
      <c r="B273" s="3" t="s">
        <v>1279</v>
      </c>
      <c r="C273" s="3" t="str">
        <f>knicks_players_all_stats[[#This Row],[NAME]]&amp;" ("&amp;knicks_players_all_stats[[#This Row],[SEASON]]&amp;")"</f>
        <v>Kristaps Porzingis (2015-16)</v>
      </c>
      <c r="D273" s="3">
        <f>knicks_players_all_stats[[#This Row],[PLAYER_AGE]]/10</f>
        <v>20</v>
      </c>
      <c r="E273">
        <v>200</v>
      </c>
      <c r="F273" s="2">
        <v>72</v>
      </c>
      <c r="G273" s="2">
        <v>20470</v>
      </c>
      <c r="H27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957</v>
      </c>
      <c r="I273" s="6">
        <f>knicks_players_all_stats[[#This Row],[VALORATION]]/knicks_players_all_stats[[#This Row],[GP]]</f>
        <v>13.291666666666666</v>
      </c>
      <c r="J273" s="2">
        <v>373</v>
      </c>
      <c r="K273" s="2">
        <v>886</v>
      </c>
      <c r="L273" s="4">
        <f>knicks_players_all_stats[[#This Row],[FGM]]/knicks_players_all_stats[[#This Row],[FGA]]</f>
        <v>0.42099322799097066</v>
      </c>
      <c r="M273" s="2">
        <v>810</v>
      </c>
      <c r="N273" s="2">
        <v>2430</v>
      </c>
      <c r="O273" s="4">
        <f>knicks_players_all_stats[[#This Row],[FG3M]]/knicks_players_all_stats[[#This Row],[FG3A]]</f>
        <v>0.33333333333333331</v>
      </c>
      <c r="P273" s="2">
        <v>201</v>
      </c>
      <c r="Q273" s="2">
        <v>240</v>
      </c>
      <c r="R273" s="5">
        <f>knicks_players_all_stats[[#This Row],[FTM]]/knicks_players_all_stats[[#This Row],[FTA]]</f>
        <v>0.83750000000000002</v>
      </c>
      <c r="S273" s="2">
        <f>knicks_players_all_stats[[#This Row],[OREB22]]/10</f>
        <v>132</v>
      </c>
      <c r="T273" s="2">
        <f>knicks_players_all_stats[[#This Row],[DREB33]]/10</f>
        <v>394</v>
      </c>
      <c r="U273" s="2">
        <f>knicks_players_all_stats[[#This Row],[REB44]]/10</f>
        <v>526</v>
      </c>
      <c r="V273">
        <v>1320</v>
      </c>
      <c r="W273">
        <v>3940</v>
      </c>
      <c r="X273">
        <v>5260</v>
      </c>
      <c r="Y273" s="22">
        <f>knicks_players_all_stats[[#This Row],[REB]]/knicks_players_all_stats[[#This Row],[GP]]</f>
        <v>7.3055555555555554</v>
      </c>
      <c r="Z273" s="2">
        <v>94</v>
      </c>
      <c r="AA273" s="6">
        <f>knicks_players_all_stats[[#This Row],[AST]]/knicks_players_all_stats[[#This Row],[GP]]</f>
        <v>1.3055555555555556</v>
      </c>
      <c r="AB273" s="2">
        <f>knicks_players_all_stats[[#This Row],[STL2]]/10</f>
        <v>53</v>
      </c>
      <c r="AC273" s="2">
        <v>530</v>
      </c>
      <c r="AD273" s="6">
        <f>knicks_players_all_stats[[#This Row],[STL]]/knicks_players_all_stats[[#This Row],[GP]]</f>
        <v>0.73611111111111116</v>
      </c>
      <c r="AE273">
        <v>1340</v>
      </c>
      <c r="AF273" s="2">
        <f>knicks_players_all_stats[[#This Row],[BLK2]]/10</f>
        <v>134</v>
      </c>
      <c r="AG273" s="6">
        <f>knicks_players_all_stats[[#This Row],[BLK]]/knicks_players_all_stats[[#This Row],[GP]]</f>
        <v>1.8611111111111112</v>
      </c>
      <c r="AH273">
        <v>1210</v>
      </c>
      <c r="AI273" s="6">
        <f>knicks_players_all_stats[[#This Row],[BLKPG]]+knicks_players_all_stats[[#This Row],[STLPG]]+knicks_players_all_stats[[#This Row],[REBPG]]</f>
        <v>9.9027777777777786</v>
      </c>
      <c r="AJ273" s="2">
        <f>knicks_players_all_stats[[#This Row],[TOV2]]/10</f>
        <v>121</v>
      </c>
      <c r="AK273" s="6">
        <f>knicks_players_all_stats[[#This Row],[TOV]]/knicks_players_all_stats[[#This Row],[GP]]</f>
        <v>1.6805555555555556</v>
      </c>
      <c r="AL273" s="2">
        <v>205</v>
      </c>
      <c r="AM273" s="2">
        <f>knicks_players_all_stats[[#This Row],[PF]]/knicks_players_all_stats[[#This Row],[GP]]</f>
        <v>2.8472222222222223</v>
      </c>
      <c r="AN273" s="2">
        <v>1028</v>
      </c>
      <c r="AO273" s="6">
        <f>knicks_players_all_stats[[#This Row],[PTS]]/knicks_players_all_stats[[#This Row],[GP]]</f>
        <v>14.277777777777779</v>
      </c>
    </row>
    <row r="274" spans="1:41" x14ac:dyDescent="0.3">
      <c r="A274" s="3" t="s">
        <v>1525</v>
      </c>
      <c r="B274" s="3" t="s">
        <v>1279</v>
      </c>
      <c r="C274" s="3" t="str">
        <f>knicks_players_all_stats[[#This Row],[NAME]]&amp;" ("&amp;knicks_players_all_stats[[#This Row],[SEASON]]&amp;")"</f>
        <v>Robin Lopez (2015-16)</v>
      </c>
      <c r="D274" s="3">
        <f>knicks_players_all_stats[[#This Row],[PLAYER_AGE]]/10</f>
        <v>28</v>
      </c>
      <c r="E274">
        <v>280</v>
      </c>
      <c r="F274" s="2">
        <v>82</v>
      </c>
      <c r="G274" s="2">
        <v>22190</v>
      </c>
      <c r="H27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1050</v>
      </c>
      <c r="I274" s="6">
        <f>knicks_players_all_stats[[#This Row],[VALORATION]]/knicks_players_all_stats[[#This Row],[GP]]</f>
        <v>12.804878048780488</v>
      </c>
      <c r="J274" s="2">
        <v>357</v>
      </c>
      <c r="K274" s="2">
        <v>662</v>
      </c>
      <c r="L274" s="4">
        <f>knicks_players_all_stats[[#This Row],[FGM]]/knicks_players_all_stats[[#This Row],[FGA]]</f>
        <v>0.5392749244712991</v>
      </c>
      <c r="M274" s="2">
        <v>0</v>
      </c>
      <c r="N274" s="2">
        <v>10</v>
      </c>
      <c r="O274" s="4">
        <f>knicks_players_all_stats[[#This Row],[FG3M]]/knicks_players_all_stats[[#This Row],[FG3A]]</f>
        <v>0</v>
      </c>
      <c r="P274" s="2">
        <v>128</v>
      </c>
      <c r="Q274" s="2">
        <v>161</v>
      </c>
      <c r="R274" s="5">
        <f>knicks_players_all_stats[[#This Row],[FTM]]/knicks_players_all_stats[[#This Row],[FTA]]</f>
        <v>0.79503105590062106</v>
      </c>
      <c r="S274" s="2">
        <f>knicks_players_all_stats[[#This Row],[OREB22]]/10</f>
        <v>268</v>
      </c>
      <c r="T274" s="2">
        <f>knicks_players_all_stats[[#This Row],[DREB33]]/10</f>
        <v>334</v>
      </c>
      <c r="U274" s="2">
        <f>knicks_players_all_stats[[#This Row],[REB44]]/10</f>
        <v>602</v>
      </c>
      <c r="V274">
        <v>2680</v>
      </c>
      <c r="W274">
        <v>3340</v>
      </c>
      <c r="X274">
        <v>6020</v>
      </c>
      <c r="Y274" s="22">
        <f>knicks_players_all_stats[[#This Row],[REB]]/knicks_players_all_stats[[#This Row],[GP]]</f>
        <v>7.3414634146341466</v>
      </c>
      <c r="Z274" s="2">
        <v>114</v>
      </c>
      <c r="AA274" s="6">
        <f>knicks_players_all_stats[[#This Row],[AST]]/knicks_players_all_stats[[#This Row],[GP]]</f>
        <v>1.3902439024390243</v>
      </c>
      <c r="AB274" s="2">
        <f>knicks_players_all_stats[[#This Row],[STL2]]/10</f>
        <v>16</v>
      </c>
      <c r="AC274" s="2">
        <v>160</v>
      </c>
      <c r="AD274" s="6">
        <f>knicks_players_all_stats[[#This Row],[STL]]/knicks_players_all_stats[[#This Row],[GP]]</f>
        <v>0.1951219512195122</v>
      </c>
      <c r="AE274">
        <v>1290</v>
      </c>
      <c r="AF274" s="2">
        <f>knicks_players_all_stats[[#This Row],[BLK2]]/10</f>
        <v>129</v>
      </c>
      <c r="AG274" s="6">
        <f>knicks_players_all_stats[[#This Row],[BLK]]/knicks_players_all_stats[[#This Row],[GP]]</f>
        <v>1.5731707317073171</v>
      </c>
      <c r="AH274">
        <v>1330</v>
      </c>
      <c r="AI274" s="6">
        <f>knicks_players_all_stats[[#This Row],[BLKPG]]+knicks_players_all_stats[[#This Row],[STLPG]]+knicks_players_all_stats[[#This Row],[REBPG]]</f>
        <v>9.1097560975609753</v>
      </c>
      <c r="AJ274" s="2">
        <f>knicks_players_all_stats[[#This Row],[TOV2]]/10</f>
        <v>133</v>
      </c>
      <c r="AK274" s="6">
        <f>knicks_players_all_stats[[#This Row],[TOV]]/knicks_players_all_stats[[#This Row],[GP]]</f>
        <v>1.6219512195121952</v>
      </c>
      <c r="AL274" s="2">
        <v>182</v>
      </c>
      <c r="AM274" s="2">
        <f>knicks_players_all_stats[[#This Row],[PF]]/knicks_players_all_stats[[#This Row],[GP]]</f>
        <v>2.2195121951219514</v>
      </c>
      <c r="AN274" s="2">
        <v>842</v>
      </c>
      <c r="AO274" s="6">
        <f>knicks_players_all_stats[[#This Row],[PTS]]/knicks_players_all_stats[[#This Row],[GP]]</f>
        <v>10.268292682926829</v>
      </c>
    </row>
    <row r="275" spans="1:41" x14ac:dyDescent="0.3">
      <c r="A275" s="3" t="s">
        <v>1374</v>
      </c>
      <c r="B275" s="3" t="s">
        <v>1279</v>
      </c>
      <c r="C275" s="3" t="str">
        <f>knicks_players_all_stats[[#This Row],[NAME]]&amp;" ("&amp;knicks_players_all_stats[[#This Row],[SEASON]]&amp;")"</f>
        <v>Arron Afflalo (2015-16)</v>
      </c>
      <c r="D275" s="3">
        <f>knicks_players_all_stats[[#This Row],[PLAYER_AGE]]/10</f>
        <v>30</v>
      </c>
      <c r="E275">
        <v>300</v>
      </c>
      <c r="F275" s="2">
        <v>71</v>
      </c>
      <c r="G275" s="2">
        <v>23710</v>
      </c>
      <c r="H27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664</v>
      </c>
      <c r="I275" s="6">
        <f>knicks_players_all_stats[[#This Row],[VALORATION]]/knicks_players_all_stats[[#This Row],[GP]]</f>
        <v>9.352112676056338</v>
      </c>
      <c r="J275" s="2">
        <v>354</v>
      </c>
      <c r="K275" s="2">
        <v>799</v>
      </c>
      <c r="L275" s="4">
        <f>knicks_players_all_stats[[#This Row],[FGM]]/knicks_players_all_stats[[#This Row],[FGA]]</f>
        <v>0.44305381727158949</v>
      </c>
      <c r="M275" s="2">
        <v>910</v>
      </c>
      <c r="N275" s="2">
        <v>2380</v>
      </c>
      <c r="O275" s="4">
        <f>knicks_players_all_stats[[#This Row],[FG3M]]/knicks_players_all_stats[[#This Row],[FG3A]]</f>
        <v>0.38235294117647056</v>
      </c>
      <c r="P275" s="2">
        <v>110</v>
      </c>
      <c r="Q275" s="2">
        <v>131</v>
      </c>
      <c r="R275" s="5">
        <f>knicks_players_all_stats[[#This Row],[FTM]]/knicks_players_all_stats[[#This Row],[FTA]]</f>
        <v>0.83969465648854957</v>
      </c>
      <c r="S275" s="2">
        <f>knicks_players_all_stats[[#This Row],[OREB22]]/10</f>
        <v>23</v>
      </c>
      <c r="T275" s="2">
        <f>knicks_players_all_stats[[#This Row],[DREB33]]/10</f>
        <v>243</v>
      </c>
      <c r="U275" s="2">
        <f>knicks_players_all_stats[[#This Row],[REB44]]/10</f>
        <v>266</v>
      </c>
      <c r="V275">
        <v>230</v>
      </c>
      <c r="W275">
        <v>2430</v>
      </c>
      <c r="X275">
        <v>2660</v>
      </c>
      <c r="Y275" s="22">
        <f>knicks_players_all_stats[[#This Row],[REB]]/knicks_players_all_stats[[#This Row],[GP]]</f>
        <v>3.7464788732394365</v>
      </c>
      <c r="Z275" s="2">
        <v>144</v>
      </c>
      <c r="AA275" s="6">
        <f>knicks_players_all_stats[[#This Row],[AST]]/knicks_players_all_stats[[#This Row],[GP]]</f>
        <v>2.028169014084507</v>
      </c>
      <c r="AB275" s="2">
        <f>knicks_players_all_stats[[#This Row],[STL2]]/10</f>
        <v>25</v>
      </c>
      <c r="AC275" s="2">
        <v>250</v>
      </c>
      <c r="AD275" s="6">
        <f>knicks_players_all_stats[[#This Row],[STL]]/knicks_players_all_stats[[#This Row],[GP]]</f>
        <v>0.352112676056338</v>
      </c>
      <c r="AE275">
        <v>100</v>
      </c>
      <c r="AF275" s="2">
        <f>knicks_players_all_stats[[#This Row],[BLK2]]/10</f>
        <v>10</v>
      </c>
      <c r="AG275" s="6">
        <f>knicks_players_all_stats[[#This Row],[BLK]]/knicks_players_all_stats[[#This Row],[GP]]</f>
        <v>0.14084507042253522</v>
      </c>
      <c r="AH275">
        <v>820</v>
      </c>
      <c r="AI275" s="6">
        <f>knicks_players_all_stats[[#This Row],[BLKPG]]+knicks_players_all_stats[[#This Row],[STLPG]]+knicks_players_all_stats[[#This Row],[REBPG]]</f>
        <v>4.23943661971831</v>
      </c>
      <c r="AJ275" s="2">
        <f>knicks_players_all_stats[[#This Row],[TOV2]]/10</f>
        <v>82</v>
      </c>
      <c r="AK275" s="6">
        <f>knicks_players_all_stats[[#This Row],[TOV]]/knicks_players_all_stats[[#This Row],[GP]]</f>
        <v>1.1549295774647887</v>
      </c>
      <c r="AL275" s="2">
        <v>142</v>
      </c>
      <c r="AM275" s="2">
        <f>knicks_players_all_stats[[#This Row],[PF]]/knicks_players_all_stats[[#This Row],[GP]]</f>
        <v>2</v>
      </c>
      <c r="AN275" s="2">
        <v>909</v>
      </c>
      <c r="AO275" s="6">
        <f>knicks_players_all_stats[[#This Row],[PTS]]/knicks_players_all_stats[[#This Row],[GP]]</f>
        <v>12.80281690140845</v>
      </c>
    </row>
    <row r="276" spans="1:41" x14ac:dyDescent="0.3">
      <c r="A276" s="3" t="s">
        <v>1510</v>
      </c>
      <c r="B276" s="3" t="s">
        <v>1279</v>
      </c>
      <c r="C276" s="3" t="str">
        <f>knicks_players_all_stats[[#This Row],[NAME]]&amp;" ("&amp;knicks_players_all_stats[[#This Row],[SEASON]]&amp;")"</f>
        <v>Jose Calderon (2015-16)</v>
      </c>
      <c r="D276" s="3">
        <f>knicks_players_all_stats[[#This Row],[PLAYER_AGE]]/10</f>
        <v>34</v>
      </c>
      <c r="E276">
        <v>340</v>
      </c>
      <c r="F276" s="2">
        <v>72</v>
      </c>
      <c r="G276" s="2">
        <v>20240</v>
      </c>
      <c r="H27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667</v>
      </c>
      <c r="I276" s="6">
        <f>knicks_players_all_stats[[#This Row],[VALORATION]]/knicks_players_all_stats[[#This Row],[GP]]</f>
        <v>9.2638888888888893</v>
      </c>
      <c r="J276" s="2">
        <v>209</v>
      </c>
      <c r="K276" s="2">
        <v>455</v>
      </c>
      <c r="L276" s="4">
        <f>knicks_players_all_stats[[#This Row],[FGM]]/knicks_players_all_stats[[#This Row],[FGA]]</f>
        <v>0.45934065934065932</v>
      </c>
      <c r="M276" s="2">
        <v>840</v>
      </c>
      <c r="N276" s="2">
        <v>2030</v>
      </c>
      <c r="O276" s="4">
        <f>knicks_players_all_stats[[#This Row],[FG3M]]/knicks_players_all_stats[[#This Row],[FG3A]]</f>
        <v>0.41379310344827586</v>
      </c>
      <c r="P276" s="2">
        <v>42</v>
      </c>
      <c r="Q276" s="2">
        <v>48</v>
      </c>
      <c r="R276" s="5">
        <f>knicks_players_all_stats[[#This Row],[FTM]]/knicks_players_all_stats[[#This Row],[FTA]]</f>
        <v>0.875</v>
      </c>
      <c r="S276" s="2">
        <f>knicks_players_all_stats[[#This Row],[OREB22]]/10</f>
        <v>22</v>
      </c>
      <c r="T276" s="2">
        <f>knicks_players_all_stats[[#This Row],[DREB33]]/10</f>
        <v>207</v>
      </c>
      <c r="U276" s="2">
        <f>knicks_players_all_stats[[#This Row],[REB44]]/10</f>
        <v>229</v>
      </c>
      <c r="V276">
        <v>220</v>
      </c>
      <c r="W276">
        <v>2070</v>
      </c>
      <c r="X276">
        <v>2290</v>
      </c>
      <c r="Y276" s="22">
        <f>knicks_players_all_stats[[#This Row],[REB]]/knicks_players_all_stats[[#This Row],[GP]]</f>
        <v>3.1805555555555554</v>
      </c>
      <c r="Z276" s="2">
        <v>298</v>
      </c>
      <c r="AA276" s="6">
        <f>knicks_players_all_stats[[#This Row],[AST]]/knicks_players_all_stats[[#This Row],[GP]]</f>
        <v>4.1388888888888893</v>
      </c>
      <c r="AB276" s="2">
        <f>knicks_players_all_stats[[#This Row],[STL2]]/10</f>
        <v>63</v>
      </c>
      <c r="AC276" s="2">
        <v>630</v>
      </c>
      <c r="AD276" s="6">
        <f>knicks_players_all_stats[[#This Row],[STL]]/knicks_players_all_stats[[#This Row],[GP]]</f>
        <v>0.875</v>
      </c>
      <c r="AE276">
        <v>70</v>
      </c>
      <c r="AF276" s="2">
        <f>knicks_players_all_stats[[#This Row],[BLK2]]/10</f>
        <v>7</v>
      </c>
      <c r="AG276" s="6">
        <f>knicks_players_all_stats[[#This Row],[BLK]]/knicks_players_all_stats[[#This Row],[GP]]</f>
        <v>9.7222222222222224E-2</v>
      </c>
      <c r="AH276">
        <v>870</v>
      </c>
      <c r="AI276" s="6">
        <f>knicks_players_all_stats[[#This Row],[BLKPG]]+knicks_players_all_stats[[#This Row],[STLPG]]+knicks_players_all_stats[[#This Row],[REBPG]]</f>
        <v>4.1527777777777777</v>
      </c>
      <c r="AJ276" s="2">
        <f>knicks_players_all_stats[[#This Row],[TOV2]]/10</f>
        <v>87</v>
      </c>
      <c r="AK276" s="6">
        <f>knicks_players_all_stats[[#This Row],[TOV]]/knicks_players_all_stats[[#This Row],[GP]]</f>
        <v>1.2083333333333333</v>
      </c>
      <c r="AL276" s="2">
        <v>135</v>
      </c>
      <c r="AM276" s="2">
        <f>knicks_players_all_stats[[#This Row],[PF]]/knicks_players_all_stats[[#This Row],[GP]]</f>
        <v>1.875</v>
      </c>
      <c r="AN276" s="2">
        <v>544</v>
      </c>
      <c r="AO276" s="6">
        <f>knicks_players_all_stats[[#This Row],[PTS]]/knicks_players_all_stats[[#This Row],[GP]]</f>
        <v>7.5555555555555554</v>
      </c>
    </row>
    <row r="277" spans="1:41" x14ac:dyDescent="0.3">
      <c r="A277" s="3" t="s">
        <v>1833</v>
      </c>
      <c r="B277" s="3" t="s">
        <v>1279</v>
      </c>
      <c r="C277" s="3" t="str">
        <f>knicks_players_all_stats[[#This Row],[NAME]]&amp;" ("&amp;knicks_players_all_stats[[#This Row],[SEASON]]&amp;")"</f>
        <v>Derrick Williams (2015-16)</v>
      </c>
      <c r="D277" s="3">
        <f>knicks_players_all_stats[[#This Row],[PLAYER_AGE]]/10</f>
        <v>25</v>
      </c>
      <c r="E277">
        <v>250</v>
      </c>
      <c r="F277" s="2">
        <v>80</v>
      </c>
      <c r="G277" s="2">
        <v>14350</v>
      </c>
      <c r="H27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652</v>
      </c>
      <c r="I277" s="6">
        <f>knicks_players_all_stats[[#This Row],[VALORATION]]/knicks_players_all_stats[[#This Row],[GP]]</f>
        <v>8.15</v>
      </c>
      <c r="J277" s="2">
        <v>254</v>
      </c>
      <c r="K277" s="2">
        <v>565</v>
      </c>
      <c r="L277" s="2">
        <v>45</v>
      </c>
      <c r="M277" s="2">
        <v>440</v>
      </c>
      <c r="N277" s="2">
        <v>1500</v>
      </c>
      <c r="O277" s="4">
        <f>knicks_players_all_stats[[#This Row],[FG3M]]/knicks_players_all_stats[[#This Row],[FG3A]]</f>
        <v>0.29333333333333333</v>
      </c>
      <c r="P277" s="2">
        <v>194</v>
      </c>
      <c r="Q277" s="2">
        <v>256</v>
      </c>
      <c r="R277" s="5">
        <f>knicks_players_all_stats[[#This Row],[FTM]]/knicks_players_all_stats[[#This Row],[FTA]]</f>
        <v>0.7578125</v>
      </c>
      <c r="S277" s="2">
        <f>knicks_players_all_stats[[#This Row],[OREB22]]/10</f>
        <v>47</v>
      </c>
      <c r="T277" s="2">
        <f>knicks_players_all_stats[[#This Row],[DREB33]]/10</f>
        <v>249</v>
      </c>
      <c r="U277" s="2">
        <f>knicks_players_all_stats[[#This Row],[REB44]]/10</f>
        <v>296</v>
      </c>
      <c r="V277">
        <v>470</v>
      </c>
      <c r="W277">
        <v>2490</v>
      </c>
      <c r="X277">
        <v>2960</v>
      </c>
      <c r="Y277" s="22">
        <f>knicks_players_all_stats[[#This Row],[REB]]/knicks_players_all_stats[[#This Row],[GP]]</f>
        <v>3.7</v>
      </c>
      <c r="Z277" s="2">
        <v>75</v>
      </c>
      <c r="AA277" s="6">
        <f>knicks_players_all_stats[[#This Row],[AST]]/knicks_players_all_stats[[#This Row],[GP]]</f>
        <v>0.9375</v>
      </c>
      <c r="AB277" s="2">
        <f>knicks_players_all_stats[[#This Row],[STL2]]/10</f>
        <v>29</v>
      </c>
      <c r="AC277" s="2">
        <v>290</v>
      </c>
      <c r="AD277" s="6">
        <f>knicks_players_all_stats[[#This Row],[STL]]/knicks_players_all_stats[[#This Row],[GP]]</f>
        <v>0.36249999999999999</v>
      </c>
      <c r="AE277">
        <v>90</v>
      </c>
      <c r="AF277" s="2">
        <f>knicks_players_all_stats[[#This Row],[BLK2]]/10</f>
        <v>9</v>
      </c>
      <c r="AG277" s="6">
        <f>knicks_players_all_stats[[#This Row],[BLK]]/knicks_players_all_stats[[#This Row],[GP]]</f>
        <v>0.1125</v>
      </c>
      <c r="AH277">
        <v>610</v>
      </c>
      <c r="AI277" s="6">
        <f>knicks_players_all_stats[[#This Row],[BLKPG]]+knicks_players_all_stats[[#This Row],[STLPG]]+knicks_players_all_stats[[#This Row],[REBPG]]</f>
        <v>4.1749999999999998</v>
      </c>
      <c r="AJ277" s="2">
        <f>knicks_players_all_stats[[#This Row],[TOV2]]/10</f>
        <v>61</v>
      </c>
      <c r="AK277" s="6">
        <f>knicks_players_all_stats[[#This Row],[TOV]]/knicks_players_all_stats[[#This Row],[GP]]</f>
        <v>0.76249999999999996</v>
      </c>
      <c r="AL277" s="2">
        <v>69</v>
      </c>
      <c r="AM277" s="2">
        <f>knicks_players_all_stats[[#This Row],[PF]]/knicks_players_all_stats[[#This Row],[GP]]</f>
        <v>0.86250000000000004</v>
      </c>
      <c r="AN277" s="2">
        <v>746</v>
      </c>
      <c r="AO277" s="6">
        <f>knicks_players_all_stats[[#This Row],[PTS]]/knicks_players_all_stats[[#This Row],[GP]]</f>
        <v>9.3249999999999993</v>
      </c>
    </row>
    <row r="278" spans="1:41" x14ac:dyDescent="0.3">
      <c r="A278" s="3" t="s">
        <v>1735</v>
      </c>
      <c r="B278" s="3" t="s">
        <v>1279</v>
      </c>
      <c r="C278" s="3" t="str">
        <f>knicks_players_all_stats[[#This Row],[NAME]]&amp;" ("&amp;knicks_players_all_stats[[#This Row],[SEASON]]&amp;")"</f>
        <v>Langston Galloway (2015-16)</v>
      </c>
      <c r="D278" s="3">
        <f>knicks_players_all_stats[[#This Row],[PLAYER_AGE]]/10</f>
        <v>24</v>
      </c>
      <c r="E278">
        <v>240</v>
      </c>
      <c r="F278" s="2">
        <v>82</v>
      </c>
      <c r="G278" s="2">
        <v>20330</v>
      </c>
      <c r="H27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596</v>
      </c>
      <c r="I278" s="6">
        <f>knicks_players_all_stats[[#This Row],[VALORATION]]/knicks_players_all_stats[[#This Row],[GP]]</f>
        <v>7.2682926829268295</v>
      </c>
      <c r="J278" s="2">
        <v>231</v>
      </c>
      <c r="K278" s="2">
        <v>588</v>
      </c>
      <c r="L278" s="2">
        <v>393</v>
      </c>
      <c r="M278" s="2">
        <v>770</v>
      </c>
      <c r="N278" s="2">
        <v>2240</v>
      </c>
      <c r="O278" s="4">
        <f>knicks_players_all_stats[[#This Row],[FG3M]]/knicks_players_all_stats[[#This Row],[FG3A]]</f>
        <v>0.34375</v>
      </c>
      <c r="P278" s="2">
        <v>86</v>
      </c>
      <c r="Q278" s="2">
        <v>114</v>
      </c>
      <c r="R278" s="5">
        <f>knicks_players_all_stats[[#This Row],[FTM]]/knicks_players_all_stats[[#This Row],[FTA]]</f>
        <v>0.75438596491228072</v>
      </c>
      <c r="S278" s="2">
        <f>knicks_players_all_stats[[#This Row],[OREB22]]/10</f>
        <v>43</v>
      </c>
      <c r="T278" s="2">
        <f>knicks_players_all_stats[[#This Row],[DREB33]]/10</f>
        <v>245</v>
      </c>
      <c r="U278" s="2">
        <f>knicks_players_all_stats[[#This Row],[REB44]]/10</f>
        <v>288</v>
      </c>
      <c r="V278">
        <v>430</v>
      </c>
      <c r="W278">
        <v>2450</v>
      </c>
      <c r="X278">
        <v>2880</v>
      </c>
      <c r="Y278" s="22">
        <f>knicks_players_all_stats[[#This Row],[REB]]/knicks_players_all_stats[[#This Row],[GP]]</f>
        <v>3.5121951219512195</v>
      </c>
      <c r="Z278" s="2">
        <v>207</v>
      </c>
      <c r="AA278" s="6">
        <f>knicks_players_all_stats[[#This Row],[AST]]/knicks_players_all_stats[[#This Row],[GP]]</f>
        <v>2.524390243902439</v>
      </c>
      <c r="AB278" s="2">
        <f>knicks_players_all_stats[[#This Row],[STL2]]/10</f>
        <v>77</v>
      </c>
      <c r="AC278" s="2">
        <v>770</v>
      </c>
      <c r="AD278" s="6">
        <f>knicks_players_all_stats[[#This Row],[STL]]/knicks_players_all_stats[[#This Row],[GP]]</f>
        <v>0.93902439024390238</v>
      </c>
      <c r="AE278">
        <v>220</v>
      </c>
      <c r="AF278" s="2">
        <f>knicks_players_all_stats[[#This Row],[BLK2]]/10</f>
        <v>22</v>
      </c>
      <c r="AG278" s="6">
        <f>knicks_players_all_stats[[#This Row],[BLK]]/knicks_players_all_stats[[#This Row],[GP]]</f>
        <v>0.26829268292682928</v>
      </c>
      <c r="AH278">
        <v>610</v>
      </c>
      <c r="AI278" s="6">
        <f>knicks_players_all_stats[[#This Row],[BLKPG]]+knicks_players_all_stats[[#This Row],[STLPG]]+knicks_players_all_stats[[#This Row],[REBPG]]</f>
        <v>4.7195121951219514</v>
      </c>
      <c r="AJ278" s="2">
        <f>knicks_players_all_stats[[#This Row],[TOV2]]/10</f>
        <v>61</v>
      </c>
      <c r="AK278" s="6">
        <f>knicks_players_all_stats[[#This Row],[TOV]]/knicks_players_all_stats[[#This Row],[GP]]</f>
        <v>0.74390243902439024</v>
      </c>
      <c r="AL278" s="2">
        <v>177</v>
      </c>
      <c r="AM278" s="2">
        <f>knicks_players_all_stats[[#This Row],[PF]]/knicks_players_all_stats[[#This Row],[GP]]</f>
        <v>2.1585365853658538</v>
      </c>
      <c r="AN278" s="2">
        <v>625</v>
      </c>
      <c r="AO278" s="6">
        <f>knicks_players_all_stats[[#This Row],[PTS]]/knicks_players_all_stats[[#This Row],[GP]]</f>
        <v>7.6219512195121952</v>
      </c>
    </row>
    <row r="279" spans="1:41" x14ac:dyDescent="0.3">
      <c r="A279" s="3" t="s">
        <v>1280</v>
      </c>
      <c r="B279" s="3" t="s">
        <v>1279</v>
      </c>
      <c r="C279" s="3" t="str">
        <f>knicks_players_all_stats[[#This Row],[NAME]]&amp;" ("&amp;knicks_players_all_stats[[#This Row],[SEASON]]&amp;")"</f>
        <v>Kyle O'Quinn (2015-16)</v>
      </c>
      <c r="D279" s="3">
        <f>knicks_players_all_stats[[#This Row],[PLAYER_AGE]]/10</f>
        <v>26</v>
      </c>
      <c r="E279">
        <v>260</v>
      </c>
      <c r="F279" s="2">
        <v>65</v>
      </c>
      <c r="G279" s="2">
        <v>7640</v>
      </c>
      <c r="H27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376</v>
      </c>
      <c r="I279" s="6">
        <f>knicks_players_all_stats[[#This Row],[VALORATION]]/knicks_players_all_stats[[#This Row],[GP]]</f>
        <v>5.7846153846153845</v>
      </c>
      <c r="J279" s="2">
        <v>129</v>
      </c>
      <c r="K279" s="2">
        <v>271</v>
      </c>
      <c r="L279" s="4">
        <f>knicks_players_all_stats[[#This Row],[FGM]]/knicks_players_all_stats[[#This Row],[FGA]]</f>
        <v>0.47601476014760147</v>
      </c>
      <c r="M279" s="2">
        <v>50</v>
      </c>
      <c r="N279" s="2">
        <v>220</v>
      </c>
      <c r="O279" s="4">
        <f>knicks_players_all_stats[[#This Row],[FG3M]]/knicks_players_all_stats[[#This Row],[FG3A]]</f>
        <v>0.22727272727272727</v>
      </c>
      <c r="P279" s="2">
        <v>46</v>
      </c>
      <c r="Q279" s="2">
        <v>60</v>
      </c>
      <c r="R279" s="5">
        <f>knicks_players_all_stats[[#This Row],[FTM]]/knicks_players_all_stats[[#This Row],[FTA]]</f>
        <v>0.76666666666666672</v>
      </c>
      <c r="S279" s="2">
        <f>knicks_players_all_stats[[#This Row],[OREB22]]/10</f>
        <v>76</v>
      </c>
      <c r="T279" s="2">
        <f>knicks_players_all_stats[[#This Row],[DREB33]]/10</f>
        <v>174</v>
      </c>
      <c r="U279" s="2">
        <f>knicks_players_all_stats[[#This Row],[REB44]]/10</f>
        <v>250</v>
      </c>
      <c r="V279">
        <v>760</v>
      </c>
      <c r="W279">
        <v>1740</v>
      </c>
      <c r="X279">
        <v>2500</v>
      </c>
      <c r="Y279" s="22">
        <f>knicks_players_all_stats[[#This Row],[REB]]/knicks_players_all_stats[[#This Row],[GP]]</f>
        <v>3.8461538461538463</v>
      </c>
      <c r="Z279" s="2">
        <v>72</v>
      </c>
      <c r="AA279" s="6">
        <f>knicks_players_all_stats[[#This Row],[AST]]/knicks_players_all_stats[[#This Row],[GP]]</f>
        <v>1.1076923076923078</v>
      </c>
      <c r="AB279" s="2">
        <f>knicks_players_all_stats[[#This Row],[STL2]]/10</f>
        <v>20</v>
      </c>
      <c r="AC279" s="2">
        <v>200</v>
      </c>
      <c r="AD279" s="6">
        <f>knicks_players_all_stats[[#This Row],[STL]]/knicks_players_all_stats[[#This Row],[GP]]</f>
        <v>0.30769230769230771</v>
      </c>
      <c r="AE279">
        <v>490</v>
      </c>
      <c r="AF279" s="2">
        <f>knicks_players_all_stats[[#This Row],[BLK2]]/10</f>
        <v>49</v>
      </c>
      <c r="AG279" s="6">
        <f>knicks_players_all_stats[[#This Row],[BLK]]/knicks_players_all_stats[[#This Row],[GP]]</f>
        <v>0.75384615384615383</v>
      </c>
      <c r="AH279">
        <v>610</v>
      </c>
      <c r="AI279" s="6">
        <f>knicks_players_all_stats[[#This Row],[BLKPG]]+knicks_players_all_stats[[#This Row],[STLPG]]+knicks_players_all_stats[[#This Row],[REBPG]]</f>
        <v>4.907692307692308</v>
      </c>
      <c r="AJ279" s="2">
        <f>knicks_players_all_stats[[#This Row],[TOV2]]/10</f>
        <v>61</v>
      </c>
      <c r="AK279" s="6">
        <f>knicks_players_all_stats[[#This Row],[TOV]]/knicks_players_all_stats[[#This Row],[GP]]</f>
        <v>0.93846153846153846</v>
      </c>
      <c r="AL279" s="2">
        <v>107</v>
      </c>
      <c r="AM279" s="2">
        <f>knicks_players_all_stats[[#This Row],[PF]]/knicks_players_all_stats[[#This Row],[GP]]</f>
        <v>1.6461538461538461</v>
      </c>
      <c r="AN279" s="2">
        <v>309</v>
      </c>
      <c r="AO279" s="6">
        <f>knicks_players_all_stats[[#This Row],[PTS]]/knicks_players_all_stats[[#This Row],[GP]]</f>
        <v>4.7538461538461538</v>
      </c>
    </row>
    <row r="280" spans="1:41" x14ac:dyDescent="0.3">
      <c r="A280" s="3" t="s">
        <v>1791</v>
      </c>
      <c r="B280" s="3" t="s">
        <v>1279</v>
      </c>
      <c r="C280" s="3" t="str">
        <f>knicks_players_all_stats[[#This Row],[NAME]]&amp;" ("&amp;knicks_players_all_stats[[#This Row],[SEASON]]&amp;")"</f>
        <v>Lance Thomas (2015-16)</v>
      </c>
      <c r="D280" s="3">
        <f>knicks_players_all_stats[[#This Row],[PLAYER_AGE]]/10</f>
        <v>28</v>
      </c>
      <c r="E280">
        <v>280</v>
      </c>
      <c r="F280" s="2">
        <v>59</v>
      </c>
      <c r="G280" s="2">
        <v>13130</v>
      </c>
      <c r="H28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301</v>
      </c>
      <c r="I280" s="6">
        <f>knicks_players_all_stats[[#This Row],[VALORATION]]/knicks_players_all_stats[[#This Row],[GP]]</f>
        <v>5.101694915254237</v>
      </c>
      <c r="J280" s="2">
        <v>169</v>
      </c>
      <c r="K280" s="2">
        <v>382</v>
      </c>
      <c r="L280" s="2">
        <v>442</v>
      </c>
      <c r="M280" s="2">
        <v>440</v>
      </c>
      <c r="N280" s="2">
        <v>1090</v>
      </c>
      <c r="O280" s="4">
        <f>knicks_players_all_stats[[#This Row],[FG3M]]/knicks_players_all_stats[[#This Row],[FG3A]]</f>
        <v>0.40366972477064222</v>
      </c>
      <c r="P280" s="2">
        <v>102</v>
      </c>
      <c r="Q280" s="2">
        <v>119</v>
      </c>
      <c r="R280" s="5">
        <f>knicks_players_all_stats[[#This Row],[FTM]]/knicks_players_all_stats[[#This Row],[FTA]]</f>
        <v>0.8571428571428571</v>
      </c>
      <c r="S280" s="2">
        <f>knicks_players_all_stats[[#This Row],[OREB22]]/10</f>
        <v>34</v>
      </c>
      <c r="T280" s="2">
        <f>knicks_players_all_stats[[#This Row],[DREB33]]/10</f>
        <v>97</v>
      </c>
      <c r="U280" s="2">
        <f>knicks_players_all_stats[[#This Row],[REB44]]/10</f>
        <v>131</v>
      </c>
      <c r="V280">
        <v>340</v>
      </c>
      <c r="W280">
        <v>970</v>
      </c>
      <c r="X280">
        <v>1310</v>
      </c>
      <c r="Y280" s="22">
        <f>knicks_players_all_stats[[#This Row],[REB]]/knicks_players_all_stats[[#This Row],[GP]]</f>
        <v>2.2203389830508473</v>
      </c>
      <c r="Z280" s="2">
        <v>53</v>
      </c>
      <c r="AA280" s="6">
        <f>knicks_players_all_stats[[#This Row],[AST]]/knicks_players_all_stats[[#This Row],[GP]]</f>
        <v>0.89830508474576276</v>
      </c>
      <c r="AB280" s="2">
        <f>knicks_players_all_stats[[#This Row],[STL2]]/10</f>
        <v>22</v>
      </c>
      <c r="AC280" s="2">
        <v>220</v>
      </c>
      <c r="AD280" s="6">
        <f>knicks_players_all_stats[[#This Row],[STL]]/knicks_players_all_stats[[#This Row],[GP]]</f>
        <v>0.3728813559322034</v>
      </c>
      <c r="AE280">
        <v>70</v>
      </c>
      <c r="AF280" s="2">
        <f>knicks_players_all_stats[[#This Row],[BLK2]]/10</f>
        <v>7</v>
      </c>
      <c r="AG280" s="6">
        <f>knicks_players_all_stats[[#This Row],[BLK]]/knicks_players_all_stats[[#This Row],[GP]]</f>
        <v>0.11864406779661017</v>
      </c>
      <c r="AH280">
        <v>570</v>
      </c>
      <c r="AI280" s="6">
        <f>knicks_players_all_stats[[#This Row],[BLKPG]]+knicks_players_all_stats[[#This Row],[STLPG]]+knicks_players_all_stats[[#This Row],[REBPG]]</f>
        <v>2.7118644067796609</v>
      </c>
      <c r="AJ280" s="2">
        <f>knicks_players_all_stats[[#This Row],[TOV2]]/10</f>
        <v>57</v>
      </c>
      <c r="AK280" s="6">
        <f>knicks_players_all_stats[[#This Row],[TOV]]/knicks_players_all_stats[[#This Row],[GP]]</f>
        <v>0.96610169491525422</v>
      </c>
      <c r="AL280" s="2">
        <v>109</v>
      </c>
      <c r="AM280" s="2">
        <f>knicks_players_all_stats[[#This Row],[PF]]/knicks_players_all_stats[[#This Row],[GP]]</f>
        <v>1.847457627118644</v>
      </c>
      <c r="AN280" s="2">
        <v>484</v>
      </c>
      <c r="AO280" s="6">
        <f>knicks_players_all_stats[[#This Row],[PTS]]/knicks_players_all_stats[[#This Row],[GP]]</f>
        <v>8.203389830508474</v>
      </c>
    </row>
    <row r="281" spans="1:41" customFormat="1" x14ac:dyDescent="0.3">
      <c r="A281" s="3" t="s">
        <v>1661</v>
      </c>
      <c r="B281" s="3" t="s">
        <v>1279</v>
      </c>
      <c r="C281" s="3" t="str">
        <f>knicks_players_all_stats[[#This Row],[NAME]]&amp;" ("&amp;knicks_players_all_stats[[#This Row],[SEASON]]&amp;")"</f>
        <v>Jerian Grant (2015-16)</v>
      </c>
      <c r="D281" s="3">
        <f>knicks_players_all_stats[[#This Row],[PLAYER_AGE]]/10</f>
        <v>23</v>
      </c>
      <c r="E281">
        <v>230</v>
      </c>
      <c r="F281" s="2">
        <v>76</v>
      </c>
      <c r="G281" s="2">
        <v>12650</v>
      </c>
      <c r="H28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358</v>
      </c>
      <c r="I281" s="6">
        <f>knicks_players_all_stats[[#This Row],[VALORATION]]/knicks_players_all_stats[[#This Row],[GP]]</f>
        <v>4.7105263157894735</v>
      </c>
      <c r="J281" s="2">
        <v>154</v>
      </c>
      <c r="K281" s="2">
        <v>391</v>
      </c>
      <c r="L281" s="2">
        <v>394</v>
      </c>
      <c r="M281" s="2">
        <v>220</v>
      </c>
      <c r="N281" s="2">
        <v>1000</v>
      </c>
      <c r="O281" s="4">
        <f>knicks_players_all_stats[[#This Row],[FG3M]]/knicks_players_all_stats[[#This Row],[FG3A]]</f>
        <v>0.22</v>
      </c>
      <c r="P281" s="2">
        <v>96</v>
      </c>
      <c r="Q281" s="2">
        <v>123</v>
      </c>
      <c r="R281" s="5">
        <f>knicks_players_all_stats[[#This Row],[FTM]]/knicks_players_all_stats[[#This Row],[FTA]]</f>
        <v>0.78048780487804881</v>
      </c>
      <c r="S281" s="2">
        <f>knicks_players_all_stats[[#This Row],[OREB22]]/10</f>
        <v>23</v>
      </c>
      <c r="T281" s="2">
        <f>knicks_players_all_stats[[#This Row],[DREB33]]/10</f>
        <v>120</v>
      </c>
      <c r="U281" s="2">
        <f>knicks_players_all_stats[[#This Row],[REB44]]/10</f>
        <v>143</v>
      </c>
      <c r="V281">
        <v>230</v>
      </c>
      <c r="W281">
        <v>1200</v>
      </c>
      <c r="X281">
        <v>1430</v>
      </c>
      <c r="Y281" s="22">
        <f>knicks_players_all_stats[[#This Row],[REB]]/knicks_players_all_stats[[#This Row],[GP]]</f>
        <v>1.881578947368421</v>
      </c>
      <c r="Z281" s="2">
        <v>177</v>
      </c>
      <c r="AA281" s="6">
        <f>knicks_players_all_stats[[#This Row],[AST]]/knicks_players_all_stats[[#This Row],[GP]]</f>
        <v>2.3289473684210527</v>
      </c>
      <c r="AB281" s="2">
        <f>knicks_players_all_stats[[#This Row],[STL2]]/10</f>
        <v>50</v>
      </c>
      <c r="AC281" s="2">
        <v>500</v>
      </c>
      <c r="AD281" s="6">
        <f>knicks_players_all_stats[[#This Row],[STL]]/knicks_players_all_stats[[#This Row],[GP]]</f>
        <v>0.65789473684210531</v>
      </c>
      <c r="AE281">
        <v>100</v>
      </c>
      <c r="AF281" s="2">
        <f>knicks_players_all_stats[[#This Row],[BLK2]]/10</f>
        <v>10</v>
      </c>
      <c r="AG281" s="6">
        <f>knicks_players_all_stats[[#This Row],[BLK]]/knicks_players_all_stats[[#This Row],[GP]]</f>
        <v>0.13157894736842105</v>
      </c>
      <c r="AH281">
        <v>870</v>
      </c>
      <c r="AI281" s="6">
        <f>knicks_players_all_stats[[#This Row],[BLKPG]]+knicks_players_all_stats[[#This Row],[STLPG]]+knicks_players_all_stats[[#This Row],[REBPG]]</f>
        <v>2.6710526315789473</v>
      </c>
      <c r="AJ281" s="2">
        <f>knicks_players_all_stats[[#This Row],[TOV2]]/10</f>
        <v>87</v>
      </c>
      <c r="AK281" s="6">
        <f>knicks_players_all_stats[[#This Row],[TOV]]/knicks_players_all_stats[[#This Row],[GP]]</f>
        <v>1.1447368421052631</v>
      </c>
      <c r="AL281" s="2">
        <v>97</v>
      </c>
      <c r="AM281" s="2">
        <f>knicks_players_all_stats[[#This Row],[PF]]/knicks_players_all_stats[[#This Row],[GP]]</f>
        <v>1.2763157894736843</v>
      </c>
      <c r="AN281" s="2">
        <v>426</v>
      </c>
      <c r="AO281" s="6">
        <f>knicks_players_all_stats[[#This Row],[PTS]]/knicks_players_all_stats[[#This Row],[GP]]</f>
        <v>5.6052631578947372</v>
      </c>
    </row>
    <row r="282" spans="1:41" customFormat="1" x14ac:dyDescent="0.3">
      <c r="A282" s="3" t="s">
        <v>1814</v>
      </c>
      <c r="B282" s="3" t="s">
        <v>1279</v>
      </c>
      <c r="C282" s="3" t="str">
        <f>knicks_players_all_stats[[#This Row],[NAME]]&amp;" ("&amp;knicks_players_all_stats[[#This Row],[SEASON]]&amp;")"</f>
        <v>Sasha Vujacic (2015-16)</v>
      </c>
      <c r="D282" s="3">
        <f>knicks_players_all_stats[[#This Row],[PLAYER_AGE]]/10</f>
        <v>32</v>
      </c>
      <c r="E282">
        <v>320</v>
      </c>
      <c r="F282" s="2">
        <v>61</v>
      </c>
      <c r="G282" s="2">
        <v>9080</v>
      </c>
      <c r="H28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263</v>
      </c>
      <c r="I282" s="6">
        <f>knicks_players_all_stats[[#This Row],[VALORATION]]/knicks_players_all_stats[[#This Row],[GP]]</f>
        <v>4.3114754098360653</v>
      </c>
      <c r="J282" s="2">
        <v>106</v>
      </c>
      <c r="K282" s="2">
        <v>277</v>
      </c>
      <c r="L282" s="2">
        <v>383</v>
      </c>
      <c r="M282" s="2">
        <v>520</v>
      </c>
      <c r="N282" s="2">
        <v>1430</v>
      </c>
      <c r="O282" s="4">
        <f>knicks_players_all_stats[[#This Row],[FG3M]]/knicks_players_all_stats[[#This Row],[FG3A]]</f>
        <v>0.36363636363636365</v>
      </c>
      <c r="P282" s="2">
        <v>32</v>
      </c>
      <c r="Q282" s="2">
        <v>39</v>
      </c>
      <c r="R282" s="5">
        <f>knicks_players_all_stats[[#This Row],[FTM]]/knicks_players_all_stats[[#This Row],[FTA]]</f>
        <v>0.82051282051282048</v>
      </c>
      <c r="S282" s="2">
        <f>knicks_players_all_stats[[#This Row],[OREB22]]/10</f>
        <v>26</v>
      </c>
      <c r="T282" s="2">
        <f>knicks_players_all_stats[[#This Row],[DREB33]]/10</f>
        <v>123</v>
      </c>
      <c r="U282" s="2">
        <f>knicks_players_all_stats[[#This Row],[REB44]]/10</f>
        <v>149</v>
      </c>
      <c r="V282">
        <v>260</v>
      </c>
      <c r="W282">
        <v>1230</v>
      </c>
      <c r="X282">
        <v>1490</v>
      </c>
      <c r="Y282" s="22">
        <f>knicks_players_all_stats[[#This Row],[REB]]/knicks_players_all_stats[[#This Row],[GP]]</f>
        <v>2.442622950819672</v>
      </c>
      <c r="Z282" s="2">
        <v>84</v>
      </c>
      <c r="AA282" s="6">
        <f>knicks_players_all_stats[[#This Row],[AST]]/knicks_players_all_stats[[#This Row],[GP]]</f>
        <v>1.3770491803278688</v>
      </c>
      <c r="AB282" s="2">
        <f>knicks_players_all_stats[[#This Row],[STL2]]/10</f>
        <v>34</v>
      </c>
      <c r="AC282" s="2">
        <v>340</v>
      </c>
      <c r="AD282" s="6">
        <f>knicks_players_all_stats[[#This Row],[STL]]/knicks_players_all_stats[[#This Row],[GP]]</f>
        <v>0.55737704918032782</v>
      </c>
      <c r="AE282">
        <v>50</v>
      </c>
      <c r="AF282" s="2">
        <f>knicks_players_all_stats[[#This Row],[BLK2]]/10</f>
        <v>5</v>
      </c>
      <c r="AG282" s="6">
        <f>knicks_players_all_stats[[#This Row],[BLK]]/knicks_players_all_stats[[#This Row],[GP]]</f>
        <v>8.1967213114754092E-2</v>
      </c>
      <c r="AH282">
        <v>440</v>
      </c>
      <c r="AI282" s="6">
        <f>knicks_players_all_stats[[#This Row],[BLKPG]]+knicks_players_all_stats[[#This Row],[STLPG]]+knicks_players_all_stats[[#This Row],[REBPG]]</f>
        <v>3.081967213114754</v>
      </c>
      <c r="AJ282" s="2">
        <f>knicks_players_all_stats[[#This Row],[TOV2]]/10</f>
        <v>44</v>
      </c>
      <c r="AK282" s="6">
        <f>knicks_players_all_stats[[#This Row],[TOV]]/knicks_players_all_stats[[#This Row],[GP]]</f>
        <v>0.72131147540983609</v>
      </c>
      <c r="AL282" s="2">
        <v>83</v>
      </c>
      <c r="AM282" s="2">
        <f>knicks_players_all_stats[[#This Row],[PF]]/knicks_players_all_stats[[#This Row],[GP]]</f>
        <v>1.360655737704918</v>
      </c>
      <c r="AN282" s="2">
        <v>296</v>
      </c>
      <c r="AO282" s="6">
        <f>knicks_players_all_stats[[#This Row],[PTS]]/knicks_players_all_stats[[#This Row],[GP]]</f>
        <v>4.8524590163934427</v>
      </c>
    </row>
    <row r="283" spans="1:41" customFormat="1" x14ac:dyDescent="0.3">
      <c r="A283" s="3" t="s">
        <v>1401</v>
      </c>
      <c r="B283" s="3" t="s">
        <v>1279</v>
      </c>
      <c r="C283" s="3" t="str">
        <f>knicks_players_all_stats[[#This Row],[NAME]]&amp;" ("&amp;knicks_players_all_stats[[#This Row],[SEASON]]&amp;")"</f>
        <v>Kevin Seraphin (2015-16)</v>
      </c>
      <c r="D283" s="3">
        <f>knicks_players_all_stats[[#This Row],[PLAYER_AGE]]/10</f>
        <v>26</v>
      </c>
      <c r="E283">
        <v>260</v>
      </c>
      <c r="F283" s="2">
        <v>48</v>
      </c>
      <c r="G283" s="2">
        <v>5260</v>
      </c>
      <c r="H28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169</v>
      </c>
      <c r="I283" s="6">
        <f>knicks_players_all_stats[[#This Row],[VALORATION]]/knicks_players_all_stats[[#This Row],[GP]]</f>
        <v>3.5208333333333335</v>
      </c>
      <c r="J283" s="2">
        <v>84</v>
      </c>
      <c r="K283" s="2">
        <v>205</v>
      </c>
      <c r="L283" s="4">
        <f>knicks_players_all_stats[[#This Row],[FGM]]/knicks_players_all_stats[[#This Row],[FGA]]</f>
        <v>0.40975609756097559</v>
      </c>
      <c r="M283" s="2">
        <v>0</v>
      </c>
      <c r="N283" s="2">
        <v>20</v>
      </c>
      <c r="O283" s="4">
        <f>knicks_players_all_stats[[#This Row],[FG3M]]/knicks_players_all_stats[[#This Row],[FG3A]]</f>
        <v>0</v>
      </c>
      <c r="P283" s="2">
        <v>19</v>
      </c>
      <c r="Q283" s="2">
        <v>23</v>
      </c>
      <c r="R283" s="5">
        <f>knicks_players_all_stats[[#This Row],[FTM]]/knicks_players_all_stats[[#This Row],[FTA]]</f>
        <v>0.82608695652173914</v>
      </c>
      <c r="S283" s="2">
        <f>knicks_players_all_stats[[#This Row],[OREB22]]/10</f>
        <v>31</v>
      </c>
      <c r="T283" s="2">
        <f>knicks_players_all_stats[[#This Row],[DREB33]]/10</f>
        <v>95</v>
      </c>
      <c r="U283" s="2">
        <f>knicks_players_all_stats[[#This Row],[REB44]]/10</f>
        <v>126</v>
      </c>
      <c r="V283">
        <v>310</v>
      </c>
      <c r="W283">
        <v>950</v>
      </c>
      <c r="X283">
        <v>1260</v>
      </c>
      <c r="Y283" s="22">
        <f>knicks_players_all_stats[[#This Row],[REB]]/knicks_players_all_stats[[#This Row],[GP]]</f>
        <v>2.625</v>
      </c>
      <c r="Z283" s="2">
        <v>47</v>
      </c>
      <c r="AA283" s="6">
        <f>knicks_players_all_stats[[#This Row],[AST]]/knicks_players_all_stats[[#This Row],[GP]]</f>
        <v>0.97916666666666663</v>
      </c>
      <c r="AB283" s="2">
        <f>knicks_players_all_stats[[#This Row],[STL2]]/10</f>
        <v>8</v>
      </c>
      <c r="AC283" s="2">
        <v>80</v>
      </c>
      <c r="AD283" s="6">
        <f>knicks_players_all_stats[[#This Row],[STL]]/knicks_players_all_stats[[#This Row],[GP]]</f>
        <v>0.16666666666666666</v>
      </c>
      <c r="AE283">
        <v>360</v>
      </c>
      <c r="AF283" s="2">
        <f>knicks_players_all_stats[[#This Row],[BLK2]]/10</f>
        <v>36</v>
      </c>
      <c r="AG283" s="6">
        <f>knicks_players_all_stats[[#This Row],[BLK]]/knicks_players_all_stats[[#This Row],[GP]]</f>
        <v>0.75</v>
      </c>
      <c r="AH283">
        <v>430</v>
      </c>
      <c r="AI283" s="6">
        <f>knicks_players_all_stats[[#This Row],[BLKPG]]+knicks_players_all_stats[[#This Row],[STLPG]]+knicks_players_all_stats[[#This Row],[REBPG]]</f>
        <v>3.5416666666666665</v>
      </c>
      <c r="AJ283" s="2">
        <f>knicks_players_all_stats[[#This Row],[TOV2]]/10</f>
        <v>43</v>
      </c>
      <c r="AK283" s="6">
        <f>knicks_players_all_stats[[#This Row],[TOV]]/knicks_players_all_stats[[#This Row],[GP]]</f>
        <v>0.89583333333333337</v>
      </c>
      <c r="AL283" s="2">
        <v>67</v>
      </c>
      <c r="AM283" s="2">
        <f>knicks_players_all_stats[[#This Row],[PF]]/knicks_players_all_stats[[#This Row],[GP]]</f>
        <v>1.3958333333333333</v>
      </c>
      <c r="AN283" s="2">
        <v>187</v>
      </c>
      <c r="AO283" s="6">
        <f>knicks_players_all_stats[[#This Row],[PTS]]/knicks_players_all_stats[[#This Row],[GP]]</f>
        <v>3.8958333333333335</v>
      </c>
    </row>
    <row r="284" spans="1:41" customFormat="1" x14ac:dyDescent="0.3">
      <c r="A284" s="3" t="s">
        <v>1436</v>
      </c>
      <c r="B284" s="3" t="s">
        <v>1279</v>
      </c>
      <c r="C284" s="3" t="str">
        <f>knicks_players_all_stats[[#This Row],[NAME]]&amp;" ("&amp;knicks_players_all_stats[[#This Row],[SEASON]]&amp;")"</f>
        <v>Thanasis Antetokounmpo (2015-16)</v>
      </c>
      <c r="D284" s="3">
        <f>knicks_players_all_stats[[#This Row],[PLAYER_AGE]]/10</f>
        <v>23</v>
      </c>
      <c r="E284">
        <v>230</v>
      </c>
      <c r="F284" s="2">
        <v>2</v>
      </c>
      <c r="G284" s="2">
        <v>60</v>
      </c>
      <c r="H28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</v>
      </c>
      <c r="I284" s="6">
        <f>knicks_players_all_stats[[#This Row],[VALORATION]]/knicks_players_all_stats[[#This Row],[GP]]</f>
        <v>2</v>
      </c>
      <c r="J284" s="2">
        <v>3</v>
      </c>
      <c r="K284" s="2">
        <v>4</v>
      </c>
      <c r="L284" s="4">
        <f>knicks_players_all_stats[[#This Row],[FGM]]/knicks_players_all_stats[[#This Row],[FGA]]</f>
        <v>0.75</v>
      </c>
      <c r="M284" s="2">
        <v>0</v>
      </c>
      <c r="N284" s="2">
        <v>10</v>
      </c>
      <c r="O284" s="4">
        <f>knicks_players_all_stats[[#This Row],[FG3M]]/knicks_players_all_stats[[#This Row],[FG3A]]</f>
        <v>0</v>
      </c>
      <c r="P284" s="2">
        <v>0</v>
      </c>
      <c r="Q284" s="2">
        <v>0</v>
      </c>
      <c r="R284" s="5" t="e">
        <f>knicks_players_all_stats[[#This Row],[FTM]]/knicks_players_all_stats[[#This Row],[FTA]]</f>
        <v>#DIV/0!</v>
      </c>
      <c r="S284" s="2">
        <f>knicks_players_all_stats[[#This Row],[OREB22]]/10</f>
        <v>0</v>
      </c>
      <c r="T284" s="2">
        <f>knicks_players_all_stats[[#This Row],[DREB33]]/10</f>
        <v>1</v>
      </c>
      <c r="U284" s="2">
        <f>knicks_players_all_stats[[#This Row],[REB44]]/10</f>
        <v>1</v>
      </c>
      <c r="V284">
        <v>0</v>
      </c>
      <c r="W284">
        <v>10</v>
      </c>
      <c r="X284">
        <v>10</v>
      </c>
      <c r="Y284" s="22">
        <f>knicks_players_all_stats[[#This Row],[REB]]/knicks_players_all_stats[[#This Row],[GP]]</f>
        <v>0.5</v>
      </c>
      <c r="Z284" s="2">
        <v>0</v>
      </c>
      <c r="AA284" s="6">
        <f>knicks_players_all_stats[[#This Row],[AST]]/knicks_players_all_stats[[#This Row],[GP]]</f>
        <v>0</v>
      </c>
      <c r="AB284" s="2">
        <f>knicks_players_all_stats[[#This Row],[STL2]]/10</f>
        <v>0</v>
      </c>
      <c r="AC284" s="2">
        <v>0</v>
      </c>
      <c r="AD284" s="6">
        <f>knicks_players_all_stats[[#This Row],[STL]]/knicks_players_all_stats[[#This Row],[GP]]</f>
        <v>0</v>
      </c>
      <c r="AE284">
        <v>0</v>
      </c>
      <c r="AF284" s="2">
        <f>knicks_players_all_stats[[#This Row],[BLK2]]/10</f>
        <v>0</v>
      </c>
      <c r="AG284" s="6">
        <f>knicks_players_all_stats[[#This Row],[BLK]]/knicks_players_all_stats[[#This Row],[GP]]</f>
        <v>0</v>
      </c>
      <c r="AH284">
        <v>0</v>
      </c>
      <c r="AI284" s="6">
        <f>knicks_players_all_stats[[#This Row],[BLKPG]]+knicks_players_all_stats[[#This Row],[STLPG]]+knicks_players_all_stats[[#This Row],[REBPG]]</f>
        <v>0.5</v>
      </c>
      <c r="AJ284" s="2">
        <f>knicks_players_all_stats[[#This Row],[TOV2]]/10</f>
        <v>0</v>
      </c>
      <c r="AK284" s="6">
        <f>knicks_players_all_stats[[#This Row],[TOV]]/knicks_players_all_stats[[#This Row],[GP]]</f>
        <v>0</v>
      </c>
      <c r="AL284" s="2">
        <v>2</v>
      </c>
      <c r="AM284" s="2">
        <f>knicks_players_all_stats[[#This Row],[PF]]/knicks_players_all_stats[[#This Row],[GP]]</f>
        <v>1</v>
      </c>
      <c r="AN284" s="2">
        <v>6</v>
      </c>
      <c r="AO284" s="6">
        <f>knicks_players_all_stats[[#This Row],[PTS]]/knicks_players_all_stats[[#This Row],[GP]]</f>
        <v>3</v>
      </c>
    </row>
    <row r="285" spans="1:41" customFormat="1" x14ac:dyDescent="0.3">
      <c r="A285" s="3" t="s">
        <v>1779</v>
      </c>
      <c r="B285" s="3" t="s">
        <v>1279</v>
      </c>
      <c r="C285" s="3" t="str">
        <f>knicks_players_all_stats[[#This Row],[NAME]]&amp;" ("&amp;knicks_players_all_stats[[#This Row],[SEASON]]&amp;")"</f>
        <v>Jimmer Fredette (2015-16)</v>
      </c>
      <c r="D285" s="3">
        <f>knicks_players_all_stats[[#This Row],[PLAYER_AGE]]/10</f>
        <v>27</v>
      </c>
      <c r="E285">
        <v>270</v>
      </c>
      <c r="F285" s="2">
        <v>2</v>
      </c>
      <c r="G285" s="2">
        <v>50</v>
      </c>
      <c r="H28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</v>
      </c>
      <c r="I285" s="6">
        <f>knicks_players_all_stats[[#This Row],[VALORATION]]/knicks_players_all_stats[[#This Row],[GP]]</f>
        <v>2</v>
      </c>
      <c r="J285" s="2">
        <v>1</v>
      </c>
      <c r="K285" s="2">
        <v>1</v>
      </c>
      <c r="L285" s="2">
        <v>10</v>
      </c>
      <c r="M285" s="2">
        <v>10</v>
      </c>
      <c r="N285" s="2">
        <v>10</v>
      </c>
      <c r="O285" s="4">
        <f>knicks_players_all_stats[[#This Row],[FG3M]]/knicks_players_all_stats[[#This Row],[FG3A]]</f>
        <v>1</v>
      </c>
      <c r="P285" s="2">
        <v>4</v>
      </c>
      <c r="Q285" s="2">
        <v>5</v>
      </c>
      <c r="R285" s="5">
        <f>knicks_players_all_stats[[#This Row],[FTM]]/knicks_players_all_stats[[#This Row],[FTA]]</f>
        <v>0.8</v>
      </c>
      <c r="S285" s="2">
        <f>knicks_players_all_stats[[#This Row],[OREB22]]/10</f>
        <v>0</v>
      </c>
      <c r="T285" s="2">
        <f>knicks_players_all_stats[[#This Row],[DREB33]]/10</f>
        <v>0</v>
      </c>
      <c r="U285" s="2">
        <f>knicks_players_all_stats[[#This Row],[REB44]]/10</f>
        <v>0</v>
      </c>
      <c r="V285">
        <v>0</v>
      </c>
      <c r="W285">
        <v>0</v>
      </c>
      <c r="X285">
        <v>0</v>
      </c>
      <c r="Y285" s="22">
        <f>knicks_players_all_stats[[#This Row],[REB]]/knicks_players_all_stats[[#This Row],[GP]]</f>
        <v>0</v>
      </c>
      <c r="Z285" s="2">
        <v>0</v>
      </c>
      <c r="AA285" s="6">
        <f>knicks_players_all_stats[[#This Row],[AST]]/knicks_players_all_stats[[#This Row],[GP]]</f>
        <v>0</v>
      </c>
      <c r="AB285" s="2">
        <f>knicks_players_all_stats[[#This Row],[STL2]]/10</f>
        <v>0</v>
      </c>
      <c r="AC285" s="2">
        <v>0</v>
      </c>
      <c r="AD285" s="6">
        <f>knicks_players_all_stats[[#This Row],[STL]]/knicks_players_all_stats[[#This Row],[GP]]</f>
        <v>0</v>
      </c>
      <c r="AE285">
        <v>0</v>
      </c>
      <c r="AF285" s="2">
        <f>knicks_players_all_stats[[#This Row],[BLK2]]/10</f>
        <v>0</v>
      </c>
      <c r="AG285" s="6">
        <f>knicks_players_all_stats[[#This Row],[BLK]]/knicks_players_all_stats[[#This Row],[GP]]</f>
        <v>0</v>
      </c>
      <c r="AH285">
        <v>10</v>
      </c>
      <c r="AI285" s="6">
        <f>knicks_players_all_stats[[#This Row],[BLKPG]]+knicks_players_all_stats[[#This Row],[STLPG]]+knicks_players_all_stats[[#This Row],[REBPG]]</f>
        <v>0</v>
      </c>
      <c r="AJ285" s="2">
        <f>knicks_players_all_stats[[#This Row],[TOV2]]/10</f>
        <v>1</v>
      </c>
      <c r="AK285" s="6">
        <f>knicks_players_all_stats[[#This Row],[TOV]]/knicks_players_all_stats[[#This Row],[GP]]</f>
        <v>0.5</v>
      </c>
      <c r="AL285" s="2">
        <v>1</v>
      </c>
      <c r="AM285" s="2">
        <f>knicks_players_all_stats[[#This Row],[PF]]/knicks_players_all_stats[[#This Row],[GP]]</f>
        <v>0.5</v>
      </c>
      <c r="AN285" s="2">
        <v>7</v>
      </c>
      <c r="AO285" s="6">
        <f>knicks_players_all_stats[[#This Row],[PTS]]/knicks_players_all_stats[[#This Row],[GP]]</f>
        <v>3.5</v>
      </c>
    </row>
    <row r="286" spans="1:41" customFormat="1" x14ac:dyDescent="0.3">
      <c r="A286" s="3" t="s">
        <v>1559</v>
      </c>
      <c r="B286" s="3" t="s">
        <v>1279</v>
      </c>
      <c r="C286" s="3" t="str">
        <f>knicks_players_all_stats[[#This Row],[NAME]]&amp;" ("&amp;knicks_players_all_stats[[#This Row],[SEASON]]&amp;")"</f>
        <v>Cleanthony Early (2015-16)</v>
      </c>
      <c r="D286" s="3">
        <f>knicks_players_all_stats[[#This Row],[PLAYER_AGE]]/10</f>
        <v>25</v>
      </c>
      <c r="E286">
        <v>250</v>
      </c>
      <c r="F286" s="2">
        <v>17</v>
      </c>
      <c r="G286" s="2">
        <v>1540</v>
      </c>
      <c r="H28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14</v>
      </c>
      <c r="I286" s="6">
        <f>knicks_players_all_stats[[#This Row],[VALORATION]]/knicks_players_all_stats[[#This Row],[GP]]</f>
        <v>0.82352941176470584</v>
      </c>
      <c r="J286" s="2">
        <v>12</v>
      </c>
      <c r="K286" s="2">
        <v>40</v>
      </c>
      <c r="L286" s="4">
        <f>knicks_players_all_stats[[#This Row],[FGM]]/knicks_players_all_stats[[#This Row],[FGA]]</f>
        <v>0.3</v>
      </c>
      <c r="M286" s="2">
        <v>40</v>
      </c>
      <c r="N286" s="2">
        <v>150</v>
      </c>
      <c r="O286" s="4">
        <f>knicks_players_all_stats[[#This Row],[FG3M]]/knicks_players_all_stats[[#This Row],[FG3A]]</f>
        <v>0.26666666666666666</v>
      </c>
      <c r="P286" s="2">
        <v>3</v>
      </c>
      <c r="Q286" s="2">
        <v>4</v>
      </c>
      <c r="R286" s="5">
        <f>knicks_players_all_stats[[#This Row],[FTM]]/knicks_players_all_stats[[#This Row],[FTA]]</f>
        <v>0.75</v>
      </c>
      <c r="S286" s="2">
        <f>knicks_players_all_stats[[#This Row],[OREB22]]/10</f>
        <v>4</v>
      </c>
      <c r="T286" s="2">
        <f>knicks_players_all_stats[[#This Row],[DREB33]]/10</f>
        <v>22</v>
      </c>
      <c r="U286" s="2">
        <f>knicks_players_all_stats[[#This Row],[REB44]]/10</f>
        <v>26</v>
      </c>
      <c r="V286">
        <v>40</v>
      </c>
      <c r="W286">
        <v>220</v>
      </c>
      <c r="X286">
        <v>260</v>
      </c>
      <c r="Y286" s="22">
        <f>knicks_players_all_stats[[#This Row],[REB]]/knicks_players_all_stats[[#This Row],[GP]]</f>
        <v>1.5294117647058822</v>
      </c>
      <c r="Z286" s="2">
        <v>6</v>
      </c>
      <c r="AA286" s="6">
        <f>knicks_players_all_stats[[#This Row],[AST]]/knicks_players_all_stats[[#This Row],[GP]]</f>
        <v>0.35294117647058826</v>
      </c>
      <c r="AB286" s="2">
        <f>knicks_players_all_stats[[#This Row],[STL2]]/10</f>
        <v>2</v>
      </c>
      <c r="AC286" s="2">
        <v>20</v>
      </c>
      <c r="AD286" s="6">
        <f>knicks_players_all_stats[[#This Row],[STL]]/knicks_players_all_stats[[#This Row],[GP]]</f>
        <v>0.11764705882352941</v>
      </c>
      <c r="AE286">
        <v>30</v>
      </c>
      <c r="AF286" s="2">
        <f>knicks_players_all_stats[[#This Row],[BLK2]]/10</f>
        <v>3</v>
      </c>
      <c r="AG286" s="6">
        <f>knicks_players_all_stats[[#This Row],[BLK]]/knicks_players_all_stats[[#This Row],[GP]]</f>
        <v>0.17647058823529413</v>
      </c>
      <c r="AH286">
        <v>90</v>
      </c>
      <c r="AI286" s="6">
        <f>knicks_players_all_stats[[#This Row],[BLKPG]]+knicks_players_all_stats[[#This Row],[STLPG]]+knicks_players_all_stats[[#This Row],[REBPG]]</f>
        <v>1.8235294117647058</v>
      </c>
      <c r="AJ286" s="2">
        <f>knicks_players_all_stats[[#This Row],[TOV2]]/10</f>
        <v>9</v>
      </c>
      <c r="AK286" s="6">
        <f>knicks_players_all_stats[[#This Row],[TOV]]/knicks_players_all_stats[[#This Row],[GP]]</f>
        <v>0.52941176470588236</v>
      </c>
      <c r="AL286" s="2">
        <v>16</v>
      </c>
      <c r="AM286" s="2">
        <f>knicks_players_all_stats[[#This Row],[PF]]/knicks_players_all_stats[[#This Row],[GP]]</f>
        <v>0.94117647058823528</v>
      </c>
      <c r="AN286" s="2">
        <v>31</v>
      </c>
      <c r="AO286" s="6">
        <f>knicks_players_all_stats[[#This Row],[PTS]]/knicks_players_all_stats[[#This Row],[GP]]</f>
        <v>1.8235294117647058</v>
      </c>
    </row>
    <row r="287" spans="1:41" customFormat="1" x14ac:dyDescent="0.3">
      <c r="A287" s="3" t="s">
        <v>1772</v>
      </c>
      <c r="B287" s="3" t="s">
        <v>1279</v>
      </c>
      <c r="C287" s="3" t="str">
        <f>knicks_players_all_stats[[#This Row],[NAME]]&amp;" ("&amp;knicks_players_all_stats[[#This Row],[SEASON]]&amp;")"</f>
        <v>Lou Amundson (2015-16)</v>
      </c>
      <c r="D287" s="3">
        <f>knicks_players_all_stats[[#This Row],[PLAYER_AGE]]/10</f>
        <v>33</v>
      </c>
      <c r="E287">
        <v>330</v>
      </c>
      <c r="F287" s="2">
        <v>29</v>
      </c>
      <c r="G287" s="2">
        <v>2040</v>
      </c>
      <c r="H28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20</v>
      </c>
      <c r="I287" s="6">
        <f>knicks_players_all_stats[[#This Row],[VALORATION]]/knicks_players_all_stats[[#This Row],[GP]]</f>
        <v>0.68965517241379315</v>
      </c>
      <c r="J287" s="2">
        <v>19</v>
      </c>
      <c r="K287" s="2">
        <v>53</v>
      </c>
      <c r="L287" s="2">
        <v>358</v>
      </c>
      <c r="M287" s="2">
        <v>0</v>
      </c>
      <c r="N287" s="2">
        <v>0</v>
      </c>
      <c r="O287" s="4" t="e">
        <f>knicks_players_all_stats[[#This Row],[FG3M]]/knicks_players_all_stats[[#This Row],[FG3A]]</f>
        <v>#DIV/0!</v>
      </c>
      <c r="P287" s="2">
        <v>14</v>
      </c>
      <c r="Q287" s="2">
        <v>27</v>
      </c>
      <c r="R287" s="5">
        <f>knicks_players_all_stats[[#This Row],[FTM]]/knicks_players_all_stats[[#This Row],[FTA]]</f>
        <v>0.51851851851851849</v>
      </c>
      <c r="S287" s="2">
        <f>knicks_players_all_stats[[#This Row],[OREB22]]/10</f>
        <v>23</v>
      </c>
      <c r="T287" s="2">
        <f>knicks_players_all_stats[[#This Row],[DREB33]]/10</f>
        <v>26</v>
      </c>
      <c r="U287" s="2">
        <f>knicks_players_all_stats[[#This Row],[REB44]]/10</f>
        <v>49</v>
      </c>
      <c r="V287">
        <v>230</v>
      </c>
      <c r="W287">
        <v>260</v>
      </c>
      <c r="X287">
        <v>490</v>
      </c>
      <c r="Y287" s="22">
        <f>knicks_players_all_stats[[#This Row],[REB]]/knicks_players_all_stats[[#This Row],[GP]]</f>
        <v>1.6896551724137931</v>
      </c>
      <c r="Z287" s="2">
        <v>12</v>
      </c>
      <c r="AA287" s="6">
        <f>knicks_players_all_stats[[#This Row],[AST]]/knicks_players_all_stats[[#This Row],[GP]]</f>
        <v>0.41379310344827586</v>
      </c>
      <c r="AB287" s="2">
        <f>knicks_players_all_stats[[#This Row],[STL2]]/10</f>
        <v>6</v>
      </c>
      <c r="AC287" s="2">
        <v>60</v>
      </c>
      <c r="AD287" s="6">
        <f>knicks_players_all_stats[[#This Row],[STL]]/knicks_players_all_stats[[#This Row],[GP]]</f>
        <v>0.20689655172413793</v>
      </c>
      <c r="AE287">
        <v>70</v>
      </c>
      <c r="AF287" s="2">
        <f>knicks_players_all_stats[[#This Row],[BLK2]]/10</f>
        <v>7</v>
      </c>
      <c r="AG287" s="6">
        <f>knicks_players_all_stats[[#This Row],[BLK]]/knicks_players_all_stats[[#This Row],[GP]]</f>
        <v>0.2413793103448276</v>
      </c>
      <c r="AH287">
        <v>150</v>
      </c>
      <c r="AI287" s="6">
        <f>knicks_players_all_stats[[#This Row],[BLKPG]]+knicks_players_all_stats[[#This Row],[STLPG]]+knicks_players_all_stats[[#This Row],[REBPG]]</f>
        <v>2.1379310344827589</v>
      </c>
      <c r="AJ287" s="2">
        <f>knicks_players_all_stats[[#This Row],[TOV2]]/10</f>
        <v>15</v>
      </c>
      <c r="AK287" s="6">
        <f>knicks_players_all_stats[[#This Row],[TOV]]/knicks_players_all_stats[[#This Row],[GP]]</f>
        <v>0.51724137931034486</v>
      </c>
      <c r="AL287" s="2">
        <v>44</v>
      </c>
      <c r="AM287" s="2">
        <f>knicks_players_all_stats[[#This Row],[PF]]/knicks_players_all_stats[[#This Row],[GP]]</f>
        <v>1.5172413793103448</v>
      </c>
      <c r="AN287" s="2">
        <v>52</v>
      </c>
      <c r="AO287" s="6">
        <f>knicks_players_all_stats[[#This Row],[PTS]]/knicks_players_all_stats[[#This Row],[GP]]</f>
        <v>1.7931034482758621</v>
      </c>
    </row>
    <row r="288" spans="1:41" x14ac:dyDescent="0.3">
      <c r="A288" s="3" t="s">
        <v>1419</v>
      </c>
      <c r="B288" s="3" t="s">
        <v>1281</v>
      </c>
      <c r="C288" s="3" t="str">
        <f>knicks_players_all_stats[[#This Row],[NAME]]&amp;" ("&amp;knicks_players_all_stats[[#This Row],[SEASON]]&amp;")"</f>
        <v>Carmelo Anthony (2016-17)</v>
      </c>
      <c r="D288" s="3">
        <f>knicks_players_all_stats[[#This Row],[PLAYER_AGE]]/10</f>
        <v>33</v>
      </c>
      <c r="E288">
        <v>330</v>
      </c>
      <c r="F288" s="2">
        <v>74</v>
      </c>
      <c r="G288" s="2">
        <v>25380</v>
      </c>
      <c r="H28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1205</v>
      </c>
      <c r="I288" s="6">
        <f>knicks_players_all_stats[[#This Row],[VALORATION]]/knicks_players_all_stats[[#This Row],[GP]]</f>
        <v>16.283783783783782</v>
      </c>
      <c r="J288" s="2">
        <v>602</v>
      </c>
      <c r="K288" s="2">
        <v>1389</v>
      </c>
      <c r="L288" s="4">
        <f>knicks_players_all_stats[[#This Row],[FGM]]/knicks_players_all_stats[[#This Row],[FGA]]</f>
        <v>0.43340532757379407</v>
      </c>
      <c r="M288" s="2">
        <v>1510</v>
      </c>
      <c r="N288" s="2">
        <v>4210</v>
      </c>
      <c r="O288" s="4">
        <f>knicks_players_all_stats[[#This Row],[FG3M]]/knicks_players_all_stats[[#This Row],[FG3A]]</f>
        <v>0.35866983372921613</v>
      </c>
      <c r="P288" s="2">
        <v>304</v>
      </c>
      <c r="Q288" s="2">
        <v>365</v>
      </c>
      <c r="R288" s="5">
        <f>knicks_players_all_stats[[#This Row],[FTM]]/knicks_players_all_stats[[#This Row],[FTA]]</f>
        <v>0.83287671232876714</v>
      </c>
      <c r="S288" s="2">
        <f>knicks_players_all_stats[[#This Row],[OREB22]]/10</f>
        <v>62</v>
      </c>
      <c r="T288" s="2">
        <f>knicks_players_all_stats[[#This Row],[DREB33]]/10</f>
        <v>376</v>
      </c>
      <c r="U288" s="2">
        <f>knicks_players_all_stats[[#This Row],[REB44]]/10</f>
        <v>438</v>
      </c>
      <c r="V288">
        <v>620</v>
      </c>
      <c r="W288">
        <v>3760</v>
      </c>
      <c r="X288">
        <v>4380</v>
      </c>
      <c r="Y288" s="22">
        <f>knicks_players_all_stats[[#This Row],[REB]]/knicks_players_all_stats[[#This Row],[GP]]</f>
        <v>5.9189189189189193</v>
      </c>
      <c r="Z288" s="2">
        <v>213</v>
      </c>
      <c r="AA288" s="6">
        <f>knicks_players_all_stats[[#This Row],[AST]]/knicks_players_all_stats[[#This Row],[GP]]</f>
        <v>2.8783783783783785</v>
      </c>
      <c r="AB288" s="2">
        <f>knicks_players_all_stats[[#This Row],[STL2]]/10</f>
        <v>60</v>
      </c>
      <c r="AC288" s="2">
        <v>600</v>
      </c>
      <c r="AD288" s="6">
        <f>knicks_players_all_stats[[#This Row],[STL]]/knicks_players_all_stats[[#This Row],[GP]]</f>
        <v>0.81081081081081086</v>
      </c>
      <c r="AE288">
        <v>340</v>
      </c>
      <c r="AF288" s="2">
        <f>knicks_players_all_stats[[#This Row],[BLK2]]/10</f>
        <v>34</v>
      </c>
      <c r="AG288" s="6">
        <f>knicks_players_all_stats[[#This Row],[BLK]]/knicks_players_all_stats[[#This Row],[GP]]</f>
        <v>0.45945945945945948</v>
      </c>
      <c r="AH288">
        <v>1530</v>
      </c>
      <c r="AI288" s="6">
        <f>knicks_players_all_stats[[#This Row],[BLKPG]]+knicks_players_all_stats[[#This Row],[STLPG]]+knicks_players_all_stats[[#This Row],[REBPG]]</f>
        <v>7.1891891891891895</v>
      </c>
      <c r="AJ288" s="2">
        <f>knicks_players_all_stats[[#This Row],[TOV2]]/10</f>
        <v>153</v>
      </c>
      <c r="AK288" s="6">
        <f>knicks_players_all_stats[[#This Row],[TOV]]/knicks_players_all_stats[[#This Row],[GP]]</f>
        <v>2.0675675675675675</v>
      </c>
      <c r="AL288" s="2">
        <v>198</v>
      </c>
      <c r="AM288" s="2">
        <f>knicks_players_all_stats[[#This Row],[PF]]/knicks_players_all_stats[[#This Row],[GP]]</f>
        <v>2.6756756756756759</v>
      </c>
      <c r="AN288" s="2">
        <v>1659</v>
      </c>
      <c r="AO288" s="6">
        <f>knicks_players_all_stats[[#This Row],[PTS]]/knicks_players_all_stats[[#This Row],[GP]]</f>
        <v>22.418918918918919</v>
      </c>
    </row>
    <row r="289" spans="1:41" x14ac:dyDescent="0.3">
      <c r="A289" s="3" t="s">
        <v>1408</v>
      </c>
      <c r="B289" s="3" t="s">
        <v>1281</v>
      </c>
      <c r="C289" s="3" t="str">
        <f>knicks_players_all_stats[[#This Row],[NAME]]&amp;" ("&amp;knicks_players_all_stats[[#This Row],[SEASON]]&amp;")"</f>
        <v>Derrick Rose (2016-17)</v>
      </c>
      <c r="D289" s="3">
        <f>knicks_players_all_stats[[#This Row],[PLAYER_AGE]]/10</f>
        <v>28</v>
      </c>
      <c r="E289">
        <v>280</v>
      </c>
      <c r="F289" s="2">
        <v>64</v>
      </c>
      <c r="G289" s="2">
        <v>20820</v>
      </c>
      <c r="H28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964</v>
      </c>
      <c r="I289" s="6">
        <f>knicks_players_all_stats[[#This Row],[VALORATION]]/knicks_players_all_stats[[#This Row],[GP]]</f>
        <v>15.0625</v>
      </c>
      <c r="J289" s="2">
        <v>460</v>
      </c>
      <c r="K289" s="2">
        <v>977</v>
      </c>
      <c r="L289" s="4">
        <f>knicks_players_all_stats[[#This Row],[FGM]]/knicks_players_all_stats[[#This Row],[FGA]]</f>
        <v>0.47082906857727735</v>
      </c>
      <c r="M289" s="2">
        <v>130</v>
      </c>
      <c r="N289" s="2">
        <v>600</v>
      </c>
      <c r="O289" s="4">
        <f>knicks_players_all_stats[[#This Row],[FG3M]]/knicks_players_all_stats[[#This Row],[FG3A]]</f>
        <v>0.21666666666666667</v>
      </c>
      <c r="P289" s="2">
        <v>221</v>
      </c>
      <c r="Q289" s="2">
        <v>253</v>
      </c>
      <c r="R289" s="5">
        <f>knicks_players_all_stats[[#This Row],[FTM]]/knicks_players_all_stats[[#This Row],[FTA]]</f>
        <v>0.87351778656126478</v>
      </c>
      <c r="S289" s="2">
        <f>knicks_players_all_stats[[#This Row],[OREB22]]/10</f>
        <v>66</v>
      </c>
      <c r="T289" s="2">
        <f>knicks_players_all_stats[[#This Row],[DREB33]]/10</f>
        <v>180</v>
      </c>
      <c r="U289" s="2">
        <f>knicks_players_all_stats[[#This Row],[REB44]]/10</f>
        <v>246</v>
      </c>
      <c r="V289">
        <v>660</v>
      </c>
      <c r="W289">
        <v>1800</v>
      </c>
      <c r="X289">
        <v>2460</v>
      </c>
      <c r="Y289" s="22">
        <f>knicks_players_all_stats[[#This Row],[REB]]/knicks_players_all_stats[[#This Row],[GP]]</f>
        <v>3.84375</v>
      </c>
      <c r="Z289" s="2">
        <v>283</v>
      </c>
      <c r="AA289" s="6">
        <f>knicks_players_all_stats[[#This Row],[AST]]/knicks_players_all_stats[[#This Row],[GP]]</f>
        <v>4.421875</v>
      </c>
      <c r="AB289" s="2">
        <f>knicks_players_all_stats[[#This Row],[STL2]]/10</f>
        <v>44</v>
      </c>
      <c r="AC289" s="2">
        <v>440</v>
      </c>
      <c r="AD289" s="6">
        <f>knicks_players_all_stats[[#This Row],[STL]]/knicks_players_all_stats[[#This Row],[GP]]</f>
        <v>0.6875</v>
      </c>
      <c r="AE289">
        <v>170</v>
      </c>
      <c r="AF289" s="2">
        <f>knicks_players_all_stats[[#This Row],[BLK2]]/10</f>
        <v>17</v>
      </c>
      <c r="AG289" s="6">
        <f>knicks_players_all_stats[[#This Row],[BLK]]/knicks_players_all_stats[[#This Row],[GP]]</f>
        <v>0.265625</v>
      </c>
      <c r="AH289">
        <v>1470</v>
      </c>
      <c r="AI289" s="6">
        <f>knicks_players_all_stats[[#This Row],[BLKPG]]+knicks_players_all_stats[[#This Row],[STLPG]]+knicks_players_all_stats[[#This Row],[REBPG]]</f>
        <v>4.796875</v>
      </c>
      <c r="AJ289" s="2">
        <f>knicks_players_all_stats[[#This Row],[TOV2]]/10</f>
        <v>147</v>
      </c>
      <c r="AK289" s="6">
        <f>knicks_players_all_stats[[#This Row],[TOV]]/knicks_players_all_stats[[#This Row],[GP]]</f>
        <v>2.296875</v>
      </c>
      <c r="AL289" s="2">
        <v>84</v>
      </c>
      <c r="AM289" s="2">
        <f>knicks_players_all_stats[[#This Row],[PF]]/knicks_players_all_stats[[#This Row],[GP]]</f>
        <v>1.3125</v>
      </c>
      <c r="AN289" s="2">
        <v>1154</v>
      </c>
      <c r="AO289" s="6">
        <f>knicks_players_all_stats[[#This Row],[PTS]]/knicks_players_all_stats[[#This Row],[GP]]</f>
        <v>18.03125</v>
      </c>
    </row>
    <row r="290" spans="1:41" x14ac:dyDescent="0.3">
      <c r="A290" s="3" t="s">
        <v>1306</v>
      </c>
      <c r="B290" s="3" t="s">
        <v>1281</v>
      </c>
      <c r="C290" s="3" t="str">
        <f>knicks_players_all_stats[[#This Row],[NAME]]&amp;" ("&amp;knicks_players_all_stats[[#This Row],[SEASON]]&amp;")"</f>
        <v>Kristaps Porzingis (2016-17)</v>
      </c>
      <c r="D290" s="3">
        <f>knicks_players_all_stats[[#This Row],[PLAYER_AGE]]/10</f>
        <v>21</v>
      </c>
      <c r="E290">
        <v>210</v>
      </c>
      <c r="F290" s="2">
        <v>66</v>
      </c>
      <c r="G290" s="2">
        <v>21640</v>
      </c>
      <c r="H29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986</v>
      </c>
      <c r="I290" s="6">
        <f>knicks_players_all_stats[[#This Row],[VALORATION]]/knicks_players_all_stats[[#This Row],[GP]]</f>
        <v>14.939393939393939</v>
      </c>
      <c r="J290" s="2">
        <v>443</v>
      </c>
      <c r="K290" s="2">
        <v>985</v>
      </c>
      <c r="L290" s="4">
        <f>knicks_players_all_stats[[#This Row],[FGM]]/knicks_players_all_stats[[#This Row],[FGA]]</f>
        <v>0.44974619289340101</v>
      </c>
      <c r="M290" s="2">
        <v>1120</v>
      </c>
      <c r="N290" s="2">
        <v>3140</v>
      </c>
      <c r="O290" s="4">
        <f>knicks_players_all_stats[[#This Row],[FG3M]]/knicks_players_all_stats[[#This Row],[FG3A]]</f>
        <v>0.35668789808917195</v>
      </c>
      <c r="P290" s="2">
        <v>198</v>
      </c>
      <c r="Q290" s="2">
        <v>252</v>
      </c>
      <c r="R290" s="5">
        <f>knicks_players_all_stats[[#This Row],[FTM]]/knicks_players_all_stats[[#This Row],[FTA]]</f>
        <v>0.7857142857142857</v>
      </c>
      <c r="S290" s="2">
        <f>knicks_players_all_stats[[#This Row],[OREB22]]/10</f>
        <v>111</v>
      </c>
      <c r="T290" s="2">
        <f>knicks_players_all_stats[[#This Row],[DREB33]]/10</f>
        <v>364</v>
      </c>
      <c r="U290" s="2">
        <f>knicks_players_all_stats[[#This Row],[REB44]]/10</f>
        <v>475</v>
      </c>
      <c r="V290">
        <v>1110</v>
      </c>
      <c r="W290">
        <v>3640</v>
      </c>
      <c r="X290">
        <v>4750</v>
      </c>
      <c r="Y290" s="22">
        <f>knicks_players_all_stats[[#This Row],[REB]]/knicks_players_all_stats[[#This Row],[GP]]</f>
        <v>7.1969696969696972</v>
      </c>
      <c r="Z290" s="2">
        <v>97</v>
      </c>
      <c r="AA290" s="6">
        <f>knicks_players_all_stats[[#This Row],[AST]]/knicks_players_all_stats[[#This Row],[GP]]</f>
        <v>1.4696969696969697</v>
      </c>
      <c r="AB290" s="2">
        <f>knicks_players_all_stats[[#This Row],[STL2]]/10</f>
        <v>47</v>
      </c>
      <c r="AC290" s="2">
        <v>470</v>
      </c>
      <c r="AD290" s="6">
        <f>knicks_players_all_stats[[#This Row],[STL]]/knicks_players_all_stats[[#This Row],[GP]]</f>
        <v>0.71212121212121215</v>
      </c>
      <c r="AE290">
        <v>1290</v>
      </c>
      <c r="AF290" s="2">
        <f>knicks_players_all_stats[[#This Row],[BLK2]]/10</f>
        <v>129</v>
      </c>
      <c r="AG290" s="6">
        <f>knicks_players_all_stats[[#This Row],[BLK]]/knicks_players_all_stats[[#This Row],[GP]]</f>
        <v>1.9545454545454546</v>
      </c>
      <c r="AH290">
        <v>1180</v>
      </c>
      <c r="AI290" s="6">
        <f>knicks_players_all_stats[[#This Row],[BLKPG]]+knicks_players_all_stats[[#This Row],[STLPG]]+knicks_players_all_stats[[#This Row],[REBPG]]</f>
        <v>9.8636363636363633</v>
      </c>
      <c r="AJ290" s="2">
        <f>knicks_players_all_stats[[#This Row],[TOV2]]/10</f>
        <v>118</v>
      </c>
      <c r="AK290" s="6">
        <f>knicks_players_all_stats[[#This Row],[TOV]]/knicks_players_all_stats[[#This Row],[GP]]</f>
        <v>1.7878787878787878</v>
      </c>
      <c r="AL290" s="2">
        <v>244</v>
      </c>
      <c r="AM290" s="2">
        <f>knicks_players_all_stats[[#This Row],[PF]]/knicks_players_all_stats[[#This Row],[GP]]</f>
        <v>3.6969696969696968</v>
      </c>
      <c r="AN290" s="2">
        <v>1196</v>
      </c>
      <c r="AO290" s="6">
        <f>knicks_players_all_stats[[#This Row],[PTS]]/knicks_players_all_stats[[#This Row],[GP]]</f>
        <v>18.121212121212121</v>
      </c>
    </row>
    <row r="291" spans="1:41" x14ac:dyDescent="0.3">
      <c r="A291" s="3" t="s">
        <v>1530</v>
      </c>
      <c r="B291" s="3" t="s">
        <v>1281</v>
      </c>
      <c r="C291" s="3" t="str">
        <f>knicks_players_all_stats[[#This Row],[NAME]]&amp;" ("&amp;knicks_players_all_stats[[#This Row],[SEASON]]&amp;")"</f>
        <v>Willy Hernangomez (2016-17)</v>
      </c>
      <c r="D291" s="3">
        <f>knicks_players_all_stats[[#This Row],[PLAYER_AGE]]/10</f>
        <v>23</v>
      </c>
      <c r="E291">
        <v>230</v>
      </c>
      <c r="F291" s="2">
        <v>72</v>
      </c>
      <c r="G291" s="2">
        <v>13240</v>
      </c>
      <c r="H29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759</v>
      </c>
      <c r="I291" s="6">
        <f>knicks_players_all_stats[[#This Row],[VALORATION]]/knicks_players_all_stats[[#This Row],[GP]]</f>
        <v>10.541666666666666</v>
      </c>
      <c r="J291" s="2">
        <v>246</v>
      </c>
      <c r="K291" s="2">
        <v>465</v>
      </c>
      <c r="L291" s="4">
        <f>knicks_players_all_stats[[#This Row],[FGM]]/knicks_players_all_stats[[#This Row],[FGA]]</f>
        <v>0.52903225806451615</v>
      </c>
      <c r="M291" s="2">
        <v>40</v>
      </c>
      <c r="N291" s="2">
        <v>150</v>
      </c>
      <c r="O291" s="4">
        <f>knicks_players_all_stats[[#This Row],[FG3M]]/knicks_players_all_stats[[#This Row],[FG3A]]</f>
        <v>0.26666666666666666</v>
      </c>
      <c r="P291" s="2">
        <v>91</v>
      </c>
      <c r="Q291" s="2">
        <v>125</v>
      </c>
      <c r="R291" s="5">
        <f>knicks_players_all_stats[[#This Row],[FTM]]/knicks_players_all_stats[[#This Row],[FTA]]</f>
        <v>0.72799999999999998</v>
      </c>
      <c r="S291" s="2">
        <f>knicks_players_all_stats[[#This Row],[OREB22]]/10</f>
        <v>170</v>
      </c>
      <c r="T291" s="2">
        <f>knicks_players_all_stats[[#This Row],[DREB33]]/10</f>
        <v>332</v>
      </c>
      <c r="U291" s="2">
        <f>knicks_players_all_stats[[#This Row],[REB44]]/10</f>
        <v>502</v>
      </c>
      <c r="V291">
        <v>1700</v>
      </c>
      <c r="W291">
        <v>3320</v>
      </c>
      <c r="X291">
        <v>5020</v>
      </c>
      <c r="Y291" s="22">
        <f>knicks_players_all_stats[[#This Row],[REB]]/knicks_players_all_stats[[#This Row],[GP]]</f>
        <v>6.9722222222222223</v>
      </c>
      <c r="Z291" s="2">
        <v>96</v>
      </c>
      <c r="AA291" s="6">
        <f>knicks_players_all_stats[[#This Row],[AST]]/knicks_players_all_stats[[#This Row],[GP]]</f>
        <v>1.3333333333333333</v>
      </c>
      <c r="AB291" s="2">
        <f>knicks_players_all_stats[[#This Row],[STL2]]/10</f>
        <v>41</v>
      </c>
      <c r="AC291" s="2">
        <v>410</v>
      </c>
      <c r="AD291" s="6">
        <f>knicks_players_all_stats[[#This Row],[STL]]/knicks_players_all_stats[[#This Row],[GP]]</f>
        <v>0.56944444444444442</v>
      </c>
      <c r="AE291">
        <v>360</v>
      </c>
      <c r="AF291" s="2">
        <f>knicks_players_all_stats[[#This Row],[BLK2]]/10</f>
        <v>36</v>
      </c>
      <c r="AG291" s="6">
        <f>knicks_players_all_stats[[#This Row],[BLK]]/knicks_players_all_stats[[#This Row],[GP]]</f>
        <v>0.5</v>
      </c>
      <c r="AH291">
        <v>1000</v>
      </c>
      <c r="AI291" s="6">
        <f>knicks_players_all_stats[[#This Row],[BLKPG]]+knicks_players_all_stats[[#This Row],[STLPG]]+knicks_players_all_stats[[#This Row],[REBPG]]</f>
        <v>8.0416666666666661</v>
      </c>
      <c r="AJ291" s="2">
        <f>knicks_players_all_stats[[#This Row],[TOV2]]/10</f>
        <v>100</v>
      </c>
      <c r="AK291" s="6">
        <f>knicks_players_all_stats[[#This Row],[TOV]]/knicks_players_all_stats[[#This Row],[GP]]</f>
        <v>1.3888888888888888</v>
      </c>
      <c r="AL291" s="2">
        <v>150</v>
      </c>
      <c r="AM291" s="2">
        <f>knicks_players_all_stats[[#This Row],[PF]]/knicks_players_all_stats[[#This Row],[GP]]</f>
        <v>2.0833333333333335</v>
      </c>
      <c r="AN291" s="2">
        <v>587</v>
      </c>
      <c r="AO291" s="6">
        <f>knicks_players_all_stats[[#This Row],[PTS]]/knicks_players_all_stats[[#This Row],[GP]]</f>
        <v>8.1527777777777786</v>
      </c>
    </row>
    <row r="292" spans="1:41" customFormat="1" x14ac:dyDescent="0.3">
      <c r="A292" s="3" t="s">
        <v>1309</v>
      </c>
      <c r="B292" s="3" t="s">
        <v>1281</v>
      </c>
      <c r="C292" s="3" t="str">
        <f>knicks_players_all_stats[[#This Row],[NAME]]&amp;" ("&amp;knicks_players_all_stats[[#This Row],[SEASON]]&amp;")"</f>
        <v>Joakim Noah (2016-17)</v>
      </c>
      <c r="D292" s="3">
        <f>knicks_players_all_stats[[#This Row],[PLAYER_AGE]]/10</f>
        <v>32</v>
      </c>
      <c r="E292">
        <v>320</v>
      </c>
      <c r="F292" s="2">
        <v>46</v>
      </c>
      <c r="G292" s="2">
        <v>10150</v>
      </c>
      <c r="H29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473</v>
      </c>
      <c r="I292" s="6">
        <f>knicks_players_all_stats[[#This Row],[VALORATION]]/knicks_players_all_stats[[#This Row],[GP]]</f>
        <v>10.282608695652174</v>
      </c>
      <c r="J292" s="2">
        <v>99</v>
      </c>
      <c r="K292" s="2">
        <v>202</v>
      </c>
      <c r="L292" s="4">
        <f>knicks_players_all_stats[[#This Row],[FGM]]/knicks_players_all_stats[[#This Row],[FGA]]</f>
        <v>0.49009900990099009</v>
      </c>
      <c r="M292" s="2">
        <v>0</v>
      </c>
      <c r="N292" s="2">
        <v>10</v>
      </c>
      <c r="O292" s="4">
        <f>knicks_players_all_stats[[#This Row],[FG3M]]/knicks_players_all_stats[[#This Row],[FG3A]]</f>
        <v>0</v>
      </c>
      <c r="P292" s="2">
        <v>34</v>
      </c>
      <c r="Q292" s="2">
        <v>78</v>
      </c>
      <c r="R292" s="5">
        <f>knicks_players_all_stats[[#This Row],[FTM]]/knicks_players_all_stats[[#This Row],[FTA]]</f>
        <v>0.4358974358974359</v>
      </c>
      <c r="S292" s="2">
        <f>knicks_players_all_stats[[#This Row],[OREB22]]/10</f>
        <v>162</v>
      </c>
      <c r="T292" s="2">
        <f>knicks_players_all_stats[[#This Row],[DREB33]]/10</f>
        <v>241</v>
      </c>
      <c r="U292" s="2">
        <f>knicks_players_all_stats[[#This Row],[REB44]]/10</f>
        <v>403</v>
      </c>
      <c r="V292">
        <v>1620</v>
      </c>
      <c r="W292">
        <v>2410</v>
      </c>
      <c r="X292">
        <v>4030</v>
      </c>
      <c r="Y292" s="22">
        <f>knicks_players_all_stats[[#This Row],[REB]]/knicks_players_all_stats[[#This Row],[GP]]</f>
        <v>8.7608695652173907</v>
      </c>
      <c r="Z292" s="2">
        <v>103</v>
      </c>
      <c r="AA292" s="6">
        <f>knicks_players_all_stats[[#This Row],[AST]]/knicks_players_all_stats[[#This Row],[GP]]</f>
        <v>2.2391304347826089</v>
      </c>
      <c r="AB292" s="2">
        <f>knicks_players_all_stats[[#This Row],[STL2]]/10</f>
        <v>30</v>
      </c>
      <c r="AC292" s="2">
        <v>300</v>
      </c>
      <c r="AD292" s="6">
        <f>knicks_players_all_stats[[#This Row],[STL]]/knicks_players_all_stats[[#This Row],[GP]]</f>
        <v>0.65217391304347827</v>
      </c>
      <c r="AE292">
        <v>370</v>
      </c>
      <c r="AF292" s="2">
        <f>knicks_players_all_stats[[#This Row],[BLK2]]/10</f>
        <v>37</v>
      </c>
      <c r="AG292" s="6">
        <f>knicks_players_all_stats[[#This Row],[BLK]]/knicks_players_all_stats[[#This Row],[GP]]</f>
        <v>0.80434782608695654</v>
      </c>
      <c r="AH292">
        <v>580</v>
      </c>
      <c r="AI292" s="6">
        <f>knicks_players_all_stats[[#This Row],[BLKPG]]+knicks_players_all_stats[[#This Row],[STLPG]]+knicks_players_all_stats[[#This Row],[REBPG]]</f>
        <v>10.217391304347826</v>
      </c>
      <c r="AJ292" s="2">
        <f>knicks_players_all_stats[[#This Row],[TOV2]]/10</f>
        <v>58</v>
      </c>
      <c r="AK292" s="6">
        <f>knicks_players_all_stats[[#This Row],[TOV]]/knicks_players_all_stats[[#This Row],[GP]]</f>
        <v>1.2608695652173914</v>
      </c>
      <c r="AL292" s="2">
        <v>127</v>
      </c>
      <c r="AM292" s="2">
        <f>knicks_players_all_stats[[#This Row],[PF]]/knicks_players_all_stats[[#This Row],[GP]]</f>
        <v>2.7608695652173911</v>
      </c>
      <c r="AN292" s="2">
        <v>232</v>
      </c>
      <c r="AO292" s="6">
        <f>knicks_players_all_stats[[#This Row],[PTS]]/knicks_players_all_stats[[#This Row],[GP]]</f>
        <v>5.0434782608695654</v>
      </c>
    </row>
    <row r="293" spans="1:41" x14ac:dyDescent="0.3">
      <c r="A293" s="3" t="s">
        <v>1553</v>
      </c>
      <c r="B293" s="3" t="s">
        <v>1281</v>
      </c>
      <c r="C293" s="3" t="str">
        <f>knicks_players_all_stats[[#This Row],[NAME]]&amp;" ("&amp;knicks_players_all_stats[[#This Row],[SEASON]]&amp;")"</f>
        <v>Courtney Lee (2016-17)</v>
      </c>
      <c r="D293" s="3">
        <f>knicks_players_all_stats[[#This Row],[PLAYER_AGE]]/10</f>
        <v>31</v>
      </c>
      <c r="E293">
        <v>310</v>
      </c>
      <c r="F293" s="2">
        <v>77</v>
      </c>
      <c r="G293" s="2">
        <v>24590</v>
      </c>
      <c r="H29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772</v>
      </c>
      <c r="I293" s="6">
        <f>knicks_players_all_stats[[#This Row],[VALORATION]]/knicks_players_all_stats[[#This Row],[GP]]</f>
        <v>10.025974025974026</v>
      </c>
      <c r="J293" s="2">
        <v>321</v>
      </c>
      <c r="K293" s="2">
        <v>704</v>
      </c>
      <c r="L293" s="4">
        <f>knicks_players_all_stats[[#This Row],[FGM]]/knicks_players_all_stats[[#This Row],[FGA]]</f>
        <v>0.45596590909090912</v>
      </c>
      <c r="M293" s="2">
        <v>1080</v>
      </c>
      <c r="N293" s="2">
        <v>2690</v>
      </c>
      <c r="O293" s="4">
        <f>knicks_players_all_stats[[#This Row],[FG3M]]/knicks_players_all_stats[[#This Row],[FG3A]]</f>
        <v>0.40148698884758366</v>
      </c>
      <c r="P293" s="2">
        <v>85</v>
      </c>
      <c r="Q293" s="2">
        <v>98</v>
      </c>
      <c r="R293" s="5">
        <f>knicks_players_all_stats[[#This Row],[FTM]]/knicks_players_all_stats[[#This Row],[FTA]]</f>
        <v>0.86734693877551017</v>
      </c>
      <c r="S293" s="2">
        <f>knicks_players_all_stats[[#This Row],[OREB22]]/10</f>
        <v>53</v>
      </c>
      <c r="T293" s="2">
        <f>knicks_players_all_stats[[#This Row],[DREB33]]/10</f>
        <v>206</v>
      </c>
      <c r="U293" s="2">
        <f>knicks_players_all_stats[[#This Row],[REB44]]/10</f>
        <v>259</v>
      </c>
      <c r="V293">
        <v>530</v>
      </c>
      <c r="W293">
        <v>2060</v>
      </c>
      <c r="X293">
        <v>2590</v>
      </c>
      <c r="Y293" s="22">
        <f>knicks_players_all_stats[[#This Row],[REB]]/knicks_players_all_stats[[#This Row],[GP]]</f>
        <v>3.3636363636363638</v>
      </c>
      <c r="Z293" s="2">
        <v>179</v>
      </c>
      <c r="AA293" s="6">
        <f>knicks_players_all_stats[[#This Row],[AST]]/knicks_players_all_stats[[#This Row],[GP]]</f>
        <v>2.3246753246753249</v>
      </c>
      <c r="AB293" s="2">
        <f>knicks_players_all_stats[[#This Row],[STL2]]/10</f>
        <v>81</v>
      </c>
      <c r="AC293" s="2">
        <v>810</v>
      </c>
      <c r="AD293" s="6">
        <f>knicks_players_all_stats[[#This Row],[STL]]/knicks_players_all_stats[[#This Row],[GP]]</f>
        <v>1.051948051948052</v>
      </c>
      <c r="AE293">
        <v>240</v>
      </c>
      <c r="AF293" s="2">
        <f>knicks_players_all_stats[[#This Row],[BLK2]]/10</f>
        <v>24</v>
      </c>
      <c r="AG293" s="6">
        <f>knicks_players_all_stats[[#This Row],[BLK]]/knicks_players_all_stats[[#This Row],[GP]]</f>
        <v>0.31168831168831168</v>
      </c>
      <c r="AH293">
        <v>690</v>
      </c>
      <c r="AI293" s="6">
        <f>knicks_players_all_stats[[#This Row],[BLKPG]]+knicks_players_all_stats[[#This Row],[STLPG]]+knicks_players_all_stats[[#This Row],[REBPG]]</f>
        <v>4.7272727272727275</v>
      </c>
      <c r="AJ293" s="2">
        <f>knicks_players_all_stats[[#This Row],[TOV2]]/10</f>
        <v>69</v>
      </c>
      <c r="AK293" s="6">
        <f>knicks_players_all_stats[[#This Row],[TOV]]/knicks_players_all_stats[[#This Row],[GP]]</f>
        <v>0.89610389610389607</v>
      </c>
      <c r="AL293" s="2">
        <v>141</v>
      </c>
      <c r="AM293" s="2">
        <f>knicks_players_all_stats[[#This Row],[PF]]/knicks_players_all_stats[[#This Row],[GP]]</f>
        <v>1.8311688311688312</v>
      </c>
      <c r="AN293" s="2">
        <v>835</v>
      </c>
      <c r="AO293" s="6">
        <f>knicks_players_all_stats[[#This Row],[PTS]]/knicks_players_all_stats[[#This Row],[GP]]</f>
        <v>10.844155844155845</v>
      </c>
    </row>
    <row r="294" spans="1:41" x14ac:dyDescent="0.3">
      <c r="A294" s="3" t="s">
        <v>1280</v>
      </c>
      <c r="B294" s="3" t="s">
        <v>1281</v>
      </c>
      <c r="C294" s="3" t="str">
        <f>knicks_players_all_stats[[#This Row],[NAME]]&amp;" ("&amp;knicks_players_all_stats[[#This Row],[SEASON]]&amp;")"</f>
        <v>Kyle O'Quinn (2016-17)</v>
      </c>
      <c r="D294" s="3">
        <f>knicks_players_all_stats[[#This Row],[PLAYER_AGE]]/10</f>
        <v>27</v>
      </c>
      <c r="E294">
        <v>270</v>
      </c>
      <c r="F294" s="2">
        <v>79</v>
      </c>
      <c r="G294" s="2">
        <v>12290</v>
      </c>
      <c r="H29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725</v>
      </c>
      <c r="I294" s="6">
        <f>knicks_players_all_stats[[#This Row],[VALORATION]]/knicks_players_all_stats[[#This Row],[GP]]</f>
        <v>9.1772151898734169</v>
      </c>
      <c r="J294" s="2">
        <v>215</v>
      </c>
      <c r="K294" s="2">
        <v>413</v>
      </c>
      <c r="L294" s="4">
        <f>knicks_players_all_stats[[#This Row],[FGM]]/knicks_players_all_stats[[#This Row],[FGA]]</f>
        <v>0.52058111380145278</v>
      </c>
      <c r="M294" s="2">
        <v>20</v>
      </c>
      <c r="N294" s="2">
        <v>170</v>
      </c>
      <c r="O294" s="4">
        <f>knicks_players_all_stats[[#This Row],[FG3M]]/knicks_players_all_stats[[#This Row],[FG3A]]</f>
        <v>0.11764705882352941</v>
      </c>
      <c r="P294" s="2">
        <v>64</v>
      </c>
      <c r="Q294" s="2">
        <v>83</v>
      </c>
      <c r="R294" s="5">
        <f>knicks_players_all_stats[[#This Row],[FTM]]/knicks_players_all_stats[[#This Row],[FTA]]</f>
        <v>0.77108433734939763</v>
      </c>
      <c r="S294" s="2">
        <f>knicks_players_all_stats[[#This Row],[OREB22]]/10</f>
        <v>157</v>
      </c>
      <c r="T294" s="2">
        <f>knicks_players_all_stats[[#This Row],[DREB33]]/10</f>
        <v>282</v>
      </c>
      <c r="U294" s="2">
        <f>knicks_players_all_stats[[#This Row],[REB44]]/10</f>
        <v>439</v>
      </c>
      <c r="V294">
        <v>1570</v>
      </c>
      <c r="W294">
        <v>2820</v>
      </c>
      <c r="X294">
        <v>4390</v>
      </c>
      <c r="Y294" s="22">
        <f>knicks_players_all_stats[[#This Row],[REB]]/knicks_players_all_stats[[#This Row],[GP]]</f>
        <v>5.556962025316456</v>
      </c>
      <c r="Z294" s="2">
        <v>117</v>
      </c>
      <c r="AA294" s="6">
        <f>knicks_players_all_stats[[#This Row],[AST]]/knicks_players_all_stats[[#This Row],[GP]]</f>
        <v>1.481012658227848</v>
      </c>
      <c r="AB294" s="2">
        <f>knicks_players_all_stats[[#This Row],[STL2]]/10</f>
        <v>36</v>
      </c>
      <c r="AC294" s="2">
        <v>360</v>
      </c>
      <c r="AD294" s="6">
        <f>knicks_players_all_stats[[#This Row],[STL]]/knicks_players_all_stats[[#This Row],[GP]]</f>
        <v>0.45569620253164556</v>
      </c>
      <c r="AE294">
        <v>1040</v>
      </c>
      <c r="AF294" s="2">
        <f>knicks_players_all_stats[[#This Row],[BLK2]]/10</f>
        <v>104</v>
      </c>
      <c r="AG294" s="6">
        <f>knicks_players_all_stats[[#This Row],[BLK]]/knicks_players_all_stats[[#This Row],[GP]]</f>
        <v>1.3164556962025316</v>
      </c>
      <c r="AH294">
        <v>760</v>
      </c>
      <c r="AI294" s="6">
        <f>knicks_players_all_stats[[#This Row],[BLKPG]]+knicks_players_all_stats[[#This Row],[STLPG]]+knicks_players_all_stats[[#This Row],[REBPG]]</f>
        <v>7.3291139240506329</v>
      </c>
      <c r="AJ294" s="2">
        <f>knicks_players_all_stats[[#This Row],[TOV2]]/10</f>
        <v>76</v>
      </c>
      <c r="AK294" s="6">
        <f>knicks_players_all_stats[[#This Row],[TOV]]/knicks_players_all_stats[[#This Row],[GP]]</f>
        <v>0.96202531645569622</v>
      </c>
      <c r="AL294" s="2">
        <v>174</v>
      </c>
      <c r="AM294" s="2">
        <f>knicks_players_all_stats[[#This Row],[PF]]/knicks_players_all_stats[[#This Row],[GP]]</f>
        <v>2.2025316455696204</v>
      </c>
      <c r="AN294" s="2">
        <v>496</v>
      </c>
      <c r="AO294" s="6">
        <f>knicks_players_all_stats[[#This Row],[PTS]]/knicks_players_all_stats[[#This Row],[GP]]</f>
        <v>6.2784810126582276</v>
      </c>
    </row>
    <row r="295" spans="1:41" x14ac:dyDescent="0.3">
      <c r="A295" s="3" t="s">
        <v>1725</v>
      </c>
      <c r="B295" s="3" t="s">
        <v>1281</v>
      </c>
      <c r="C295" s="3" t="str">
        <f>knicks_players_all_stats[[#This Row],[NAME]]&amp;" ("&amp;knicks_players_all_stats[[#This Row],[SEASON]]&amp;")"</f>
        <v>Brandon Jennings (2016-17)</v>
      </c>
      <c r="D295" s="3">
        <f>knicks_players_all_stats[[#This Row],[PLAYER_AGE]]/10</f>
        <v>27</v>
      </c>
      <c r="E295">
        <v>270</v>
      </c>
      <c r="F295" s="2">
        <v>58</v>
      </c>
      <c r="G295" s="2">
        <v>14280</v>
      </c>
      <c r="H29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505</v>
      </c>
      <c r="I295" s="6">
        <f>knicks_players_all_stats[[#This Row],[VALORATION]]/knicks_players_all_stats[[#This Row],[GP]]</f>
        <v>8.7068965517241388</v>
      </c>
      <c r="J295" s="2">
        <v>163</v>
      </c>
      <c r="K295" s="2">
        <v>429</v>
      </c>
      <c r="L295" s="2">
        <v>38</v>
      </c>
      <c r="M295" s="2">
        <v>680</v>
      </c>
      <c r="N295" s="2">
        <v>2000</v>
      </c>
      <c r="O295" s="4">
        <f>knicks_players_all_stats[[#This Row],[FG3M]]/knicks_players_all_stats[[#This Row],[FG3A]]</f>
        <v>0.34</v>
      </c>
      <c r="P295" s="2">
        <v>102</v>
      </c>
      <c r="Q295" s="2">
        <v>135</v>
      </c>
      <c r="R295" s="5">
        <f>knicks_players_all_stats[[#This Row],[FTM]]/knicks_players_all_stats[[#This Row],[FTA]]</f>
        <v>0.75555555555555554</v>
      </c>
      <c r="S295" s="2">
        <f>knicks_players_all_stats[[#This Row],[OREB22]]/10</f>
        <v>21</v>
      </c>
      <c r="T295" s="2">
        <f>knicks_players_all_stats[[#This Row],[DREB33]]/10</f>
        <v>131</v>
      </c>
      <c r="U295" s="2">
        <f>knicks_players_all_stats[[#This Row],[REB44]]/10</f>
        <v>152</v>
      </c>
      <c r="V295">
        <v>210</v>
      </c>
      <c r="W295">
        <v>1310</v>
      </c>
      <c r="X295">
        <v>1520</v>
      </c>
      <c r="Y295" s="22">
        <f>knicks_players_all_stats[[#This Row],[REB]]/knicks_players_all_stats[[#This Row],[GP]]</f>
        <v>2.6206896551724137</v>
      </c>
      <c r="Z295" s="2">
        <v>287</v>
      </c>
      <c r="AA295" s="6">
        <f>knicks_players_all_stats[[#This Row],[AST]]/knicks_players_all_stats[[#This Row],[GP]]</f>
        <v>4.9482758620689653</v>
      </c>
      <c r="AB295" s="2">
        <f>knicks_players_all_stats[[#This Row],[STL2]]/10</f>
        <v>55</v>
      </c>
      <c r="AC295" s="2">
        <v>550</v>
      </c>
      <c r="AD295" s="6">
        <f>knicks_players_all_stats[[#This Row],[STL]]/knicks_players_all_stats[[#This Row],[GP]]</f>
        <v>0.94827586206896552</v>
      </c>
      <c r="AE295">
        <v>40</v>
      </c>
      <c r="AF295" s="2">
        <f>knicks_players_all_stats[[#This Row],[BLK2]]/10</f>
        <v>4</v>
      </c>
      <c r="AG295" s="6">
        <f>knicks_players_all_stats[[#This Row],[BLK]]/knicks_players_all_stats[[#This Row],[GP]]</f>
        <v>6.8965517241379309E-2</v>
      </c>
      <c r="AH295">
        <v>1060</v>
      </c>
      <c r="AI295" s="6">
        <f>knicks_players_all_stats[[#This Row],[BLKPG]]+knicks_players_all_stats[[#This Row],[STLPG]]+knicks_players_all_stats[[#This Row],[REBPG]]</f>
        <v>3.6379310344827585</v>
      </c>
      <c r="AJ295" s="2">
        <f>knicks_players_all_stats[[#This Row],[TOV2]]/10</f>
        <v>106</v>
      </c>
      <c r="AK295" s="6">
        <f>knicks_players_all_stats[[#This Row],[TOV]]/knicks_players_all_stats[[#This Row],[GP]]</f>
        <v>1.8275862068965518</v>
      </c>
      <c r="AL295" s="2">
        <v>84</v>
      </c>
      <c r="AM295" s="2">
        <f>knicks_players_all_stats[[#This Row],[PF]]/knicks_players_all_stats[[#This Row],[GP]]</f>
        <v>1.4482758620689655</v>
      </c>
      <c r="AN295" s="2">
        <v>496</v>
      </c>
      <c r="AO295" s="6">
        <f>knicks_players_all_stats[[#This Row],[PTS]]/knicks_players_all_stats[[#This Row],[GP]]</f>
        <v>8.5517241379310338</v>
      </c>
    </row>
    <row r="296" spans="1:41" x14ac:dyDescent="0.3">
      <c r="A296" s="3" t="s">
        <v>1499</v>
      </c>
      <c r="B296" s="3" t="s">
        <v>1281</v>
      </c>
      <c r="C296" s="3" t="str">
        <f>knicks_players_all_stats[[#This Row],[NAME]]&amp;" ("&amp;knicks_players_all_stats[[#This Row],[SEASON]]&amp;")"</f>
        <v>Justin Holiday (2016-17)</v>
      </c>
      <c r="D296" s="3">
        <f>knicks_players_all_stats[[#This Row],[PLAYER_AGE]]/10</f>
        <v>28</v>
      </c>
      <c r="E296">
        <v>280</v>
      </c>
      <c r="F296" s="2">
        <v>82</v>
      </c>
      <c r="G296" s="2">
        <v>16390</v>
      </c>
      <c r="H29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558</v>
      </c>
      <c r="I296" s="6">
        <f>knicks_players_all_stats[[#This Row],[VALORATION]]/knicks_players_all_stats[[#This Row],[GP]]</f>
        <v>6.8048780487804876</v>
      </c>
      <c r="J296" s="2">
        <v>233</v>
      </c>
      <c r="K296" s="2">
        <v>538</v>
      </c>
      <c r="L296" s="4">
        <f>knicks_players_all_stats[[#This Row],[FGM]]/knicks_players_all_stats[[#This Row],[FGA]]</f>
        <v>0.43308550185873607</v>
      </c>
      <c r="M296" s="2">
        <v>970</v>
      </c>
      <c r="N296" s="2">
        <v>2730</v>
      </c>
      <c r="O296" s="4">
        <f>knicks_players_all_stats[[#This Row],[FG3M]]/knicks_players_all_stats[[#This Row],[FG3A]]</f>
        <v>0.35531135531135533</v>
      </c>
      <c r="P296" s="2">
        <v>66</v>
      </c>
      <c r="Q296" s="2">
        <v>80</v>
      </c>
      <c r="R296" s="5">
        <f>knicks_players_all_stats[[#This Row],[FTM]]/knicks_players_all_stats[[#This Row],[FTA]]</f>
        <v>0.82499999999999996</v>
      </c>
      <c r="S296" s="2">
        <f>knicks_players_all_stats[[#This Row],[OREB22]]/10</f>
        <v>27</v>
      </c>
      <c r="T296" s="2">
        <f>knicks_players_all_stats[[#This Row],[DREB33]]/10</f>
        <v>198</v>
      </c>
      <c r="U296" s="2">
        <f>knicks_players_all_stats[[#This Row],[REB44]]/10</f>
        <v>225</v>
      </c>
      <c r="V296">
        <v>270</v>
      </c>
      <c r="W296">
        <v>1980</v>
      </c>
      <c r="X296">
        <v>2250</v>
      </c>
      <c r="Y296" s="22">
        <f>knicks_players_all_stats[[#This Row],[REB]]/knicks_players_all_stats[[#This Row],[GP]]</f>
        <v>2.7439024390243905</v>
      </c>
      <c r="Z296" s="2">
        <v>102</v>
      </c>
      <c r="AA296" s="6">
        <f>knicks_players_all_stats[[#This Row],[AST]]/knicks_players_all_stats[[#This Row],[GP]]</f>
        <v>1.2439024390243902</v>
      </c>
      <c r="AB296" s="2">
        <f>knicks_players_all_stats[[#This Row],[STL2]]/10</f>
        <v>65</v>
      </c>
      <c r="AC296" s="2">
        <v>650</v>
      </c>
      <c r="AD296" s="6">
        <f>knicks_players_all_stats[[#This Row],[STL]]/knicks_players_all_stats[[#This Row],[GP]]</f>
        <v>0.79268292682926833</v>
      </c>
      <c r="AE296">
        <v>310</v>
      </c>
      <c r="AF296" s="2">
        <f>knicks_players_all_stats[[#This Row],[BLK2]]/10</f>
        <v>31</v>
      </c>
      <c r="AG296" s="6">
        <f>knicks_players_all_stats[[#This Row],[BLK]]/knicks_players_all_stats[[#This Row],[GP]]</f>
        <v>0.37804878048780488</v>
      </c>
      <c r="AH296">
        <v>660</v>
      </c>
      <c r="AI296" s="6">
        <f>knicks_players_all_stats[[#This Row],[BLKPG]]+knicks_players_all_stats[[#This Row],[STLPG]]+knicks_players_all_stats[[#This Row],[REBPG]]</f>
        <v>3.9146341463414638</v>
      </c>
      <c r="AJ296" s="2">
        <f>knicks_players_all_stats[[#This Row],[TOV2]]/10</f>
        <v>66</v>
      </c>
      <c r="AK296" s="6">
        <f>knicks_players_all_stats[[#This Row],[TOV]]/knicks_players_all_stats[[#This Row],[GP]]</f>
        <v>0.80487804878048785</v>
      </c>
      <c r="AL296" s="2">
        <v>109</v>
      </c>
      <c r="AM296" s="2">
        <f>knicks_players_all_stats[[#This Row],[PF]]/knicks_players_all_stats[[#This Row],[GP]]</f>
        <v>1.3292682926829269</v>
      </c>
      <c r="AN296" s="2">
        <v>629</v>
      </c>
      <c r="AO296" s="6">
        <f>knicks_players_all_stats[[#This Row],[PTS]]/knicks_players_all_stats[[#This Row],[GP]]</f>
        <v>7.6707317073170733</v>
      </c>
    </row>
    <row r="297" spans="1:41" x14ac:dyDescent="0.3">
      <c r="A297" s="3" t="s">
        <v>1791</v>
      </c>
      <c r="B297" s="3" t="s">
        <v>1281</v>
      </c>
      <c r="C297" s="3" t="str">
        <f>knicks_players_all_stats[[#This Row],[NAME]]&amp;" ("&amp;knicks_players_all_stats[[#This Row],[SEASON]]&amp;")"</f>
        <v>Lance Thomas (2016-17)</v>
      </c>
      <c r="D297" s="3">
        <f>knicks_players_all_stats[[#This Row],[PLAYER_AGE]]/10</f>
        <v>29</v>
      </c>
      <c r="E297">
        <v>290</v>
      </c>
      <c r="F297" s="2">
        <v>46</v>
      </c>
      <c r="G297" s="2">
        <v>9680</v>
      </c>
      <c r="H29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213</v>
      </c>
      <c r="I297" s="6">
        <f>knicks_players_all_stats[[#This Row],[VALORATION]]/knicks_players_all_stats[[#This Row],[GP]]</f>
        <v>4.6304347826086953</v>
      </c>
      <c r="J297" s="2">
        <v>97</v>
      </c>
      <c r="K297" s="2">
        <v>244</v>
      </c>
      <c r="L297" s="2">
        <v>398</v>
      </c>
      <c r="M297" s="2">
        <v>380</v>
      </c>
      <c r="N297" s="2">
        <v>850</v>
      </c>
      <c r="O297" s="4">
        <f>knicks_players_all_stats[[#This Row],[FG3M]]/knicks_players_all_stats[[#This Row],[FG3A]]</f>
        <v>0.44705882352941179</v>
      </c>
      <c r="P297" s="2">
        <v>43</v>
      </c>
      <c r="Q297" s="2">
        <v>51</v>
      </c>
      <c r="R297" s="5">
        <f>knicks_players_all_stats[[#This Row],[FTM]]/knicks_players_all_stats[[#This Row],[FTA]]</f>
        <v>0.84313725490196079</v>
      </c>
      <c r="S297" s="2">
        <f>knicks_players_all_stats[[#This Row],[OREB22]]/10</f>
        <v>32</v>
      </c>
      <c r="T297" s="2">
        <f>knicks_players_all_stats[[#This Row],[DREB33]]/10</f>
        <v>110</v>
      </c>
      <c r="U297" s="2">
        <f>knicks_players_all_stats[[#This Row],[REB44]]/10</f>
        <v>142</v>
      </c>
      <c r="V297">
        <v>320</v>
      </c>
      <c r="W297">
        <v>1100</v>
      </c>
      <c r="X297">
        <v>1420</v>
      </c>
      <c r="Y297" s="22">
        <f>knicks_players_all_stats[[#This Row],[REB]]/knicks_players_all_stats[[#This Row],[GP]]</f>
        <v>3.0869565217391304</v>
      </c>
      <c r="Z297" s="2">
        <v>35</v>
      </c>
      <c r="AA297" s="6">
        <f>knicks_players_all_stats[[#This Row],[AST]]/knicks_players_all_stats[[#This Row],[GP]]</f>
        <v>0.76086956521739135</v>
      </c>
      <c r="AB297" s="2">
        <f>knicks_players_all_stats[[#This Row],[STL2]]/10</f>
        <v>21</v>
      </c>
      <c r="AC297" s="2">
        <v>210</v>
      </c>
      <c r="AD297" s="6">
        <f>knicks_players_all_stats[[#This Row],[STL]]/knicks_players_all_stats[[#This Row],[GP]]</f>
        <v>0.45652173913043476</v>
      </c>
      <c r="AE297">
        <v>50</v>
      </c>
      <c r="AF297" s="2">
        <f>knicks_players_all_stats[[#This Row],[BLK2]]/10</f>
        <v>5</v>
      </c>
      <c r="AG297" s="6">
        <f>knicks_players_all_stats[[#This Row],[BLK]]/knicks_players_all_stats[[#This Row],[GP]]</f>
        <v>0.10869565217391304</v>
      </c>
      <c r="AH297">
        <v>250</v>
      </c>
      <c r="AI297" s="6">
        <f>knicks_players_all_stats[[#This Row],[BLKPG]]+knicks_players_all_stats[[#This Row],[STLPG]]+knicks_players_all_stats[[#This Row],[REBPG]]</f>
        <v>3.652173913043478</v>
      </c>
      <c r="AJ297" s="2">
        <f>knicks_players_all_stats[[#This Row],[TOV2]]/10</f>
        <v>25</v>
      </c>
      <c r="AK297" s="6">
        <f>knicks_players_all_stats[[#This Row],[TOV]]/knicks_players_all_stats[[#This Row],[GP]]</f>
        <v>0.54347826086956519</v>
      </c>
      <c r="AL297" s="2">
        <v>85</v>
      </c>
      <c r="AM297" s="2">
        <f>knicks_players_all_stats[[#This Row],[PF]]/knicks_players_all_stats[[#This Row],[GP]]</f>
        <v>1.8478260869565217</v>
      </c>
      <c r="AN297" s="2">
        <v>275</v>
      </c>
      <c r="AO297" s="6">
        <f>knicks_players_all_stats[[#This Row],[PTS]]/knicks_players_all_stats[[#This Row],[GP]]</f>
        <v>5.9782608695652177</v>
      </c>
    </row>
    <row r="298" spans="1:41" x14ac:dyDescent="0.3">
      <c r="A298" s="3" t="s">
        <v>1588</v>
      </c>
      <c r="B298" s="3" t="s">
        <v>1281</v>
      </c>
      <c r="C298" s="3" t="str">
        <f>knicks_players_all_stats[[#This Row],[NAME]]&amp;" ("&amp;knicks_players_all_stats[[#This Row],[SEASON]]&amp;")"</f>
        <v>Mindaugas Kuzminskas (2016-17)</v>
      </c>
      <c r="D298" s="3">
        <f>knicks_players_all_stats[[#This Row],[PLAYER_AGE]]/10</f>
        <v>27</v>
      </c>
      <c r="E298">
        <v>270</v>
      </c>
      <c r="F298" s="2">
        <v>68</v>
      </c>
      <c r="G298" s="2">
        <v>10160</v>
      </c>
      <c r="H29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306</v>
      </c>
      <c r="I298" s="6">
        <f>knicks_players_all_stats[[#This Row],[VALORATION]]/knicks_players_all_stats[[#This Row],[GP]]</f>
        <v>4.5</v>
      </c>
      <c r="J298" s="2">
        <v>158</v>
      </c>
      <c r="K298" s="2">
        <v>369</v>
      </c>
      <c r="L298" s="4">
        <f>knicks_players_all_stats[[#This Row],[FGM]]/knicks_players_all_stats[[#This Row],[FGA]]</f>
        <v>0.42818428184281843</v>
      </c>
      <c r="M298" s="2">
        <v>540</v>
      </c>
      <c r="N298" s="2">
        <v>1680</v>
      </c>
      <c r="O298" s="4">
        <f>knicks_players_all_stats[[#This Row],[FG3M]]/knicks_players_all_stats[[#This Row],[FG3A]]</f>
        <v>0.32142857142857145</v>
      </c>
      <c r="P298" s="2">
        <v>55</v>
      </c>
      <c r="Q298" s="2">
        <v>68</v>
      </c>
      <c r="R298" s="5">
        <f>knicks_players_all_stats[[#This Row],[FTM]]/knicks_players_all_stats[[#This Row],[FTA]]</f>
        <v>0.80882352941176472</v>
      </c>
      <c r="S298" s="2">
        <f>knicks_players_all_stats[[#This Row],[OREB22]]/10</f>
        <v>47</v>
      </c>
      <c r="T298" s="2">
        <f>knicks_players_all_stats[[#This Row],[DREB33]]/10</f>
        <v>79</v>
      </c>
      <c r="U298" s="2">
        <f>knicks_players_all_stats[[#This Row],[REB44]]/10</f>
        <v>126</v>
      </c>
      <c r="V298">
        <v>470</v>
      </c>
      <c r="W298">
        <v>790</v>
      </c>
      <c r="X298">
        <v>1260</v>
      </c>
      <c r="Y298" s="22">
        <f>knicks_players_all_stats[[#This Row],[REB]]/knicks_players_all_stats[[#This Row],[GP]]</f>
        <v>1.8529411764705883</v>
      </c>
      <c r="Z298" s="2">
        <v>69</v>
      </c>
      <c r="AA298" s="6">
        <f>knicks_players_all_stats[[#This Row],[AST]]/knicks_players_all_stats[[#This Row],[GP]]</f>
        <v>1.0147058823529411</v>
      </c>
      <c r="AB298" s="2">
        <f>knicks_players_all_stats[[#This Row],[STL2]]/10</f>
        <v>29</v>
      </c>
      <c r="AC298" s="2">
        <v>290</v>
      </c>
      <c r="AD298" s="6">
        <f>knicks_players_all_stats[[#This Row],[STL]]/knicks_players_all_stats[[#This Row],[GP]]</f>
        <v>0.4264705882352941</v>
      </c>
      <c r="AE298">
        <v>110</v>
      </c>
      <c r="AF298" s="2">
        <f>knicks_players_all_stats[[#This Row],[BLK2]]/10</f>
        <v>11</v>
      </c>
      <c r="AG298" s="6">
        <f>knicks_players_all_stats[[#This Row],[BLK]]/knicks_players_all_stats[[#This Row],[GP]]</f>
        <v>0.16176470588235295</v>
      </c>
      <c r="AH298">
        <v>510</v>
      </c>
      <c r="AI298" s="6">
        <f>knicks_players_all_stats[[#This Row],[BLKPG]]+knicks_players_all_stats[[#This Row],[STLPG]]+knicks_players_all_stats[[#This Row],[REBPG]]</f>
        <v>2.4411764705882355</v>
      </c>
      <c r="AJ298" s="2">
        <f>knicks_players_all_stats[[#This Row],[TOV2]]/10</f>
        <v>51</v>
      </c>
      <c r="AK298" s="6">
        <f>knicks_players_all_stats[[#This Row],[TOV]]/knicks_players_all_stats[[#This Row],[GP]]</f>
        <v>0.75</v>
      </c>
      <c r="AL298" s="2">
        <v>79</v>
      </c>
      <c r="AM298" s="2">
        <f>knicks_players_all_stats[[#This Row],[PF]]/knicks_players_all_stats[[#This Row],[GP]]</f>
        <v>1.161764705882353</v>
      </c>
      <c r="AN298" s="2">
        <v>425</v>
      </c>
      <c r="AO298" s="6">
        <f>knicks_players_all_stats[[#This Row],[PTS]]/knicks_players_all_stats[[#This Row],[GP]]</f>
        <v>6.25</v>
      </c>
    </row>
    <row r="299" spans="1:41" customFormat="1" x14ac:dyDescent="0.3">
      <c r="A299" s="3" t="s">
        <v>1586</v>
      </c>
      <c r="B299" s="3" t="s">
        <v>1281</v>
      </c>
      <c r="C299" s="3" t="str">
        <f>knicks_players_all_stats[[#This Row],[NAME]]&amp;" ("&amp;knicks_players_all_stats[[#This Row],[SEASON]]&amp;")"</f>
        <v>Chasson Randle (2016-17)</v>
      </c>
      <c r="D299" s="3">
        <f>knicks_players_all_stats[[#This Row],[PLAYER_AGE]]/10</f>
        <v>24</v>
      </c>
      <c r="E299">
        <v>240</v>
      </c>
      <c r="F299" s="2">
        <v>18</v>
      </c>
      <c r="G299" s="2">
        <v>2250</v>
      </c>
      <c r="H29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67</v>
      </c>
      <c r="I299" s="6">
        <f>knicks_players_all_stats[[#This Row],[VALORATION]]/knicks_players_all_stats[[#This Row],[GP]]</f>
        <v>3.7222222222222223</v>
      </c>
      <c r="J299" s="2">
        <v>28</v>
      </c>
      <c r="K299" s="2">
        <v>72</v>
      </c>
      <c r="L299" s="4">
        <f>knicks_players_all_stats[[#This Row],[FGM]]/knicks_players_all_stats[[#This Row],[FGA]]</f>
        <v>0.3888888888888889</v>
      </c>
      <c r="M299" s="2">
        <v>100</v>
      </c>
      <c r="N299" s="2">
        <v>320</v>
      </c>
      <c r="O299" s="4">
        <f>knicks_players_all_stats[[#This Row],[FG3M]]/knicks_players_all_stats[[#This Row],[FG3A]]</f>
        <v>0.3125</v>
      </c>
      <c r="P299" s="2">
        <v>29</v>
      </c>
      <c r="Q299" s="2">
        <v>31</v>
      </c>
      <c r="R299" s="5">
        <f>knicks_players_all_stats[[#This Row],[FTM]]/knicks_players_all_stats[[#This Row],[FTA]]</f>
        <v>0.93548387096774188</v>
      </c>
      <c r="S299" s="2">
        <f>knicks_players_all_stats[[#This Row],[OREB22]]/10</f>
        <v>6</v>
      </c>
      <c r="T299" s="2">
        <f>knicks_players_all_stats[[#This Row],[DREB33]]/10</f>
        <v>21</v>
      </c>
      <c r="U299" s="2">
        <f>knicks_players_all_stats[[#This Row],[REB44]]/10</f>
        <v>27</v>
      </c>
      <c r="V299">
        <v>60</v>
      </c>
      <c r="W299">
        <v>210</v>
      </c>
      <c r="X299">
        <v>270</v>
      </c>
      <c r="Y299" s="22">
        <f>knicks_players_all_stats[[#This Row],[REB]]/knicks_players_all_stats[[#This Row],[GP]]</f>
        <v>1.5</v>
      </c>
      <c r="Z299" s="2">
        <v>28</v>
      </c>
      <c r="AA299" s="6">
        <f>knicks_players_all_stats[[#This Row],[AST]]/knicks_players_all_stats[[#This Row],[GP]]</f>
        <v>1.5555555555555556</v>
      </c>
      <c r="AB299" s="2">
        <f>knicks_players_all_stats[[#This Row],[STL2]]/10</f>
        <v>6</v>
      </c>
      <c r="AC299" s="2">
        <v>60</v>
      </c>
      <c r="AD299" s="6">
        <f>knicks_players_all_stats[[#This Row],[STL]]/knicks_players_all_stats[[#This Row],[GP]]</f>
        <v>0.33333333333333331</v>
      </c>
      <c r="AE299">
        <v>10</v>
      </c>
      <c r="AF299" s="2">
        <f>knicks_players_all_stats[[#This Row],[BLK2]]/10</f>
        <v>1</v>
      </c>
      <c r="AG299" s="6">
        <f>knicks_players_all_stats[[#This Row],[BLK]]/knicks_players_all_stats[[#This Row],[GP]]</f>
        <v>5.5555555555555552E-2</v>
      </c>
      <c r="AH299">
        <v>160</v>
      </c>
      <c r="AI299" s="6">
        <f>knicks_players_all_stats[[#This Row],[BLKPG]]+knicks_players_all_stats[[#This Row],[STLPG]]+knicks_players_all_stats[[#This Row],[REBPG]]</f>
        <v>1.8888888888888888</v>
      </c>
      <c r="AJ299" s="2">
        <f>knicks_players_all_stats[[#This Row],[TOV2]]/10</f>
        <v>16</v>
      </c>
      <c r="AK299" s="6">
        <f>knicks_players_all_stats[[#This Row],[TOV]]/knicks_players_all_stats[[#This Row],[GP]]</f>
        <v>0.88888888888888884</v>
      </c>
      <c r="AL299" s="2">
        <v>28</v>
      </c>
      <c r="AM299" s="2">
        <f>knicks_players_all_stats[[#This Row],[PF]]/knicks_players_all_stats[[#This Row],[GP]]</f>
        <v>1.5555555555555556</v>
      </c>
      <c r="AN299" s="2">
        <v>95</v>
      </c>
      <c r="AO299" s="6">
        <f>knicks_players_all_stats[[#This Row],[PTS]]/knicks_players_all_stats[[#This Row],[GP]]</f>
        <v>5.2777777777777777</v>
      </c>
    </row>
    <row r="300" spans="1:41" x14ac:dyDescent="0.3">
      <c r="A300" s="3" t="s">
        <v>1457</v>
      </c>
      <c r="B300" s="3" t="s">
        <v>1281</v>
      </c>
      <c r="C300" s="3" t="str">
        <f>knicks_players_all_stats[[#This Row],[NAME]]&amp;" ("&amp;knicks_players_all_stats[[#This Row],[SEASON]]&amp;")"</f>
        <v>Ron Baker (2016-17)</v>
      </c>
      <c r="D300" s="3">
        <f>knicks_players_all_stats[[#This Row],[PLAYER_AGE]]/10</f>
        <v>24</v>
      </c>
      <c r="E300">
        <v>240</v>
      </c>
      <c r="F300" s="2">
        <v>52</v>
      </c>
      <c r="G300" s="2">
        <v>8570</v>
      </c>
      <c r="H30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182</v>
      </c>
      <c r="I300" s="6">
        <f>knicks_players_all_stats[[#This Row],[VALORATION]]/knicks_players_all_stats[[#This Row],[GP]]</f>
        <v>3.5</v>
      </c>
      <c r="J300" s="2">
        <v>82</v>
      </c>
      <c r="K300" s="2">
        <v>217</v>
      </c>
      <c r="L300" s="4">
        <f>knicks_players_all_stats[[#This Row],[FGM]]/knicks_players_all_stats[[#This Row],[FGA]]</f>
        <v>0.37788018433179721</v>
      </c>
      <c r="M300" s="2">
        <v>230</v>
      </c>
      <c r="N300" s="2">
        <v>860</v>
      </c>
      <c r="O300" s="4">
        <f>knicks_players_all_stats[[#This Row],[FG3M]]/knicks_players_all_stats[[#This Row],[FG3A]]</f>
        <v>0.26744186046511625</v>
      </c>
      <c r="P300" s="2">
        <v>28</v>
      </c>
      <c r="Q300" s="2">
        <v>43</v>
      </c>
      <c r="R300" s="5">
        <f>knicks_players_all_stats[[#This Row],[FTM]]/knicks_players_all_stats[[#This Row],[FTA]]</f>
        <v>0.65116279069767447</v>
      </c>
      <c r="S300" s="2">
        <f>knicks_players_all_stats[[#This Row],[OREB22]]/10</f>
        <v>12</v>
      </c>
      <c r="T300" s="2">
        <f>knicks_players_all_stats[[#This Row],[DREB33]]/10</f>
        <v>86</v>
      </c>
      <c r="U300" s="2">
        <f>knicks_players_all_stats[[#This Row],[REB44]]/10</f>
        <v>98</v>
      </c>
      <c r="V300">
        <v>120</v>
      </c>
      <c r="W300">
        <v>860</v>
      </c>
      <c r="X300">
        <v>980</v>
      </c>
      <c r="Y300" s="22">
        <f>knicks_players_all_stats[[#This Row],[REB]]/knicks_players_all_stats[[#This Row],[GP]]</f>
        <v>1.8846153846153846</v>
      </c>
      <c r="Z300" s="2">
        <v>107</v>
      </c>
      <c r="AA300" s="6">
        <f>knicks_players_all_stats[[#This Row],[AST]]/knicks_players_all_stats[[#This Row],[GP]]</f>
        <v>2.0576923076923075</v>
      </c>
      <c r="AB300" s="2">
        <f>knicks_players_all_stats[[#This Row],[STL2]]/10</f>
        <v>34</v>
      </c>
      <c r="AC300" s="2">
        <v>340</v>
      </c>
      <c r="AD300" s="6">
        <f>knicks_players_all_stats[[#This Row],[STL]]/knicks_players_all_stats[[#This Row],[GP]]</f>
        <v>0.65384615384615385</v>
      </c>
      <c r="AE300">
        <v>80</v>
      </c>
      <c r="AF300" s="2">
        <f>knicks_players_all_stats[[#This Row],[BLK2]]/10</f>
        <v>8</v>
      </c>
      <c r="AG300" s="6">
        <f>knicks_players_all_stats[[#This Row],[BLK]]/knicks_players_all_stats[[#This Row],[GP]]</f>
        <v>0.15384615384615385</v>
      </c>
      <c r="AH300">
        <v>560</v>
      </c>
      <c r="AI300" s="6">
        <f>knicks_players_all_stats[[#This Row],[BLKPG]]+knicks_players_all_stats[[#This Row],[STLPG]]+knicks_players_all_stats[[#This Row],[REBPG]]</f>
        <v>2.6923076923076925</v>
      </c>
      <c r="AJ300" s="2">
        <f>knicks_players_all_stats[[#This Row],[TOV2]]/10</f>
        <v>56</v>
      </c>
      <c r="AK300" s="6">
        <f>knicks_players_all_stats[[#This Row],[TOV]]/knicks_players_all_stats[[#This Row],[GP]]</f>
        <v>1.0769230769230769</v>
      </c>
      <c r="AL300" s="2">
        <v>74</v>
      </c>
      <c r="AM300" s="2">
        <f>knicks_players_all_stats[[#This Row],[PF]]/knicks_players_all_stats[[#This Row],[GP]]</f>
        <v>1.4230769230769231</v>
      </c>
      <c r="AN300" s="2">
        <v>215</v>
      </c>
      <c r="AO300" s="6">
        <f>knicks_players_all_stats[[#This Row],[PTS]]/knicks_players_all_stats[[#This Row],[GP]]</f>
        <v>4.134615384615385</v>
      </c>
    </row>
    <row r="301" spans="1:41" customFormat="1" x14ac:dyDescent="0.3">
      <c r="A301" s="3" t="s">
        <v>1317</v>
      </c>
      <c r="B301" s="3" t="s">
        <v>1281</v>
      </c>
      <c r="C301" s="3" t="str">
        <f>knicks_players_all_stats[[#This Row],[NAME]]&amp;" ("&amp;knicks_players_all_stats[[#This Row],[SEASON]]&amp;")"</f>
        <v>Maurice Ndour (2016-17)</v>
      </c>
      <c r="D301" s="3">
        <f>knicks_players_all_stats[[#This Row],[PLAYER_AGE]]/10</f>
        <v>25</v>
      </c>
      <c r="E301">
        <v>250</v>
      </c>
      <c r="F301" s="2">
        <v>32</v>
      </c>
      <c r="G301" s="2">
        <v>3310</v>
      </c>
      <c r="H30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97</v>
      </c>
      <c r="I301" s="6">
        <f>knicks_players_all_stats[[#This Row],[VALORATION]]/knicks_players_all_stats[[#This Row],[GP]]</f>
        <v>3.03125</v>
      </c>
      <c r="J301" s="2">
        <v>39</v>
      </c>
      <c r="K301" s="2">
        <v>86</v>
      </c>
      <c r="L301" s="4">
        <f>knicks_players_all_stats[[#This Row],[FGM]]/knicks_players_all_stats[[#This Row],[FGA]]</f>
        <v>0.45348837209302323</v>
      </c>
      <c r="M301" s="2">
        <v>10</v>
      </c>
      <c r="N301" s="2">
        <v>70</v>
      </c>
      <c r="O301" s="4">
        <f>knicks_players_all_stats[[#This Row],[FG3M]]/knicks_players_all_stats[[#This Row],[FG3A]]</f>
        <v>0.14285714285714285</v>
      </c>
      <c r="P301" s="2">
        <v>19</v>
      </c>
      <c r="Q301" s="2">
        <v>26</v>
      </c>
      <c r="R301" s="5">
        <f>knicks_players_all_stats[[#This Row],[FTM]]/knicks_players_all_stats[[#This Row],[FTA]]</f>
        <v>0.73076923076923073</v>
      </c>
      <c r="S301" s="2">
        <f>knicks_players_all_stats[[#This Row],[OREB22]]/10</f>
        <v>22</v>
      </c>
      <c r="T301" s="2">
        <f>knicks_players_all_stats[[#This Row],[DREB33]]/10</f>
        <v>42</v>
      </c>
      <c r="U301" s="2">
        <f>knicks_players_all_stats[[#This Row],[REB44]]/10</f>
        <v>64</v>
      </c>
      <c r="V301">
        <v>220</v>
      </c>
      <c r="W301">
        <v>420</v>
      </c>
      <c r="X301">
        <v>640</v>
      </c>
      <c r="Y301" s="22">
        <f>knicks_players_all_stats[[#This Row],[REB]]/knicks_players_all_stats[[#This Row],[GP]]</f>
        <v>2</v>
      </c>
      <c r="Z301" s="2">
        <v>8</v>
      </c>
      <c r="AA301" s="6">
        <f>knicks_players_all_stats[[#This Row],[AST]]/knicks_players_all_stats[[#This Row],[GP]]</f>
        <v>0.25</v>
      </c>
      <c r="AB301" s="2">
        <f>knicks_players_all_stats[[#This Row],[STL2]]/10</f>
        <v>15</v>
      </c>
      <c r="AC301" s="2">
        <v>150</v>
      </c>
      <c r="AD301" s="6">
        <f>knicks_players_all_stats[[#This Row],[STL]]/knicks_players_all_stats[[#This Row],[GP]]</f>
        <v>0.46875</v>
      </c>
      <c r="AE301">
        <v>80</v>
      </c>
      <c r="AF301" s="2">
        <f>knicks_players_all_stats[[#This Row],[BLK2]]/10</f>
        <v>8</v>
      </c>
      <c r="AG301" s="6">
        <f>knicks_players_all_stats[[#This Row],[BLK]]/knicks_players_all_stats[[#This Row],[GP]]</f>
        <v>0.25</v>
      </c>
      <c r="AH301">
        <v>120</v>
      </c>
      <c r="AI301" s="6">
        <f>knicks_players_all_stats[[#This Row],[BLKPG]]+knicks_players_all_stats[[#This Row],[STLPG]]+knicks_players_all_stats[[#This Row],[REBPG]]</f>
        <v>2.71875</v>
      </c>
      <c r="AJ301" s="2">
        <f>knicks_players_all_stats[[#This Row],[TOV2]]/10</f>
        <v>12</v>
      </c>
      <c r="AK301" s="6">
        <f>knicks_players_all_stats[[#This Row],[TOV]]/knicks_players_all_stats[[#This Row],[GP]]</f>
        <v>0.375</v>
      </c>
      <c r="AL301" s="2">
        <v>30</v>
      </c>
      <c r="AM301" s="2">
        <f>knicks_players_all_stats[[#This Row],[PF]]/knicks_players_all_stats[[#This Row],[GP]]</f>
        <v>0.9375</v>
      </c>
      <c r="AN301" s="2">
        <v>98</v>
      </c>
      <c r="AO301" s="6">
        <f>knicks_players_all_stats[[#This Row],[PTS]]/knicks_players_all_stats[[#This Row],[GP]]</f>
        <v>3.0625</v>
      </c>
    </row>
    <row r="302" spans="1:41" customFormat="1" x14ac:dyDescent="0.3">
      <c r="A302" s="3" t="s">
        <v>1648</v>
      </c>
      <c r="B302" s="3" t="s">
        <v>1281</v>
      </c>
      <c r="C302" s="3" t="str">
        <f>knicks_players_all_stats[[#This Row],[NAME]]&amp;" ("&amp;knicks_players_all_stats[[#This Row],[SEASON]]&amp;")"</f>
        <v>Marshall Plumlee (2016-17)</v>
      </c>
      <c r="D302" s="3">
        <f>knicks_players_all_stats[[#This Row],[PLAYER_AGE]]/10</f>
        <v>24</v>
      </c>
      <c r="E302">
        <v>240</v>
      </c>
      <c r="F302" s="2">
        <v>21</v>
      </c>
      <c r="G302" s="2">
        <v>1700</v>
      </c>
      <c r="H30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49</v>
      </c>
      <c r="I302" s="6">
        <f>knicks_players_all_stats[[#This Row],[VALORATION]]/knicks_players_all_stats[[#This Row],[GP]]</f>
        <v>2.3333333333333335</v>
      </c>
      <c r="J302" s="2">
        <v>16</v>
      </c>
      <c r="K302" s="2">
        <v>30</v>
      </c>
      <c r="L302" s="2">
        <v>533</v>
      </c>
      <c r="M302" s="2">
        <v>0</v>
      </c>
      <c r="N302" s="2">
        <v>0</v>
      </c>
      <c r="O302" s="4" t="e">
        <f>knicks_players_all_stats[[#This Row],[FG3M]]/knicks_players_all_stats[[#This Row],[FG3A]]</f>
        <v>#DIV/0!</v>
      </c>
      <c r="P302" s="2">
        <v>8</v>
      </c>
      <c r="Q302" s="2">
        <v>19</v>
      </c>
      <c r="R302" s="5">
        <f>knicks_players_all_stats[[#This Row],[FTM]]/knicks_players_all_stats[[#This Row],[FTA]]</f>
        <v>0.42105263157894735</v>
      </c>
      <c r="S302" s="2">
        <f>knicks_players_all_stats[[#This Row],[OREB22]]/10</f>
        <v>23</v>
      </c>
      <c r="T302" s="2">
        <f>knicks_players_all_stats[[#This Row],[DREB33]]/10</f>
        <v>28</v>
      </c>
      <c r="U302" s="2">
        <f>knicks_players_all_stats[[#This Row],[REB44]]/10</f>
        <v>51</v>
      </c>
      <c r="V302">
        <v>230</v>
      </c>
      <c r="W302">
        <v>280</v>
      </c>
      <c r="X302">
        <v>510</v>
      </c>
      <c r="Y302" s="22">
        <f>knicks_players_all_stats[[#This Row],[REB]]/knicks_players_all_stats[[#This Row],[GP]]</f>
        <v>2.4285714285714284</v>
      </c>
      <c r="Z302" s="2">
        <v>10</v>
      </c>
      <c r="AA302" s="6">
        <f>knicks_players_all_stats[[#This Row],[AST]]/knicks_players_all_stats[[#This Row],[GP]]</f>
        <v>0.47619047619047616</v>
      </c>
      <c r="AB302" s="2">
        <f>knicks_players_all_stats[[#This Row],[STL2]]/10</f>
        <v>4</v>
      </c>
      <c r="AC302" s="2">
        <v>40</v>
      </c>
      <c r="AD302" s="6">
        <f>knicks_players_all_stats[[#This Row],[STL]]/knicks_players_all_stats[[#This Row],[GP]]</f>
        <v>0.19047619047619047</v>
      </c>
      <c r="AE302">
        <v>40</v>
      </c>
      <c r="AF302" s="2">
        <f>knicks_players_all_stats[[#This Row],[BLK2]]/10</f>
        <v>4</v>
      </c>
      <c r="AG302" s="6">
        <f>knicks_players_all_stats[[#This Row],[BLK]]/knicks_players_all_stats[[#This Row],[GP]]</f>
        <v>0.19047619047619047</v>
      </c>
      <c r="AH302">
        <v>120</v>
      </c>
      <c r="AI302" s="6">
        <f>knicks_players_all_stats[[#This Row],[BLKPG]]+knicks_players_all_stats[[#This Row],[STLPG]]+knicks_players_all_stats[[#This Row],[REBPG]]</f>
        <v>2.8095238095238093</v>
      </c>
      <c r="AJ302" s="2">
        <f>knicks_players_all_stats[[#This Row],[TOV2]]/10</f>
        <v>12</v>
      </c>
      <c r="AK302" s="6">
        <f>knicks_players_all_stats[[#This Row],[TOV]]/knicks_players_all_stats[[#This Row],[GP]]</f>
        <v>0.5714285714285714</v>
      </c>
      <c r="AL302" s="2">
        <v>23</v>
      </c>
      <c r="AM302" s="2">
        <f>knicks_players_all_stats[[#This Row],[PF]]/knicks_players_all_stats[[#This Row],[GP]]</f>
        <v>1.0952380952380953</v>
      </c>
      <c r="AN302" s="2">
        <v>40</v>
      </c>
      <c r="AO302" s="6">
        <f>knicks_players_all_stats[[#This Row],[PTS]]/knicks_players_all_stats[[#This Row],[GP]]</f>
        <v>1.9047619047619047</v>
      </c>
    </row>
    <row r="303" spans="1:41" customFormat="1" x14ac:dyDescent="0.3">
      <c r="A303" s="3" t="s">
        <v>1814</v>
      </c>
      <c r="B303" s="3" t="s">
        <v>1281</v>
      </c>
      <c r="C303" s="3" t="str">
        <f>knicks_players_all_stats[[#This Row],[NAME]]&amp;" ("&amp;knicks_players_all_stats[[#This Row],[SEASON]]&amp;")"</f>
        <v>Sasha Vujacic (2016-17)</v>
      </c>
      <c r="D303" s="3">
        <f>knicks_players_all_stats[[#This Row],[PLAYER_AGE]]/10</f>
        <v>33</v>
      </c>
      <c r="E303">
        <v>330</v>
      </c>
      <c r="F303" s="2">
        <v>42</v>
      </c>
      <c r="G303" s="2">
        <v>4080</v>
      </c>
      <c r="H30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95</v>
      </c>
      <c r="I303" s="6">
        <f>knicks_players_all_stats[[#This Row],[VALORATION]]/knicks_players_all_stats[[#This Row],[GP]]</f>
        <v>2.2619047619047619</v>
      </c>
      <c r="J303" s="2">
        <v>42</v>
      </c>
      <c r="K303" s="2">
        <v>136</v>
      </c>
      <c r="L303" s="2">
        <v>309</v>
      </c>
      <c r="M303" s="2">
        <v>230</v>
      </c>
      <c r="N303" s="2">
        <v>740</v>
      </c>
      <c r="O303" s="4">
        <f>knicks_players_all_stats[[#This Row],[FG3M]]/knicks_players_all_stats[[#This Row],[FG3A]]</f>
        <v>0.3108108108108108</v>
      </c>
      <c r="P303" s="2">
        <v>17</v>
      </c>
      <c r="Q303" s="2">
        <v>24</v>
      </c>
      <c r="R303" s="5">
        <f>knicks_players_all_stats[[#This Row],[FTM]]/knicks_players_all_stats[[#This Row],[FTA]]</f>
        <v>0.70833333333333337</v>
      </c>
      <c r="S303" s="2">
        <f>knicks_players_all_stats[[#This Row],[OREB22]]/10</f>
        <v>12</v>
      </c>
      <c r="T303" s="2">
        <f>knicks_players_all_stats[[#This Row],[DREB33]]/10</f>
        <v>47</v>
      </c>
      <c r="U303" s="2">
        <f>knicks_players_all_stats[[#This Row],[REB44]]/10</f>
        <v>59</v>
      </c>
      <c r="V303">
        <v>120</v>
      </c>
      <c r="W303">
        <v>470</v>
      </c>
      <c r="X303">
        <v>590</v>
      </c>
      <c r="Y303" s="22">
        <f>knicks_players_all_stats[[#This Row],[REB]]/knicks_players_all_stats[[#This Row],[GP]]</f>
        <v>1.4047619047619047</v>
      </c>
      <c r="Z303" s="2">
        <v>52</v>
      </c>
      <c r="AA303" s="6">
        <f>knicks_players_all_stats[[#This Row],[AST]]/knicks_players_all_stats[[#This Row],[GP]]</f>
        <v>1.2380952380952381</v>
      </c>
      <c r="AB303" s="2">
        <f>knicks_players_all_stats[[#This Row],[STL2]]/10</f>
        <v>13</v>
      </c>
      <c r="AC303" s="2">
        <v>130</v>
      </c>
      <c r="AD303" s="6">
        <f>knicks_players_all_stats[[#This Row],[STL]]/knicks_players_all_stats[[#This Row],[GP]]</f>
        <v>0.30952380952380953</v>
      </c>
      <c r="AE303">
        <v>20</v>
      </c>
      <c r="AF303" s="2">
        <f>knicks_players_all_stats[[#This Row],[BLK2]]/10</f>
        <v>2</v>
      </c>
      <c r="AG303" s="6">
        <f>knicks_players_all_stats[[#This Row],[BLK]]/knicks_players_all_stats[[#This Row],[GP]]</f>
        <v>4.7619047619047616E-2</v>
      </c>
      <c r="AH303">
        <v>160</v>
      </c>
      <c r="AI303" s="6">
        <f>knicks_players_all_stats[[#This Row],[BLKPG]]+knicks_players_all_stats[[#This Row],[STLPG]]+knicks_players_all_stats[[#This Row],[REBPG]]</f>
        <v>1.7619047619047619</v>
      </c>
      <c r="AJ303" s="2">
        <f>knicks_players_all_stats[[#This Row],[TOV2]]/10</f>
        <v>16</v>
      </c>
      <c r="AK303" s="6">
        <f>knicks_players_all_stats[[#This Row],[TOV]]/knicks_players_all_stats[[#This Row],[GP]]</f>
        <v>0.38095238095238093</v>
      </c>
      <c r="AL303" s="2">
        <v>38</v>
      </c>
      <c r="AM303" s="2">
        <f>knicks_players_all_stats[[#This Row],[PF]]/knicks_players_all_stats[[#This Row],[GP]]</f>
        <v>0.90476190476190477</v>
      </c>
      <c r="AN303" s="2">
        <v>124</v>
      </c>
      <c r="AO303" s="6">
        <f>knicks_players_all_stats[[#This Row],[PTS]]/knicks_players_all_stats[[#This Row],[GP]]</f>
        <v>2.9523809523809526</v>
      </c>
    </row>
    <row r="304" spans="1:41" customFormat="1" x14ac:dyDescent="0.3">
      <c r="A304" s="3" t="s">
        <v>1776</v>
      </c>
      <c r="B304" s="3" t="s">
        <v>1259</v>
      </c>
      <c r="C304" s="3" t="str">
        <f>knicks_players_all_stats[[#This Row],[NAME]]&amp;" ("&amp;knicks_players_all_stats[[#This Row],[SEASON]]&amp;")"</f>
        <v>Enes Freedom (2017-18)</v>
      </c>
      <c r="D304" s="3">
        <f>knicks_players_all_stats[[#This Row],[PLAYER_AGE]]/10</f>
        <v>26</v>
      </c>
      <c r="E304">
        <v>260</v>
      </c>
      <c r="F304" s="2">
        <v>71</v>
      </c>
      <c r="G304" s="2">
        <v>18300</v>
      </c>
      <c r="H30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1330</v>
      </c>
      <c r="I304" s="6">
        <f>knicks_players_all_stats[[#This Row],[VALORATION]]/knicks_players_all_stats[[#This Row],[GP]]</f>
        <v>18.732394366197184</v>
      </c>
      <c r="J304" s="2">
        <v>422</v>
      </c>
      <c r="K304" s="2">
        <v>713</v>
      </c>
      <c r="L304" s="2">
        <v>592</v>
      </c>
      <c r="M304" s="2">
        <v>0</v>
      </c>
      <c r="N304" s="2">
        <v>20</v>
      </c>
      <c r="O304" s="4">
        <f>knicks_players_all_stats[[#This Row],[FG3M]]/knicks_players_all_stats[[#This Row],[FG3A]]</f>
        <v>0</v>
      </c>
      <c r="P304" s="2">
        <v>156</v>
      </c>
      <c r="Q304" s="2">
        <v>184</v>
      </c>
      <c r="R304" s="5">
        <f>knicks_players_all_stats[[#This Row],[FTM]]/knicks_players_all_stats[[#This Row],[FTA]]</f>
        <v>0.84782608695652173</v>
      </c>
      <c r="S304" s="2">
        <f>knicks_players_all_stats[[#This Row],[OREB22]]/10</f>
        <v>273</v>
      </c>
      <c r="T304" s="2">
        <f>knicks_players_all_stats[[#This Row],[DREB33]]/10</f>
        <v>507</v>
      </c>
      <c r="U304" s="2">
        <f>knicks_players_all_stats[[#This Row],[REB44]]/10</f>
        <v>780</v>
      </c>
      <c r="V304">
        <v>2730</v>
      </c>
      <c r="W304">
        <v>5070</v>
      </c>
      <c r="X304">
        <v>7800</v>
      </c>
      <c r="Y304" s="22">
        <f>knicks_players_all_stats[[#This Row],[REB]]/knicks_players_all_stats[[#This Row],[GP]]</f>
        <v>10.985915492957746</v>
      </c>
      <c r="Z304" s="2">
        <v>105</v>
      </c>
      <c r="AA304" s="6">
        <f>knicks_players_all_stats[[#This Row],[AST]]/knicks_players_all_stats[[#This Row],[GP]]</f>
        <v>1.4788732394366197</v>
      </c>
      <c r="AB304" s="2">
        <f>knicks_players_all_stats[[#This Row],[STL2]]/10</f>
        <v>36</v>
      </c>
      <c r="AC304" s="2">
        <v>360</v>
      </c>
      <c r="AD304" s="6">
        <f>knicks_players_all_stats[[#This Row],[STL]]/knicks_players_all_stats[[#This Row],[GP]]</f>
        <v>0.50704225352112675</v>
      </c>
      <c r="AE304">
        <v>370</v>
      </c>
      <c r="AF304" s="2">
        <f>knicks_players_all_stats[[#This Row],[BLK2]]/10</f>
        <v>37</v>
      </c>
      <c r="AG304" s="6">
        <f>knicks_players_all_stats[[#This Row],[BLK]]/knicks_players_all_stats[[#This Row],[GP]]</f>
        <v>0.52112676056338025</v>
      </c>
      <c r="AH304">
        <v>1220</v>
      </c>
      <c r="AI304" s="6">
        <f>knicks_players_all_stats[[#This Row],[BLKPG]]+knicks_players_all_stats[[#This Row],[STLPG]]+knicks_players_all_stats[[#This Row],[REBPG]]</f>
        <v>12.014084507042252</v>
      </c>
      <c r="AJ304" s="2">
        <f>knicks_players_all_stats[[#This Row],[TOV2]]/10</f>
        <v>122</v>
      </c>
      <c r="AK304" s="6">
        <f>knicks_players_all_stats[[#This Row],[TOV]]/knicks_players_all_stats[[#This Row],[GP]]</f>
        <v>1.7183098591549295</v>
      </c>
      <c r="AL304" s="2">
        <v>187</v>
      </c>
      <c r="AM304" s="2">
        <f>knicks_players_all_stats[[#This Row],[PF]]/knicks_players_all_stats[[#This Row],[GP]]</f>
        <v>2.6338028169014085</v>
      </c>
      <c r="AN304" s="2">
        <v>1000</v>
      </c>
      <c r="AO304" s="6">
        <f>knicks_players_all_stats[[#This Row],[PTS]]/knicks_players_all_stats[[#This Row],[GP]]</f>
        <v>14.084507042253522</v>
      </c>
    </row>
    <row r="305" spans="1:41" customFormat="1" x14ac:dyDescent="0.3">
      <c r="A305" s="3" t="s">
        <v>1306</v>
      </c>
      <c r="B305" s="3" t="s">
        <v>1259</v>
      </c>
      <c r="C305" s="3" t="str">
        <f>knicks_players_all_stats[[#This Row],[NAME]]&amp;" ("&amp;knicks_players_all_stats[[#This Row],[SEASON]]&amp;")"</f>
        <v>Kristaps Porzingis (2017-18)</v>
      </c>
      <c r="D305" s="3">
        <f>knicks_players_all_stats[[#This Row],[PLAYER_AGE]]/10</f>
        <v>22</v>
      </c>
      <c r="E305">
        <v>220</v>
      </c>
      <c r="F305" s="2">
        <v>48</v>
      </c>
      <c r="G305" s="2">
        <v>15530</v>
      </c>
      <c r="H30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822</v>
      </c>
      <c r="I305" s="6">
        <f>knicks_players_all_stats[[#This Row],[VALORATION]]/knicks_players_all_stats[[#This Row],[GP]]</f>
        <v>17.125</v>
      </c>
      <c r="J305" s="2">
        <v>390</v>
      </c>
      <c r="K305" s="2">
        <v>889</v>
      </c>
      <c r="L305" s="4">
        <f>knicks_players_all_stats[[#This Row],[FGM]]/knicks_players_all_stats[[#This Row],[FGA]]</f>
        <v>0.43869516310461193</v>
      </c>
      <c r="M305" s="2">
        <v>900</v>
      </c>
      <c r="N305" s="2">
        <v>2280</v>
      </c>
      <c r="O305" s="4">
        <f>knicks_players_all_stats[[#This Row],[FG3M]]/knicks_players_all_stats[[#This Row],[FG3A]]</f>
        <v>0.39473684210526316</v>
      </c>
      <c r="P305" s="2">
        <v>218</v>
      </c>
      <c r="Q305" s="2">
        <v>275</v>
      </c>
      <c r="R305" s="5">
        <f>knicks_players_all_stats[[#This Row],[FTM]]/knicks_players_all_stats[[#This Row],[FTA]]</f>
        <v>0.79272727272727272</v>
      </c>
      <c r="S305" s="2">
        <f>knicks_players_all_stats[[#This Row],[OREB22]]/10</f>
        <v>62</v>
      </c>
      <c r="T305" s="2">
        <f>knicks_players_all_stats[[#This Row],[DREB33]]/10</f>
        <v>254</v>
      </c>
      <c r="U305" s="2">
        <f>knicks_players_all_stats[[#This Row],[REB44]]/10</f>
        <v>316</v>
      </c>
      <c r="V305">
        <v>620</v>
      </c>
      <c r="W305">
        <v>2540</v>
      </c>
      <c r="X305">
        <v>3160</v>
      </c>
      <c r="Y305" s="22">
        <f>knicks_players_all_stats[[#This Row],[REB]]/knicks_players_all_stats[[#This Row],[GP]]</f>
        <v>6.583333333333333</v>
      </c>
      <c r="Z305" s="2">
        <v>57</v>
      </c>
      <c r="AA305" s="6">
        <f>knicks_players_all_stats[[#This Row],[AST]]/knicks_players_all_stats[[#This Row],[GP]]</f>
        <v>1.1875</v>
      </c>
      <c r="AB305" s="2">
        <f>knicks_players_all_stats[[#This Row],[STL2]]/10</f>
        <v>36</v>
      </c>
      <c r="AC305" s="2">
        <v>360</v>
      </c>
      <c r="AD305" s="6">
        <f>knicks_players_all_stats[[#This Row],[STL]]/knicks_players_all_stats[[#This Row],[GP]]</f>
        <v>0.75</v>
      </c>
      <c r="AE305">
        <v>1150</v>
      </c>
      <c r="AF305" s="2">
        <f>knicks_players_all_stats[[#This Row],[BLK2]]/10</f>
        <v>115</v>
      </c>
      <c r="AG305" s="6">
        <f>knicks_players_all_stats[[#This Row],[BLK]]/knicks_players_all_stats[[#This Row],[GP]]</f>
        <v>2.3958333333333335</v>
      </c>
      <c r="AH305">
        <v>930</v>
      </c>
      <c r="AI305" s="6">
        <f>knicks_players_all_stats[[#This Row],[BLKPG]]+knicks_players_all_stats[[#This Row],[STLPG]]+knicks_players_all_stats[[#This Row],[REBPG]]</f>
        <v>9.7291666666666661</v>
      </c>
      <c r="AJ305" s="2">
        <f>knicks_players_all_stats[[#This Row],[TOV2]]/10</f>
        <v>93</v>
      </c>
      <c r="AK305" s="6">
        <f>knicks_players_all_stats[[#This Row],[TOV]]/knicks_players_all_stats[[#This Row],[GP]]</f>
        <v>1.9375</v>
      </c>
      <c r="AL305" s="2">
        <v>141</v>
      </c>
      <c r="AM305" s="2">
        <f>knicks_players_all_stats[[#This Row],[PF]]/knicks_players_all_stats[[#This Row],[GP]]</f>
        <v>2.9375</v>
      </c>
      <c r="AN305" s="2">
        <v>1088</v>
      </c>
      <c r="AO305" s="6">
        <f>knicks_players_all_stats[[#This Row],[PTS]]/knicks_players_all_stats[[#This Row],[GP]]</f>
        <v>22.666666666666668</v>
      </c>
    </row>
    <row r="306" spans="1:41" customFormat="1" x14ac:dyDescent="0.3">
      <c r="A306" s="3" t="s">
        <v>1607</v>
      </c>
      <c r="B306" s="3" t="s">
        <v>1259</v>
      </c>
      <c r="C306" s="3" t="str">
        <f>knicks_players_all_stats[[#This Row],[NAME]]&amp;" ("&amp;knicks_players_all_stats[[#This Row],[SEASON]]&amp;")"</f>
        <v>Tim Hardaway Jr. (2017-18)</v>
      </c>
      <c r="D306" s="3">
        <f>knicks_players_all_stats[[#This Row],[PLAYER_AGE]]/10</f>
        <v>26</v>
      </c>
      <c r="E306">
        <v>260</v>
      </c>
      <c r="F306" s="2">
        <v>57</v>
      </c>
      <c r="G306" s="2">
        <v>18850</v>
      </c>
      <c r="H30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703</v>
      </c>
      <c r="I306" s="6">
        <f>knicks_players_all_stats[[#This Row],[VALORATION]]/knicks_players_all_stats[[#This Row],[GP]]</f>
        <v>12.333333333333334</v>
      </c>
      <c r="J306" s="2">
        <v>360</v>
      </c>
      <c r="K306" s="2">
        <v>856</v>
      </c>
      <c r="L306" s="4">
        <f>knicks_players_all_stats[[#This Row],[FGM]]/knicks_players_all_stats[[#This Row],[FGA]]</f>
        <v>0.42056074766355139</v>
      </c>
      <c r="M306" s="2">
        <v>1300</v>
      </c>
      <c r="N306" s="2">
        <v>4100</v>
      </c>
      <c r="O306" s="4">
        <f>knicks_players_all_stats[[#This Row],[FG3M]]/knicks_players_all_stats[[#This Row],[FG3A]]</f>
        <v>0.31707317073170732</v>
      </c>
      <c r="P306" s="2">
        <v>146</v>
      </c>
      <c r="Q306" s="2">
        <v>179</v>
      </c>
      <c r="R306" s="5">
        <f>knicks_players_all_stats[[#This Row],[FTM]]/knicks_players_all_stats[[#This Row],[FTA]]</f>
        <v>0.81564245810055869</v>
      </c>
      <c r="S306" s="2">
        <f>knicks_players_all_stats[[#This Row],[OREB22]]/10</f>
        <v>32</v>
      </c>
      <c r="T306" s="2">
        <f>knicks_players_all_stats[[#This Row],[DREB33]]/10</f>
        <v>192</v>
      </c>
      <c r="U306" s="2">
        <f>knicks_players_all_stats[[#This Row],[REB44]]/10</f>
        <v>224</v>
      </c>
      <c r="V306">
        <v>320</v>
      </c>
      <c r="W306">
        <v>1920</v>
      </c>
      <c r="X306">
        <v>2240</v>
      </c>
      <c r="Y306" s="22">
        <f>knicks_players_all_stats[[#This Row],[REB]]/knicks_players_all_stats[[#This Row],[GP]]</f>
        <v>3.9298245614035086</v>
      </c>
      <c r="Z306" s="2">
        <v>155</v>
      </c>
      <c r="AA306" s="6">
        <f>knicks_players_all_stats[[#This Row],[AST]]/knicks_players_all_stats[[#This Row],[GP]]</f>
        <v>2.7192982456140351</v>
      </c>
      <c r="AB306" s="2">
        <f>knicks_players_all_stats[[#This Row],[STL2]]/10</f>
        <v>62</v>
      </c>
      <c r="AC306" s="2">
        <v>620</v>
      </c>
      <c r="AD306" s="6">
        <f>knicks_players_all_stats[[#This Row],[STL]]/knicks_players_all_stats[[#This Row],[GP]]</f>
        <v>1.0877192982456141</v>
      </c>
      <c r="AE306">
        <v>100</v>
      </c>
      <c r="AF306" s="2">
        <f>knicks_players_all_stats[[#This Row],[BLK2]]/10</f>
        <v>10</v>
      </c>
      <c r="AG306" s="6">
        <f>knicks_players_all_stats[[#This Row],[BLK]]/knicks_players_all_stats[[#This Row],[GP]]</f>
        <v>0.17543859649122806</v>
      </c>
      <c r="AH306">
        <v>920</v>
      </c>
      <c r="AI306" s="6">
        <f>knicks_players_all_stats[[#This Row],[BLKPG]]+knicks_players_all_stats[[#This Row],[STLPG]]+knicks_players_all_stats[[#This Row],[REBPG]]</f>
        <v>5.192982456140351</v>
      </c>
      <c r="AJ306" s="2">
        <f>knicks_players_all_stats[[#This Row],[TOV2]]/10</f>
        <v>92</v>
      </c>
      <c r="AK306" s="6">
        <f>knicks_players_all_stats[[#This Row],[TOV]]/knicks_players_all_stats[[#This Row],[GP]]</f>
        <v>1.6140350877192982</v>
      </c>
      <c r="AL306" s="2">
        <v>123</v>
      </c>
      <c r="AM306" s="2">
        <f>knicks_players_all_stats[[#This Row],[PF]]/knicks_players_all_stats[[#This Row],[GP]]</f>
        <v>2.1578947368421053</v>
      </c>
      <c r="AN306" s="2">
        <v>996</v>
      </c>
      <c r="AO306" s="6">
        <f>knicks_players_all_stats[[#This Row],[PTS]]/knicks_players_all_stats[[#This Row],[GP]]</f>
        <v>17.473684210526315</v>
      </c>
    </row>
    <row r="307" spans="1:41" x14ac:dyDescent="0.3">
      <c r="A307" s="3" t="s">
        <v>1551</v>
      </c>
      <c r="B307" s="3" t="s">
        <v>1259</v>
      </c>
      <c r="C307" s="3" t="str">
        <f>knicks_players_all_stats[[#This Row],[NAME]]&amp;" ("&amp;knicks_players_all_stats[[#This Row],[SEASON]]&amp;")"</f>
        <v>Trey Burke (2017-18)</v>
      </c>
      <c r="D307" s="3">
        <f>knicks_players_all_stats[[#This Row],[PLAYER_AGE]]/10</f>
        <v>25</v>
      </c>
      <c r="E307">
        <v>250</v>
      </c>
      <c r="F307" s="2">
        <v>36</v>
      </c>
      <c r="G307" s="2">
        <v>7850</v>
      </c>
      <c r="H30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433</v>
      </c>
      <c r="I307" s="6">
        <f>knicks_players_all_stats[[#This Row],[VALORATION]]/knicks_players_all_stats[[#This Row],[GP]]</f>
        <v>12.027777777777779</v>
      </c>
      <c r="J307" s="2">
        <v>193</v>
      </c>
      <c r="K307" s="2">
        <v>384</v>
      </c>
      <c r="L307" s="4">
        <f>knicks_players_all_stats[[#This Row],[FGM]]/knicks_players_all_stats[[#This Row],[FGA]]</f>
        <v>0.50260416666666663</v>
      </c>
      <c r="M307" s="2">
        <v>380</v>
      </c>
      <c r="N307" s="2">
        <v>1050</v>
      </c>
      <c r="O307" s="4">
        <f>knicks_players_all_stats[[#This Row],[FG3M]]/knicks_players_all_stats[[#This Row],[FG3A]]</f>
        <v>0.3619047619047619</v>
      </c>
      <c r="P307" s="2">
        <v>37</v>
      </c>
      <c r="Q307" s="2">
        <v>57</v>
      </c>
      <c r="R307" s="5">
        <f>knicks_players_all_stats[[#This Row],[FTM]]/knicks_players_all_stats[[#This Row],[FTA]]</f>
        <v>0.64912280701754388</v>
      </c>
      <c r="S307" s="2">
        <f>knicks_players_all_stats[[#This Row],[OREB22]]/10</f>
        <v>13</v>
      </c>
      <c r="T307" s="2">
        <f>knicks_players_all_stats[[#This Row],[DREB33]]/10</f>
        <v>58</v>
      </c>
      <c r="U307" s="2">
        <f>knicks_players_all_stats[[#This Row],[REB44]]/10</f>
        <v>71</v>
      </c>
      <c r="V307">
        <v>130</v>
      </c>
      <c r="W307">
        <v>580</v>
      </c>
      <c r="X307">
        <v>710</v>
      </c>
      <c r="Y307" s="22">
        <f>knicks_players_all_stats[[#This Row],[REB]]/knicks_players_all_stats[[#This Row],[GP]]</f>
        <v>1.9722222222222223</v>
      </c>
      <c r="Z307" s="2">
        <v>170</v>
      </c>
      <c r="AA307" s="6">
        <f>knicks_players_all_stats[[#This Row],[AST]]/knicks_players_all_stats[[#This Row],[GP]]</f>
        <v>4.7222222222222223</v>
      </c>
      <c r="AB307" s="2">
        <f>knicks_players_all_stats[[#This Row],[STL2]]/10</f>
        <v>24</v>
      </c>
      <c r="AC307" s="2">
        <v>240</v>
      </c>
      <c r="AD307" s="6">
        <f>knicks_players_all_stats[[#This Row],[STL]]/knicks_players_all_stats[[#This Row],[GP]]</f>
        <v>0.66666666666666663</v>
      </c>
      <c r="AE307">
        <v>40</v>
      </c>
      <c r="AF307" s="2">
        <f>knicks_players_all_stats[[#This Row],[BLK2]]/10</f>
        <v>4</v>
      </c>
      <c r="AG307" s="6">
        <f>knicks_players_all_stats[[#This Row],[BLK]]/knicks_players_all_stats[[#This Row],[GP]]</f>
        <v>0.1111111111111111</v>
      </c>
      <c r="AH307">
        <v>430</v>
      </c>
      <c r="AI307" s="6">
        <f>knicks_players_all_stats[[#This Row],[BLKPG]]+knicks_players_all_stats[[#This Row],[STLPG]]+knicks_players_all_stats[[#This Row],[REBPG]]</f>
        <v>2.75</v>
      </c>
      <c r="AJ307" s="2">
        <f>knicks_players_all_stats[[#This Row],[TOV2]]/10</f>
        <v>43</v>
      </c>
      <c r="AK307" s="6">
        <f>knicks_players_all_stats[[#This Row],[TOV]]/knicks_players_all_stats[[#This Row],[GP]]</f>
        <v>1.1944444444444444</v>
      </c>
      <c r="AL307" s="2">
        <v>43</v>
      </c>
      <c r="AM307" s="2">
        <f>knicks_players_all_stats[[#This Row],[PF]]/knicks_players_all_stats[[#This Row],[GP]]</f>
        <v>1.1944444444444444</v>
      </c>
      <c r="AN307" s="2">
        <v>461</v>
      </c>
      <c r="AO307" s="6">
        <f>knicks_players_all_stats[[#This Row],[PTS]]/knicks_players_all_stats[[#This Row],[GP]]</f>
        <v>12.805555555555555</v>
      </c>
    </row>
    <row r="308" spans="1:41" x14ac:dyDescent="0.3">
      <c r="A308" s="3" t="s">
        <v>1260</v>
      </c>
      <c r="B308" s="3" t="s">
        <v>1259</v>
      </c>
      <c r="C308" s="3" t="str">
        <f>knicks_players_all_stats[[#This Row],[NAME]]&amp;" ("&amp;knicks_players_all_stats[[#This Row],[SEASON]]&amp;")"</f>
        <v>Michael Beasley (2017-18)</v>
      </c>
      <c r="D308" s="3">
        <f>knicks_players_all_stats[[#This Row],[PLAYER_AGE]]/10</f>
        <v>29</v>
      </c>
      <c r="E308">
        <v>290</v>
      </c>
      <c r="F308" s="2">
        <v>74</v>
      </c>
      <c r="G308" s="2">
        <v>16530</v>
      </c>
      <c r="H30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871</v>
      </c>
      <c r="I308" s="6">
        <f>knicks_players_all_stats[[#This Row],[VALORATION]]/knicks_players_all_stats[[#This Row],[GP]]</f>
        <v>11.77027027027027</v>
      </c>
      <c r="J308" s="2">
        <v>409</v>
      </c>
      <c r="K308" s="2">
        <v>807</v>
      </c>
      <c r="L308" s="4">
        <f>knicks_players_all_stats[[#This Row],[FGM]]/knicks_players_all_stats[[#This Row],[FGA]]</f>
        <v>0.50681536555142503</v>
      </c>
      <c r="M308" s="2">
        <v>340</v>
      </c>
      <c r="N308" s="2">
        <v>860</v>
      </c>
      <c r="O308" s="4">
        <f>knicks_players_all_stats[[#This Row],[FG3M]]/knicks_players_all_stats[[#This Row],[FG3A]]</f>
        <v>0.39534883720930231</v>
      </c>
      <c r="P308" s="2">
        <v>124</v>
      </c>
      <c r="Q308" s="2">
        <v>159</v>
      </c>
      <c r="R308" s="5">
        <f>knicks_players_all_stats[[#This Row],[FTM]]/knicks_players_all_stats[[#This Row],[FTA]]</f>
        <v>0.77987421383647804</v>
      </c>
      <c r="S308" s="2">
        <f>knicks_players_all_stats[[#This Row],[OREB22]]/10</f>
        <v>97</v>
      </c>
      <c r="T308" s="2">
        <f>knicks_players_all_stats[[#This Row],[DREB33]]/10</f>
        <v>317</v>
      </c>
      <c r="U308" s="2">
        <f>knicks_players_all_stats[[#This Row],[REB44]]/10</f>
        <v>414</v>
      </c>
      <c r="V308">
        <v>970</v>
      </c>
      <c r="W308">
        <v>3170</v>
      </c>
      <c r="X308">
        <v>4140</v>
      </c>
      <c r="Y308" s="22">
        <f>knicks_players_all_stats[[#This Row],[REB]]/knicks_players_all_stats[[#This Row],[GP]]</f>
        <v>5.5945945945945947</v>
      </c>
      <c r="Z308" s="2">
        <v>123</v>
      </c>
      <c r="AA308" s="6">
        <f>knicks_players_all_stats[[#This Row],[AST]]/knicks_players_all_stats[[#This Row],[GP]]</f>
        <v>1.6621621621621621</v>
      </c>
      <c r="AB308" s="2">
        <f>knicks_players_all_stats[[#This Row],[STL2]]/10</f>
        <v>36</v>
      </c>
      <c r="AC308" s="2">
        <v>360</v>
      </c>
      <c r="AD308" s="6">
        <f>knicks_players_all_stats[[#This Row],[STL]]/knicks_players_all_stats[[#This Row],[GP]]</f>
        <v>0.48648648648648651</v>
      </c>
      <c r="AE308">
        <v>430</v>
      </c>
      <c r="AF308" s="2">
        <f>knicks_players_all_stats[[#This Row],[BLK2]]/10</f>
        <v>43</v>
      </c>
      <c r="AG308" s="6">
        <f>knicks_players_all_stats[[#This Row],[BLK]]/knicks_players_all_stats[[#This Row],[GP]]</f>
        <v>0.58108108108108103</v>
      </c>
      <c r="AH308">
        <v>1430</v>
      </c>
      <c r="AI308" s="6">
        <f>knicks_players_all_stats[[#This Row],[BLKPG]]+knicks_players_all_stats[[#This Row],[STLPG]]+knicks_players_all_stats[[#This Row],[REBPG]]</f>
        <v>6.6621621621621623</v>
      </c>
      <c r="AJ308" s="2">
        <f>knicks_players_all_stats[[#This Row],[TOV2]]/10</f>
        <v>143</v>
      </c>
      <c r="AK308" s="6">
        <f>knicks_players_all_stats[[#This Row],[TOV]]/knicks_players_all_stats[[#This Row],[GP]]</f>
        <v>1.9324324324324325</v>
      </c>
      <c r="AL308" s="2">
        <v>145</v>
      </c>
      <c r="AM308" s="2">
        <f>knicks_players_all_stats[[#This Row],[PF]]/knicks_players_all_stats[[#This Row],[GP]]</f>
        <v>1.9594594594594594</v>
      </c>
      <c r="AN308" s="2">
        <v>976</v>
      </c>
      <c r="AO308" s="6">
        <f>knicks_players_all_stats[[#This Row],[PTS]]/knicks_players_all_stats[[#This Row],[GP]]</f>
        <v>13.189189189189189</v>
      </c>
    </row>
    <row r="309" spans="1:41" x14ac:dyDescent="0.3">
      <c r="A309" s="3" t="s">
        <v>1280</v>
      </c>
      <c r="B309" s="3" t="s">
        <v>1259</v>
      </c>
      <c r="C309" s="3" t="str">
        <f>knicks_players_all_stats[[#This Row],[NAME]]&amp;" ("&amp;knicks_players_all_stats[[#This Row],[SEASON]]&amp;")"</f>
        <v>Kyle O'Quinn (2017-18)</v>
      </c>
      <c r="D309" s="3">
        <f>knicks_players_all_stats[[#This Row],[PLAYER_AGE]]/10</f>
        <v>28</v>
      </c>
      <c r="E309">
        <v>280</v>
      </c>
      <c r="F309" s="2">
        <v>77</v>
      </c>
      <c r="G309" s="2">
        <v>13870</v>
      </c>
      <c r="H30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831</v>
      </c>
      <c r="I309" s="6">
        <f>knicks_players_all_stats[[#This Row],[VALORATION]]/knicks_players_all_stats[[#This Row],[GP]]</f>
        <v>10.792207792207792</v>
      </c>
      <c r="J309" s="2">
        <v>224</v>
      </c>
      <c r="K309" s="2">
        <v>384</v>
      </c>
      <c r="L309" s="4">
        <f>knicks_players_all_stats[[#This Row],[FGM]]/knicks_players_all_stats[[#This Row],[FGA]]</f>
        <v>0.58333333333333337</v>
      </c>
      <c r="M309" s="2">
        <v>40</v>
      </c>
      <c r="N309" s="2">
        <v>170</v>
      </c>
      <c r="O309" s="4">
        <f>knicks_players_all_stats[[#This Row],[FG3M]]/knicks_players_all_stats[[#This Row],[FG3A]]</f>
        <v>0.23529411764705882</v>
      </c>
      <c r="P309" s="2">
        <v>98</v>
      </c>
      <c r="Q309" s="2">
        <v>127</v>
      </c>
      <c r="R309" s="5">
        <f>knicks_players_all_stats[[#This Row],[FTM]]/knicks_players_all_stats[[#This Row],[FTA]]</f>
        <v>0.77165354330708658</v>
      </c>
      <c r="S309" s="2">
        <f>knicks_players_all_stats[[#This Row],[OREB22]]/10</f>
        <v>121</v>
      </c>
      <c r="T309" s="2">
        <f>knicks_players_all_stats[[#This Row],[DREB33]]/10</f>
        <v>349</v>
      </c>
      <c r="U309" s="2">
        <f>knicks_players_all_stats[[#This Row],[REB44]]/10</f>
        <v>470</v>
      </c>
      <c r="V309">
        <v>1210</v>
      </c>
      <c r="W309">
        <v>3490</v>
      </c>
      <c r="X309">
        <v>4700</v>
      </c>
      <c r="Y309" s="22">
        <f>knicks_players_all_stats[[#This Row],[REB]]/knicks_players_all_stats[[#This Row],[GP]]</f>
        <v>6.1038961038961039</v>
      </c>
      <c r="Z309" s="2">
        <v>158</v>
      </c>
      <c r="AA309" s="6">
        <f>knicks_players_all_stats[[#This Row],[AST]]/knicks_players_all_stats[[#This Row],[GP]]</f>
        <v>2.051948051948052</v>
      </c>
      <c r="AB309" s="2">
        <f>knicks_players_all_stats[[#This Row],[STL2]]/10</f>
        <v>36</v>
      </c>
      <c r="AC309" s="2">
        <v>360</v>
      </c>
      <c r="AD309" s="6">
        <f>knicks_players_all_stats[[#This Row],[STL]]/knicks_players_all_stats[[#This Row],[GP]]</f>
        <v>0.46753246753246752</v>
      </c>
      <c r="AE309">
        <v>980</v>
      </c>
      <c r="AF309" s="2">
        <f>knicks_players_all_stats[[#This Row],[BLK2]]/10</f>
        <v>98</v>
      </c>
      <c r="AG309" s="6">
        <f>knicks_players_all_stats[[#This Row],[BLK]]/knicks_players_all_stats[[#This Row],[GP]]</f>
        <v>1.2727272727272727</v>
      </c>
      <c r="AH309">
        <v>1000</v>
      </c>
      <c r="AI309" s="6">
        <f>knicks_players_all_stats[[#This Row],[BLKPG]]+knicks_players_all_stats[[#This Row],[STLPG]]+knicks_players_all_stats[[#This Row],[REBPG]]</f>
        <v>7.8441558441558445</v>
      </c>
      <c r="AJ309" s="2">
        <f>knicks_players_all_stats[[#This Row],[TOV2]]/10</f>
        <v>100</v>
      </c>
      <c r="AK309" s="6">
        <f>knicks_players_all_stats[[#This Row],[TOV]]/knicks_players_all_stats[[#This Row],[GP]]</f>
        <v>1.2987012987012987</v>
      </c>
      <c r="AL309" s="2">
        <v>192</v>
      </c>
      <c r="AM309" s="2">
        <f>knicks_players_all_stats[[#This Row],[PF]]/knicks_players_all_stats[[#This Row],[GP]]</f>
        <v>2.4935064935064934</v>
      </c>
      <c r="AN309" s="2">
        <v>550</v>
      </c>
      <c r="AO309" s="6">
        <f>knicks_players_all_stats[[#This Row],[PTS]]/knicks_players_all_stats[[#This Row],[GP]]</f>
        <v>7.1428571428571432</v>
      </c>
    </row>
    <row r="310" spans="1:41" x14ac:dyDescent="0.3">
      <c r="A310" s="3" t="s">
        <v>1553</v>
      </c>
      <c r="B310" s="3" t="s">
        <v>1259</v>
      </c>
      <c r="C310" s="3" t="str">
        <f>knicks_players_all_stats[[#This Row],[NAME]]&amp;" ("&amp;knicks_players_all_stats[[#This Row],[SEASON]]&amp;")"</f>
        <v>Courtney Lee (2017-18)</v>
      </c>
      <c r="D310" s="3">
        <f>knicks_players_all_stats[[#This Row],[PLAYER_AGE]]/10</f>
        <v>32</v>
      </c>
      <c r="E310">
        <v>320</v>
      </c>
      <c r="F310" s="2">
        <v>76</v>
      </c>
      <c r="G310" s="2">
        <v>23100</v>
      </c>
      <c r="H31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799</v>
      </c>
      <c r="I310" s="6">
        <f>knicks_players_all_stats[[#This Row],[VALORATION]]/knicks_players_all_stats[[#This Row],[GP]]</f>
        <v>10.513157894736842</v>
      </c>
      <c r="J310" s="2">
        <v>343</v>
      </c>
      <c r="K310" s="2">
        <v>755</v>
      </c>
      <c r="L310" s="4">
        <f>knicks_players_all_stats[[#This Row],[FGM]]/knicks_players_all_stats[[#This Row],[FGA]]</f>
        <v>0.45430463576158941</v>
      </c>
      <c r="M310" s="2">
        <v>1130</v>
      </c>
      <c r="N310" s="2">
        <v>2780</v>
      </c>
      <c r="O310" s="4">
        <f>knicks_players_all_stats[[#This Row],[FG3M]]/knicks_players_all_stats[[#This Row],[FG3A]]</f>
        <v>0.40647482014388492</v>
      </c>
      <c r="P310" s="2">
        <v>114</v>
      </c>
      <c r="Q310" s="2">
        <v>124</v>
      </c>
      <c r="R310" s="5">
        <f>knicks_players_all_stats[[#This Row],[FTM]]/knicks_players_all_stats[[#This Row],[FTA]]</f>
        <v>0.91935483870967738</v>
      </c>
      <c r="S310" s="2">
        <f>knicks_players_all_stats[[#This Row],[OREB22]]/10</f>
        <v>30</v>
      </c>
      <c r="T310" s="2">
        <f>knicks_players_all_stats[[#This Row],[DREB33]]/10</f>
        <v>194</v>
      </c>
      <c r="U310" s="2">
        <f>knicks_players_all_stats[[#This Row],[REB44]]/10</f>
        <v>224</v>
      </c>
      <c r="V310">
        <v>300</v>
      </c>
      <c r="W310">
        <v>1940</v>
      </c>
      <c r="X310">
        <v>2240</v>
      </c>
      <c r="Y310" s="22">
        <f>knicks_players_all_stats[[#This Row],[REB]]/knicks_players_all_stats[[#This Row],[GP]]</f>
        <v>2.9473684210526314</v>
      </c>
      <c r="Z310" s="2">
        <v>180</v>
      </c>
      <c r="AA310" s="6">
        <f>knicks_players_all_stats[[#This Row],[AST]]/knicks_players_all_stats[[#This Row],[GP]]</f>
        <v>2.3684210526315788</v>
      </c>
      <c r="AB310" s="2">
        <f>knicks_players_all_stats[[#This Row],[STL2]]/10</f>
        <v>80</v>
      </c>
      <c r="AC310" s="2">
        <v>800</v>
      </c>
      <c r="AD310" s="6">
        <f>knicks_players_all_stats[[#This Row],[STL]]/knicks_players_all_stats[[#This Row],[GP]]</f>
        <v>1.0526315789473684</v>
      </c>
      <c r="AE310">
        <v>170</v>
      </c>
      <c r="AF310" s="2">
        <f>knicks_players_all_stats[[#This Row],[BLK2]]/10</f>
        <v>17</v>
      </c>
      <c r="AG310" s="6">
        <f>knicks_players_all_stats[[#This Row],[BLK]]/knicks_players_all_stats[[#This Row],[GP]]</f>
        <v>0.22368421052631579</v>
      </c>
      <c r="AH310">
        <v>840</v>
      </c>
      <c r="AI310" s="6">
        <f>knicks_players_all_stats[[#This Row],[BLKPG]]+knicks_players_all_stats[[#This Row],[STLPG]]+knicks_players_all_stats[[#This Row],[REBPG]]</f>
        <v>4.223684210526315</v>
      </c>
      <c r="AJ310" s="2">
        <f>knicks_players_all_stats[[#This Row],[TOV2]]/10</f>
        <v>84</v>
      </c>
      <c r="AK310" s="6">
        <f>knicks_players_all_stats[[#This Row],[TOV]]/knicks_players_all_stats[[#This Row],[GP]]</f>
        <v>1.1052631578947369</v>
      </c>
      <c r="AL310" s="2">
        <v>109</v>
      </c>
      <c r="AM310" s="2">
        <f>knicks_players_all_stats[[#This Row],[PF]]/knicks_players_all_stats[[#This Row],[GP]]</f>
        <v>1.4342105263157894</v>
      </c>
      <c r="AN310" s="2">
        <v>913</v>
      </c>
      <c r="AO310" s="6">
        <f>knicks_players_all_stats[[#This Row],[PTS]]/knicks_players_all_stats[[#This Row],[GP]]</f>
        <v>12.013157894736842</v>
      </c>
    </row>
    <row r="311" spans="1:41" x14ac:dyDescent="0.3">
      <c r="A311" s="3" t="s">
        <v>1775</v>
      </c>
      <c r="B311" s="3" t="s">
        <v>1259</v>
      </c>
      <c r="C311" s="3" t="str">
        <f>knicks_players_all_stats[[#This Row],[NAME]]&amp;" ("&amp;knicks_players_all_stats[[#This Row],[SEASON]]&amp;")"</f>
        <v>Jarrett Jack (2017-18)</v>
      </c>
      <c r="D311" s="3">
        <f>knicks_players_all_stats[[#This Row],[PLAYER_AGE]]/10</f>
        <v>34</v>
      </c>
      <c r="E311">
        <v>340</v>
      </c>
      <c r="F311" s="2">
        <v>62</v>
      </c>
      <c r="G311" s="2">
        <v>15480</v>
      </c>
      <c r="H31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565</v>
      </c>
      <c r="I311" s="6">
        <f>knicks_players_all_stats[[#This Row],[VALORATION]]/knicks_players_all_stats[[#This Row],[GP]]</f>
        <v>9.112903225806452</v>
      </c>
      <c r="J311" s="2">
        <v>189</v>
      </c>
      <c r="K311" s="2">
        <v>443</v>
      </c>
      <c r="L311" s="2">
        <v>427</v>
      </c>
      <c r="M311" s="2">
        <v>250</v>
      </c>
      <c r="N311" s="2">
        <v>860</v>
      </c>
      <c r="O311" s="4">
        <f>knicks_players_all_stats[[#This Row],[FG3M]]/knicks_players_all_stats[[#This Row],[FG3A]]</f>
        <v>0.29069767441860467</v>
      </c>
      <c r="P311" s="2">
        <v>63</v>
      </c>
      <c r="Q311" s="2">
        <v>75</v>
      </c>
      <c r="R311" s="5">
        <f>knicks_players_all_stats[[#This Row],[FTM]]/knicks_players_all_stats[[#This Row],[FTA]]</f>
        <v>0.84</v>
      </c>
      <c r="S311" s="2">
        <f>knicks_players_all_stats[[#This Row],[OREB22]]/10</f>
        <v>22</v>
      </c>
      <c r="T311" s="2">
        <f>knicks_players_all_stats[[#This Row],[DREB33]]/10</f>
        <v>169</v>
      </c>
      <c r="U311" s="2">
        <f>knicks_players_all_stats[[#This Row],[REB44]]/10</f>
        <v>191</v>
      </c>
      <c r="V311">
        <v>220</v>
      </c>
      <c r="W311">
        <v>1690</v>
      </c>
      <c r="X311">
        <v>1910</v>
      </c>
      <c r="Y311" s="22">
        <f>knicks_players_all_stats[[#This Row],[REB]]/knicks_players_all_stats[[#This Row],[GP]]</f>
        <v>3.0806451612903225</v>
      </c>
      <c r="Z311" s="2">
        <v>348</v>
      </c>
      <c r="AA311" s="6">
        <f>knicks_players_all_stats[[#This Row],[AST]]/knicks_players_all_stats[[#This Row],[GP]]</f>
        <v>5.612903225806452</v>
      </c>
      <c r="AB311" s="2">
        <f>knicks_players_all_stats[[#This Row],[STL2]]/10</f>
        <v>35</v>
      </c>
      <c r="AC311" s="2">
        <v>350</v>
      </c>
      <c r="AD311" s="6">
        <f>knicks_players_all_stats[[#This Row],[STL]]/knicks_players_all_stats[[#This Row],[GP]]</f>
        <v>0.56451612903225812</v>
      </c>
      <c r="AE311">
        <v>40</v>
      </c>
      <c r="AF311" s="2">
        <f>knicks_players_all_stats[[#This Row],[BLK2]]/10</f>
        <v>4</v>
      </c>
      <c r="AG311" s="6">
        <f>knicks_players_all_stats[[#This Row],[BLK]]/knicks_players_all_stats[[#This Row],[GP]]</f>
        <v>6.4516129032258063E-2</v>
      </c>
      <c r="AH311">
        <v>1150</v>
      </c>
      <c r="AI311" s="6">
        <f>knicks_players_all_stats[[#This Row],[BLKPG]]+knicks_players_all_stats[[#This Row],[STLPG]]+knicks_players_all_stats[[#This Row],[REBPG]]</f>
        <v>3.709677419354839</v>
      </c>
      <c r="AJ311" s="2">
        <f>knicks_players_all_stats[[#This Row],[TOV2]]/10</f>
        <v>115</v>
      </c>
      <c r="AK311" s="6">
        <f>knicks_players_all_stats[[#This Row],[TOV]]/knicks_players_all_stats[[#This Row],[GP]]</f>
        <v>1.8548387096774193</v>
      </c>
      <c r="AL311" s="2">
        <v>98</v>
      </c>
      <c r="AM311" s="2">
        <f>knicks_players_all_stats[[#This Row],[PF]]/knicks_players_all_stats[[#This Row],[GP]]</f>
        <v>1.5806451612903225</v>
      </c>
      <c r="AN311" s="2">
        <v>466</v>
      </c>
      <c r="AO311" s="6">
        <f>knicks_players_all_stats[[#This Row],[PTS]]/knicks_players_all_stats[[#This Row],[GP]]</f>
        <v>7.5161290322580649</v>
      </c>
    </row>
    <row r="312" spans="1:41" customFormat="1" x14ac:dyDescent="0.3">
      <c r="A312" s="3" t="s">
        <v>1843</v>
      </c>
      <c r="B312" s="3" t="s">
        <v>1259</v>
      </c>
      <c r="C312" s="3" t="str">
        <f>knicks_players_all_stats[[#This Row],[NAME]]&amp;" ("&amp;knicks_players_all_stats[[#This Row],[SEASON]]&amp;")"</f>
        <v>Troy Williams (2017-18)</v>
      </c>
      <c r="D312" s="3">
        <f>knicks_players_all_stats[[#This Row],[PLAYER_AGE]]/10</f>
        <v>23</v>
      </c>
      <c r="E312">
        <v>230</v>
      </c>
      <c r="F312" s="2">
        <v>17</v>
      </c>
      <c r="G312" s="2">
        <v>2900</v>
      </c>
      <c r="H31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116</v>
      </c>
      <c r="I312" s="6">
        <f>knicks_players_all_stats[[#This Row],[VALORATION]]/knicks_players_all_stats[[#This Row],[GP]]</f>
        <v>6.8235294117647056</v>
      </c>
      <c r="J312" s="2">
        <v>49</v>
      </c>
      <c r="K312" s="2">
        <v>100</v>
      </c>
      <c r="L312" s="2">
        <v>49</v>
      </c>
      <c r="M312" s="2">
        <v>110</v>
      </c>
      <c r="N312" s="2">
        <v>330</v>
      </c>
      <c r="O312" s="4">
        <f>knicks_players_all_stats[[#This Row],[FG3M]]/knicks_players_all_stats[[#This Row],[FG3A]]</f>
        <v>0.33333333333333331</v>
      </c>
      <c r="P312" s="2">
        <v>19</v>
      </c>
      <c r="Q312" s="2">
        <v>27</v>
      </c>
      <c r="R312" s="5">
        <f>knicks_players_all_stats[[#This Row],[FTM]]/knicks_players_all_stats[[#This Row],[FTA]]</f>
        <v>0.70370370370370372</v>
      </c>
      <c r="S312" s="2">
        <f>knicks_players_all_stats[[#This Row],[OREB22]]/10</f>
        <v>21</v>
      </c>
      <c r="T312" s="2">
        <f>knicks_players_all_stats[[#This Row],[DREB33]]/10</f>
        <v>38</v>
      </c>
      <c r="U312" s="2">
        <f>knicks_players_all_stats[[#This Row],[REB44]]/10</f>
        <v>59</v>
      </c>
      <c r="V312">
        <v>210</v>
      </c>
      <c r="W312">
        <v>380</v>
      </c>
      <c r="X312">
        <v>590</v>
      </c>
      <c r="Y312" s="22">
        <f>knicks_players_all_stats[[#This Row],[REB]]/knicks_players_all_stats[[#This Row],[GP]]</f>
        <v>3.4705882352941178</v>
      </c>
      <c r="Z312" s="2">
        <v>15</v>
      </c>
      <c r="AA312" s="6">
        <f>knicks_players_all_stats[[#This Row],[AST]]/knicks_players_all_stats[[#This Row],[GP]]</f>
        <v>0.88235294117647056</v>
      </c>
      <c r="AB312" s="2">
        <f>knicks_players_all_stats[[#This Row],[STL2]]/10</f>
        <v>19</v>
      </c>
      <c r="AC312" s="2">
        <v>190</v>
      </c>
      <c r="AD312" s="6">
        <f>knicks_players_all_stats[[#This Row],[STL]]/knicks_players_all_stats[[#This Row],[GP]]</f>
        <v>1.1176470588235294</v>
      </c>
      <c r="AE312">
        <v>40</v>
      </c>
      <c r="AF312" s="2">
        <f>knicks_players_all_stats[[#This Row],[BLK2]]/10</f>
        <v>4</v>
      </c>
      <c r="AG312" s="6">
        <f>knicks_players_all_stats[[#This Row],[BLK]]/knicks_players_all_stats[[#This Row],[GP]]</f>
        <v>0.23529411764705882</v>
      </c>
      <c r="AH312">
        <v>180</v>
      </c>
      <c r="AI312" s="6">
        <f>knicks_players_all_stats[[#This Row],[BLKPG]]+knicks_players_all_stats[[#This Row],[STLPG]]+knicks_players_all_stats[[#This Row],[REBPG]]</f>
        <v>4.8235294117647065</v>
      </c>
      <c r="AJ312" s="2">
        <f>knicks_players_all_stats[[#This Row],[TOV2]]/10</f>
        <v>18</v>
      </c>
      <c r="AK312" s="6">
        <f>knicks_players_all_stats[[#This Row],[TOV]]/knicks_players_all_stats[[#This Row],[GP]]</f>
        <v>1.0588235294117647</v>
      </c>
      <c r="AL312" s="2">
        <v>32</v>
      </c>
      <c r="AM312" s="2">
        <f>knicks_players_all_stats[[#This Row],[PF]]/knicks_players_all_stats[[#This Row],[GP]]</f>
        <v>1.8823529411764706</v>
      </c>
      <c r="AN312" s="2">
        <v>128</v>
      </c>
      <c r="AO312" s="6">
        <f>knicks_players_all_stats[[#This Row],[PTS]]/knicks_players_all_stats[[#This Row],[GP]]</f>
        <v>7.5294117647058822</v>
      </c>
    </row>
    <row r="313" spans="1:41" customFormat="1" x14ac:dyDescent="0.3">
      <c r="A313" s="3" t="s">
        <v>1345</v>
      </c>
      <c r="B313" s="3" t="s">
        <v>1259</v>
      </c>
      <c r="C313" s="3" t="str">
        <f>knicks_players_all_stats[[#This Row],[NAME]]&amp;" ("&amp;knicks_players_all_stats[[#This Row],[SEASON]]&amp;")"</f>
        <v>Emmanuel Mudiay (2017-18)</v>
      </c>
      <c r="D313" s="3">
        <f>knicks_players_all_stats[[#This Row],[PLAYER_AGE]]/10</f>
        <v>22</v>
      </c>
      <c r="E313">
        <v>220</v>
      </c>
      <c r="F313" s="2">
        <v>22</v>
      </c>
      <c r="G313" s="2">
        <v>4930</v>
      </c>
      <c r="H31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145</v>
      </c>
      <c r="I313" s="6">
        <f>knicks_players_all_stats[[#This Row],[VALORATION]]/knicks_players_all_stats[[#This Row],[GP]]</f>
        <v>6.5909090909090908</v>
      </c>
      <c r="J313" s="2">
        <v>75</v>
      </c>
      <c r="K313" s="2">
        <v>204</v>
      </c>
      <c r="L313" s="4">
        <f>knicks_players_all_stats[[#This Row],[FGM]]/knicks_players_all_stats[[#This Row],[FGA]]</f>
        <v>0.36764705882352944</v>
      </c>
      <c r="M313" s="2">
        <v>90</v>
      </c>
      <c r="N313" s="2">
        <v>460</v>
      </c>
      <c r="O313" s="4">
        <f>knicks_players_all_stats[[#This Row],[FG3M]]/knicks_players_all_stats[[#This Row],[FG3A]]</f>
        <v>0.19565217391304349</v>
      </c>
      <c r="P313" s="2">
        <v>35</v>
      </c>
      <c r="Q313" s="2">
        <v>51</v>
      </c>
      <c r="R313" s="5">
        <f>knicks_players_all_stats[[#This Row],[FTM]]/knicks_players_all_stats[[#This Row],[FTA]]</f>
        <v>0.68627450980392157</v>
      </c>
      <c r="S313" s="2">
        <f>knicks_players_all_stats[[#This Row],[OREB22]]/10</f>
        <v>10</v>
      </c>
      <c r="T313" s="2">
        <f>knicks_players_all_stats[[#This Row],[DREB33]]/10</f>
        <v>48</v>
      </c>
      <c r="U313" s="2">
        <f>knicks_players_all_stats[[#This Row],[REB44]]/10</f>
        <v>58</v>
      </c>
      <c r="V313">
        <v>100</v>
      </c>
      <c r="W313">
        <v>480</v>
      </c>
      <c r="X313">
        <v>580</v>
      </c>
      <c r="Y313" s="22">
        <f>knicks_players_all_stats[[#This Row],[REB]]/knicks_players_all_stats[[#This Row],[GP]]</f>
        <v>2.6363636363636362</v>
      </c>
      <c r="Z313" s="2">
        <v>85</v>
      </c>
      <c r="AA313" s="6">
        <f>knicks_players_all_stats[[#This Row],[AST]]/knicks_players_all_stats[[#This Row],[GP]]</f>
        <v>3.8636363636363638</v>
      </c>
      <c r="AB313" s="2">
        <f>knicks_players_all_stats[[#This Row],[STL2]]/10</f>
        <v>20</v>
      </c>
      <c r="AC313" s="2">
        <v>200</v>
      </c>
      <c r="AD313" s="6">
        <f>knicks_players_all_stats[[#This Row],[STL]]/knicks_players_all_stats[[#This Row],[GP]]</f>
        <v>0.90909090909090906</v>
      </c>
      <c r="AE313">
        <v>70</v>
      </c>
      <c r="AF313" s="2">
        <f>knicks_players_all_stats[[#This Row],[BLK2]]/10</f>
        <v>7</v>
      </c>
      <c r="AG313" s="6">
        <f>knicks_players_all_stats[[#This Row],[BLK]]/knicks_players_all_stats[[#This Row],[GP]]</f>
        <v>0.31818181818181818</v>
      </c>
      <c r="AH313">
        <v>410</v>
      </c>
      <c r="AI313" s="6">
        <f>knicks_players_all_stats[[#This Row],[BLKPG]]+knicks_players_all_stats[[#This Row],[STLPG]]+knicks_players_all_stats[[#This Row],[REBPG]]</f>
        <v>3.8636363636363633</v>
      </c>
      <c r="AJ313" s="2">
        <f>knicks_players_all_stats[[#This Row],[TOV2]]/10</f>
        <v>41</v>
      </c>
      <c r="AK313" s="6">
        <f>knicks_players_all_stats[[#This Row],[TOV]]/knicks_players_all_stats[[#This Row],[GP]]</f>
        <v>1.8636363636363635</v>
      </c>
      <c r="AL313" s="2">
        <v>33</v>
      </c>
      <c r="AM313" s="2">
        <f>knicks_players_all_stats[[#This Row],[PF]]/knicks_players_all_stats[[#This Row],[GP]]</f>
        <v>1.5</v>
      </c>
      <c r="AN313" s="2">
        <v>194</v>
      </c>
      <c r="AO313" s="6">
        <f>knicks_players_all_stats[[#This Row],[PTS]]/knicks_players_all_stats[[#This Row],[GP]]</f>
        <v>8.8181818181818183</v>
      </c>
    </row>
    <row r="314" spans="1:41" customFormat="1" x14ac:dyDescent="0.3">
      <c r="A314" s="3" t="s">
        <v>1606</v>
      </c>
      <c r="B314" s="3" t="s">
        <v>1259</v>
      </c>
      <c r="C314" s="3" t="str">
        <f>knicks_players_all_stats[[#This Row],[NAME]]&amp;" ("&amp;knicks_players_all_stats[[#This Row],[SEASON]]&amp;")"</f>
        <v>Luke Kornet (2017-18)</v>
      </c>
      <c r="D314" s="3">
        <f>knicks_players_all_stats[[#This Row],[PLAYER_AGE]]/10</f>
        <v>22</v>
      </c>
      <c r="E314">
        <v>220</v>
      </c>
      <c r="F314" s="2">
        <v>20</v>
      </c>
      <c r="G314" s="2">
        <v>3260</v>
      </c>
      <c r="H31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127</v>
      </c>
      <c r="I314" s="6">
        <f>knicks_players_all_stats[[#This Row],[VALORATION]]/knicks_players_all_stats[[#This Row],[GP]]</f>
        <v>6.35</v>
      </c>
      <c r="J314" s="2">
        <v>49</v>
      </c>
      <c r="K314" s="2">
        <v>125</v>
      </c>
      <c r="L314" s="4">
        <f>knicks_players_all_stats[[#This Row],[FGM]]/knicks_players_all_stats[[#This Row],[FGA]]</f>
        <v>0.39200000000000002</v>
      </c>
      <c r="M314" s="2">
        <v>280</v>
      </c>
      <c r="N314" s="2">
        <v>790</v>
      </c>
      <c r="O314" s="4">
        <f>knicks_players_all_stats[[#This Row],[FG3M]]/knicks_players_all_stats[[#This Row],[FG3A]]</f>
        <v>0.35443037974683544</v>
      </c>
      <c r="P314" s="2">
        <v>8</v>
      </c>
      <c r="Q314" s="2">
        <v>11</v>
      </c>
      <c r="R314" s="5">
        <f>knicks_players_all_stats[[#This Row],[FTM]]/knicks_players_all_stats[[#This Row],[FTA]]</f>
        <v>0.72727272727272729</v>
      </c>
      <c r="S314" s="2">
        <f>knicks_players_all_stats[[#This Row],[OREB22]]/10</f>
        <v>11</v>
      </c>
      <c r="T314" s="2">
        <f>knicks_players_all_stats[[#This Row],[DREB33]]/10</f>
        <v>53</v>
      </c>
      <c r="U314" s="2">
        <f>knicks_players_all_stats[[#This Row],[REB44]]/10</f>
        <v>64</v>
      </c>
      <c r="V314">
        <v>110</v>
      </c>
      <c r="W314">
        <v>530</v>
      </c>
      <c r="X314">
        <v>640</v>
      </c>
      <c r="Y314" s="22">
        <f>knicks_players_all_stats[[#This Row],[REB]]/knicks_players_all_stats[[#This Row],[GP]]</f>
        <v>3.2</v>
      </c>
      <c r="Z314" s="2">
        <v>26</v>
      </c>
      <c r="AA314" s="6">
        <f>knicks_players_all_stats[[#This Row],[AST]]/knicks_players_all_stats[[#This Row],[GP]]</f>
        <v>1.3</v>
      </c>
      <c r="AB314" s="2">
        <f>knicks_players_all_stats[[#This Row],[STL2]]/10</f>
        <v>6</v>
      </c>
      <c r="AC314" s="2">
        <v>60</v>
      </c>
      <c r="AD314" s="6">
        <f>knicks_players_all_stats[[#This Row],[STL]]/knicks_players_all_stats[[#This Row],[GP]]</f>
        <v>0.3</v>
      </c>
      <c r="AE314">
        <v>160</v>
      </c>
      <c r="AF314" s="2">
        <f>knicks_players_all_stats[[#This Row],[BLK2]]/10</f>
        <v>16</v>
      </c>
      <c r="AG314" s="6">
        <f>knicks_players_all_stats[[#This Row],[BLK]]/knicks_players_all_stats[[#This Row],[GP]]</f>
        <v>0.8</v>
      </c>
      <c r="AH314">
        <v>120</v>
      </c>
      <c r="AI314" s="6">
        <f>knicks_players_all_stats[[#This Row],[BLKPG]]+knicks_players_all_stats[[#This Row],[STLPG]]+knicks_players_all_stats[[#This Row],[REBPG]]</f>
        <v>4.3000000000000007</v>
      </c>
      <c r="AJ314" s="2">
        <f>knicks_players_all_stats[[#This Row],[TOV2]]/10</f>
        <v>12</v>
      </c>
      <c r="AK314" s="6">
        <f>knicks_players_all_stats[[#This Row],[TOV]]/knicks_players_all_stats[[#This Row],[GP]]</f>
        <v>0.6</v>
      </c>
      <c r="AL314" s="2">
        <v>28</v>
      </c>
      <c r="AM314" s="2">
        <f>knicks_players_all_stats[[#This Row],[PF]]/knicks_players_all_stats[[#This Row],[GP]]</f>
        <v>1.4</v>
      </c>
      <c r="AN314" s="2">
        <v>134</v>
      </c>
      <c r="AO314" s="6">
        <f>knicks_players_all_stats[[#This Row],[PTS]]/knicks_players_all_stats[[#This Row],[GP]]</f>
        <v>6.7</v>
      </c>
    </row>
    <row r="315" spans="1:41" customFormat="1" x14ac:dyDescent="0.3">
      <c r="A315" s="3" t="s">
        <v>1427</v>
      </c>
      <c r="B315" s="3" t="s">
        <v>1259</v>
      </c>
      <c r="C315" s="3" t="str">
        <f>knicks_players_all_stats[[#This Row],[NAME]]&amp;" ("&amp;knicks_players_all_stats[[#This Row],[SEASON]]&amp;")"</f>
        <v>Doug McDermott (2017-18)</v>
      </c>
      <c r="D315" s="3">
        <f>knicks_players_all_stats[[#This Row],[PLAYER_AGE]]/10</f>
        <v>26</v>
      </c>
      <c r="E315">
        <v>260</v>
      </c>
      <c r="F315" s="2">
        <v>55</v>
      </c>
      <c r="G315" s="2">
        <v>11720</v>
      </c>
      <c r="H31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304</v>
      </c>
      <c r="I315" s="6">
        <f>knicks_players_all_stats[[#This Row],[VALORATION]]/knicks_players_all_stats[[#This Row],[GP]]</f>
        <v>5.5272727272727273</v>
      </c>
      <c r="J315" s="2">
        <v>151</v>
      </c>
      <c r="K315" s="2">
        <v>328</v>
      </c>
      <c r="L315" s="4">
        <f>knicks_players_all_stats[[#This Row],[FGM]]/knicks_players_all_stats[[#This Row],[FGA]]</f>
        <v>0.46036585365853661</v>
      </c>
      <c r="M315" s="2">
        <v>530</v>
      </c>
      <c r="N315" s="2">
        <v>1370</v>
      </c>
      <c r="O315" s="4">
        <f>knicks_players_all_stats[[#This Row],[FG3M]]/knicks_players_all_stats[[#This Row],[FG3A]]</f>
        <v>0.38686131386861317</v>
      </c>
      <c r="P315" s="2">
        <v>40</v>
      </c>
      <c r="Q315" s="2">
        <v>53</v>
      </c>
      <c r="R315" s="5">
        <f>knicks_players_all_stats[[#This Row],[FTM]]/knicks_players_all_stats[[#This Row],[FTA]]</f>
        <v>0.75471698113207553</v>
      </c>
      <c r="S315" s="2">
        <f>knicks_players_all_stats[[#This Row],[OREB22]]/10</f>
        <v>33</v>
      </c>
      <c r="T315" s="2">
        <f>knicks_players_all_stats[[#This Row],[DREB33]]/10</f>
        <v>101</v>
      </c>
      <c r="U315" s="2">
        <f>knicks_players_all_stats[[#This Row],[REB44]]/10</f>
        <v>134</v>
      </c>
      <c r="V315">
        <v>330</v>
      </c>
      <c r="W315">
        <v>1010</v>
      </c>
      <c r="X315">
        <v>1340</v>
      </c>
      <c r="Y315" s="22">
        <f>knicks_players_all_stats[[#This Row],[REB]]/knicks_players_all_stats[[#This Row],[GP]]</f>
        <v>2.4363636363636365</v>
      </c>
      <c r="Z315" s="2">
        <v>50</v>
      </c>
      <c r="AA315" s="6">
        <f>knicks_players_all_stats[[#This Row],[AST]]/knicks_players_all_stats[[#This Row],[GP]]</f>
        <v>0.90909090909090906</v>
      </c>
      <c r="AB315" s="2">
        <f>knicks_players_all_stats[[#This Row],[STL2]]/10</f>
        <v>10</v>
      </c>
      <c r="AC315" s="2">
        <v>100</v>
      </c>
      <c r="AD315" s="6">
        <f>knicks_players_all_stats[[#This Row],[STL]]/knicks_players_all_stats[[#This Row],[GP]]</f>
        <v>0.18181818181818182</v>
      </c>
      <c r="AE315">
        <v>120</v>
      </c>
      <c r="AF315" s="2">
        <f>knicks_players_all_stats[[#This Row],[BLK2]]/10</f>
        <v>12</v>
      </c>
      <c r="AG315" s="6">
        <f>knicks_players_all_stats[[#This Row],[BLK]]/knicks_players_all_stats[[#This Row],[GP]]</f>
        <v>0.21818181818181817</v>
      </c>
      <c r="AH315">
        <v>340</v>
      </c>
      <c r="AI315" s="6">
        <f>knicks_players_all_stats[[#This Row],[BLKPG]]+knicks_players_all_stats[[#This Row],[STLPG]]+knicks_players_all_stats[[#This Row],[REBPG]]</f>
        <v>2.8363636363636364</v>
      </c>
      <c r="AJ315" s="2">
        <f>knicks_players_all_stats[[#This Row],[TOV2]]/10</f>
        <v>34</v>
      </c>
      <c r="AK315" s="6">
        <f>knicks_players_all_stats[[#This Row],[TOV]]/knicks_players_all_stats[[#This Row],[GP]]</f>
        <v>0.61818181818181817</v>
      </c>
      <c r="AL315" s="2">
        <v>73</v>
      </c>
      <c r="AM315" s="2">
        <f>knicks_players_all_stats[[#This Row],[PF]]/knicks_players_all_stats[[#This Row],[GP]]</f>
        <v>1.3272727272727274</v>
      </c>
      <c r="AN315" s="2">
        <v>395</v>
      </c>
      <c r="AO315" s="6">
        <f>knicks_players_all_stats[[#This Row],[PTS]]/knicks_players_all_stats[[#This Row],[GP]]</f>
        <v>7.1818181818181817</v>
      </c>
    </row>
    <row r="316" spans="1:41" customFormat="1" x14ac:dyDescent="0.3">
      <c r="A316" s="3" t="s">
        <v>1286</v>
      </c>
      <c r="B316" s="3" t="s">
        <v>1259</v>
      </c>
      <c r="C316" s="3" t="str">
        <f>knicks_players_all_stats[[#This Row],[NAME]]&amp;" ("&amp;knicks_players_all_stats[[#This Row],[SEASON]]&amp;")"</f>
        <v>Frank Ntilikina (2017-18)</v>
      </c>
      <c r="D316" s="3">
        <f>knicks_players_all_stats[[#This Row],[PLAYER_AGE]]/10</f>
        <v>19</v>
      </c>
      <c r="E316">
        <v>190</v>
      </c>
      <c r="F316" s="2">
        <v>78</v>
      </c>
      <c r="G316" s="2">
        <v>17060</v>
      </c>
      <c r="H31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324</v>
      </c>
      <c r="I316" s="6">
        <f>knicks_players_all_stats[[#This Row],[VALORATION]]/knicks_players_all_stats[[#This Row],[GP]]</f>
        <v>4.1538461538461542</v>
      </c>
      <c r="J316" s="2">
        <v>182</v>
      </c>
      <c r="K316" s="2">
        <v>500</v>
      </c>
      <c r="L316" s="4">
        <f>knicks_players_all_stats[[#This Row],[FGM]]/knicks_players_all_stats[[#This Row],[FGA]]</f>
        <v>0.36399999999999999</v>
      </c>
      <c r="M316" s="2">
        <v>500</v>
      </c>
      <c r="N316" s="2">
        <v>1570</v>
      </c>
      <c r="O316" s="4">
        <f>knicks_players_all_stats[[#This Row],[FG3M]]/knicks_players_all_stats[[#This Row],[FG3A]]</f>
        <v>0.31847133757961782</v>
      </c>
      <c r="P316" s="2">
        <v>49</v>
      </c>
      <c r="Q316" s="2">
        <v>68</v>
      </c>
      <c r="R316" s="5">
        <f>knicks_players_all_stats[[#This Row],[FTM]]/knicks_players_all_stats[[#This Row],[FTA]]</f>
        <v>0.72058823529411764</v>
      </c>
      <c r="S316" s="2">
        <f>knicks_players_all_stats[[#This Row],[OREB22]]/10</f>
        <v>37</v>
      </c>
      <c r="T316" s="2">
        <f>knicks_players_all_stats[[#This Row],[DREB33]]/10</f>
        <v>140</v>
      </c>
      <c r="U316" s="2">
        <f>knicks_players_all_stats[[#This Row],[REB44]]/10</f>
        <v>177</v>
      </c>
      <c r="V316">
        <v>370</v>
      </c>
      <c r="W316">
        <v>1400</v>
      </c>
      <c r="X316">
        <v>1770</v>
      </c>
      <c r="Y316" s="22">
        <f>knicks_players_all_stats[[#This Row],[REB]]/knicks_players_all_stats[[#This Row],[GP]]</f>
        <v>2.2692307692307692</v>
      </c>
      <c r="Z316" s="2">
        <v>250</v>
      </c>
      <c r="AA316" s="6">
        <f>knicks_players_all_stats[[#This Row],[AST]]/knicks_players_all_stats[[#This Row],[GP]]</f>
        <v>3.2051282051282053</v>
      </c>
      <c r="AB316" s="2">
        <f>knicks_players_all_stats[[#This Row],[STL2]]/10</f>
        <v>65</v>
      </c>
      <c r="AC316" s="2">
        <v>650</v>
      </c>
      <c r="AD316" s="6">
        <f>knicks_players_all_stats[[#This Row],[STL]]/knicks_players_all_stats[[#This Row],[GP]]</f>
        <v>0.83333333333333337</v>
      </c>
      <c r="AE316">
        <v>180</v>
      </c>
      <c r="AF316" s="2">
        <f>knicks_players_all_stats[[#This Row],[BLK2]]/10</f>
        <v>18</v>
      </c>
      <c r="AG316" s="6">
        <f>knicks_players_all_stats[[#This Row],[BLK]]/knicks_players_all_stats[[#This Row],[GP]]</f>
        <v>0.23076923076923078</v>
      </c>
      <c r="AH316">
        <v>1310</v>
      </c>
      <c r="AI316" s="6">
        <f>knicks_players_all_stats[[#This Row],[BLKPG]]+knicks_players_all_stats[[#This Row],[STLPG]]+knicks_players_all_stats[[#This Row],[REBPG]]</f>
        <v>3.333333333333333</v>
      </c>
      <c r="AJ316" s="2">
        <f>knicks_players_all_stats[[#This Row],[TOV2]]/10</f>
        <v>131</v>
      </c>
      <c r="AK316" s="6">
        <f>knicks_players_all_stats[[#This Row],[TOV]]/knicks_players_all_stats[[#This Row],[GP]]</f>
        <v>1.6794871794871795</v>
      </c>
      <c r="AL316" s="2">
        <v>181</v>
      </c>
      <c r="AM316" s="2">
        <f>knicks_players_all_stats[[#This Row],[PF]]/knicks_players_all_stats[[#This Row],[GP]]</f>
        <v>2.3205128205128207</v>
      </c>
      <c r="AN316" s="2">
        <v>463</v>
      </c>
      <c r="AO316" s="6">
        <f>knicks_players_all_stats[[#This Row],[PTS]]/knicks_players_all_stats[[#This Row],[GP]]</f>
        <v>5.9358974358974361</v>
      </c>
    </row>
    <row r="317" spans="1:41" customFormat="1" x14ac:dyDescent="0.3">
      <c r="A317" s="3" t="s">
        <v>1530</v>
      </c>
      <c r="B317" s="3" t="s">
        <v>1259</v>
      </c>
      <c r="C317" s="3" t="str">
        <f>knicks_players_all_stats[[#This Row],[NAME]]&amp;" ("&amp;knicks_players_all_stats[[#This Row],[SEASON]]&amp;")"</f>
        <v>Willy Hernangomez (2017-18)</v>
      </c>
      <c r="D317" s="3">
        <f>knicks_players_all_stats[[#This Row],[PLAYER_AGE]]/10</f>
        <v>24</v>
      </c>
      <c r="E317">
        <v>240</v>
      </c>
      <c r="F317" s="2">
        <v>26</v>
      </c>
      <c r="G317" s="2">
        <v>2330</v>
      </c>
      <c r="H31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108</v>
      </c>
      <c r="I317" s="6">
        <f>knicks_players_all_stats[[#This Row],[VALORATION]]/knicks_players_all_stats[[#This Row],[GP]]</f>
        <v>4.1538461538461542</v>
      </c>
      <c r="J317" s="2">
        <v>49</v>
      </c>
      <c r="K317" s="2">
        <v>81</v>
      </c>
      <c r="L317" s="4">
        <f>knicks_players_all_stats[[#This Row],[FGM]]/knicks_players_all_stats[[#This Row],[FGA]]</f>
        <v>0.60493827160493829</v>
      </c>
      <c r="M317" s="2">
        <v>10</v>
      </c>
      <c r="N317" s="2">
        <v>50</v>
      </c>
      <c r="O317" s="4">
        <f>knicks_players_all_stats[[#This Row],[FG3M]]/knicks_players_all_stats[[#This Row],[FG3A]]</f>
        <v>0.2</v>
      </c>
      <c r="P317" s="2">
        <v>12</v>
      </c>
      <c r="Q317" s="2">
        <v>28</v>
      </c>
      <c r="R317" s="5">
        <f>knicks_players_all_stats[[#This Row],[FTM]]/knicks_players_all_stats[[#This Row],[FTA]]</f>
        <v>0.42857142857142855</v>
      </c>
      <c r="S317" s="2">
        <f>knicks_players_all_stats[[#This Row],[OREB22]]/10</f>
        <v>22</v>
      </c>
      <c r="T317" s="2">
        <f>knicks_players_all_stats[[#This Row],[DREB33]]/10</f>
        <v>45</v>
      </c>
      <c r="U317" s="2">
        <f>knicks_players_all_stats[[#This Row],[REB44]]/10</f>
        <v>67</v>
      </c>
      <c r="V317">
        <v>220</v>
      </c>
      <c r="W317">
        <v>450</v>
      </c>
      <c r="X317">
        <v>670</v>
      </c>
      <c r="Y317" s="22">
        <f>knicks_players_all_stats[[#This Row],[REB]]/knicks_players_all_stats[[#This Row],[GP]]</f>
        <v>2.5769230769230771</v>
      </c>
      <c r="Z317" s="2">
        <v>21</v>
      </c>
      <c r="AA317" s="6">
        <f>knicks_players_all_stats[[#This Row],[AST]]/knicks_players_all_stats[[#This Row],[GP]]</f>
        <v>0.80769230769230771</v>
      </c>
      <c r="AB317" s="2">
        <f>knicks_players_all_stats[[#This Row],[STL2]]/10</f>
        <v>8</v>
      </c>
      <c r="AC317" s="2">
        <v>80</v>
      </c>
      <c r="AD317" s="6">
        <f>knicks_players_all_stats[[#This Row],[STL]]/knicks_players_all_stats[[#This Row],[GP]]</f>
        <v>0.30769230769230771</v>
      </c>
      <c r="AE317">
        <v>70</v>
      </c>
      <c r="AF317" s="2">
        <f>knicks_players_all_stats[[#This Row],[BLK2]]/10</f>
        <v>7</v>
      </c>
      <c r="AG317" s="6">
        <f>knicks_players_all_stats[[#This Row],[BLK]]/knicks_players_all_stats[[#This Row],[GP]]</f>
        <v>0.26923076923076922</v>
      </c>
      <c r="AH317">
        <v>260</v>
      </c>
      <c r="AI317" s="6">
        <f>knicks_players_all_stats[[#This Row],[BLKPG]]+knicks_players_all_stats[[#This Row],[STLPG]]+knicks_players_all_stats[[#This Row],[REBPG]]</f>
        <v>3.1538461538461542</v>
      </c>
      <c r="AJ317" s="2">
        <f>knicks_players_all_stats[[#This Row],[TOV2]]/10</f>
        <v>26</v>
      </c>
      <c r="AK317" s="6">
        <f>knicks_players_all_stats[[#This Row],[TOV]]/knicks_players_all_stats[[#This Row],[GP]]</f>
        <v>1</v>
      </c>
      <c r="AL317" s="2">
        <v>32</v>
      </c>
      <c r="AM317" s="2">
        <f>knicks_players_all_stats[[#This Row],[PF]]/knicks_players_all_stats[[#This Row],[GP]]</f>
        <v>1.2307692307692308</v>
      </c>
      <c r="AN317" s="2">
        <v>111</v>
      </c>
      <c r="AO317" s="6">
        <f>knicks_players_all_stats[[#This Row],[PTS]]/knicks_players_all_stats[[#This Row],[GP]]</f>
        <v>4.2692307692307692</v>
      </c>
    </row>
    <row r="318" spans="1:41" customFormat="1" x14ac:dyDescent="0.3">
      <c r="A318" s="3" t="s">
        <v>1583</v>
      </c>
      <c r="B318" s="3" t="s">
        <v>1259</v>
      </c>
      <c r="C318" s="3" t="str">
        <f>knicks_players_all_stats[[#This Row],[NAME]]&amp;" ("&amp;knicks_players_all_stats[[#This Row],[SEASON]]&amp;")"</f>
        <v>Damyean Dotson (2017-18)</v>
      </c>
      <c r="D318" s="3">
        <f>knicks_players_all_stats[[#This Row],[PLAYER_AGE]]/10</f>
        <v>24</v>
      </c>
      <c r="E318">
        <v>240</v>
      </c>
      <c r="F318" s="2">
        <v>44</v>
      </c>
      <c r="G318" s="2">
        <v>4740</v>
      </c>
      <c r="H31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164</v>
      </c>
      <c r="I318" s="6">
        <f>knicks_players_all_stats[[#This Row],[VALORATION]]/knicks_players_all_stats[[#This Row],[GP]]</f>
        <v>3.7272727272727271</v>
      </c>
      <c r="J318" s="2">
        <v>72</v>
      </c>
      <c r="K318" s="2">
        <v>161</v>
      </c>
      <c r="L318" s="4">
        <f>knicks_players_all_stats[[#This Row],[FGM]]/knicks_players_all_stats[[#This Row],[FGA]]</f>
        <v>0.44720496894409939</v>
      </c>
      <c r="M318" s="2">
        <v>220</v>
      </c>
      <c r="N318" s="2">
        <v>680</v>
      </c>
      <c r="O318" s="4">
        <f>knicks_players_all_stats[[#This Row],[FG3M]]/knicks_players_all_stats[[#This Row],[FG3A]]</f>
        <v>0.3235294117647059</v>
      </c>
      <c r="P318" s="2">
        <v>16</v>
      </c>
      <c r="Q318" s="2">
        <v>23</v>
      </c>
      <c r="R318" s="5">
        <f>knicks_players_all_stats[[#This Row],[FTM]]/knicks_players_all_stats[[#This Row],[FTA]]</f>
        <v>0.69565217391304346</v>
      </c>
      <c r="S318" s="2">
        <f>knicks_players_all_stats[[#This Row],[OREB22]]/10</f>
        <v>9</v>
      </c>
      <c r="T318" s="2">
        <f>knicks_players_all_stats[[#This Row],[DREB33]]/10</f>
        <v>75</v>
      </c>
      <c r="U318" s="2">
        <f>knicks_players_all_stats[[#This Row],[REB44]]/10</f>
        <v>84</v>
      </c>
      <c r="V318">
        <v>90</v>
      </c>
      <c r="W318">
        <v>750</v>
      </c>
      <c r="X318">
        <v>840</v>
      </c>
      <c r="Y318" s="22">
        <f>knicks_players_all_stats[[#This Row],[REB]]/knicks_players_all_stats[[#This Row],[GP]]</f>
        <v>1.9090909090909092</v>
      </c>
      <c r="Z318" s="2">
        <v>31</v>
      </c>
      <c r="AA318" s="6">
        <f>knicks_players_all_stats[[#This Row],[AST]]/knicks_players_all_stats[[#This Row],[GP]]</f>
        <v>0.70454545454545459</v>
      </c>
      <c r="AB318" s="2">
        <f>knicks_players_all_stats[[#This Row],[STL2]]/10</f>
        <v>12</v>
      </c>
      <c r="AC318" s="2">
        <v>120</v>
      </c>
      <c r="AD318" s="6">
        <f>knicks_players_all_stats[[#This Row],[STL]]/knicks_players_all_stats[[#This Row],[GP]]</f>
        <v>0.27272727272727271</v>
      </c>
      <c r="AE318">
        <v>20</v>
      </c>
      <c r="AF318" s="2">
        <f>knicks_players_all_stats[[#This Row],[BLK2]]/10</f>
        <v>2</v>
      </c>
      <c r="AG318" s="6">
        <f>knicks_players_all_stats[[#This Row],[BLK]]/knicks_players_all_stats[[#This Row],[GP]]</f>
        <v>4.5454545454545456E-2</v>
      </c>
      <c r="AH318">
        <v>170</v>
      </c>
      <c r="AI318" s="6">
        <f>knicks_players_all_stats[[#This Row],[BLKPG]]+knicks_players_all_stats[[#This Row],[STLPG]]+knicks_players_all_stats[[#This Row],[REBPG]]</f>
        <v>2.2272727272727275</v>
      </c>
      <c r="AJ318" s="2">
        <f>knicks_players_all_stats[[#This Row],[TOV2]]/10</f>
        <v>17</v>
      </c>
      <c r="AK318" s="6">
        <f>knicks_players_all_stats[[#This Row],[TOV]]/knicks_players_all_stats[[#This Row],[GP]]</f>
        <v>0.38636363636363635</v>
      </c>
      <c r="AL318" s="2">
        <v>34</v>
      </c>
      <c r="AM318" s="2">
        <f>knicks_players_all_stats[[#This Row],[PF]]/knicks_players_all_stats[[#This Row],[GP]]</f>
        <v>0.77272727272727271</v>
      </c>
      <c r="AN318" s="2">
        <v>182</v>
      </c>
      <c r="AO318" s="6">
        <f>knicks_players_all_stats[[#This Row],[PTS]]/knicks_players_all_stats[[#This Row],[GP]]</f>
        <v>4.1363636363636367</v>
      </c>
    </row>
    <row r="319" spans="1:41" customFormat="1" x14ac:dyDescent="0.3">
      <c r="A319" s="3" t="s">
        <v>1791</v>
      </c>
      <c r="B319" s="3" t="s">
        <v>1259</v>
      </c>
      <c r="C319" s="3" t="str">
        <f>knicks_players_all_stats[[#This Row],[NAME]]&amp;" ("&amp;knicks_players_all_stats[[#This Row],[SEASON]]&amp;")"</f>
        <v>Lance Thomas (2017-18)</v>
      </c>
      <c r="D319" s="3">
        <f>knicks_players_all_stats[[#This Row],[PLAYER_AGE]]/10</f>
        <v>30</v>
      </c>
      <c r="E319">
        <v>300</v>
      </c>
      <c r="F319" s="2">
        <v>73</v>
      </c>
      <c r="G319" s="2">
        <v>13530</v>
      </c>
      <c r="H31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212</v>
      </c>
      <c r="I319" s="6">
        <f>knicks_players_all_stats[[#This Row],[VALORATION]]/knicks_players_all_stats[[#This Row],[GP]]</f>
        <v>2.904109589041096</v>
      </c>
      <c r="J319" s="2">
        <v>102</v>
      </c>
      <c r="K319" s="2">
        <v>267</v>
      </c>
      <c r="L319" s="2">
        <v>382</v>
      </c>
      <c r="M319" s="2">
        <v>500</v>
      </c>
      <c r="N319" s="2">
        <v>1240</v>
      </c>
      <c r="O319" s="4">
        <f>knicks_players_all_stats[[#This Row],[FG3M]]/knicks_players_all_stats[[#This Row],[FG3A]]</f>
        <v>0.40322580645161288</v>
      </c>
      <c r="P319" s="2">
        <v>44</v>
      </c>
      <c r="Q319" s="2">
        <v>53</v>
      </c>
      <c r="R319" s="5">
        <f>knicks_players_all_stats[[#This Row],[FTM]]/knicks_players_all_stats[[#This Row],[FTA]]</f>
        <v>0.83018867924528306</v>
      </c>
      <c r="S319" s="2">
        <f>knicks_players_all_stats[[#This Row],[OREB22]]/10</f>
        <v>44</v>
      </c>
      <c r="T319" s="2">
        <f>knicks_players_all_stats[[#This Row],[DREB33]]/10</f>
        <v>131</v>
      </c>
      <c r="U319" s="2">
        <f>knicks_players_all_stats[[#This Row],[REB44]]/10</f>
        <v>175</v>
      </c>
      <c r="V319">
        <v>440</v>
      </c>
      <c r="W319">
        <v>1310</v>
      </c>
      <c r="X319">
        <v>1750</v>
      </c>
      <c r="Y319" s="22">
        <f>knicks_players_all_stats[[#This Row],[REB]]/knicks_players_all_stats[[#This Row],[GP]]</f>
        <v>2.3972602739726026</v>
      </c>
      <c r="Z319" s="2">
        <v>44</v>
      </c>
      <c r="AA319" s="6">
        <f>knicks_players_all_stats[[#This Row],[AST]]/knicks_players_all_stats[[#This Row],[GP]]</f>
        <v>0.60273972602739723</v>
      </c>
      <c r="AB319" s="2">
        <f>knicks_players_all_stats[[#This Row],[STL2]]/10</f>
        <v>30</v>
      </c>
      <c r="AC319" s="2">
        <v>300</v>
      </c>
      <c r="AD319" s="6">
        <f>knicks_players_all_stats[[#This Row],[STL]]/knicks_players_all_stats[[#This Row],[GP]]</f>
        <v>0.41095890410958902</v>
      </c>
      <c r="AE319">
        <v>140</v>
      </c>
      <c r="AF319" s="2">
        <f>knicks_players_all_stats[[#This Row],[BLK2]]/10</f>
        <v>14</v>
      </c>
      <c r="AG319" s="6">
        <f>knicks_players_all_stats[[#This Row],[BLK]]/knicks_players_all_stats[[#This Row],[GP]]</f>
        <v>0.19178082191780821</v>
      </c>
      <c r="AH319">
        <v>410</v>
      </c>
      <c r="AI319" s="6">
        <f>knicks_players_all_stats[[#This Row],[BLKPG]]+knicks_players_all_stats[[#This Row],[STLPG]]+knicks_players_all_stats[[#This Row],[REBPG]]</f>
        <v>3</v>
      </c>
      <c r="AJ319" s="2">
        <f>knicks_players_all_stats[[#This Row],[TOV2]]/10</f>
        <v>41</v>
      </c>
      <c r="AK319" s="6">
        <f>knicks_players_all_stats[[#This Row],[TOV]]/knicks_players_all_stats[[#This Row],[GP]]</f>
        <v>0.56164383561643838</v>
      </c>
      <c r="AL319" s="2">
        <v>134</v>
      </c>
      <c r="AM319" s="2">
        <f>knicks_players_all_stats[[#This Row],[PF]]/knicks_players_all_stats[[#This Row],[GP]]</f>
        <v>1.8356164383561644</v>
      </c>
      <c r="AN319" s="2">
        <v>298</v>
      </c>
      <c r="AO319" s="6">
        <f>knicks_players_all_stats[[#This Row],[PTS]]/knicks_players_all_stats[[#This Row],[GP]]</f>
        <v>4.0821917808219181</v>
      </c>
    </row>
    <row r="320" spans="1:41" customFormat="1" x14ac:dyDescent="0.3">
      <c r="A320" s="3" t="s">
        <v>1457</v>
      </c>
      <c r="B320" s="3" t="s">
        <v>1259</v>
      </c>
      <c r="C320" s="3" t="str">
        <f>knicks_players_all_stats[[#This Row],[NAME]]&amp;" ("&amp;knicks_players_all_stats[[#This Row],[SEASON]]&amp;")"</f>
        <v>Ron Baker (2017-18)</v>
      </c>
      <c r="D320" s="3">
        <f>knicks_players_all_stats[[#This Row],[PLAYER_AGE]]/10</f>
        <v>25</v>
      </c>
      <c r="E320">
        <v>250</v>
      </c>
      <c r="F320" s="2">
        <v>29</v>
      </c>
      <c r="G320" s="2">
        <v>3850</v>
      </c>
      <c r="H32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84</v>
      </c>
      <c r="I320" s="6">
        <f>knicks_players_all_stats[[#This Row],[VALORATION]]/knicks_players_all_stats[[#This Row],[GP]]</f>
        <v>2.896551724137931</v>
      </c>
      <c r="J320" s="2">
        <v>20</v>
      </c>
      <c r="K320" s="2">
        <v>59</v>
      </c>
      <c r="L320" s="4">
        <f>knicks_players_all_stats[[#This Row],[FGM]]/knicks_players_all_stats[[#This Row],[FGA]]</f>
        <v>0.33898305084745761</v>
      </c>
      <c r="M320" s="2">
        <v>110</v>
      </c>
      <c r="N320" s="2">
        <v>330</v>
      </c>
      <c r="O320" s="4">
        <f>knicks_players_all_stats[[#This Row],[FG3M]]/knicks_players_all_stats[[#This Row],[FG3A]]</f>
        <v>0.33333333333333331</v>
      </c>
      <c r="P320" s="2">
        <v>20</v>
      </c>
      <c r="Q320" s="2">
        <v>26</v>
      </c>
      <c r="R320" s="5">
        <f>knicks_players_all_stats[[#This Row],[FTM]]/knicks_players_all_stats[[#This Row],[FTA]]</f>
        <v>0.76923076923076927</v>
      </c>
      <c r="S320" s="2">
        <f>knicks_players_all_stats[[#This Row],[OREB22]]/10</f>
        <v>5</v>
      </c>
      <c r="T320" s="2">
        <f>knicks_players_all_stats[[#This Row],[DREB33]]/10</f>
        <v>25</v>
      </c>
      <c r="U320" s="2">
        <f>knicks_players_all_stats[[#This Row],[REB44]]/10</f>
        <v>30</v>
      </c>
      <c r="V320">
        <v>50</v>
      </c>
      <c r="W320">
        <v>250</v>
      </c>
      <c r="X320">
        <v>300</v>
      </c>
      <c r="Y320" s="22">
        <f>knicks_players_all_stats[[#This Row],[REB]]/knicks_players_all_stats[[#This Row],[GP]]</f>
        <v>1.0344827586206897</v>
      </c>
      <c r="Z320" s="2">
        <v>47</v>
      </c>
      <c r="AA320" s="6">
        <f>knicks_players_all_stats[[#This Row],[AST]]/knicks_players_all_stats[[#This Row],[GP]]</f>
        <v>1.6206896551724137</v>
      </c>
      <c r="AB320" s="2">
        <f>knicks_players_all_stats[[#This Row],[STL2]]/10</f>
        <v>26</v>
      </c>
      <c r="AC320" s="2">
        <v>260</v>
      </c>
      <c r="AD320" s="6">
        <f>knicks_players_all_stats[[#This Row],[STL]]/knicks_players_all_stats[[#This Row],[GP]]</f>
        <v>0.89655172413793105</v>
      </c>
      <c r="AE320">
        <v>60</v>
      </c>
      <c r="AF320" s="2">
        <f>knicks_players_all_stats[[#This Row],[BLK2]]/10</f>
        <v>6</v>
      </c>
      <c r="AG320" s="6">
        <f>knicks_players_all_stats[[#This Row],[BLK]]/knicks_players_all_stats[[#This Row],[GP]]</f>
        <v>0.20689655172413793</v>
      </c>
      <c r="AH320">
        <v>180</v>
      </c>
      <c r="AI320" s="6">
        <f>knicks_players_all_stats[[#This Row],[BLKPG]]+knicks_players_all_stats[[#This Row],[STLPG]]+knicks_players_all_stats[[#This Row],[REBPG]]</f>
        <v>2.1379310344827589</v>
      </c>
      <c r="AJ320" s="2">
        <f>knicks_players_all_stats[[#This Row],[TOV2]]/10</f>
        <v>18</v>
      </c>
      <c r="AK320" s="6">
        <f>knicks_players_all_stats[[#This Row],[TOV]]/knicks_players_all_stats[[#This Row],[GP]]</f>
        <v>0.62068965517241381</v>
      </c>
      <c r="AL320" s="2">
        <v>33</v>
      </c>
      <c r="AM320" s="2">
        <f>knicks_players_all_stats[[#This Row],[PF]]/knicks_players_all_stats[[#This Row],[GP]]</f>
        <v>1.1379310344827587</v>
      </c>
      <c r="AN320" s="2">
        <v>71</v>
      </c>
      <c r="AO320" s="6">
        <f>knicks_players_all_stats[[#This Row],[PTS]]/knicks_players_all_stats[[#This Row],[GP]]</f>
        <v>2.4482758620689653</v>
      </c>
    </row>
    <row r="321" spans="1:41" x14ac:dyDescent="0.3">
      <c r="A321" s="3" t="s">
        <v>1309</v>
      </c>
      <c r="B321" s="3" t="s">
        <v>1259</v>
      </c>
      <c r="C321" s="3" t="str">
        <f>knicks_players_all_stats[[#This Row],[NAME]]&amp;" ("&amp;knicks_players_all_stats[[#This Row],[SEASON]]&amp;")"</f>
        <v>Joakim Noah (2017-18)</v>
      </c>
      <c r="D321" s="3">
        <f>knicks_players_all_stats[[#This Row],[PLAYER_AGE]]/10</f>
        <v>33</v>
      </c>
      <c r="E321">
        <v>330</v>
      </c>
      <c r="F321" s="2">
        <v>7</v>
      </c>
      <c r="G321" s="2">
        <v>400</v>
      </c>
      <c r="H32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18</v>
      </c>
      <c r="I321" s="6">
        <f>knicks_players_all_stats[[#This Row],[VALORATION]]/knicks_players_all_stats[[#This Row],[GP]]</f>
        <v>2.5714285714285716</v>
      </c>
      <c r="J321" s="2">
        <v>5</v>
      </c>
      <c r="K321" s="2">
        <v>10</v>
      </c>
      <c r="L321" s="4">
        <f>knicks_players_all_stats[[#This Row],[FGM]]/knicks_players_all_stats[[#This Row],[FGA]]</f>
        <v>0.5</v>
      </c>
      <c r="M321" s="2">
        <v>0</v>
      </c>
      <c r="N321" s="2">
        <v>0</v>
      </c>
      <c r="O321" s="4" t="e">
        <f>knicks_players_all_stats[[#This Row],[FG3M]]/knicks_players_all_stats[[#This Row],[FG3A]]</f>
        <v>#DIV/0!</v>
      </c>
      <c r="P321" s="2">
        <v>2</v>
      </c>
      <c r="Q321" s="2">
        <v>4</v>
      </c>
      <c r="R321" s="5">
        <f>knicks_players_all_stats[[#This Row],[FTM]]/knicks_players_all_stats[[#This Row],[FTA]]</f>
        <v>0.5</v>
      </c>
      <c r="S321" s="2">
        <f>knicks_players_all_stats[[#This Row],[OREB22]]/10</f>
        <v>6</v>
      </c>
      <c r="T321" s="2">
        <f>knicks_players_all_stats[[#This Row],[DREB33]]/10</f>
        <v>8</v>
      </c>
      <c r="U321" s="2">
        <f>knicks_players_all_stats[[#This Row],[REB44]]/10</f>
        <v>14</v>
      </c>
      <c r="V321">
        <v>60</v>
      </c>
      <c r="W321">
        <v>80</v>
      </c>
      <c r="X321">
        <v>140</v>
      </c>
      <c r="Y321" s="22">
        <f>knicks_players_all_stats[[#This Row],[REB]]/knicks_players_all_stats[[#This Row],[GP]]</f>
        <v>2</v>
      </c>
      <c r="Z321" s="2">
        <v>4</v>
      </c>
      <c r="AA321" s="6">
        <f>knicks_players_all_stats[[#This Row],[AST]]/knicks_players_all_stats[[#This Row],[GP]]</f>
        <v>0.5714285714285714</v>
      </c>
      <c r="AB321" s="2">
        <f>knicks_players_all_stats[[#This Row],[STL2]]/10</f>
        <v>2</v>
      </c>
      <c r="AC321" s="2">
        <v>20</v>
      </c>
      <c r="AD321" s="6">
        <f>knicks_players_all_stats[[#This Row],[STL]]/knicks_players_all_stats[[#This Row],[GP]]</f>
        <v>0.2857142857142857</v>
      </c>
      <c r="AE321">
        <v>20</v>
      </c>
      <c r="AF321" s="2">
        <f>knicks_players_all_stats[[#This Row],[BLK2]]/10</f>
        <v>2</v>
      </c>
      <c r="AG321" s="6">
        <f>knicks_players_all_stats[[#This Row],[BLK]]/knicks_players_all_stats[[#This Row],[GP]]</f>
        <v>0.2857142857142857</v>
      </c>
      <c r="AH321">
        <v>40</v>
      </c>
      <c r="AI321" s="6">
        <f>knicks_players_all_stats[[#This Row],[BLKPG]]+knicks_players_all_stats[[#This Row],[STLPG]]+knicks_players_all_stats[[#This Row],[REBPG]]</f>
        <v>2.5714285714285712</v>
      </c>
      <c r="AJ321" s="2">
        <f>knicks_players_all_stats[[#This Row],[TOV2]]/10</f>
        <v>4</v>
      </c>
      <c r="AK321" s="6">
        <f>knicks_players_all_stats[[#This Row],[TOV]]/knicks_players_all_stats[[#This Row],[GP]]</f>
        <v>0.5714285714285714</v>
      </c>
      <c r="AL321" s="2">
        <v>5</v>
      </c>
      <c r="AM321" s="2">
        <f>knicks_players_all_stats[[#This Row],[PF]]/knicks_players_all_stats[[#This Row],[GP]]</f>
        <v>0.7142857142857143</v>
      </c>
      <c r="AN321" s="2">
        <v>12</v>
      </c>
      <c r="AO321" s="6">
        <f>knicks_players_all_stats[[#This Row],[PTS]]/knicks_players_all_stats[[#This Row],[GP]]</f>
        <v>1.7142857142857142</v>
      </c>
    </row>
    <row r="322" spans="1:41" x14ac:dyDescent="0.3">
      <c r="A322" s="3" t="s">
        <v>1375</v>
      </c>
      <c r="B322" s="3" t="s">
        <v>1259</v>
      </c>
      <c r="C322" s="3" t="str">
        <f>knicks_players_all_stats[[#This Row],[NAME]]&amp;" ("&amp;knicks_players_all_stats[[#This Row],[SEASON]]&amp;")"</f>
        <v>Ramon Sessions (2017-18)</v>
      </c>
      <c r="D322" s="3">
        <f>knicks_players_all_stats[[#This Row],[PLAYER_AGE]]/10</f>
        <v>32</v>
      </c>
      <c r="E322">
        <v>320</v>
      </c>
      <c r="F322" s="2">
        <v>13</v>
      </c>
      <c r="G322" s="2">
        <v>1670</v>
      </c>
      <c r="H32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33</v>
      </c>
      <c r="I322" s="6">
        <f>knicks_players_all_stats[[#This Row],[VALORATION]]/knicks_players_all_stats[[#This Row],[GP]]</f>
        <v>2.5384615384615383</v>
      </c>
      <c r="J322" s="2">
        <v>17</v>
      </c>
      <c r="K322" s="2">
        <v>53</v>
      </c>
      <c r="L322" s="4">
        <f>knicks_players_all_stats[[#This Row],[FGM]]/knicks_players_all_stats[[#This Row],[FGA]]</f>
        <v>0.32075471698113206</v>
      </c>
      <c r="M322" s="2">
        <v>20</v>
      </c>
      <c r="N322" s="2">
        <v>110</v>
      </c>
      <c r="O322" s="4">
        <f>knicks_players_all_stats[[#This Row],[FG3M]]/knicks_players_all_stats[[#This Row],[FG3A]]</f>
        <v>0.18181818181818182</v>
      </c>
      <c r="P322" s="2">
        <v>12</v>
      </c>
      <c r="Q322" s="2">
        <v>15</v>
      </c>
      <c r="R322" s="5">
        <f>knicks_players_all_stats[[#This Row],[FTM]]/knicks_players_all_stats[[#This Row],[FTA]]</f>
        <v>0.8</v>
      </c>
      <c r="S322" s="2">
        <f>knicks_players_all_stats[[#This Row],[OREB22]]/10</f>
        <v>1</v>
      </c>
      <c r="T322" s="2">
        <f>knicks_players_all_stats[[#This Row],[DREB33]]/10</f>
        <v>17</v>
      </c>
      <c r="U322" s="2">
        <f>knicks_players_all_stats[[#This Row],[REB44]]/10</f>
        <v>18</v>
      </c>
      <c r="V322">
        <v>10</v>
      </c>
      <c r="W322">
        <v>170</v>
      </c>
      <c r="X322">
        <v>180</v>
      </c>
      <c r="Y322" s="22">
        <f>knicks_players_all_stats[[#This Row],[REB]]/knicks_players_all_stats[[#This Row],[GP]]</f>
        <v>1.3846153846153846</v>
      </c>
      <c r="Z322" s="2">
        <v>27</v>
      </c>
      <c r="AA322" s="6">
        <f>knicks_players_all_stats[[#This Row],[AST]]/knicks_players_all_stats[[#This Row],[GP]]</f>
        <v>2.0769230769230771</v>
      </c>
      <c r="AB322" s="2">
        <f>knicks_players_all_stats[[#This Row],[STL2]]/10</f>
        <v>7</v>
      </c>
      <c r="AC322" s="2">
        <v>70</v>
      </c>
      <c r="AD322" s="6">
        <f>knicks_players_all_stats[[#This Row],[STL]]/knicks_players_all_stats[[#This Row],[GP]]</f>
        <v>0.53846153846153844</v>
      </c>
      <c r="AE322">
        <v>10</v>
      </c>
      <c r="AF322" s="2">
        <f>knicks_players_all_stats[[#This Row],[BLK2]]/10</f>
        <v>1</v>
      </c>
      <c r="AG322" s="6">
        <f>knicks_players_all_stats[[#This Row],[BLK]]/knicks_players_all_stats[[#This Row],[GP]]</f>
        <v>7.6923076923076927E-2</v>
      </c>
      <c r="AH322">
        <v>150</v>
      </c>
      <c r="AI322" s="6">
        <f>knicks_players_all_stats[[#This Row],[BLKPG]]+knicks_players_all_stats[[#This Row],[STLPG]]+knicks_players_all_stats[[#This Row],[REBPG]]</f>
        <v>2</v>
      </c>
      <c r="AJ322" s="2">
        <f>knicks_players_all_stats[[#This Row],[TOV2]]/10</f>
        <v>15</v>
      </c>
      <c r="AK322" s="6">
        <f>knicks_players_all_stats[[#This Row],[TOV]]/knicks_players_all_stats[[#This Row],[GP]]</f>
        <v>1.1538461538461537</v>
      </c>
      <c r="AL322" s="2">
        <v>14</v>
      </c>
      <c r="AM322" s="2">
        <f>knicks_players_all_stats[[#This Row],[PF]]/knicks_players_all_stats[[#This Row],[GP]]</f>
        <v>1.0769230769230769</v>
      </c>
      <c r="AN322" s="2">
        <v>48</v>
      </c>
      <c r="AO322" s="6">
        <f>knicks_players_all_stats[[#This Row],[PTS]]/knicks_players_all_stats[[#This Row],[GP]]</f>
        <v>3.6923076923076925</v>
      </c>
    </row>
    <row r="323" spans="1:41" x14ac:dyDescent="0.3">
      <c r="A323" s="3" t="s">
        <v>1512</v>
      </c>
      <c r="B323" s="3" t="s">
        <v>1259</v>
      </c>
      <c r="C323" s="3" t="str">
        <f>knicks_players_all_stats[[#This Row],[NAME]]&amp;" ("&amp;knicks_players_all_stats[[#This Row],[SEASON]]&amp;")"</f>
        <v>Isaiah Hicks (2017-18)</v>
      </c>
      <c r="D323" s="3">
        <f>knicks_players_all_stats[[#This Row],[PLAYER_AGE]]/10</f>
        <v>23</v>
      </c>
      <c r="E323">
        <v>230</v>
      </c>
      <c r="F323" s="2">
        <v>18</v>
      </c>
      <c r="G323" s="2">
        <v>2390</v>
      </c>
      <c r="H32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37</v>
      </c>
      <c r="I323" s="6">
        <f>knicks_players_all_stats[[#This Row],[VALORATION]]/knicks_players_all_stats[[#This Row],[GP]]</f>
        <v>2.0555555555555554</v>
      </c>
      <c r="J323" s="2">
        <v>33</v>
      </c>
      <c r="K323" s="2">
        <v>72</v>
      </c>
      <c r="L323" s="4">
        <f>knicks_players_all_stats[[#This Row],[FGM]]/knicks_players_all_stats[[#This Row],[FGA]]</f>
        <v>0.45833333333333331</v>
      </c>
      <c r="M323" s="2">
        <v>20</v>
      </c>
      <c r="N323" s="2">
        <v>90</v>
      </c>
      <c r="O323" s="4">
        <f>knicks_players_all_stats[[#This Row],[FG3M]]/knicks_players_all_stats[[#This Row],[FG3A]]</f>
        <v>0.22222222222222221</v>
      </c>
      <c r="P323" s="2">
        <v>12</v>
      </c>
      <c r="Q323" s="2">
        <v>18</v>
      </c>
      <c r="R323" s="5">
        <f>knicks_players_all_stats[[#This Row],[FTM]]/knicks_players_all_stats[[#This Row],[FTA]]</f>
        <v>0.66666666666666663</v>
      </c>
      <c r="S323" s="2">
        <f>knicks_players_all_stats[[#This Row],[OREB22]]/10</f>
        <v>10</v>
      </c>
      <c r="T323" s="2">
        <f>knicks_players_all_stats[[#This Row],[DREB33]]/10</f>
        <v>31</v>
      </c>
      <c r="U323" s="2">
        <f>knicks_players_all_stats[[#This Row],[REB44]]/10</f>
        <v>41</v>
      </c>
      <c r="V323">
        <v>100</v>
      </c>
      <c r="W323">
        <v>310</v>
      </c>
      <c r="X323">
        <v>410</v>
      </c>
      <c r="Y323" s="22">
        <f>knicks_players_all_stats[[#This Row],[REB]]/knicks_players_all_stats[[#This Row],[GP]]</f>
        <v>2.2777777777777777</v>
      </c>
      <c r="Z323" s="2">
        <v>16</v>
      </c>
      <c r="AA323" s="6">
        <f>knicks_players_all_stats[[#This Row],[AST]]/knicks_players_all_stats[[#This Row],[GP]]</f>
        <v>0.88888888888888884</v>
      </c>
      <c r="AB323" s="2">
        <f>knicks_players_all_stats[[#This Row],[STL2]]/10</f>
        <v>2</v>
      </c>
      <c r="AC323" s="2">
        <v>20</v>
      </c>
      <c r="AD323" s="6">
        <f>knicks_players_all_stats[[#This Row],[STL]]/knicks_players_all_stats[[#This Row],[GP]]</f>
        <v>0.1111111111111111</v>
      </c>
      <c r="AE323">
        <v>40</v>
      </c>
      <c r="AF323" s="2">
        <f>knicks_players_all_stats[[#This Row],[BLK2]]/10</f>
        <v>4</v>
      </c>
      <c r="AG323" s="6">
        <f>knicks_players_all_stats[[#This Row],[BLK]]/knicks_players_all_stats[[#This Row],[GP]]</f>
        <v>0.22222222222222221</v>
      </c>
      <c r="AH323">
        <v>160</v>
      </c>
      <c r="AI323" s="6">
        <f>knicks_players_all_stats[[#This Row],[BLKPG]]+knicks_players_all_stats[[#This Row],[STLPG]]+knicks_players_all_stats[[#This Row],[REBPG]]</f>
        <v>2.6111111111111112</v>
      </c>
      <c r="AJ323" s="2">
        <f>knicks_players_all_stats[[#This Row],[TOV2]]/10</f>
        <v>16</v>
      </c>
      <c r="AK323" s="6">
        <f>knicks_players_all_stats[[#This Row],[TOV]]/knicks_players_all_stats[[#This Row],[GP]]</f>
        <v>0.88888888888888884</v>
      </c>
      <c r="AL323" s="2">
        <v>45</v>
      </c>
      <c r="AM323" s="2">
        <f>knicks_players_all_stats[[#This Row],[PF]]/knicks_players_all_stats[[#This Row],[GP]]</f>
        <v>2.5</v>
      </c>
      <c r="AN323" s="2">
        <v>80</v>
      </c>
      <c r="AO323" s="6">
        <f>knicks_players_all_stats[[#This Row],[PTS]]/knicks_players_all_stats[[#This Row],[GP]]</f>
        <v>4.4444444444444446</v>
      </c>
    </row>
    <row r="324" spans="1:41" x14ac:dyDescent="0.3">
      <c r="A324" s="3" t="s">
        <v>1588</v>
      </c>
      <c r="B324" s="3" t="s">
        <v>1259</v>
      </c>
      <c r="C324" s="3" t="str">
        <f>knicks_players_all_stats[[#This Row],[NAME]]&amp;" ("&amp;knicks_players_all_stats[[#This Row],[SEASON]]&amp;")"</f>
        <v>Mindaugas Kuzminskas (2017-18)</v>
      </c>
      <c r="D324" s="3">
        <f>knicks_players_all_stats[[#This Row],[PLAYER_AGE]]/10</f>
        <v>28</v>
      </c>
      <c r="E324">
        <v>280</v>
      </c>
      <c r="F324" s="2">
        <v>1</v>
      </c>
      <c r="G324" s="2">
        <v>20</v>
      </c>
      <c r="H32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-2</v>
      </c>
      <c r="I324" s="6">
        <f>knicks_players_all_stats[[#This Row],[VALORATION]]/knicks_players_all_stats[[#This Row],[GP]]</f>
        <v>-2</v>
      </c>
      <c r="J324" s="2">
        <v>0</v>
      </c>
      <c r="K324" s="2">
        <v>2</v>
      </c>
      <c r="L324" s="4">
        <f>knicks_players_all_stats[[#This Row],[FGM]]/knicks_players_all_stats[[#This Row],[FGA]]</f>
        <v>0</v>
      </c>
      <c r="M324" s="2">
        <v>0</v>
      </c>
      <c r="N324" s="2">
        <v>0</v>
      </c>
      <c r="O324" s="4" t="e">
        <f>knicks_players_all_stats[[#This Row],[FG3M]]/knicks_players_all_stats[[#This Row],[FG3A]]</f>
        <v>#DIV/0!</v>
      </c>
      <c r="P324" s="2">
        <v>0</v>
      </c>
      <c r="Q324" s="2">
        <v>0</v>
      </c>
      <c r="R324" s="5" t="e">
        <f>knicks_players_all_stats[[#This Row],[FTM]]/knicks_players_all_stats[[#This Row],[FTA]]</f>
        <v>#DIV/0!</v>
      </c>
      <c r="S324" s="2">
        <f>knicks_players_all_stats[[#This Row],[OREB22]]/10</f>
        <v>0</v>
      </c>
      <c r="T324" s="2">
        <f>knicks_players_all_stats[[#This Row],[DREB33]]/10</f>
        <v>0</v>
      </c>
      <c r="U324" s="2">
        <f>knicks_players_all_stats[[#This Row],[REB44]]/10</f>
        <v>0</v>
      </c>
      <c r="V324">
        <v>0</v>
      </c>
      <c r="W324">
        <v>0</v>
      </c>
      <c r="X324">
        <v>0</v>
      </c>
      <c r="Y324" s="22">
        <f>knicks_players_all_stats[[#This Row],[REB]]/knicks_players_all_stats[[#This Row],[GP]]</f>
        <v>0</v>
      </c>
      <c r="Z324" s="2">
        <v>0</v>
      </c>
      <c r="AA324" s="6">
        <f>knicks_players_all_stats[[#This Row],[AST]]/knicks_players_all_stats[[#This Row],[GP]]</f>
        <v>0</v>
      </c>
      <c r="AB324" s="2">
        <f>knicks_players_all_stats[[#This Row],[STL2]]/10</f>
        <v>0</v>
      </c>
      <c r="AC324" s="2">
        <v>0</v>
      </c>
      <c r="AD324" s="6">
        <f>knicks_players_all_stats[[#This Row],[STL]]/knicks_players_all_stats[[#This Row],[GP]]</f>
        <v>0</v>
      </c>
      <c r="AE324">
        <v>0</v>
      </c>
      <c r="AF324" s="2">
        <f>knicks_players_all_stats[[#This Row],[BLK2]]/10</f>
        <v>0</v>
      </c>
      <c r="AG324" s="6">
        <f>knicks_players_all_stats[[#This Row],[BLK]]/knicks_players_all_stats[[#This Row],[GP]]</f>
        <v>0</v>
      </c>
      <c r="AH324">
        <v>0</v>
      </c>
      <c r="AI324" s="6">
        <f>knicks_players_all_stats[[#This Row],[BLKPG]]+knicks_players_all_stats[[#This Row],[STLPG]]+knicks_players_all_stats[[#This Row],[REBPG]]</f>
        <v>0</v>
      </c>
      <c r="AJ324" s="2">
        <f>knicks_players_all_stats[[#This Row],[TOV2]]/10</f>
        <v>0</v>
      </c>
      <c r="AK324" s="6">
        <f>knicks_players_all_stats[[#This Row],[TOV]]/knicks_players_all_stats[[#This Row],[GP]]</f>
        <v>0</v>
      </c>
      <c r="AL324" s="2">
        <v>0</v>
      </c>
      <c r="AM324" s="2">
        <f>knicks_players_all_stats[[#This Row],[PF]]/knicks_players_all_stats[[#This Row],[GP]]</f>
        <v>0</v>
      </c>
      <c r="AN324" s="2">
        <v>0</v>
      </c>
      <c r="AO324" s="6">
        <f>knicks_players_all_stats[[#This Row],[PTS]]/knicks_players_all_stats[[#This Row],[GP]]</f>
        <v>0</v>
      </c>
    </row>
    <row r="325" spans="1:41" customFormat="1" x14ac:dyDescent="0.3">
      <c r="A325" s="3" t="s">
        <v>1535</v>
      </c>
      <c r="B325" s="3" t="s">
        <v>1289</v>
      </c>
      <c r="C325" s="3" t="str">
        <f>knicks_players_all_stats[[#This Row],[NAME]]&amp;" ("&amp;knicks_players_all_stats[[#This Row],[SEASON]]&amp;")"</f>
        <v>Julius Randle (2020-21)</v>
      </c>
      <c r="D325" s="3">
        <f>knicks_players_all_stats[[#This Row],[PLAYER_AGE]]/10</f>
        <v>26</v>
      </c>
      <c r="E325">
        <v>260</v>
      </c>
      <c r="F325" s="2">
        <v>71</v>
      </c>
      <c r="G325" s="2">
        <v>26670</v>
      </c>
      <c r="H32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1679</v>
      </c>
      <c r="I325" s="6">
        <f>knicks_players_all_stats[[#This Row],[VALORATION]]/knicks_players_all_stats[[#This Row],[GP]]</f>
        <v>23.64788732394366</v>
      </c>
      <c r="J325" s="2">
        <v>602</v>
      </c>
      <c r="K325" s="2">
        <v>1321</v>
      </c>
      <c r="L325" s="4">
        <f>knicks_players_all_stats[[#This Row],[FGM]]/knicks_players_all_stats[[#This Row],[FGA]]</f>
        <v>0.45571536714610145</v>
      </c>
      <c r="M325" s="2">
        <v>1600</v>
      </c>
      <c r="N325" s="2">
        <v>3890</v>
      </c>
      <c r="O325" s="4">
        <f>knicks_players_all_stats[[#This Row],[FG3M]]/knicks_players_all_stats[[#This Row],[FG3A]]</f>
        <v>0.41131105398457585</v>
      </c>
      <c r="P325" s="2">
        <v>348</v>
      </c>
      <c r="Q325" s="2">
        <v>429</v>
      </c>
      <c r="R325" s="5">
        <f>knicks_players_all_stats[[#This Row],[FTM]]/knicks_players_all_stats[[#This Row],[FTA]]</f>
        <v>0.81118881118881114</v>
      </c>
      <c r="S325" s="2">
        <f>knicks_players_all_stats[[#This Row],[OREB22]]/10</f>
        <v>84</v>
      </c>
      <c r="T325" s="2">
        <f>knicks_players_all_stats[[#This Row],[DREB33]]/10</f>
        <v>640</v>
      </c>
      <c r="U325" s="2">
        <f>knicks_players_all_stats[[#This Row],[REB44]]/10</f>
        <v>724</v>
      </c>
      <c r="V325">
        <v>840</v>
      </c>
      <c r="W325">
        <v>6400</v>
      </c>
      <c r="X325">
        <v>7240</v>
      </c>
      <c r="Y325" s="22">
        <f>knicks_players_all_stats[[#This Row],[REB]]/knicks_players_all_stats[[#This Row],[GP]]</f>
        <v>10.19718309859155</v>
      </c>
      <c r="Z325" s="2">
        <v>427</v>
      </c>
      <c r="AA325" s="6">
        <f>knicks_players_all_stats[[#This Row],[AST]]/knicks_players_all_stats[[#This Row],[GP]]</f>
        <v>6.0140845070422539</v>
      </c>
      <c r="AB325" s="2">
        <f>knicks_players_all_stats[[#This Row],[STL2]]/10</f>
        <v>64</v>
      </c>
      <c r="AC325" s="2">
        <v>640</v>
      </c>
      <c r="AD325" s="6">
        <f>knicks_players_all_stats[[#This Row],[STL]]/knicks_players_all_stats[[#This Row],[GP]]</f>
        <v>0.90140845070422537</v>
      </c>
      <c r="AE325">
        <v>180</v>
      </c>
      <c r="AF325" s="2">
        <f>knicks_players_all_stats[[#This Row],[BLK2]]/10</f>
        <v>18</v>
      </c>
      <c r="AG325" s="6">
        <f>knicks_players_all_stats[[#This Row],[BLK]]/knicks_players_all_stats[[#This Row],[GP]]</f>
        <v>0.25352112676056338</v>
      </c>
      <c r="AH325">
        <v>2410</v>
      </c>
      <c r="AI325" s="6">
        <f>knicks_players_all_stats[[#This Row],[BLKPG]]+knicks_players_all_stats[[#This Row],[STLPG]]+knicks_players_all_stats[[#This Row],[REBPG]]</f>
        <v>11.352112676056338</v>
      </c>
      <c r="AJ325" s="2">
        <f>knicks_players_all_stats[[#This Row],[TOV2]]/10</f>
        <v>241</v>
      </c>
      <c r="AK325" s="6">
        <f>knicks_players_all_stats[[#This Row],[TOV]]/knicks_players_all_stats[[#This Row],[GP]]</f>
        <v>3.3943661971830985</v>
      </c>
      <c r="AL325" s="2">
        <v>225</v>
      </c>
      <c r="AM325" s="2">
        <f>knicks_players_all_stats[[#This Row],[PF]]/knicks_players_all_stats[[#This Row],[GP]]</f>
        <v>3.1690140845070425</v>
      </c>
      <c r="AN325" s="2">
        <v>1712</v>
      </c>
      <c r="AO325" s="6">
        <f>knicks_players_all_stats[[#This Row],[PTS]]/knicks_players_all_stats[[#This Row],[GP]]</f>
        <v>24.112676056338028</v>
      </c>
    </row>
    <row r="326" spans="1:41" customFormat="1" x14ac:dyDescent="0.3">
      <c r="A326" s="3" t="s">
        <v>1408</v>
      </c>
      <c r="B326" s="3" t="s">
        <v>1289</v>
      </c>
      <c r="C326" s="3" t="str">
        <f>knicks_players_all_stats[[#This Row],[NAME]]&amp;" ("&amp;knicks_players_all_stats[[#This Row],[SEASON]]&amp;")"</f>
        <v>Derrick Rose (2020-21)</v>
      </c>
      <c r="D326" s="3">
        <f>knicks_players_all_stats[[#This Row],[PLAYER_AGE]]/10</f>
        <v>32</v>
      </c>
      <c r="E326">
        <v>320</v>
      </c>
      <c r="F326" s="2">
        <v>35</v>
      </c>
      <c r="G326" s="2">
        <v>9370</v>
      </c>
      <c r="H32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498</v>
      </c>
      <c r="I326" s="6">
        <f>knicks_players_all_stats[[#This Row],[VALORATION]]/knicks_players_all_stats[[#This Row],[GP]]</f>
        <v>14.228571428571428</v>
      </c>
      <c r="J326" s="2">
        <v>208</v>
      </c>
      <c r="K326" s="2">
        <v>427</v>
      </c>
      <c r="L326" s="4">
        <f>knicks_players_all_stats[[#This Row],[FGM]]/knicks_players_all_stats[[#This Row],[FGA]]</f>
        <v>0.48711943793911006</v>
      </c>
      <c r="M326" s="2">
        <v>370</v>
      </c>
      <c r="N326" s="2">
        <v>900</v>
      </c>
      <c r="O326" s="4">
        <f>knicks_players_all_stats[[#This Row],[FG3M]]/knicks_players_all_stats[[#This Row],[FG3A]]</f>
        <v>0.41111111111111109</v>
      </c>
      <c r="P326" s="2">
        <v>68</v>
      </c>
      <c r="Q326" s="2">
        <v>77</v>
      </c>
      <c r="R326" s="5">
        <f>knicks_players_all_stats[[#This Row],[FTM]]/knicks_players_all_stats[[#This Row],[FTA]]</f>
        <v>0.88311688311688308</v>
      </c>
      <c r="S326" s="2">
        <f>knicks_players_all_stats[[#This Row],[OREB22]]/10</f>
        <v>14</v>
      </c>
      <c r="T326" s="2">
        <f>knicks_players_all_stats[[#This Row],[DREB33]]/10</f>
        <v>87</v>
      </c>
      <c r="U326" s="2">
        <f>knicks_players_all_stats[[#This Row],[REB44]]/10</f>
        <v>101</v>
      </c>
      <c r="V326">
        <v>140</v>
      </c>
      <c r="W326">
        <v>870</v>
      </c>
      <c r="X326">
        <v>1010</v>
      </c>
      <c r="Y326" s="22">
        <f>knicks_players_all_stats[[#This Row],[REB]]/knicks_players_all_stats[[#This Row],[GP]]</f>
        <v>2.8857142857142857</v>
      </c>
      <c r="Z326" s="2">
        <v>146</v>
      </c>
      <c r="AA326" s="6">
        <f>knicks_players_all_stats[[#This Row],[AST]]/knicks_players_all_stats[[#This Row],[GP]]</f>
        <v>4.1714285714285717</v>
      </c>
      <c r="AB326" s="2">
        <f>knicks_players_all_stats[[#This Row],[STL2]]/10</f>
        <v>31</v>
      </c>
      <c r="AC326" s="2">
        <v>310</v>
      </c>
      <c r="AD326" s="6">
        <f>knicks_players_all_stats[[#This Row],[STL]]/knicks_players_all_stats[[#This Row],[GP]]</f>
        <v>0.88571428571428568</v>
      </c>
      <c r="AE326">
        <v>150</v>
      </c>
      <c r="AF326" s="2">
        <f>knicks_players_all_stats[[#This Row],[BLK2]]/10</f>
        <v>15</v>
      </c>
      <c r="AG326" s="6">
        <f>knicks_players_all_stats[[#This Row],[BLK]]/knicks_players_all_stats[[#This Row],[GP]]</f>
        <v>0.42857142857142855</v>
      </c>
      <c r="AH326">
        <v>490</v>
      </c>
      <c r="AI326" s="6">
        <f>knicks_players_all_stats[[#This Row],[BLKPG]]+knicks_players_all_stats[[#This Row],[STLPG]]+knicks_players_all_stats[[#This Row],[REBPG]]</f>
        <v>4.2</v>
      </c>
      <c r="AJ326" s="2">
        <f>knicks_players_all_stats[[#This Row],[TOV2]]/10</f>
        <v>49</v>
      </c>
      <c r="AK326" s="6">
        <f>knicks_players_all_stats[[#This Row],[TOV]]/knicks_players_all_stats[[#This Row],[GP]]</f>
        <v>1.4</v>
      </c>
      <c r="AL326" s="2">
        <v>39</v>
      </c>
      <c r="AM326" s="2">
        <f>knicks_players_all_stats[[#This Row],[PF]]/knicks_players_all_stats[[#This Row],[GP]]</f>
        <v>1.1142857142857143</v>
      </c>
      <c r="AN326" s="2">
        <v>521</v>
      </c>
      <c r="AO326" s="6">
        <f>knicks_players_all_stats[[#This Row],[PTS]]/knicks_players_all_stats[[#This Row],[GP]]</f>
        <v>14.885714285714286</v>
      </c>
    </row>
    <row r="327" spans="1:41" customFormat="1" x14ac:dyDescent="0.3">
      <c r="A327" s="3" t="s">
        <v>1395</v>
      </c>
      <c r="B327" s="3" t="s">
        <v>1289</v>
      </c>
      <c r="C327" s="3" t="str">
        <f>knicks_players_all_stats[[#This Row],[NAME]]&amp;" ("&amp;knicks_players_all_stats[[#This Row],[SEASON]]&amp;")"</f>
        <v>RJ Barrett (2020-21)</v>
      </c>
      <c r="D327" s="3">
        <f>knicks_players_all_stats[[#This Row],[PLAYER_AGE]]/10</f>
        <v>21</v>
      </c>
      <c r="E327">
        <v>210</v>
      </c>
      <c r="F327" s="2">
        <v>72</v>
      </c>
      <c r="G327" s="2">
        <v>25110</v>
      </c>
      <c r="H32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978</v>
      </c>
      <c r="I327" s="6">
        <f>knicks_players_all_stats[[#This Row],[VALORATION]]/knicks_players_all_stats[[#This Row],[GP]]</f>
        <v>13.583333333333334</v>
      </c>
      <c r="J327" s="2">
        <v>467</v>
      </c>
      <c r="K327" s="2">
        <v>1060</v>
      </c>
      <c r="L327" s="4">
        <f>knicks_players_all_stats[[#This Row],[FGM]]/knicks_players_all_stats[[#This Row],[FGA]]</f>
        <v>0.44056603773584907</v>
      </c>
      <c r="M327" s="2">
        <v>1240</v>
      </c>
      <c r="N327" s="2">
        <v>3090</v>
      </c>
      <c r="O327" s="4">
        <f>knicks_players_all_stats[[#This Row],[FG3M]]/knicks_players_all_stats[[#This Row],[FG3A]]</f>
        <v>0.40129449838187703</v>
      </c>
      <c r="P327" s="2">
        <v>206</v>
      </c>
      <c r="Q327" s="2">
        <v>276</v>
      </c>
      <c r="R327" s="5">
        <f>knicks_players_all_stats[[#This Row],[FTM]]/knicks_players_all_stats[[#This Row],[FTA]]</f>
        <v>0.74637681159420288</v>
      </c>
      <c r="S327" s="2">
        <f>knicks_players_all_stats[[#This Row],[OREB22]]/10</f>
        <v>68</v>
      </c>
      <c r="T327" s="2">
        <f>knicks_players_all_stats[[#This Row],[DREB33]]/10</f>
        <v>346</v>
      </c>
      <c r="U327" s="2">
        <f>knicks_players_all_stats[[#This Row],[REB44]]/10</f>
        <v>414</v>
      </c>
      <c r="V327">
        <v>680</v>
      </c>
      <c r="W327">
        <v>3460</v>
      </c>
      <c r="X327">
        <v>4140</v>
      </c>
      <c r="Y327" s="22">
        <f>knicks_players_all_stats[[#This Row],[REB]]/knicks_players_all_stats[[#This Row],[GP]]</f>
        <v>5.75</v>
      </c>
      <c r="Z327" s="2">
        <v>217</v>
      </c>
      <c r="AA327" s="6">
        <f>knicks_players_all_stats[[#This Row],[AST]]/knicks_players_all_stats[[#This Row],[GP]]</f>
        <v>3.0138888888888888</v>
      </c>
      <c r="AB327" s="2">
        <f>knicks_players_all_stats[[#This Row],[STL2]]/10</f>
        <v>53</v>
      </c>
      <c r="AC327" s="2">
        <v>530</v>
      </c>
      <c r="AD327" s="6">
        <f>knicks_players_all_stats[[#This Row],[STL]]/knicks_players_all_stats[[#This Row],[GP]]</f>
        <v>0.73611111111111116</v>
      </c>
      <c r="AE327">
        <v>200</v>
      </c>
      <c r="AF327" s="2">
        <f>knicks_players_all_stats[[#This Row],[BLK2]]/10</f>
        <v>20</v>
      </c>
      <c r="AG327" s="6">
        <f>knicks_players_all_stats[[#This Row],[BLK]]/knicks_players_all_stats[[#This Row],[GP]]</f>
        <v>0.27777777777777779</v>
      </c>
      <c r="AH327">
        <v>1390</v>
      </c>
      <c r="AI327" s="6">
        <f>knicks_players_all_stats[[#This Row],[BLKPG]]+knicks_players_all_stats[[#This Row],[STLPG]]+knicks_players_all_stats[[#This Row],[REBPG]]</f>
        <v>6.7638888888888893</v>
      </c>
      <c r="AJ327" s="2">
        <f>knicks_players_all_stats[[#This Row],[TOV2]]/10</f>
        <v>139</v>
      </c>
      <c r="AK327" s="6">
        <f>knicks_players_all_stats[[#This Row],[TOV]]/knicks_players_all_stats[[#This Row],[GP]]</f>
        <v>1.9305555555555556</v>
      </c>
      <c r="AL327" s="2">
        <v>188</v>
      </c>
      <c r="AM327" s="2">
        <f>knicks_players_all_stats[[#This Row],[PF]]/knicks_players_all_stats[[#This Row],[GP]]</f>
        <v>2.6111111111111112</v>
      </c>
      <c r="AN327" s="2">
        <v>1264</v>
      </c>
      <c r="AO327" s="6">
        <f>knicks_players_all_stats[[#This Row],[PTS]]/knicks_players_all_stats[[#This Row],[GP]]</f>
        <v>17.555555555555557</v>
      </c>
    </row>
    <row r="328" spans="1:41" customFormat="1" x14ac:dyDescent="0.3">
      <c r="A328" s="3" t="s">
        <v>1534</v>
      </c>
      <c r="B328" s="3" t="s">
        <v>1289</v>
      </c>
      <c r="C328" s="3" t="str">
        <f>knicks_players_all_stats[[#This Row],[NAME]]&amp;" ("&amp;knicks_players_all_stats[[#This Row],[SEASON]]&amp;")"</f>
        <v>Mitchell Robinson (2020-21)</v>
      </c>
      <c r="D328" s="3">
        <f>knicks_players_all_stats[[#This Row],[PLAYER_AGE]]/10</f>
        <v>23</v>
      </c>
      <c r="E328">
        <v>230</v>
      </c>
      <c r="F328" s="2">
        <v>31</v>
      </c>
      <c r="G328" s="2">
        <v>8530</v>
      </c>
      <c r="H32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405</v>
      </c>
      <c r="I328" s="6">
        <f>knicks_players_all_stats[[#This Row],[VALORATION]]/knicks_players_all_stats[[#This Row],[GP]]</f>
        <v>13.064516129032258</v>
      </c>
      <c r="J328" s="2">
        <v>115</v>
      </c>
      <c r="K328" s="2">
        <v>176</v>
      </c>
      <c r="L328" s="4">
        <f>knicks_players_all_stats[[#This Row],[FGM]]/knicks_players_all_stats[[#This Row],[FGA]]</f>
        <v>0.65340909090909094</v>
      </c>
      <c r="M328" s="2">
        <v>0</v>
      </c>
      <c r="N328" s="2">
        <v>0</v>
      </c>
      <c r="O328" s="4" t="e">
        <f>knicks_players_all_stats[[#This Row],[FG3M]]/knicks_players_all_stats[[#This Row],[FG3A]]</f>
        <v>#DIV/0!</v>
      </c>
      <c r="P328" s="2">
        <v>26</v>
      </c>
      <c r="Q328" s="2">
        <v>53</v>
      </c>
      <c r="R328" s="5">
        <f>knicks_players_all_stats[[#This Row],[FTM]]/knicks_players_all_stats[[#This Row],[FTA]]</f>
        <v>0.49056603773584906</v>
      </c>
      <c r="S328" s="2">
        <f>knicks_players_all_stats[[#This Row],[OREB22]]/10</f>
        <v>113</v>
      </c>
      <c r="T328" s="2">
        <f>knicks_players_all_stats[[#This Row],[DREB33]]/10</f>
        <v>139</v>
      </c>
      <c r="U328" s="2">
        <f>knicks_players_all_stats[[#This Row],[REB44]]/10</f>
        <v>252</v>
      </c>
      <c r="V328">
        <v>1130</v>
      </c>
      <c r="W328">
        <v>1390</v>
      </c>
      <c r="X328">
        <v>2520</v>
      </c>
      <c r="Y328" s="22">
        <f>knicks_players_all_stats[[#This Row],[REB]]/knicks_players_all_stats[[#This Row],[GP]]</f>
        <v>8.129032258064516</v>
      </c>
      <c r="Z328" s="2">
        <v>17</v>
      </c>
      <c r="AA328" s="6">
        <f>knicks_players_all_stats[[#This Row],[AST]]/knicks_players_all_stats[[#This Row],[GP]]</f>
        <v>0.54838709677419351</v>
      </c>
      <c r="AB328" s="2">
        <f>knicks_players_all_stats[[#This Row],[STL2]]/10</f>
        <v>35</v>
      </c>
      <c r="AC328" s="2">
        <v>350</v>
      </c>
      <c r="AD328" s="6">
        <f>knicks_players_all_stats[[#This Row],[STL]]/knicks_players_all_stats[[#This Row],[GP]]</f>
        <v>1.1290322580645162</v>
      </c>
      <c r="AE328">
        <v>450</v>
      </c>
      <c r="AF328" s="2">
        <f>knicks_players_all_stats[[#This Row],[BLK2]]/10</f>
        <v>45</v>
      </c>
      <c r="AG328" s="6">
        <f>knicks_players_all_stats[[#This Row],[BLK]]/knicks_players_all_stats[[#This Row],[GP]]</f>
        <v>1.4516129032258065</v>
      </c>
      <c r="AH328">
        <v>260</v>
      </c>
      <c r="AI328" s="6">
        <f>knicks_players_all_stats[[#This Row],[BLKPG]]+knicks_players_all_stats[[#This Row],[STLPG]]+knicks_players_all_stats[[#This Row],[REBPG]]</f>
        <v>10.70967741935484</v>
      </c>
      <c r="AJ328" s="2">
        <f>knicks_players_all_stats[[#This Row],[TOV2]]/10</f>
        <v>26</v>
      </c>
      <c r="AK328" s="6">
        <f>knicks_players_all_stats[[#This Row],[TOV]]/knicks_players_all_stats[[#This Row],[GP]]</f>
        <v>0.83870967741935487</v>
      </c>
      <c r="AL328" s="2">
        <v>86</v>
      </c>
      <c r="AM328" s="2">
        <f>knicks_players_all_stats[[#This Row],[PF]]/knicks_players_all_stats[[#This Row],[GP]]</f>
        <v>2.774193548387097</v>
      </c>
      <c r="AN328" s="2">
        <v>256</v>
      </c>
      <c r="AO328" s="6">
        <f>knicks_players_all_stats[[#This Row],[PTS]]/knicks_players_all_stats[[#This Row],[GP]]</f>
        <v>8.258064516129032</v>
      </c>
    </row>
    <row r="329" spans="1:41" customFormat="1" x14ac:dyDescent="0.3">
      <c r="A329" s="3" t="s">
        <v>1545</v>
      </c>
      <c r="B329" s="3" t="s">
        <v>1289</v>
      </c>
      <c r="C329" s="3" t="str">
        <f>knicks_players_all_stats[[#This Row],[NAME]]&amp;" ("&amp;knicks_players_all_stats[[#This Row],[SEASON]]&amp;")"</f>
        <v>Alec Burks (2020-21)</v>
      </c>
      <c r="D329" s="3">
        <f>knicks_players_all_stats[[#This Row],[PLAYER_AGE]]/10</f>
        <v>29</v>
      </c>
      <c r="E329">
        <v>290</v>
      </c>
      <c r="F329" s="2">
        <v>49</v>
      </c>
      <c r="G329" s="2">
        <v>12550</v>
      </c>
      <c r="H32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544</v>
      </c>
      <c r="I329" s="6">
        <f>knicks_players_all_stats[[#This Row],[VALORATION]]/knicks_players_all_stats[[#This Row],[GP]]</f>
        <v>11.102040816326531</v>
      </c>
      <c r="J329" s="2">
        <v>210</v>
      </c>
      <c r="K329" s="2">
        <v>500</v>
      </c>
      <c r="L329" s="4">
        <f>knicks_players_all_stats[[#This Row],[FGM]]/knicks_players_all_stats[[#This Row],[FGA]]</f>
        <v>0.42</v>
      </c>
      <c r="M329" s="2">
        <v>1020</v>
      </c>
      <c r="N329" s="2">
        <v>2460</v>
      </c>
      <c r="O329" s="4">
        <f>knicks_players_all_stats[[#This Row],[FG3M]]/knicks_players_all_stats[[#This Row],[FG3A]]</f>
        <v>0.41463414634146339</v>
      </c>
      <c r="P329" s="2">
        <v>101</v>
      </c>
      <c r="Q329" s="2">
        <v>118</v>
      </c>
      <c r="R329" s="5">
        <f>knicks_players_all_stats[[#This Row],[FTM]]/knicks_players_all_stats[[#This Row],[FTA]]</f>
        <v>0.85593220338983056</v>
      </c>
      <c r="S329" s="2">
        <f>knicks_players_all_stats[[#This Row],[OREB22]]/10</f>
        <v>21</v>
      </c>
      <c r="T329" s="2">
        <f>knicks_players_all_stats[[#This Row],[DREB33]]/10</f>
        <v>206</v>
      </c>
      <c r="U329" s="2">
        <f>knicks_players_all_stats[[#This Row],[REB44]]/10</f>
        <v>227</v>
      </c>
      <c r="V329">
        <v>210</v>
      </c>
      <c r="W329">
        <v>2060</v>
      </c>
      <c r="X329">
        <v>2270</v>
      </c>
      <c r="Y329" s="22">
        <f>knicks_players_all_stats[[#This Row],[REB]]/knicks_players_all_stats[[#This Row],[GP]]</f>
        <v>4.6326530612244898</v>
      </c>
      <c r="Z329" s="2">
        <v>107</v>
      </c>
      <c r="AA329" s="6">
        <f>knicks_players_all_stats[[#This Row],[AST]]/knicks_players_all_stats[[#This Row],[GP]]</f>
        <v>2.1836734693877551</v>
      </c>
      <c r="AB329" s="2">
        <f>knicks_players_all_stats[[#This Row],[STL2]]/10</f>
        <v>31</v>
      </c>
      <c r="AC329" s="2">
        <v>310</v>
      </c>
      <c r="AD329" s="6">
        <f>knicks_players_all_stats[[#This Row],[STL]]/knicks_players_all_stats[[#This Row],[GP]]</f>
        <v>0.63265306122448983</v>
      </c>
      <c r="AE329">
        <v>140</v>
      </c>
      <c r="AF329" s="2">
        <f>knicks_players_all_stats[[#This Row],[BLK2]]/10</f>
        <v>14</v>
      </c>
      <c r="AG329" s="6">
        <f>knicks_players_all_stats[[#This Row],[BLK]]/knicks_players_all_stats[[#This Row],[GP]]</f>
        <v>0.2857142857142857</v>
      </c>
      <c r="AH329">
        <v>490</v>
      </c>
      <c r="AI329" s="6">
        <f>knicks_players_all_stats[[#This Row],[BLKPG]]+knicks_players_all_stats[[#This Row],[STLPG]]+knicks_players_all_stats[[#This Row],[REBPG]]</f>
        <v>5.5510204081632653</v>
      </c>
      <c r="AJ329" s="2">
        <f>knicks_players_all_stats[[#This Row],[TOV2]]/10</f>
        <v>49</v>
      </c>
      <c r="AK329" s="6">
        <f>knicks_players_all_stats[[#This Row],[TOV]]/knicks_players_all_stats[[#This Row],[GP]]</f>
        <v>1</v>
      </c>
      <c r="AL329" s="2">
        <v>102</v>
      </c>
      <c r="AM329" s="2">
        <f>knicks_players_all_stats[[#This Row],[PF]]/knicks_players_all_stats[[#This Row],[GP]]</f>
        <v>2.0816326530612246</v>
      </c>
      <c r="AN329" s="2">
        <v>623</v>
      </c>
      <c r="AO329" s="6">
        <f>knicks_players_all_stats[[#This Row],[PTS]]/knicks_players_all_stats[[#This Row],[GP]]</f>
        <v>12.714285714285714</v>
      </c>
    </row>
    <row r="330" spans="1:41" customFormat="1" x14ac:dyDescent="0.3">
      <c r="A330" s="3" t="s">
        <v>1307</v>
      </c>
      <c r="B330" s="3" t="s">
        <v>1289</v>
      </c>
      <c r="C330" s="3" t="str">
        <f>knicks_players_all_stats[[#This Row],[NAME]]&amp;" ("&amp;knicks_players_all_stats[[#This Row],[SEASON]]&amp;")"</f>
        <v>Nerlens Noel (2020-21)</v>
      </c>
      <c r="D330" s="3">
        <f>knicks_players_all_stats[[#This Row],[PLAYER_AGE]]/10</f>
        <v>27</v>
      </c>
      <c r="E330">
        <v>270</v>
      </c>
      <c r="F330" s="2">
        <v>64</v>
      </c>
      <c r="G330" s="2">
        <v>15470</v>
      </c>
      <c r="H33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641</v>
      </c>
      <c r="I330" s="6">
        <f>knicks_players_all_stats[[#This Row],[VALORATION]]/knicks_players_all_stats[[#This Row],[GP]]</f>
        <v>10.015625</v>
      </c>
      <c r="J330" s="2">
        <v>137</v>
      </c>
      <c r="K330" s="2">
        <v>223</v>
      </c>
      <c r="L330" s="4">
        <f>knicks_players_all_stats[[#This Row],[FGM]]/knicks_players_all_stats[[#This Row],[FGA]]</f>
        <v>0.61434977578475336</v>
      </c>
      <c r="M330" s="2">
        <v>0</v>
      </c>
      <c r="N330" s="2">
        <v>30</v>
      </c>
      <c r="O330" s="4">
        <f>knicks_players_all_stats[[#This Row],[FG3M]]/knicks_players_all_stats[[#This Row],[FG3A]]</f>
        <v>0</v>
      </c>
      <c r="P330" s="2">
        <v>50</v>
      </c>
      <c r="Q330" s="2">
        <v>70</v>
      </c>
      <c r="R330" s="5">
        <f>knicks_players_all_stats[[#This Row],[FTM]]/knicks_players_all_stats[[#This Row],[FTA]]</f>
        <v>0.7142857142857143</v>
      </c>
      <c r="S330" s="2">
        <f>knicks_players_all_stats[[#This Row],[OREB22]]/10</f>
        <v>142</v>
      </c>
      <c r="T330" s="2">
        <f>knicks_players_all_stats[[#This Row],[DREB33]]/10</f>
        <v>265</v>
      </c>
      <c r="U330" s="2">
        <f>knicks_players_all_stats[[#This Row],[REB44]]/10</f>
        <v>407</v>
      </c>
      <c r="V330">
        <v>1420</v>
      </c>
      <c r="W330">
        <v>2650</v>
      </c>
      <c r="X330">
        <v>4070</v>
      </c>
      <c r="Y330" s="22">
        <f>knicks_players_all_stats[[#This Row],[REB]]/knicks_players_all_stats[[#This Row],[GP]]</f>
        <v>6.359375</v>
      </c>
      <c r="Z330" s="2">
        <v>46</v>
      </c>
      <c r="AA330" s="6">
        <f>knicks_players_all_stats[[#This Row],[AST]]/knicks_players_all_stats[[#This Row],[GP]]</f>
        <v>0.71875</v>
      </c>
      <c r="AB330" s="2">
        <f>knicks_players_all_stats[[#This Row],[STL2]]/10</f>
        <v>70</v>
      </c>
      <c r="AC330" s="2">
        <v>700</v>
      </c>
      <c r="AD330" s="6">
        <f>knicks_players_all_stats[[#This Row],[STL]]/knicks_players_all_stats[[#This Row],[GP]]</f>
        <v>1.09375</v>
      </c>
      <c r="AE330">
        <v>1410</v>
      </c>
      <c r="AF330" s="2">
        <f>knicks_players_all_stats[[#This Row],[BLK2]]/10</f>
        <v>141</v>
      </c>
      <c r="AG330" s="6">
        <f>knicks_players_all_stats[[#This Row],[BLK]]/knicks_players_all_stats[[#This Row],[GP]]</f>
        <v>2.203125</v>
      </c>
      <c r="AH330">
        <v>650</v>
      </c>
      <c r="AI330" s="6">
        <f>knicks_players_all_stats[[#This Row],[BLKPG]]+knicks_players_all_stats[[#This Row],[STLPG]]+knicks_players_all_stats[[#This Row],[REBPG]]</f>
        <v>9.65625</v>
      </c>
      <c r="AJ330" s="2">
        <f>knicks_players_all_stats[[#This Row],[TOV2]]/10</f>
        <v>65</v>
      </c>
      <c r="AK330" s="6">
        <f>knicks_players_all_stats[[#This Row],[TOV]]/knicks_players_all_stats[[#This Row],[GP]]</f>
        <v>1.015625</v>
      </c>
      <c r="AL330" s="2">
        <v>176</v>
      </c>
      <c r="AM330" s="2">
        <f>knicks_players_all_stats[[#This Row],[PF]]/knicks_players_all_stats[[#This Row],[GP]]</f>
        <v>2.75</v>
      </c>
      <c r="AN330" s="2">
        <v>324</v>
      </c>
      <c r="AO330" s="6">
        <f>knicks_players_all_stats[[#This Row],[PTS]]/knicks_players_all_stats[[#This Row],[GP]]</f>
        <v>5.0625</v>
      </c>
    </row>
    <row r="331" spans="1:41" customFormat="1" x14ac:dyDescent="0.3">
      <c r="A331" s="3" t="s">
        <v>1710</v>
      </c>
      <c r="B331" s="3" t="s">
        <v>1289</v>
      </c>
      <c r="C331" s="3" t="str">
        <f>knicks_players_all_stats[[#This Row],[NAME]]&amp;" ("&amp;knicks_players_all_stats[[#This Row],[SEASON]]&amp;")"</f>
        <v>Taj Gibson (2020-21)</v>
      </c>
      <c r="D331" s="3">
        <f>knicks_players_all_stats[[#This Row],[PLAYER_AGE]]/10</f>
        <v>36</v>
      </c>
      <c r="E331">
        <v>360</v>
      </c>
      <c r="F331" s="2">
        <v>45</v>
      </c>
      <c r="G331" s="2">
        <v>9360</v>
      </c>
      <c r="H33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412</v>
      </c>
      <c r="I331" s="6">
        <f>knicks_players_all_stats[[#This Row],[VALORATION]]/knicks_players_all_stats[[#This Row],[GP]]</f>
        <v>9.155555555555555</v>
      </c>
      <c r="J331" s="2">
        <v>99</v>
      </c>
      <c r="K331" s="2">
        <v>158</v>
      </c>
      <c r="L331" s="2">
        <v>627</v>
      </c>
      <c r="M331" s="2">
        <v>30</v>
      </c>
      <c r="N331" s="2">
        <v>150</v>
      </c>
      <c r="O331" s="4">
        <f>knicks_players_all_stats[[#This Row],[FG3M]]/knicks_players_all_stats[[#This Row],[FG3A]]</f>
        <v>0.2</v>
      </c>
      <c r="P331" s="2">
        <v>40</v>
      </c>
      <c r="Q331" s="2">
        <v>55</v>
      </c>
      <c r="R331" s="5">
        <f>knicks_players_all_stats[[#This Row],[FTM]]/knicks_players_all_stats[[#This Row],[FTA]]</f>
        <v>0.72727272727272729</v>
      </c>
      <c r="S331" s="2">
        <f>knicks_players_all_stats[[#This Row],[OREB22]]/10</f>
        <v>99</v>
      </c>
      <c r="T331" s="2">
        <f>knicks_players_all_stats[[#This Row],[DREB33]]/10</f>
        <v>151</v>
      </c>
      <c r="U331" s="2">
        <f>knicks_players_all_stats[[#This Row],[REB44]]/10</f>
        <v>250</v>
      </c>
      <c r="V331">
        <v>990</v>
      </c>
      <c r="W331">
        <v>1510</v>
      </c>
      <c r="X331">
        <v>2500</v>
      </c>
      <c r="Y331" s="22">
        <f>knicks_players_all_stats[[#This Row],[REB]]/knicks_players_all_stats[[#This Row],[GP]]</f>
        <v>5.5555555555555554</v>
      </c>
      <c r="Z331" s="2">
        <v>36</v>
      </c>
      <c r="AA331" s="6">
        <f>knicks_players_all_stats[[#This Row],[AST]]/knicks_players_all_stats[[#This Row],[GP]]</f>
        <v>0.8</v>
      </c>
      <c r="AB331" s="2">
        <f>knicks_players_all_stats[[#This Row],[STL2]]/10</f>
        <v>31</v>
      </c>
      <c r="AC331" s="2">
        <v>310</v>
      </c>
      <c r="AD331" s="6">
        <f>knicks_players_all_stats[[#This Row],[STL]]/knicks_players_all_stats[[#This Row],[GP]]</f>
        <v>0.68888888888888888</v>
      </c>
      <c r="AE331">
        <v>490</v>
      </c>
      <c r="AF331" s="2">
        <f>knicks_players_all_stats[[#This Row],[BLK2]]/10</f>
        <v>49</v>
      </c>
      <c r="AG331" s="6">
        <f>knicks_players_all_stats[[#This Row],[BLK]]/knicks_players_all_stats[[#This Row],[GP]]</f>
        <v>1.0888888888888888</v>
      </c>
      <c r="AH331">
        <v>220</v>
      </c>
      <c r="AI331" s="6">
        <f>knicks_players_all_stats[[#This Row],[BLKPG]]+knicks_players_all_stats[[#This Row],[STLPG]]+knicks_players_all_stats[[#This Row],[REBPG]]</f>
        <v>7.333333333333333</v>
      </c>
      <c r="AJ331" s="2">
        <f>knicks_players_all_stats[[#This Row],[TOV2]]/10</f>
        <v>22</v>
      </c>
      <c r="AK331" s="6">
        <f>knicks_players_all_stats[[#This Row],[TOV]]/knicks_players_all_stats[[#This Row],[GP]]</f>
        <v>0.48888888888888887</v>
      </c>
      <c r="AL331" s="2">
        <v>99</v>
      </c>
      <c r="AM331" s="2">
        <f>knicks_players_all_stats[[#This Row],[PF]]/knicks_players_all_stats[[#This Row],[GP]]</f>
        <v>2.2000000000000002</v>
      </c>
      <c r="AN331" s="2">
        <v>241</v>
      </c>
      <c r="AO331" s="6">
        <f>knicks_players_all_stats[[#This Row],[PTS]]/knicks_players_all_stats[[#This Row],[GP]]</f>
        <v>5.3555555555555552</v>
      </c>
    </row>
    <row r="332" spans="1:41" customFormat="1" x14ac:dyDescent="0.3">
      <c r="A332" s="3" t="s">
        <v>1564</v>
      </c>
      <c r="B332" s="3" t="s">
        <v>1289</v>
      </c>
      <c r="C332" s="3" t="str">
        <f>knicks_players_all_stats[[#This Row],[NAME]]&amp;" ("&amp;knicks_players_all_stats[[#This Row],[SEASON]]&amp;")"</f>
        <v>Reggie Bullock Jr. (2020-21)</v>
      </c>
      <c r="D332" s="3">
        <f>knicks_players_all_stats[[#This Row],[PLAYER_AGE]]/10</f>
        <v>30</v>
      </c>
      <c r="E332">
        <v>300</v>
      </c>
      <c r="F332" s="2">
        <v>65</v>
      </c>
      <c r="G332" s="2">
        <v>19490</v>
      </c>
      <c r="H33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585</v>
      </c>
      <c r="I332" s="6">
        <f>knicks_players_all_stats[[#This Row],[VALORATION]]/knicks_players_all_stats[[#This Row],[GP]]</f>
        <v>9</v>
      </c>
      <c r="J332" s="2">
        <v>248</v>
      </c>
      <c r="K332" s="2">
        <v>561</v>
      </c>
      <c r="L332" s="4">
        <f>knicks_players_all_stats[[#This Row],[FGM]]/knicks_players_all_stats[[#This Row],[FGA]]</f>
        <v>0.44206773618538325</v>
      </c>
      <c r="M332" s="2">
        <v>1630</v>
      </c>
      <c r="N332" s="2">
        <v>3980</v>
      </c>
      <c r="O332" s="4">
        <f>knicks_players_all_stats[[#This Row],[FG3M]]/knicks_players_all_stats[[#This Row],[FG3A]]</f>
        <v>0.40954773869346733</v>
      </c>
      <c r="P332" s="2">
        <v>50</v>
      </c>
      <c r="Q332" s="2">
        <v>55</v>
      </c>
      <c r="R332" s="5">
        <f>knicks_players_all_stats[[#This Row],[FTM]]/knicks_players_all_stats[[#This Row],[FTA]]</f>
        <v>0.90909090909090906</v>
      </c>
      <c r="S332" s="2">
        <f>knicks_players_all_stats[[#This Row],[OREB22]]/10</f>
        <v>16</v>
      </c>
      <c r="T332" s="2">
        <f>knicks_players_all_stats[[#This Row],[DREB33]]/10</f>
        <v>207</v>
      </c>
      <c r="U332" s="2">
        <f>knicks_players_all_stats[[#This Row],[REB44]]/10</f>
        <v>223</v>
      </c>
      <c r="V332">
        <v>160</v>
      </c>
      <c r="W332">
        <v>2070</v>
      </c>
      <c r="X332">
        <v>2230</v>
      </c>
      <c r="Y332" s="22">
        <f>knicks_players_all_stats[[#This Row],[REB]]/knicks_players_all_stats[[#This Row],[GP]]</f>
        <v>3.4307692307692306</v>
      </c>
      <c r="Z332" s="2">
        <v>99</v>
      </c>
      <c r="AA332" s="6">
        <f>knicks_players_all_stats[[#This Row],[AST]]/knicks_players_all_stats[[#This Row],[GP]]</f>
        <v>1.523076923076923</v>
      </c>
      <c r="AB332" s="2">
        <f>knicks_players_all_stats[[#This Row],[STL2]]/10</f>
        <v>52</v>
      </c>
      <c r="AC332" s="2">
        <v>520</v>
      </c>
      <c r="AD332" s="6">
        <f>knicks_players_all_stats[[#This Row],[STL]]/knicks_players_all_stats[[#This Row],[GP]]</f>
        <v>0.8</v>
      </c>
      <c r="AE332">
        <v>110</v>
      </c>
      <c r="AF332" s="2">
        <f>knicks_players_all_stats[[#This Row],[BLK2]]/10</f>
        <v>11</v>
      </c>
      <c r="AG332" s="6">
        <f>knicks_players_all_stats[[#This Row],[BLK]]/knicks_players_all_stats[[#This Row],[GP]]</f>
        <v>0.16923076923076924</v>
      </c>
      <c r="AH332">
        <v>450</v>
      </c>
      <c r="AI332" s="6">
        <f>knicks_players_all_stats[[#This Row],[BLKPG]]+knicks_players_all_stats[[#This Row],[STLPG]]+knicks_players_all_stats[[#This Row],[REBPG]]</f>
        <v>4.4000000000000004</v>
      </c>
      <c r="AJ332" s="2">
        <f>knicks_players_all_stats[[#This Row],[TOV2]]/10</f>
        <v>45</v>
      </c>
      <c r="AK332" s="6">
        <f>knicks_players_all_stats[[#This Row],[TOV]]/knicks_players_all_stats[[#This Row],[GP]]</f>
        <v>0.69230769230769229</v>
      </c>
      <c r="AL332" s="2">
        <v>146</v>
      </c>
      <c r="AM332" s="2">
        <f>knicks_players_all_stats[[#This Row],[PF]]/knicks_players_all_stats[[#This Row],[GP]]</f>
        <v>2.2461538461538462</v>
      </c>
      <c r="AN332" s="2">
        <v>709</v>
      </c>
      <c r="AO332" s="6">
        <f>knicks_players_all_stats[[#This Row],[PTS]]/knicks_players_all_stats[[#This Row],[GP]]</f>
        <v>10.907692307692308</v>
      </c>
    </row>
    <row r="333" spans="1:41" customFormat="1" x14ac:dyDescent="0.3">
      <c r="A333" s="3" t="s">
        <v>1440</v>
      </c>
      <c r="B333" s="3" t="s">
        <v>1289</v>
      </c>
      <c r="C333" s="3" t="str">
        <f>knicks_players_all_stats[[#This Row],[NAME]]&amp;" ("&amp;knicks_players_all_stats[[#This Row],[SEASON]]&amp;")"</f>
        <v>Elfrid Payton (2020-21)</v>
      </c>
      <c r="D333" s="3">
        <f>knicks_players_all_stats[[#This Row],[PLAYER_AGE]]/10</f>
        <v>27</v>
      </c>
      <c r="E333">
        <v>270</v>
      </c>
      <c r="F333" s="2">
        <v>63</v>
      </c>
      <c r="G333" s="2">
        <v>14840</v>
      </c>
      <c r="H33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508</v>
      </c>
      <c r="I333" s="6">
        <f>knicks_players_all_stats[[#This Row],[VALORATION]]/knicks_players_all_stats[[#This Row],[GP]]</f>
        <v>8.0634920634920633</v>
      </c>
      <c r="J333" s="2">
        <v>269</v>
      </c>
      <c r="K333" s="2">
        <v>622</v>
      </c>
      <c r="L333" s="4">
        <f>knicks_players_all_stats[[#This Row],[FGM]]/knicks_players_all_stats[[#This Row],[FGA]]</f>
        <v>0.432475884244373</v>
      </c>
      <c r="M333" s="2">
        <v>280</v>
      </c>
      <c r="N333" s="2">
        <v>980</v>
      </c>
      <c r="O333" s="4">
        <f>knicks_players_all_stats[[#This Row],[FG3M]]/knicks_players_all_stats[[#This Row],[FG3A]]</f>
        <v>0.2857142857142857</v>
      </c>
      <c r="P333" s="2">
        <v>73</v>
      </c>
      <c r="Q333" s="2">
        <v>107</v>
      </c>
      <c r="R333" s="5">
        <f>knicks_players_all_stats[[#This Row],[FTM]]/knicks_players_all_stats[[#This Row],[FTA]]</f>
        <v>0.68224299065420557</v>
      </c>
      <c r="S333" s="2">
        <f>knicks_players_all_stats[[#This Row],[OREB22]]/10</f>
        <v>64</v>
      </c>
      <c r="T333" s="2">
        <f>knicks_players_all_stats[[#This Row],[DREB33]]/10</f>
        <v>152</v>
      </c>
      <c r="U333" s="2">
        <f>knicks_players_all_stats[[#This Row],[REB44]]/10</f>
        <v>216</v>
      </c>
      <c r="V333">
        <v>640</v>
      </c>
      <c r="W333">
        <v>1520</v>
      </c>
      <c r="X333">
        <v>2160</v>
      </c>
      <c r="Y333" s="22">
        <f>knicks_players_all_stats[[#This Row],[REB]]/knicks_players_all_stats[[#This Row],[GP]]</f>
        <v>3.4285714285714284</v>
      </c>
      <c r="Z333" s="2">
        <v>203</v>
      </c>
      <c r="AA333" s="6">
        <f>knicks_players_all_stats[[#This Row],[AST]]/knicks_players_all_stats[[#This Row],[GP]]</f>
        <v>3.2222222222222223</v>
      </c>
      <c r="AB333" s="2">
        <f>knicks_players_all_stats[[#This Row],[STL2]]/10</f>
        <v>47</v>
      </c>
      <c r="AC333" s="2">
        <v>470</v>
      </c>
      <c r="AD333" s="6">
        <f>knicks_players_all_stats[[#This Row],[STL]]/knicks_players_all_stats[[#This Row],[GP]]</f>
        <v>0.74603174603174605</v>
      </c>
      <c r="AE333">
        <v>90</v>
      </c>
      <c r="AF333" s="2">
        <f>knicks_players_all_stats[[#This Row],[BLK2]]/10</f>
        <v>9</v>
      </c>
      <c r="AG333" s="6">
        <f>knicks_players_all_stats[[#This Row],[BLK]]/knicks_players_all_stats[[#This Row],[GP]]</f>
        <v>0.14285714285714285</v>
      </c>
      <c r="AH333">
        <v>1030</v>
      </c>
      <c r="AI333" s="6">
        <f>knicks_players_all_stats[[#This Row],[BLKPG]]+knicks_players_all_stats[[#This Row],[STLPG]]+knicks_players_all_stats[[#This Row],[REBPG]]</f>
        <v>4.3174603174603172</v>
      </c>
      <c r="AJ333" s="2">
        <f>knicks_players_all_stats[[#This Row],[TOV2]]/10</f>
        <v>103</v>
      </c>
      <c r="AK333" s="6">
        <f>knicks_players_all_stats[[#This Row],[TOV]]/knicks_players_all_stats[[#This Row],[GP]]</f>
        <v>1.6349206349206349</v>
      </c>
      <c r="AL333" s="2">
        <v>116</v>
      </c>
      <c r="AM333" s="2">
        <f>knicks_players_all_stats[[#This Row],[PF]]/knicks_players_all_stats[[#This Row],[GP]]</f>
        <v>1.8412698412698412</v>
      </c>
      <c r="AN333" s="2">
        <v>639</v>
      </c>
      <c r="AO333" s="6">
        <f>knicks_players_all_stats[[#This Row],[PTS]]/knicks_players_all_stats[[#This Row],[GP]]</f>
        <v>10.142857142857142</v>
      </c>
    </row>
    <row r="334" spans="1:41" customFormat="1" x14ac:dyDescent="0.3">
      <c r="A334" s="3" t="s">
        <v>1496</v>
      </c>
      <c r="B334" s="3" t="s">
        <v>1289</v>
      </c>
      <c r="C334" s="3" t="str">
        <f>knicks_players_all_stats[[#This Row],[NAME]]&amp;" ("&amp;knicks_players_all_stats[[#This Row],[SEASON]]&amp;")"</f>
        <v>Immanuel Quickley (2020-21)</v>
      </c>
      <c r="D334" s="3">
        <f>knicks_players_all_stats[[#This Row],[PLAYER_AGE]]/10</f>
        <v>22</v>
      </c>
      <c r="E334">
        <v>220</v>
      </c>
      <c r="F334" s="2">
        <v>64</v>
      </c>
      <c r="G334" s="2">
        <v>12440</v>
      </c>
      <c r="H33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495</v>
      </c>
      <c r="I334" s="6">
        <f>knicks_players_all_stats[[#This Row],[VALORATION]]/knicks_players_all_stats[[#This Row],[GP]]</f>
        <v>7.734375</v>
      </c>
      <c r="J334" s="2">
        <v>229</v>
      </c>
      <c r="K334" s="2">
        <v>580</v>
      </c>
      <c r="L334" s="4">
        <f>knicks_players_all_stats[[#This Row],[FGM]]/knicks_players_all_stats[[#This Row],[FGA]]</f>
        <v>0.39482758620689656</v>
      </c>
      <c r="M334" s="2">
        <v>1180</v>
      </c>
      <c r="N334" s="2">
        <v>3030</v>
      </c>
      <c r="O334" s="4">
        <f>knicks_players_all_stats[[#This Row],[FG3M]]/knicks_players_all_stats[[#This Row],[FG3A]]</f>
        <v>0.38943894389438943</v>
      </c>
      <c r="P334" s="2">
        <v>155</v>
      </c>
      <c r="Q334" s="2">
        <v>174</v>
      </c>
      <c r="R334" s="5">
        <f>knicks_players_all_stats[[#This Row],[FTM]]/knicks_players_all_stats[[#This Row],[FTA]]</f>
        <v>0.89080459770114939</v>
      </c>
      <c r="S334" s="2">
        <f>knicks_players_all_stats[[#This Row],[OREB22]]/10</f>
        <v>25</v>
      </c>
      <c r="T334" s="2">
        <f>knicks_players_all_stats[[#This Row],[DREB33]]/10</f>
        <v>112</v>
      </c>
      <c r="U334" s="2">
        <f>knicks_players_all_stats[[#This Row],[REB44]]/10</f>
        <v>137</v>
      </c>
      <c r="V334">
        <v>250</v>
      </c>
      <c r="W334">
        <v>1120</v>
      </c>
      <c r="X334">
        <v>1370</v>
      </c>
      <c r="Y334" s="22">
        <f>knicks_players_all_stats[[#This Row],[REB]]/knicks_players_all_stats[[#This Row],[GP]]</f>
        <v>2.140625</v>
      </c>
      <c r="Z334" s="2">
        <v>127</v>
      </c>
      <c r="AA334" s="6">
        <f>knicks_players_all_stats[[#This Row],[AST]]/knicks_players_all_stats[[#This Row],[GP]]</f>
        <v>1.984375</v>
      </c>
      <c r="AB334" s="2">
        <f>knicks_players_all_stats[[#This Row],[STL2]]/10</f>
        <v>30</v>
      </c>
      <c r="AC334" s="2">
        <v>300</v>
      </c>
      <c r="AD334" s="6">
        <f>knicks_players_all_stats[[#This Row],[STL]]/knicks_players_all_stats[[#This Row],[GP]]</f>
        <v>0.46875</v>
      </c>
      <c r="AE334">
        <v>120</v>
      </c>
      <c r="AF334" s="2">
        <f>knicks_players_all_stats[[#This Row],[BLK2]]/10</f>
        <v>12</v>
      </c>
      <c r="AG334" s="6">
        <f>knicks_players_all_stats[[#This Row],[BLK]]/knicks_players_all_stats[[#This Row],[GP]]</f>
        <v>0.1875</v>
      </c>
      <c r="AH334">
        <v>580</v>
      </c>
      <c r="AI334" s="6">
        <f>knicks_players_all_stats[[#This Row],[BLKPG]]+knicks_players_all_stats[[#This Row],[STLPG]]+knicks_players_all_stats[[#This Row],[REBPG]]</f>
        <v>2.796875</v>
      </c>
      <c r="AJ334" s="2">
        <f>knicks_players_all_stats[[#This Row],[TOV2]]/10</f>
        <v>58</v>
      </c>
      <c r="AK334" s="6">
        <f>knicks_players_all_stats[[#This Row],[TOV]]/knicks_players_all_stats[[#This Row],[GP]]</f>
        <v>0.90625</v>
      </c>
      <c r="AL334" s="2">
        <v>114</v>
      </c>
      <c r="AM334" s="2">
        <f>knicks_players_all_stats[[#This Row],[PF]]/knicks_players_all_stats[[#This Row],[GP]]</f>
        <v>1.78125</v>
      </c>
      <c r="AN334" s="2">
        <v>731</v>
      </c>
      <c r="AO334" s="6">
        <f>knicks_players_all_stats[[#This Row],[PTS]]/knicks_players_all_stats[[#This Row],[GP]]</f>
        <v>11.421875</v>
      </c>
    </row>
    <row r="335" spans="1:41" customFormat="1" x14ac:dyDescent="0.3">
      <c r="A335" s="3" t="s">
        <v>1347</v>
      </c>
      <c r="B335" s="3" t="s">
        <v>1289</v>
      </c>
      <c r="C335" s="3" t="str">
        <f>knicks_players_all_stats[[#This Row],[NAME]]&amp;" ("&amp;knicks_players_all_stats[[#This Row],[SEASON]]&amp;")"</f>
        <v>Austin Rivers (2020-21)</v>
      </c>
      <c r="D335" s="3">
        <f>knicks_players_all_stats[[#This Row],[PLAYER_AGE]]/10</f>
        <v>28</v>
      </c>
      <c r="E335">
        <v>280</v>
      </c>
      <c r="F335" s="2">
        <v>21</v>
      </c>
      <c r="G335" s="2">
        <v>4420</v>
      </c>
      <c r="H33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120</v>
      </c>
      <c r="I335" s="6">
        <f>knicks_players_all_stats[[#This Row],[VALORATION]]/knicks_players_all_stats[[#This Row],[GP]]</f>
        <v>5.7142857142857144</v>
      </c>
      <c r="J335" s="2">
        <v>58</v>
      </c>
      <c r="K335" s="2">
        <v>135</v>
      </c>
      <c r="L335" s="4">
        <f>knicks_players_all_stats[[#This Row],[FGM]]/knicks_players_all_stats[[#This Row],[FGA]]</f>
        <v>0.42962962962962964</v>
      </c>
      <c r="M335" s="2">
        <v>280</v>
      </c>
      <c r="N335" s="2">
        <v>770</v>
      </c>
      <c r="O335" s="4">
        <f>knicks_players_all_stats[[#This Row],[FG3M]]/knicks_players_all_stats[[#This Row],[FG3A]]</f>
        <v>0.36363636363636365</v>
      </c>
      <c r="P335" s="2">
        <v>10</v>
      </c>
      <c r="Q335" s="2">
        <v>14</v>
      </c>
      <c r="R335" s="5">
        <f>knicks_players_all_stats[[#This Row],[FTM]]/knicks_players_all_stats[[#This Row],[FTA]]</f>
        <v>0.7142857142857143</v>
      </c>
      <c r="S335" s="2">
        <f>knicks_players_all_stats[[#This Row],[OREB22]]/10</f>
        <v>5</v>
      </c>
      <c r="T335" s="2">
        <f>knicks_players_all_stats[[#This Row],[DREB33]]/10</f>
        <v>42</v>
      </c>
      <c r="U335" s="2">
        <f>knicks_players_all_stats[[#This Row],[REB44]]/10</f>
        <v>47</v>
      </c>
      <c r="V335">
        <v>50</v>
      </c>
      <c r="W335">
        <v>420</v>
      </c>
      <c r="X335">
        <v>470</v>
      </c>
      <c r="Y335" s="22">
        <f>knicks_players_all_stats[[#This Row],[REB]]/knicks_players_all_stats[[#This Row],[GP]]</f>
        <v>2.2380952380952381</v>
      </c>
      <c r="Z335" s="2">
        <v>42</v>
      </c>
      <c r="AA335" s="6">
        <f>knicks_players_all_stats[[#This Row],[AST]]/knicks_players_all_stats[[#This Row],[GP]]</f>
        <v>2</v>
      </c>
      <c r="AB335" s="2">
        <f>knicks_players_all_stats[[#This Row],[STL2]]/10</f>
        <v>12</v>
      </c>
      <c r="AC335" s="2">
        <v>120</v>
      </c>
      <c r="AD335" s="6">
        <f>knicks_players_all_stats[[#This Row],[STL]]/knicks_players_all_stats[[#This Row],[GP]]</f>
        <v>0.5714285714285714</v>
      </c>
      <c r="AE335">
        <v>0</v>
      </c>
      <c r="AF335" s="2">
        <f>knicks_players_all_stats[[#This Row],[BLK2]]/10</f>
        <v>0</v>
      </c>
      <c r="AG335" s="6">
        <f>knicks_players_all_stats[[#This Row],[BLK]]/knicks_players_all_stats[[#This Row],[GP]]</f>
        <v>0</v>
      </c>
      <c r="AH335">
        <v>220</v>
      </c>
      <c r="AI335" s="6">
        <f>knicks_players_all_stats[[#This Row],[BLKPG]]+knicks_players_all_stats[[#This Row],[STLPG]]+knicks_players_all_stats[[#This Row],[REBPG]]</f>
        <v>2.8095238095238093</v>
      </c>
      <c r="AJ335" s="2">
        <f>knicks_players_all_stats[[#This Row],[TOV2]]/10</f>
        <v>22</v>
      </c>
      <c r="AK335" s="6">
        <f>knicks_players_all_stats[[#This Row],[TOV]]/knicks_players_all_stats[[#This Row],[GP]]</f>
        <v>1.0476190476190477</v>
      </c>
      <c r="AL335" s="2">
        <v>32</v>
      </c>
      <c r="AM335" s="2">
        <f>knicks_players_all_stats[[#This Row],[PF]]/knicks_players_all_stats[[#This Row],[GP]]</f>
        <v>1.5238095238095237</v>
      </c>
      <c r="AN335" s="2">
        <v>154</v>
      </c>
      <c r="AO335" s="6">
        <f>knicks_players_all_stats[[#This Row],[PTS]]/knicks_players_all_stats[[#This Row],[GP]]</f>
        <v>7.333333333333333</v>
      </c>
    </row>
    <row r="336" spans="1:41" x14ac:dyDescent="0.3">
      <c r="A336" s="3" t="s">
        <v>1798</v>
      </c>
      <c r="B336" s="3" t="s">
        <v>1289</v>
      </c>
      <c r="C336" s="3" t="str">
        <f>knicks_players_all_stats[[#This Row],[NAME]]&amp;" ("&amp;knicks_players_all_stats[[#This Row],[SEASON]]&amp;")"</f>
        <v>Obi Toppin (2020-21)</v>
      </c>
      <c r="D336" s="3">
        <f>knicks_players_all_stats[[#This Row],[PLAYER_AGE]]/10</f>
        <v>23</v>
      </c>
      <c r="E336">
        <v>230</v>
      </c>
      <c r="F336" s="2">
        <v>62</v>
      </c>
      <c r="G336" s="2">
        <v>6830</v>
      </c>
      <c r="H33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262</v>
      </c>
      <c r="I336" s="6">
        <f>knicks_players_all_stats[[#This Row],[VALORATION]]/knicks_players_all_stats[[#This Row],[GP]]</f>
        <v>4.225806451612903</v>
      </c>
      <c r="J336" s="2">
        <v>104</v>
      </c>
      <c r="K336" s="2">
        <v>209</v>
      </c>
      <c r="L336" s="2">
        <v>498</v>
      </c>
      <c r="M336" s="2">
        <v>260</v>
      </c>
      <c r="N336" s="2">
        <v>850</v>
      </c>
      <c r="O336" s="4">
        <f>knicks_players_all_stats[[#This Row],[FG3M]]/knicks_players_all_stats[[#This Row],[FG3A]]</f>
        <v>0.30588235294117649</v>
      </c>
      <c r="P336" s="2">
        <v>19</v>
      </c>
      <c r="Q336" s="2">
        <v>26</v>
      </c>
      <c r="R336" s="5">
        <f>knicks_players_all_stats[[#This Row],[FTM]]/knicks_players_all_stats[[#This Row],[FTA]]</f>
        <v>0.73076923076923073</v>
      </c>
      <c r="S336" s="2">
        <f>knicks_players_all_stats[[#This Row],[OREB22]]/10</f>
        <v>26</v>
      </c>
      <c r="T336" s="2">
        <f>knicks_players_all_stats[[#This Row],[DREB33]]/10</f>
        <v>112</v>
      </c>
      <c r="U336" s="2">
        <f>knicks_players_all_stats[[#This Row],[REB44]]/10</f>
        <v>138</v>
      </c>
      <c r="V336">
        <v>260</v>
      </c>
      <c r="W336">
        <v>1120</v>
      </c>
      <c r="X336">
        <v>1380</v>
      </c>
      <c r="Y336" s="22">
        <f>knicks_players_all_stats[[#This Row],[REB]]/knicks_players_all_stats[[#This Row],[GP]]</f>
        <v>2.225806451612903</v>
      </c>
      <c r="Z336" s="2">
        <v>29</v>
      </c>
      <c r="AA336" s="6">
        <f>knicks_players_all_stats[[#This Row],[AST]]/knicks_players_all_stats[[#This Row],[GP]]</f>
        <v>0.46774193548387094</v>
      </c>
      <c r="AB336" s="2">
        <f>knicks_players_all_stats[[#This Row],[STL2]]/10</f>
        <v>17</v>
      </c>
      <c r="AC336" s="2">
        <v>170</v>
      </c>
      <c r="AD336" s="6">
        <f>knicks_players_all_stats[[#This Row],[STL]]/knicks_players_all_stats[[#This Row],[GP]]</f>
        <v>0.27419354838709675</v>
      </c>
      <c r="AE336">
        <v>150</v>
      </c>
      <c r="AF336" s="2">
        <f>knicks_players_all_stats[[#This Row],[BLK2]]/10</f>
        <v>15</v>
      </c>
      <c r="AG336" s="6">
        <f>knicks_players_all_stats[[#This Row],[BLK]]/knicks_players_all_stats[[#This Row],[GP]]</f>
        <v>0.24193548387096775</v>
      </c>
      <c r="AH336">
        <v>230</v>
      </c>
      <c r="AI336" s="6">
        <f>knicks_players_all_stats[[#This Row],[BLKPG]]+knicks_players_all_stats[[#This Row],[STLPG]]+knicks_players_all_stats[[#This Row],[REBPG]]</f>
        <v>2.7419354838709675</v>
      </c>
      <c r="AJ336" s="2">
        <f>knicks_players_all_stats[[#This Row],[TOV2]]/10</f>
        <v>23</v>
      </c>
      <c r="AK336" s="6">
        <f>knicks_players_all_stats[[#This Row],[TOV]]/knicks_players_all_stats[[#This Row],[GP]]</f>
        <v>0.37096774193548387</v>
      </c>
      <c r="AL336" s="2">
        <v>55</v>
      </c>
      <c r="AM336" s="2">
        <f>knicks_players_all_stats[[#This Row],[PF]]/knicks_players_all_stats[[#This Row],[GP]]</f>
        <v>0.88709677419354838</v>
      </c>
      <c r="AN336" s="2">
        <v>253</v>
      </c>
      <c r="AO336" s="6">
        <f>knicks_players_all_stats[[#This Row],[PTS]]/knicks_players_all_stats[[#This Row],[GP]]</f>
        <v>4.080645161290323</v>
      </c>
    </row>
    <row r="337" spans="1:41" customFormat="1" x14ac:dyDescent="0.3">
      <c r="A337" s="3" t="s">
        <v>1616</v>
      </c>
      <c r="B337" s="3" t="s">
        <v>1289</v>
      </c>
      <c r="C337" s="3" t="str">
        <f>knicks_players_all_stats[[#This Row],[NAME]]&amp;" ("&amp;knicks_players_all_stats[[#This Row],[SEASON]]&amp;")"</f>
        <v>Kevin Knox II (2020-21)</v>
      </c>
      <c r="D337" s="3">
        <f>knicks_players_all_stats[[#This Row],[PLAYER_AGE]]/10</f>
        <v>21</v>
      </c>
      <c r="E337">
        <v>210</v>
      </c>
      <c r="F337" s="2">
        <v>42</v>
      </c>
      <c r="G337" s="2">
        <v>4640</v>
      </c>
      <c r="H33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116</v>
      </c>
      <c r="I337" s="6">
        <f>knicks_players_all_stats[[#This Row],[VALORATION]]/knicks_players_all_stats[[#This Row],[GP]]</f>
        <v>2.7619047619047619</v>
      </c>
      <c r="J337" s="2">
        <v>56</v>
      </c>
      <c r="K337" s="2">
        <v>143</v>
      </c>
      <c r="L337" s="4">
        <f>knicks_players_all_stats[[#This Row],[FGM]]/knicks_players_all_stats[[#This Row],[FGA]]</f>
        <v>0.39160839160839161</v>
      </c>
      <c r="M337" s="2">
        <v>350</v>
      </c>
      <c r="N337" s="2">
        <v>890</v>
      </c>
      <c r="O337" s="4">
        <f>knicks_players_all_stats[[#This Row],[FG3M]]/knicks_players_all_stats[[#This Row],[FG3A]]</f>
        <v>0.39325842696629215</v>
      </c>
      <c r="P337" s="2">
        <v>16</v>
      </c>
      <c r="Q337" s="2">
        <v>20</v>
      </c>
      <c r="R337" s="5">
        <f>knicks_players_all_stats[[#This Row],[FTM]]/knicks_players_all_stats[[#This Row],[FTA]]</f>
        <v>0.8</v>
      </c>
      <c r="S337" s="2">
        <f>knicks_players_all_stats[[#This Row],[OREB22]]/10</f>
        <v>10</v>
      </c>
      <c r="T337" s="2">
        <f>knicks_players_all_stats[[#This Row],[DREB33]]/10</f>
        <v>51</v>
      </c>
      <c r="U337" s="2">
        <f>knicks_players_all_stats[[#This Row],[REB44]]/10</f>
        <v>61</v>
      </c>
      <c r="V337">
        <v>100</v>
      </c>
      <c r="W337">
        <v>510</v>
      </c>
      <c r="X337">
        <v>610</v>
      </c>
      <c r="Y337" s="22">
        <f>knicks_players_all_stats[[#This Row],[REB]]/knicks_players_all_stats[[#This Row],[GP]]</f>
        <v>1.4523809523809523</v>
      </c>
      <c r="Z337" s="2">
        <v>19</v>
      </c>
      <c r="AA337" s="6">
        <f>knicks_players_all_stats[[#This Row],[AST]]/knicks_players_all_stats[[#This Row],[GP]]</f>
        <v>0.45238095238095238</v>
      </c>
      <c r="AB337" s="2">
        <f>knicks_players_all_stats[[#This Row],[STL2]]/10</f>
        <v>12</v>
      </c>
      <c r="AC337" s="2">
        <v>120</v>
      </c>
      <c r="AD337" s="6">
        <f>knicks_players_all_stats[[#This Row],[STL]]/knicks_players_all_stats[[#This Row],[GP]]</f>
        <v>0.2857142857142857</v>
      </c>
      <c r="AE337">
        <v>60</v>
      </c>
      <c r="AF337" s="2">
        <f>knicks_players_all_stats[[#This Row],[BLK2]]/10</f>
        <v>6</v>
      </c>
      <c r="AG337" s="6">
        <f>knicks_players_all_stats[[#This Row],[BLK]]/knicks_players_all_stats[[#This Row],[GP]]</f>
        <v>0.14285714285714285</v>
      </c>
      <c r="AH337">
        <v>170</v>
      </c>
      <c r="AI337" s="6">
        <f>knicks_players_all_stats[[#This Row],[BLKPG]]+knicks_players_all_stats[[#This Row],[STLPG]]+knicks_players_all_stats[[#This Row],[REBPG]]</f>
        <v>1.8809523809523809</v>
      </c>
      <c r="AJ337" s="2">
        <f>knicks_players_all_stats[[#This Row],[TOV2]]/10</f>
        <v>17</v>
      </c>
      <c r="AK337" s="6">
        <f>knicks_players_all_stats[[#This Row],[TOV]]/knicks_players_all_stats[[#This Row],[GP]]</f>
        <v>0.40476190476190477</v>
      </c>
      <c r="AL337" s="2">
        <v>37</v>
      </c>
      <c r="AM337" s="2">
        <f>knicks_players_all_stats[[#This Row],[PF]]/knicks_players_all_stats[[#This Row],[GP]]</f>
        <v>0.88095238095238093</v>
      </c>
      <c r="AN337" s="2">
        <v>163</v>
      </c>
      <c r="AO337" s="6">
        <f>knicks_players_all_stats[[#This Row],[PTS]]/knicks_players_all_stats[[#This Row],[GP]]</f>
        <v>3.8809523809523809</v>
      </c>
    </row>
    <row r="338" spans="1:41" customFormat="1" x14ac:dyDescent="0.3">
      <c r="A338" s="3" t="s">
        <v>1733</v>
      </c>
      <c r="B338" s="3" t="s">
        <v>1289</v>
      </c>
      <c r="C338" s="3" t="str">
        <f>knicks_players_all_stats[[#This Row],[NAME]]&amp;" ("&amp;knicks_players_all_stats[[#This Row],[SEASON]]&amp;")"</f>
        <v>Norvel Pelle (2020-21)</v>
      </c>
      <c r="D338" s="3">
        <f>knicks_players_all_stats[[#This Row],[PLAYER_AGE]]/10</f>
        <v>28</v>
      </c>
      <c r="E338">
        <v>280</v>
      </c>
      <c r="F338" s="2">
        <v>9</v>
      </c>
      <c r="G338" s="2">
        <v>520</v>
      </c>
      <c r="H33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23</v>
      </c>
      <c r="I338" s="6">
        <f>knicks_players_all_stats[[#This Row],[VALORATION]]/knicks_players_all_stats[[#This Row],[GP]]</f>
        <v>2.5555555555555554</v>
      </c>
      <c r="J338" s="2">
        <v>5</v>
      </c>
      <c r="K338" s="2">
        <v>7</v>
      </c>
      <c r="L338" s="2">
        <v>714</v>
      </c>
      <c r="M338" s="2">
        <v>0</v>
      </c>
      <c r="N338" s="2">
        <v>0</v>
      </c>
      <c r="O338" s="4" t="e">
        <f>knicks_players_all_stats[[#This Row],[FG3M]]/knicks_players_all_stats[[#This Row],[FG3A]]</f>
        <v>#DIV/0!</v>
      </c>
      <c r="P338" s="2">
        <v>1</v>
      </c>
      <c r="Q338" s="2">
        <v>2</v>
      </c>
      <c r="R338" s="5">
        <f>knicks_players_all_stats[[#This Row],[FTM]]/knicks_players_all_stats[[#This Row],[FTA]]</f>
        <v>0.5</v>
      </c>
      <c r="S338" s="2">
        <f>knicks_players_all_stats[[#This Row],[OREB22]]/10</f>
        <v>2</v>
      </c>
      <c r="T338" s="2">
        <f>knicks_players_all_stats[[#This Row],[DREB33]]/10</f>
        <v>9</v>
      </c>
      <c r="U338" s="2">
        <f>knicks_players_all_stats[[#This Row],[REB44]]/10</f>
        <v>11</v>
      </c>
      <c r="V338">
        <v>20</v>
      </c>
      <c r="W338">
        <v>90</v>
      </c>
      <c r="X338">
        <v>110</v>
      </c>
      <c r="Y338" s="22">
        <f>knicks_players_all_stats[[#This Row],[REB]]/knicks_players_all_stats[[#This Row],[GP]]</f>
        <v>1.2222222222222223</v>
      </c>
      <c r="Z338" s="2">
        <v>1</v>
      </c>
      <c r="AA338" s="6">
        <f>knicks_players_all_stats[[#This Row],[AST]]/knicks_players_all_stats[[#This Row],[GP]]</f>
        <v>0.1111111111111111</v>
      </c>
      <c r="AB338" s="2">
        <f>knicks_players_all_stats[[#This Row],[STL2]]/10</f>
        <v>1</v>
      </c>
      <c r="AC338" s="2">
        <v>10</v>
      </c>
      <c r="AD338" s="6">
        <f>knicks_players_all_stats[[#This Row],[STL]]/knicks_players_all_stats[[#This Row],[GP]]</f>
        <v>0.1111111111111111</v>
      </c>
      <c r="AE338">
        <v>60</v>
      </c>
      <c r="AF338" s="2">
        <f>knicks_players_all_stats[[#This Row],[BLK2]]/10</f>
        <v>6</v>
      </c>
      <c r="AG338" s="6">
        <f>knicks_players_all_stats[[#This Row],[BLK]]/knicks_players_all_stats[[#This Row],[GP]]</f>
        <v>0.66666666666666663</v>
      </c>
      <c r="AH338">
        <v>0</v>
      </c>
      <c r="AI338" s="6">
        <f>knicks_players_all_stats[[#This Row],[BLKPG]]+knicks_players_all_stats[[#This Row],[STLPG]]+knicks_players_all_stats[[#This Row],[REBPG]]</f>
        <v>2</v>
      </c>
      <c r="AJ338" s="2">
        <f>knicks_players_all_stats[[#This Row],[TOV2]]/10</f>
        <v>0</v>
      </c>
      <c r="AK338" s="6">
        <f>knicks_players_all_stats[[#This Row],[TOV]]/knicks_players_all_stats[[#This Row],[GP]]</f>
        <v>0</v>
      </c>
      <c r="AL338" s="2">
        <v>4</v>
      </c>
      <c r="AM338" s="2">
        <f>knicks_players_all_stats[[#This Row],[PF]]/knicks_players_all_stats[[#This Row],[GP]]</f>
        <v>0.44444444444444442</v>
      </c>
      <c r="AN338" s="2">
        <v>11</v>
      </c>
      <c r="AO338" s="6">
        <f>knicks_players_all_stats[[#This Row],[PTS]]/knicks_players_all_stats[[#This Row],[GP]]</f>
        <v>1.2222222222222223</v>
      </c>
    </row>
    <row r="339" spans="1:41" customFormat="1" x14ac:dyDescent="0.3">
      <c r="A339" s="3" t="s">
        <v>1286</v>
      </c>
      <c r="B339" s="3" t="s">
        <v>1289</v>
      </c>
      <c r="C339" s="3" t="str">
        <f>knicks_players_all_stats[[#This Row],[NAME]]&amp;" ("&amp;knicks_players_all_stats[[#This Row],[SEASON]]&amp;")"</f>
        <v>Frank Ntilikina (2020-21)</v>
      </c>
      <c r="D339" s="3">
        <f>knicks_players_all_stats[[#This Row],[PLAYER_AGE]]/10</f>
        <v>22</v>
      </c>
      <c r="E339">
        <v>220</v>
      </c>
      <c r="F339" s="2">
        <v>33</v>
      </c>
      <c r="G339" s="2">
        <v>3220</v>
      </c>
      <c r="H33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45</v>
      </c>
      <c r="I339" s="6">
        <f>knicks_players_all_stats[[#This Row],[VALORATION]]/knicks_players_all_stats[[#This Row],[GP]]</f>
        <v>1.3636363636363635</v>
      </c>
      <c r="J339" s="2">
        <v>29</v>
      </c>
      <c r="K339" s="2">
        <v>79</v>
      </c>
      <c r="L339" s="4">
        <f>knicks_players_all_stats[[#This Row],[FGM]]/knicks_players_all_stats[[#This Row],[FGA]]</f>
        <v>0.36708860759493672</v>
      </c>
      <c r="M339" s="2">
        <v>230</v>
      </c>
      <c r="N339" s="2">
        <v>480</v>
      </c>
      <c r="O339" s="4">
        <f>knicks_players_all_stats[[#This Row],[FG3M]]/knicks_players_all_stats[[#This Row],[FG3A]]</f>
        <v>0.47916666666666669</v>
      </c>
      <c r="P339" s="2">
        <v>8</v>
      </c>
      <c r="Q339" s="2">
        <v>18</v>
      </c>
      <c r="R339" s="5">
        <f>knicks_players_all_stats[[#This Row],[FTM]]/knicks_players_all_stats[[#This Row],[FTA]]</f>
        <v>0.44444444444444442</v>
      </c>
      <c r="S339" s="2">
        <f>knicks_players_all_stats[[#This Row],[OREB22]]/10</f>
        <v>6</v>
      </c>
      <c r="T339" s="2">
        <f>knicks_players_all_stats[[#This Row],[DREB33]]/10</f>
        <v>25</v>
      </c>
      <c r="U339" s="2">
        <f>knicks_players_all_stats[[#This Row],[REB44]]/10</f>
        <v>31</v>
      </c>
      <c r="V339">
        <v>60</v>
      </c>
      <c r="W339">
        <v>250</v>
      </c>
      <c r="X339">
        <v>310</v>
      </c>
      <c r="Y339" s="22">
        <f>knicks_players_all_stats[[#This Row],[REB]]/knicks_players_all_stats[[#This Row],[GP]]</f>
        <v>0.93939393939393945</v>
      </c>
      <c r="Z339" s="2">
        <v>19</v>
      </c>
      <c r="AA339" s="6">
        <f>knicks_players_all_stats[[#This Row],[AST]]/knicks_players_all_stats[[#This Row],[GP]]</f>
        <v>0.5757575757575758</v>
      </c>
      <c r="AB339" s="2">
        <f>knicks_players_all_stats[[#This Row],[STL2]]/10</f>
        <v>18</v>
      </c>
      <c r="AC339" s="2">
        <v>180</v>
      </c>
      <c r="AD339" s="6">
        <f>knicks_players_all_stats[[#This Row],[STL]]/knicks_players_all_stats[[#This Row],[GP]]</f>
        <v>0.54545454545454541</v>
      </c>
      <c r="AE339">
        <v>40</v>
      </c>
      <c r="AF339" s="2">
        <f>knicks_players_all_stats[[#This Row],[BLK2]]/10</f>
        <v>4</v>
      </c>
      <c r="AG339" s="6">
        <f>knicks_players_all_stats[[#This Row],[BLK]]/knicks_players_all_stats[[#This Row],[GP]]</f>
        <v>0.12121212121212122</v>
      </c>
      <c r="AH339">
        <v>110</v>
      </c>
      <c r="AI339" s="6">
        <f>knicks_players_all_stats[[#This Row],[BLKPG]]+knicks_players_all_stats[[#This Row],[STLPG]]+knicks_players_all_stats[[#This Row],[REBPG]]</f>
        <v>1.606060606060606</v>
      </c>
      <c r="AJ339" s="2">
        <f>knicks_players_all_stats[[#This Row],[TOV2]]/10</f>
        <v>11</v>
      </c>
      <c r="AK339" s="6">
        <f>knicks_players_all_stats[[#This Row],[TOV]]/knicks_players_all_stats[[#This Row],[GP]]</f>
        <v>0.33333333333333331</v>
      </c>
      <c r="AL339" s="2">
        <v>45</v>
      </c>
      <c r="AM339" s="2">
        <f>knicks_players_all_stats[[#This Row],[PF]]/knicks_players_all_stats[[#This Row],[GP]]</f>
        <v>1.3636363636363635</v>
      </c>
      <c r="AN339" s="2">
        <v>89</v>
      </c>
      <c r="AO339" s="6">
        <f>knicks_players_all_stats[[#This Row],[PTS]]/knicks_players_all_stats[[#This Row],[GP]]</f>
        <v>2.6969696969696968</v>
      </c>
    </row>
    <row r="340" spans="1:41" customFormat="1" x14ac:dyDescent="0.3">
      <c r="A340" s="3" t="s">
        <v>1491</v>
      </c>
      <c r="B340" s="3" t="s">
        <v>1289</v>
      </c>
      <c r="C340" s="3" t="str">
        <f>knicks_players_all_stats[[#This Row],[NAME]]&amp;" ("&amp;knicks_players_all_stats[[#This Row],[SEASON]]&amp;")"</f>
        <v>Dennis Smith Jr. (2020-21)</v>
      </c>
      <c r="D340" s="3">
        <f>knicks_players_all_stats[[#This Row],[PLAYER_AGE]]/10</f>
        <v>23</v>
      </c>
      <c r="E340">
        <v>230</v>
      </c>
      <c r="F340" s="2">
        <v>3</v>
      </c>
      <c r="G340" s="2">
        <v>280</v>
      </c>
      <c r="H34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</v>
      </c>
      <c r="I340" s="6">
        <f>knicks_players_all_stats[[#This Row],[VALORATION]]/knicks_players_all_stats[[#This Row],[GP]]</f>
        <v>1</v>
      </c>
      <c r="J340" s="2">
        <v>2</v>
      </c>
      <c r="K340" s="2">
        <v>10</v>
      </c>
      <c r="L340" s="4">
        <f>knicks_players_all_stats[[#This Row],[FGM]]/knicks_players_all_stats[[#This Row],[FGA]]</f>
        <v>0.2</v>
      </c>
      <c r="M340" s="2">
        <v>0</v>
      </c>
      <c r="N340" s="2">
        <v>40</v>
      </c>
      <c r="O340" s="4">
        <f>knicks_players_all_stats[[#This Row],[FG3M]]/knicks_players_all_stats[[#This Row],[FG3A]]</f>
        <v>0</v>
      </c>
      <c r="P340" s="2">
        <v>5</v>
      </c>
      <c r="Q340" s="2">
        <v>6</v>
      </c>
      <c r="R340" s="5">
        <f>knicks_players_all_stats[[#This Row],[FTM]]/knicks_players_all_stats[[#This Row],[FTA]]</f>
        <v>0.83333333333333337</v>
      </c>
      <c r="S340" s="2">
        <f>knicks_players_all_stats[[#This Row],[OREB22]]/10</f>
        <v>0</v>
      </c>
      <c r="T340" s="2">
        <f>knicks_players_all_stats[[#This Row],[DREB33]]/10</f>
        <v>2</v>
      </c>
      <c r="U340" s="2">
        <f>knicks_players_all_stats[[#This Row],[REB44]]/10</f>
        <v>2</v>
      </c>
      <c r="V340">
        <v>0</v>
      </c>
      <c r="W340">
        <v>20</v>
      </c>
      <c r="X340">
        <v>20</v>
      </c>
      <c r="Y340" s="22">
        <f>knicks_players_all_stats[[#This Row],[REB]]/knicks_players_all_stats[[#This Row],[GP]]</f>
        <v>0.66666666666666663</v>
      </c>
      <c r="Z340" s="2">
        <v>3</v>
      </c>
      <c r="AA340" s="6">
        <f>knicks_players_all_stats[[#This Row],[AST]]/knicks_players_all_stats[[#This Row],[GP]]</f>
        <v>1</v>
      </c>
      <c r="AB340" s="2">
        <f>knicks_players_all_stats[[#This Row],[STL2]]/10</f>
        <v>3</v>
      </c>
      <c r="AC340" s="2">
        <v>30</v>
      </c>
      <c r="AD340" s="6">
        <f>knicks_players_all_stats[[#This Row],[STL]]/knicks_players_all_stats[[#This Row],[GP]]</f>
        <v>1</v>
      </c>
      <c r="AE340">
        <v>0</v>
      </c>
      <c r="AF340" s="2">
        <f>knicks_players_all_stats[[#This Row],[BLK2]]/10</f>
        <v>0</v>
      </c>
      <c r="AG340" s="6">
        <f>knicks_players_all_stats[[#This Row],[BLK]]/knicks_players_all_stats[[#This Row],[GP]]</f>
        <v>0</v>
      </c>
      <c r="AH340">
        <v>10</v>
      </c>
      <c r="AI340" s="6">
        <f>knicks_players_all_stats[[#This Row],[BLKPG]]+knicks_players_all_stats[[#This Row],[STLPG]]+knicks_players_all_stats[[#This Row],[REBPG]]</f>
        <v>1.6666666666666665</v>
      </c>
      <c r="AJ340" s="2">
        <f>knicks_players_all_stats[[#This Row],[TOV2]]/10</f>
        <v>1</v>
      </c>
      <c r="AK340" s="6">
        <f>knicks_players_all_stats[[#This Row],[TOV]]/knicks_players_all_stats[[#This Row],[GP]]</f>
        <v>0.33333333333333331</v>
      </c>
      <c r="AL340" s="2">
        <v>4</v>
      </c>
      <c r="AM340" s="2">
        <f>knicks_players_all_stats[[#This Row],[PF]]/knicks_players_all_stats[[#This Row],[GP]]</f>
        <v>1.3333333333333333</v>
      </c>
      <c r="AN340" s="2">
        <v>9</v>
      </c>
      <c r="AO340" s="6">
        <f>knicks_players_all_stats[[#This Row],[PTS]]/knicks_players_all_stats[[#This Row],[GP]]</f>
        <v>3</v>
      </c>
    </row>
    <row r="341" spans="1:41" customFormat="1" x14ac:dyDescent="0.3">
      <c r="A341" s="3" t="s">
        <v>1636</v>
      </c>
      <c r="B341" s="3" t="s">
        <v>1289</v>
      </c>
      <c r="C341" s="3" t="str">
        <f>knicks_players_all_stats[[#This Row],[NAME]]&amp;" ("&amp;knicks_players_all_stats[[#This Row],[SEASON]]&amp;")"</f>
        <v>Ignas Brazdeikis (2020-21)</v>
      </c>
      <c r="D341" s="3">
        <f>knicks_players_all_stats[[#This Row],[PLAYER_AGE]]/10</f>
        <v>22</v>
      </c>
      <c r="E341">
        <v>220</v>
      </c>
      <c r="F341" s="2">
        <v>4</v>
      </c>
      <c r="G341" s="2">
        <v>70</v>
      </c>
      <c r="H34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</v>
      </c>
      <c r="I341" s="6">
        <f>knicks_players_all_stats[[#This Row],[VALORATION]]/knicks_players_all_stats[[#This Row],[GP]]</f>
        <v>0.75</v>
      </c>
      <c r="J341" s="2">
        <v>0</v>
      </c>
      <c r="K341" s="2">
        <v>1</v>
      </c>
      <c r="L341" s="4">
        <f>knicks_players_all_stats[[#This Row],[FGM]]/knicks_players_all_stats[[#This Row],[FGA]]</f>
        <v>0</v>
      </c>
      <c r="M341" s="2">
        <v>0</v>
      </c>
      <c r="N341" s="2">
        <v>0</v>
      </c>
      <c r="O341" s="4" t="e">
        <f>knicks_players_all_stats[[#This Row],[FG3M]]/knicks_players_all_stats[[#This Row],[FG3A]]</f>
        <v>#DIV/0!</v>
      </c>
      <c r="P341" s="2">
        <v>2</v>
      </c>
      <c r="Q341" s="2">
        <v>2</v>
      </c>
      <c r="R341" s="5">
        <f>knicks_players_all_stats[[#This Row],[FTM]]/knicks_players_all_stats[[#This Row],[FTA]]</f>
        <v>1</v>
      </c>
      <c r="S341" s="2">
        <f>knicks_players_all_stats[[#This Row],[OREB22]]/10</f>
        <v>1</v>
      </c>
      <c r="T341" s="2">
        <f>knicks_players_all_stats[[#This Row],[DREB33]]/10</f>
        <v>1</v>
      </c>
      <c r="U341" s="2">
        <f>knicks_players_all_stats[[#This Row],[REB44]]/10</f>
        <v>2</v>
      </c>
      <c r="V341">
        <v>10</v>
      </c>
      <c r="W341">
        <v>10</v>
      </c>
      <c r="X341">
        <v>20</v>
      </c>
      <c r="Y341" s="22">
        <f>knicks_players_all_stats[[#This Row],[REB]]/knicks_players_all_stats[[#This Row],[GP]]</f>
        <v>0.5</v>
      </c>
      <c r="Z341" s="2">
        <v>1</v>
      </c>
      <c r="AA341" s="6">
        <f>knicks_players_all_stats[[#This Row],[AST]]/knicks_players_all_stats[[#This Row],[GP]]</f>
        <v>0.25</v>
      </c>
      <c r="AB341" s="2">
        <f>knicks_players_all_stats[[#This Row],[STL2]]/10</f>
        <v>0</v>
      </c>
      <c r="AC341" s="2">
        <v>0</v>
      </c>
      <c r="AD341" s="6">
        <f>knicks_players_all_stats[[#This Row],[STL]]/knicks_players_all_stats[[#This Row],[GP]]</f>
        <v>0</v>
      </c>
      <c r="AE341">
        <v>0</v>
      </c>
      <c r="AF341" s="2">
        <f>knicks_players_all_stats[[#This Row],[BLK2]]/10</f>
        <v>0</v>
      </c>
      <c r="AG341" s="6">
        <f>knicks_players_all_stats[[#This Row],[BLK]]/knicks_players_all_stats[[#This Row],[GP]]</f>
        <v>0</v>
      </c>
      <c r="AH341">
        <v>10</v>
      </c>
      <c r="AI341" s="6">
        <f>knicks_players_all_stats[[#This Row],[BLKPG]]+knicks_players_all_stats[[#This Row],[STLPG]]+knicks_players_all_stats[[#This Row],[REBPG]]</f>
        <v>0.5</v>
      </c>
      <c r="AJ341" s="2">
        <f>knicks_players_all_stats[[#This Row],[TOV2]]/10</f>
        <v>1</v>
      </c>
      <c r="AK341" s="6">
        <f>knicks_players_all_stats[[#This Row],[TOV]]/knicks_players_all_stats[[#This Row],[GP]]</f>
        <v>0.25</v>
      </c>
      <c r="AL341" s="2">
        <v>0</v>
      </c>
      <c r="AM341" s="2">
        <f>knicks_players_all_stats[[#This Row],[PF]]/knicks_players_all_stats[[#This Row],[GP]]</f>
        <v>0</v>
      </c>
      <c r="AN341" s="2">
        <v>2</v>
      </c>
      <c r="AO341" s="6">
        <f>knicks_players_all_stats[[#This Row],[PTS]]/knicks_players_all_stats[[#This Row],[GP]]</f>
        <v>0.5</v>
      </c>
    </row>
    <row r="342" spans="1:41" customFormat="1" x14ac:dyDescent="0.3">
      <c r="A342" s="3" t="s">
        <v>1485</v>
      </c>
      <c r="B342" s="3" t="s">
        <v>1289</v>
      </c>
      <c r="C342" s="3" t="str">
        <f>knicks_players_all_stats[[#This Row],[NAME]]&amp;" ("&amp;knicks_players_all_stats[[#This Row],[SEASON]]&amp;")"</f>
        <v>Theo Pinson (2020-21)</v>
      </c>
      <c r="D342" s="3">
        <f>knicks_players_all_stats[[#This Row],[PLAYER_AGE]]/10</f>
        <v>25</v>
      </c>
      <c r="E342">
        <v>250</v>
      </c>
      <c r="F342" s="2">
        <v>17</v>
      </c>
      <c r="G342" s="2">
        <v>340</v>
      </c>
      <c r="H34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-5</v>
      </c>
      <c r="I342" s="6">
        <f>knicks_players_all_stats[[#This Row],[VALORATION]]/knicks_players_all_stats[[#This Row],[GP]]</f>
        <v>-0.29411764705882354</v>
      </c>
      <c r="J342" s="2">
        <v>1</v>
      </c>
      <c r="K342" s="2">
        <v>9</v>
      </c>
      <c r="L342" s="4">
        <f>knicks_players_all_stats[[#This Row],[FGM]]/knicks_players_all_stats[[#This Row],[FGA]]</f>
        <v>0.1111111111111111</v>
      </c>
      <c r="M342" s="2">
        <v>0</v>
      </c>
      <c r="N342" s="2">
        <v>80</v>
      </c>
      <c r="O342" s="4">
        <f>knicks_players_all_stats[[#This Row],[FG3M]]/knicks_players_all_stats[[#This Row],[FG3A]]</f>
        <v>0</v>
      </c>
      <c r="P342" s="2">
        <v>0</v>
      </c>
      <c r="Q342" s="2">
        <v>0</v>
      </c>
      <c r="R342" s="5" t="e">
        <f>knicks_players_all_stats[[#This Row],[FTM]]/knicks_players_all_stats[[#This Row],[FTA]]</f>
        <v>#DIV/0!</v>
      </c>
      <c r="S342" s="2">
        <f>knicks_players_all_stats[[#This Row],[OREB22]]/10</f>
        <v>0</v>
      </c>
      <c r="T342" s="2">
        <f>knicks_players_all_stats[[#This Row],[DREB33]]/10</f>
        <v>5</v>
      </c>
      <c r="U342" s="2">
        <f>knicks_players_all_stats[[#This Row],[REB44]]/10</f>
        <v>5</v>
      </c>
      <c r="V342">
        <v>0</v>
      </c>
      <c r="W342">
        <v>50</v>
      </c>
      <c r="X342">
        <v>50</v>
      </c>
      <c r="Y342" s="22">
        <f>knicks_players_all_stats[[#This Row],[REB]]/knicks_players_all_stats[[#This Row],[GP]]</f>
        <v>0.29411764705882354</v>
      </c>
      <c r="Z342" s="2">
        <v>1</v>
      </c>
      <c r="AA342" s="6">
        <f>knicks_players_all_stats[[#This Row],[AST]]/knicks_players_all_stats[[#This Row],[GP]]</f>
        <v>5.8823529411764705E-2</v>
      </c>
      <c r="AB342" s="2">
        <f>knicks_players_all_stats[[#This Row],[STL2]]/10</f>
        <v>0</v>
      </c>
      <c r="AC342" s="2">
        <v>0</v>
      </c>
      <c r="AD342" s="6">
        <f>knicks_players_all_stats[[#This Row],[STL]]/knicks_players_all_stats[[#This Row],[GP]]</f>
        <v>0</v>
      </c>
      <c r="AE342">
        <v>0</v>
      </c>
      <c r="AF342" s="2">
        <f>knicks_players_all_stats[[#This Row],[BLK2]]/10</f>
        <v>0</v>
      </c>
      <c r="AG342" s="6">
        <f>knicks_players_all_stats[[#This Row],[BLK]]/knicks_players_all_stats[[#This Row],[GP]]</f>
        <v>0</v>
      </c>
      <c r="AH342">
        <v>10</v>
      </c>
      <c r="AI342" s="6">
        <f>knicks_players_all_stats[[#This Row],[BLKPG]]+knicks_players_all_stats[[#This Row],[STLPG]]+knicks_players_all_stats[[#This Row],[REBPG]]</f>
        <v>0.29411764705882354</v>
      </c>
      <c r="AJ342" s="2">
        <f>knicks_players_all_stats[[#This Row],[TOV2]]/10</f>
        <v>1</v>
      </c>
      <c r="AK342" s="6">
        <f>knicks_players_all_stats[[#This Row],[TOV]]/knicks_players_all_stats[[#This Row],[GP]]</f>
        <v>5.8823529411764705E-2</v>
      </c>
      <c r="AL342" s="2">
        <v>4</v>
      </c>
      <c r="AM342" s="2">
        <f>knicks_players_all_stats[[#This Row],[PF]]/knicks_players_all_stats[[#This Row],[GP]]</f>
        <v>0.23529411764705882</v>
      </c>
      <c r="AN342" s="2">
        <v>2</v>
      </c>
      <c r="AO342" s="6">
        <f>knicks_players_all_stats[[#This Row],[PTS]]/knicks_players_all_stats[[#This Row],[GP]]</f>
        <v>0.11764705882352941</v>
      </c>
    </row>
    <row r="343" spans="1:41" customFormat="1" x14ac:dyDescent="0.3">
      <c r="A343" s="3" t="s">
        <v>1582</v>
      </c>
      <c r="B343" s="3" t="s">
        <v>1289</v>
      </c>
      <c r="C343" s="3" t="str">
        <f>knicks_players_all_stats[[#This Row],[NAME]]&amp;" ("&amp;knicks_players_all_stats[[#This Row],[SEASON]]&amp;")"</f>
        <v>Jared Harper (2020-21)</v>
      </c>
      <c r="D343" s="3">
        <f>knicks_players_all_stats[[#This Row],[PLAYER_AGE]]/10</f>
        <v>23</v>
      </c>
      <c r="E343">
        <v>230</v>
      </c>
      <c r="F343" s="2">
        <v>8</v>
      </c>
      <c r="G343" s="2">
        <v>160</v>
      </c>
      <c r="H34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-3</v>
      </c>
      <c r="I343" s="6">
        <f>knicks_players_all_stats[[#This Row],[VALORATION]]/knicks_players_all_stats[[#This Row],[GP]]</f>
        <v>-0.375</v>
      </c>
      <c r="J343" s="2">
        <v>0</v>
      </c>
      <c r="K343" s="2">
        <v>4</v>
      </c>
      <c r="L343" s="4">
        <f>knicks_players_all_stats[[#This Row],[FGM]]/knicks_players_all_stats[[#This Row],[FGA]]</f>
        <v>0</v>
      </c>
      <c r="M343" s="2">
        <v>0</v>
      </c>
      <c r="N343" s="2">
        <v>10</v>
      </c>
      <c r="O343" s="4">
        <f>knicks_players_all_stats[[#This Row],[FG3M]]/knicks_players_all_stats[[#This Row],[FG3A]]</f>
        <v>0</v>
      </c>
      <c r="P343" s="2">
        <v>3</v>
      </c>
      <c r="Q343" s="2">
        <v>4</v>
      </c>
      <c r="R343" s="5">
        <f>knicks_players_all_stats[[#This Row],[FTM]]/knicks_players_all_stats[[#This Row],[FTA]]</f>
        <v>0.75</v>
      </c>
      <c r="S343" s="2">
        <f>knicks_players_all_stats[[#This Row],[OREB22]]/10</f>
        <v>0</v>
      </c>
      <c r="T343" s="2">
        <f>knicks_players_all_stats[[#This Row],[DREB33]]/10</f>
        <v>2</v>
      </c>
      <c r="U343" s="2">
        <f>knicks_players_all_stats[[#This Row],[REB44]]/10</f>
        <v>2</v>
      </c>
      <c r="V343">
        <v>0</v>
      </c>
      <c r="W343">
        <v>20</v>
      </c>
      <c r="X343">
        <v>20</v>
      </c>
      <c r="Y343" s="22">
        <f>knicks_players_all_stats[[#This Row],[REB]]/knicks_players_all_stats[[#This Row],[GP]]</f>
        <v>0.25</v>
      </c>
      <c r="Z343" s="2">
        <v>1</v>
      </c>
      <c r="AA343" s="6">
        <f>knicks_players_all_stats[[#This Row],[AST]]/knicks_players_all_stats[[#This Row],[GP]]</f>
        <v>0.125</v>
      </c>
      <c r="AB343" s="2">
        <f>knicks_players_all_stats[[#This Row],[STL2]]/10</f>
        <v>0</v>
      </c>
      <c r="AC343" s="2">
        <v>0</v>
      </c>
      <c r="AD343" s="6">
        <f>knicks_players_all_stats[[#This Row],[STL]]/knicks_players_all_stats[[#This Row],[GP]]</f>
        <v>0</v>
      </c>
      <c r="AE343">
        <v>0</v>
      </c>
      <c r="AF343" s="2">
        <f>knicks_players_all_stats[[#This Row],[BLK2]]/10</f>
        <v>0</v>
      </c>
      <c r="AG343" s="6">
        <f>knicks_players_all_stats[[#This Row],[BLK]]/knicks_players_all_stats[[#This Row],[GP]]</f>
        <v>0</v>
      </c>
      <c r="AH343">
        <v>30</v>
      </c>
      <c r="AI343" s="6">
        <f>knicks_players_all_stats[[#This Row],[BLKPG]]+knicks_players_all_stats[[#This Row],[STLPG]]+knicks_players_all_stats[[#This Row],[REBPG]]</f>
        <v>0.25</v>
      </c>
      <c r="AJ343" s="2">
        <f>knicks_players_all_stats[[#This Row],[TOV2]]/10</f>
        <v>3</v>
      </c>
      <c r="AK343" s="6">
        <f>knicks_players_all_stats[[#This Row],[TOV]]/knicks_players_all_stats[[#This Row],[GP]]</f>
        <v>0.375</v>
      </c>
      <c r="AL343" s="2">
        <v>1</v>
      </c>
      <c r="AM343" s="2">
        <f>knicks_players_all_stats[[#This Row],[PF]]/knicks_players_all_stats[[#This Row],[GP]]</f>
        <v>0.125</v>
      </c>
      <c r="AN343" s="2">
        <v>3</v>
      </c>
      <c r="AO343" s="6">
        <f>knicks_players_all_stats[[#This Row],[PTS]]/knicks_players_all_stats[[#This Row],[GP]]</f>
        <v>0.375</v>
      </c>
    </row>
    <row r="344" spans="1:41" x14ac:dyDescent="0.3">
      <c r="A344" s="3" t="s">
        <v>1535</v>
      </c>
      <c r="B344" s="3" t="s">
        <v>1308</v>
      </c>
      <c r="C344" s="3" t="str">
        <f>knicks_players_all_stats[[#This Row],[NAME]]&amp;" ("&amp;knicks_players_all_stats[[#This Row],[SEASON]]&amp;")"</f>
        <v>Julius Randle (2021-22)</v>
      </c>
      <c r="D344" s="3">
        <f>knicks_players_all_stats[[#This Row],[PLAYER_AGE]]/10</f>
        <v>27</v>
      </c>
      <c r="E344">
        <v>270</v>
      </c>
      <c r="F344" s="2">
        <v>72</v>
      </c>
      <c r="G344" s="2">
        <v>25440</v>
      </c>
      <c r="H34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1343</v>
      </c>
      <c r="I344" s="6">
        <f>knicks_players_all_stats[[#This Row],[VALORATION]]/knicks_players_all_stats[[#This Row],[GP]]</f>
        <v>18.652777777777779</v>
      </c>
      <c r="J344" s="2">
        <v>512</v>
      </c>
      <c r="K344" s="2">
        <v>1246</v>
      </c>
      <c r="L344" s="4">
        <f>knicks_players_all_stats[[#This Row],[FGM]]/knicks_players_all_stats[[#This Row],[FGA]]</f>
        <v>0.41091492776886035</v>
      </c>
      <c r="M344" s="2">
        <v>1200</v>
      </c>
      <c r="N344" s="2">
        <v>3900</v>
      </c>
      <c r="O344" s="4">
        <f>knicks_players_all_stats[[#This Row],[FG3M]]/knicks_players_all_stats[[#This Row],[FG3A]]</f>
        <v>0.30769230769230771</v>
      </c>
      <c r="P344" s="2">
        <v>303</v>
      </c>
      <c r="Q344" s="2">
        <v>401</v>
      </c>
      <c r="R344" s="5">
        <f>knicks_players_all_stats[[#This Row],[FTM]]/knicks_players_all_stats[[#This Row],[FTA]]</f>
        <v>0.75561097256857856</v>
      </c>
      <c r="S344" s="2">
        <f>knicks_players_all_stats[[#This Row],[OREB22]]/10</f>
        <v>125</v>
      </c>
      <c r="T344" s="2">
        <f>knicks_players_all_stats[[#This Row],[DREB33]]/10</f>
        <v>591</v>
      </c>
      <c r="U344" s="2">
        <f>knicks_players_all_stats[[#This Row],[REB44]]/10</f>
        <v>716</v>
      </c>
      <c r="V344">
        <v>1250</v>
      </c>
      <c r="W344">
        <v>5910</v>
      </c>
      <c r="X344">
        <v>7160</v>
      </c>
      <c r="Y344" s="22">
        <f>knicks_players_all_stats[[#This Row],[REB]]/knicks_players_all_stats[[#This Row],[GP]]</f>
        <v>9.9444444444444446</v>
      </c>
      <c r="Z344" s="2">
        <v>370</v>
      </c>
      <c r="AA344" s="6">
        <f>knicks_players_all_stats[[#This Row],[AST]]/knicks_players_all_stats[[#This Row],[GP]]</f>
        <v>5.1388888888888893</v>
      </c>
      <c r="AB344" s="2">
        <f>knicks_players_all_stats[[#This Row],[STL2]]/10</f>
        <v>53</v>
      </c>
      <c r="AC344" s="2">
        <v>530</v>
      </c>
      <c r="AD344" s="6">
        <f>knicks_players_all_stats[[#This Row],[STL]]/knicks_players_all_stats[[#This Row],[GP]]</f>
        <v>0.73611111111111116</v>
      </c>
      <c r="AE344">
        <v>390</v>
      </c>
      <c r="AF344" s="2">
        <f>knicks_players_all_stats[[#This Row],[BLK2]]/10</f>
        <v>39</v>
      </c>
      <c r="AG344" s="6">
        <f>knicks_players_all_stats[[#This Row],[BLK]]/knicks_players_all_stats[[#This Row],[GP]]</f>
        <v>0.54166666666666663</v>
      </c>
      <c r="AH344">
        <v>2450</v>
      </c>
      <c r="AI344" s="6">
        <f>knicks_players_all_stats[[#This Row],[BLKPG]]+knicks_players_all_stats[[#This Row],[STLPG]]+knicks_players_all_stats[[#This Row],[REBPG]]</f>
        <v>11.222222222222221</v>
      </c>
      <c r="AJ344" s="2">
        <f>knicks_players_all_stats[[#This Row],[TOV2]]/10</f>
        <v>245</v>
      </c>
      <c r="AK344" s="6">
        <f>knicks_players_all_stats[[#This Row],[TOV]]/knicks_players_all_stats[[#This Row],[GP]]</f>
        <v>3.4027777777777777</v>
      </c>
      <c r="AL344" s="2">
        <v>205</v>
      </c>
      <c r="AM344" s="2">
        <f>knicks_players_all_stats[[#This Row],[PF]]/knicks_players_all_stats[[#This Row],[GP]]</f>
        <v>2.8472222222222223</v>
      </c>
      <c r="AN344" s="2">
        <v>1447</v>
      </c>
      <c r="AO344" s="6">
        <f>knicks_players_all_stats[[#This Row],[PTS]]/knicks_players_all_stats[[#This Row],[GP]]</f>
        <v>20.097222222222221</v>
      </c>
    </row>
    <row r="345" spans="1:41" x14ac:dyDescent="0.3">
      <c r="A345" s="3" t="s">
        <v>1534</v>
      </c>
      <c r="B345" s="3" t="s">
        <v>1308</v>
      </c>
      <c r="C345" s="3" t="str">
        <f>knicks_players_all_stats[[#This Row],[NAME]]&amp;" ("&amp;knicks_players_all_stats[[#This Row],[SEASON]]&amp;")"</f>
        <v>Mitchell Robinson (2021-22)</v>
      </c>
      <c r="D345" s="3">
        <f>knicks_players_all_stats[[#This Row],[PLAYER_AGE]]/10</f>
        <v>24</v>
      </c>
      <c r="E345">
        <v>240</v>
      </c>
      <c r="F345" s="2">
        <v>72</v>
      </c>
      <c r="G345" s="2">
        <v>18480</v>
      </c>
      <c r="H34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1026</v>
      </c>
      <c r="I345" s="6">
        <f>knicks_players_all_stats[[#This Row],[VALORATION]]/knicks_players_all_stats[[#This Row],[GP]]</f>
        <v>14.25</v>
      </c>
      <c r="J345" s="2">
        <v>261</v>
      </c>
      <c r="K345" s="2">
        <v>343</v>
      </c>
      <c r="L345" s="4">
        <f>knicks_players_all_stats[[#This Row],[FGM]]/knicks_players_all_stats[[#This Row],[FGA]]</f>
        <v>0.76093294460641403</v>
      </c>
      <c r="M345" s="2">
        <v>0</v>
      </c>
      <c r="N345" s="2">
        <v>0</v>
      </c>
      <c r="O345" s="4" t="e">
        <f>knicks_players_all_stats[[#This Row],[FG3M]]/knicks_players_all_stats[[#This Row],[FG3A]]</f>
        <v>#DIV/0!</v>
      </c>
      <c r="P345" s="2">
        <v>88</v>
      </c>
      <c r="Q345" s="2">
        <v>181</v>
      </c>
      <c r="R345" s="5">
        <f>knicks_players_all_stats[[#This Row],[FTM]]/knicks_players_all_stats[[#This Row],[FTA]]</f>
        <v>0.48618784530386738</v>
      </c>
      <c r="S345" s="2">
        <f>knicks_players_all_stats[[#This Row],[OREB22]]/10</f>
        <v>295</v>
      </c>
      <c r="T345" s="2">
        <f>knicks_players_all_stats[[#This Row],[DREB33]]/10</f>
        <v>322</v>
      </c>
      <c r="U345" s="2">
        <f>knicks_players_all_stats[[#This Row],[REB44]]/10</f>
        <v>617</v>
      </c>
      <c r="V345">
        <v>2950</v>
      </c>
      <c r="W345">
        <v>3220</v>
      </c>
      <c r="X345">
        <v>6170</v>
      </c>
      <c r="Y345" s="22">
        <f>knicks_players_all_stats[[#This Row],[REB]]/knicks_players_all_stats[[#This Row],[GP]]</f>
        <v>8.5694444444444446</v>
      </c>
      <c r="Z345" s="2">
        <v>38</v>
      </c>
      <c r="AA345" s="6">
        <f>knicks_players_all_stats[[#This Row],[AST]]/knicks_players_all_stats[[#This Row],[GP]]</f>
        <v>0.52777777777777779</v>
      </c>
      <c r="AB345" s="2">
        <f>knicks_players_all_stats[[#This Row],[STL2]]/10</f>
        <v>58</v>
      </c>
      <c r="AC345" s="2">
        <v>580</v>
      </c>
      <c r="AD345" s="6">
        <f>knicks_players_all_stats[[#This Row],[STL]]/knicks_players_all_stats[[#This Row],[GP]]</f>
        <v>0.80555555555555558</v>
      </c>
      <c r="AE345">
        <v>1330</v>
      </c>
      <c r="AF345" s="2">
        <f>knicks_players_all_stats[[#This Row],[BLK2]]/10</f>
        <v>133</v>
      </c>
      <c r="AG345" s="6">
        <f>knicks_players_all_stats[[#This Row],[BLK]]/knicks_players_all_stats[[#This Row],[GP]]</f>
        <v>1.8472222222222223</v>
      </c>
      <c r="AH345">
        <v>600</v>
      </c>
      <c r="AI345" s="6">
        <f>knicks_players_all_stats[[#This Row],[BLKPG]]+knicks_players_all_stats[[#This Row],[STLPG]]+knicks_players_all_stats[[#This Row],[REBPG]]</f>
        <v>11.222222222222221</v>
      </c>
      <c r="AJ345" s="2">
        <f>knicks_players_all_stats[[#This Row],[TOV2]]/10</f>
        <v>60</v>
      </c>
      <c r="AK345" s="6">
        <f>knicks_players_all_stats[[#This Row],[TOV]]/knicks_players_all_stats[[#This Row],[GP]]</f>
        <v>0.83333333333333337</v>
      </c>
      <c r="AL345" s="2">
        <v>195</v>
      </c>
      <c r="AM345" s="2">
        <f>knicks_players_all_stats[[#This Row],[PF]]/knicks_players_all_stats[[#This Row],[GP]]</f>
        <v>2.7083333333333335</v>
      </c>
      <c r="AN345" s="2">
        <v>610</v>
      </c>
      <c r="AO345" s="6">
        <f>knicks_players_all_stats[[#This Row],[PTS]]/knicks_players_all_stats[[#This Row],[GP]]</f>
        <v>8.4722222222222214</v>
      </c>
    </row>
    <row r="346" spans="1:41" x14ac:dyDescent="0.3">
      <c r="A346" s="3" t="s">
        <v>1395</v>
      </c>
      <c r="B346" s="3" t="s">
        <v>1308</v>
      </c>
      <c r="C346" s="3" t="str">
        <f>knicks_players_all_stats[[#This Row],[NAME]]&amp;" ("&amp;knicks_players_all_stats[[#This Row],[SEASON]]&amp;")"</f>
        <v>RJ Barrett (2021-22)</v>
      </c>
      <c r="D346" s="3">
        <f>knicks_players_all_stats[[#This Row],[PLAYER_AGE]]/10</f>
        <v>22</v>
      </c>
      <c r="E346">
        <v>220</v>
      </c>
      <c r="F346" s="2">
        <v>70</v>
      </c>
      <c r="G346" s="2">
        <v>24170</v>
      </c>
      <c r="H34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961</v>
      </c>
      <c r="I346" s="6">
        <f>knicks_players_all_stats[[#This Row],[VALORATION]]/knicks_players_all_stats[[#This Row],[GP]]</f>
        <v>13.728571428571428</v>
      </c>
      <c r="J346" s="2">
        <v>487</v>
      </c>
      <c r="K346" s="2">
        <v>1194</v>
      </c>
      <c r="L346" s="4">
        <f>knicks_players_all_stats[[#This Row],[FGM]]/knicks_players_all_stats[[#This Row],[FGA]]</f>
        <v>0.40787269681742044</v>
      </c>
      <c r="M346" s="2">
        <v>1380</v>
      </c>
      <c r="N346" s="2">
        <v>4040</v>
      </c>
      <c r="O346" s="4">
        <f>knicks_players_all_stats[[#This Row],[FG3M]]/knicks_players_all_stats[[#This Row],[FG3A]]</f>
        <v>0.34158415841584161</v>
      </c>
      <c r="P346" s="2">
        <v>290</v>
      </c>
      <c r="Q346" s="2">
        <v>406</v>
      </c>
      <c r="R346" s="5">
        <f>knicks_players_all_stats[[#This Row],[FTM]]/knicks_players_all_stats[[#This Row],[FTA]]</f>
        <v>0.7142857142857143</v>
      </c>
      <c r="S346" s="2">
        <f>knicks_players_all_stats[[#This Row],[OREB22]]/10</f>
        <v>66</v>
      </c>
      <c r="T346" s="2">
        <f>knicks_players_all_stats[[#This Row],[DREB33]]/10</f>
        <v>342</v>
      </c>
      <c r="U346" s="2">
        <f>knicks_players_all_stats[[#This Row],[REB44]]/10</f>
        <v>408</v>
      </c>
      <c r="V346">
        <v>660</v>
      </c>
      <c r="W346">
        <v>3420</v>
      </c>
      <c r="X346">
        <v>4080</v>
      </c>
      <c r="Y346" s="22">
        <f>knicks_players_all_stats[[#This Row],[REB]]/knicks_players_all_stats[[#This Row],[GP]]</f>
        <v>5.8285714285714283</v>
      </c>
      <c r="Z346" s="2">
        <v>208</v>
      </c>
      <c r="AA346" s="6">
        <f>knicks_players_all_stats[[#This Row],[AST]]/knicks_players_all_stats[[#This Row],[GP]]</f>
        <v>2.9714285714285715</v>
      </c>
      <c r="AB346" s="2">
        <f>knicks_players_all_stats[[#This Row],[STL2]]/10</f>
        <v>43</v>
      </c>
      <c r="AC346" s="2">
        <v>430</v>
      </c>
      <c r="AD346" s="6">
        <f>knicks_players_all_stats[[#This Row],[STL]]/knicks_players_all_stats[[#This Row],[GP]]</f>
        <v>0.61428571428571432</v>
      </c>
      <c r="AE346">
        <v>160</v>
      </c>
      <c r="AF346" s="2">
        <f>knicks_players_all_stats[[#This Row],[BLK2]]/10</f>
        <v>16</v>
      </c>
      <c r="AG346" s="6">
        <f>knicks_players_all_stats[[#This Row],[BLK]]/knicks_players_all_stats[[#This Row],[GP]]</f>
        <v>0.22857142857142856</v>
      </c>
      <c r="AH346">
        <v>1510</v>
      </c>
      <c r="AI346" s="6">
        <f>knicks_players_all_stats[[#This Row],[BLKPG]]+knicks_players_all_stats[[#This Row],[STLPG]]+knicks_players_all_stats[[#This Row],[REBPG]]</f>
        <v>6.6714285714285708</v>
      </c>
      <c r="AJ346" s="2">
        <f>knicks_players_all_stats[[#This Row],[TOV2]]/10</f>
        <v>151</v>
      </c>
      <c r="AK346" s="6">
        <f>knicks_players_all_stats[[#This Row],[TOV]]/knicks_players_all_stats[[#This Row],[GP]]</f>
        <v>2.157142857142857</v>
      </c>
      <c r="AL346" s="2">
        <v>142</v>
      </c>
      <c r="AM346" s="2">
        <f>knicks_players_all_stats[[#This Row],[PF]]/knicks_players_all_stats[[#This Row],[GP]]</f>
        <v>2.0285714285714285</v>
      </c>
      <c r="AN346" s="2">
        <v>1402</v>
      </c>
      <c r="AO346" s="6">
        <f>knicks_players_all_stats[[#This Row],[PTS]]/knicks_players_all_stats[[#This Row],[GP]]</f>
        <v>20.028571428571428</v>
      </c>
    </row>
    <row r="347" spans="1:41" x14ac:dyDescent="0.3">
      <c r="A347" s="3" t="s">
        <v>1408</v>
      </c>
      <c r="B347" s="3" t="s">
        <v>1308</v>
      </c>
      <c r="C347" s="3" t="str">
        <f>knicks_players_all_stats[[#This Row],[NAME]]&amp;" ("&amp;knicks_players_all_stats[[#This Row],[SEASON]]&amp;")"</f>
        <v>Derrick Rose (2021-22)</v>
      </c>
      <c r="D347" s="3">
        <f>knicks_players_all_stats[[#This Row],[PLAYER_AGE]]/10</f>
        <v>33</v>
      </c>
      <c r="E347">
        <v>330</v>
      </c>
      <c r="F347" s="2">
        <v>26</v>
      </c>
      <c r="G347" s="2">
        <v>6360</v>
      </c>
      <c r="H34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319</v>
      </c>
      <c r="I347" s="6">
        <f>knicks_players_all_stats[[#This Row],[VALORATION]]/knicks_players_all_stats[[#This Row],[GP]]</f>
        <v>12.26923076923077</v>
      </c>
      <c r="J347" s="2">
        <v>122</v>
      </c>
      <c r="K347" s="2">
        <v>274</v>
      </c>
      <c r="L347" s="4">
        <f>knicks_players_all_stats[[#This Row],[FGM]]/knicks_players_all_stats[[#This Row],[FGA]]</f>
        <v>0.44525547445255476</v>
      </c>
      <c r="M347" s="2">
        <v>370</v>
      </c>
      <c r="N347" s="2">
        <v>920</v>
      </c>
      <c r="O347" s="4">
        <f>knicks_players_all_stats[[#This Row],[FG3M]]/knicks_players_all_stats[[#This Row],[FG3A]]</f>
        <v>0.40217391304347827</v>
      </c>
      <c r="P347" s="2">
        <v>30</v>
      </c>
      <c r="Q347" s="2">
        <v>31</v>
      </c>
      <c r="R347" s="5">
        <f>knicks_players_all_stats[[#This Row],[FTM]]/knicks_players_all_stats[[#This Row],[FTA]]</f>
        <v>0.967741935483871</v>
      </c>
      <c r="S347" s="2">
        <f>knicks_players_all_stats[[#This Row],[OREB22]]/10</f>
        <v>21</v>
      </c>
      <c r="T347" s="2">
        <f>knicks_players_all_stats[[#This Row],[DREB33]]/10</f>
        <v>57</v>
      </c>
      <c r="U347" s="2">
        <f>knicks_players_all_stats[[#This Row],[REB44]]/10</f>
        <v>78</v>
      </c>
      <c r="V347">
        <v>210</v>
      </c>
      <c r="W347">
        <v>570</v>
      </c>
      <c r="X347">
        <v>780</v>
      </c>
      <c r="Y347" s="22">
        <f>knicks_players_all_stats[[#This Row],[REB]]/knicks_players_all_stats[[#This Row],[GP]]</f>
        <v>3</v>
      </c>
      <c r="Z347" s="2">
        <v>103</v>
      </c>
      <c r="AA347" s="6">
        <f>knicks_players_all_stats[[#This Row],[AST]]/knicks_players_all_stats[[#This Row],[GP]]</f>
        <v>3.9615384615384617</v>
      </c>
      <c r="AB347" s="2">
        <f>knicks_players_all_stats[[#This Row],[STL2]]/10</f>
        <v>22</v>
      </c>
      <c r="AC347" s="2">
        <v>220</v>
      </c>
      <c r="AD347" s="6">
        <f>knicks_players_all_stats[[#This Row],[STL]]/knicks_players_all_stats[[#This Row],[GP]]</f>
        <v>0.84615384615384615</v>
      </c>
      <c r="AE347">
        <v>120</v>
      </c>
      <c r="AF347" s="2">
        <f>knicks_players_all_stats[[#This Row],[BLK2]]/10</f>
        <v>12</v>
      </c>
      <c r="AG347" s="6">
        <f>knicks_players_all_stats[[#This Row],[BLK]]/knicks_players_all_stats[[#This Row],[GP]]</f>
        <v>0.46153846153846156</v>
      </c>
      <c r="AH347">
        <v>390</v>
      </c>
      <c r="AI347" s="6">
        <f>knicks_players_all_stats[[#This Row],[BLKPG]]+knicks_players_all_stats[[#This Row],[STLPG]]+knicks_players_all_stats[[#This Row],[REBPG]]</f>
        <v>4.3076923076923075</v>
      </c>
      <c r="AJ347" s="2">
        <f>knicks_players_all_stats[[#This Row],[TOV2]]/10</f>
        <v>39</v>
      </c>
      <c r="AK347" s="6">
        <f>knicks_players_all_stats[[#This Row],[TOV]]/knicks_players_all_stats[[#This Row],[GP]]</f>
        <v>1.5</v>
      </c>
      <c r="AL347" s="2">
        <v>15</v>
      </c>
      <c r="AM347" s="2">
        <f>knicks_players_all_stats[[#This Row],[PF]]/knicks_players_all_stats[[#This Row],[GP]]</f>
        <v>0.57692307692307687</v>
      </c>
      <c r="AN347" s="2">
        <v>311</v>
      </c>
      <c r="AO347" s="6">
        <f>knicks_players_all_stats[[#This Row],[PTS]]/knicks_players_all_stats[[#This Row],[GP]]</f>
        <v>11.961538461538462</v>
      </c>
    </row>
    <row r="348" spans="1:41" x14ac:dyDescent="0.3">
      <c r="A348" s="3" t="s">
        <v>1545</v>
      </c>
      <c r="B348" s="3" t="s">
        <v>1308</v>
      </c>
      <c r="C348" s="3" t="str">
        <f>knicks_players_all_stats[[#This Row],[NAME]]&amp;" ("&amp;knicks_players_all_stats[[#This Row],[SEASON]]&amp;")"</f>
        <v>Alec Burks (2021-22)</v>
      </c>
      <c r="D348" s="3">
        <f>knicks_players_all_stats[[#This Row],[PLAYER_AGE]]/10</f>
        <v>30</v>
      </c>
      <c r="E348">
        <v>300</v>
      </c>
      <c r="F348" s="2">
        <v>81</v>
      </c>
      <c r="G348" s="2">
        <v>23180</v>
      </c>
      <c r="H34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895</v>
      </c>
      <c r="I348" s="6">
        <f>knicks_players_all_stats[[#This Row],[VALORATION]]/knicks_players_all_stats[[#This Row],[GP]]</f>
        <v>11.049382716049383</v>
      </c>
      <c r="J348" s="2">
        <v>285</v>
      </c>
      <c r="K348" s="2">
        <v>728</v>
      </c>
      <c r="L348" s="4">
        <f>knicks_players_all_stats[[#This Row],[FGM]]/knicks_players_all_stats[[#This Row],[FGA]]</f>
        <v>0.39148351648351648</v>
      </c>
      <c r="M348" s="2">
        <v>1570</v>
      </c>
      <c r="N348" s="2">
        <v>3890</v>
      </c>
      <c r="O348" s="4">
        <f>knicks_players_all_stats[[#This Row],[FG3M]]/knicks_players_all_stats[[#This Row],[FG3A]]</f>
        <v>0.40359897172236503</v>
      </c>
      <c r="P348" s="2">
        <v>217</v>
      </c>
      <c r="Q348" s="2">
        <v>264</v>
      </c>
      <c r="R348" s="5">
        <f>knicks_players_all_stats[[#This Row],[FTM]]/knicks_players_all_stats[[#This Row],[FTA]]</f>
        <v>0.82196969696969702</v>
      </c>
      <c r="S348" s="2">
        <f>knicks_players_all_stats[[#This Row],[OREB22]]/10</f>
        <v>47</v>
      </c>
      <c r="T348" s="2">
        <f>knicks_players_all_stats[[#This Row],[DREB33]]/10</f>
        <v>350</v>
      </c>
      <c r="U348" s="2">
        <f>knicks_players_all_stats[[#This Row],[REB44]]/10</f>
        <v>397</v>
      </c>
      <c r="V348">
        <v>470</v>
      </c>
      <c r="W348">
        <v>3500</v>
      </c>
      <c r="X348">
        <v>3970</v>
      </c>
      <c r="Y348" s="22">
        <f>knicks_players_all_stats[[#This Row],[REB]]/knicks_players_all_stats[[#This Row],[GP]]</f>
        <v>4.9012345679012341</v>
      </c>
      <c r="Z348" s="2">
        <v>239</v>
      </c>
      <c r="AA348" s="6">
        <f>knicks_players_all_stats[[#This Row],[AST]]/knicks_players_all_stats[[#This Row],[GP]]</f>
        <v>2.9506172839506171</v>
      </c>
      <c r="AB348" s="2">
        <f>knicks_players_all_stats[[#This Row],[STL2]]/10</f>
        <v>85</v>
      </c>
      <c r="AC348" s="2">
        <v>850</v>
      </c>
      <c r="AD348" s="6">
        <f>knicks_players_all_stats[[#This Row],[STL]]/knicks_players_all_stats[[#This Row],[GP]]</f>
        <v>1.0493827160493827</v>
      </c>
      <c r="AE348">
        <v>260</v>
      </c>
      <c r="AF348" s="2">
        <f>knicks_players_all_stats[[#This Row],[BLK2]]/10</f>
        <v>26</v>
      </c>
      <c r="AG348" s="6">
        <f>knicks_players_all_stats[[#This Row],[BLK]]/knicks_players_all_stats[[#This Row],[GP]]</f>
        <v>0.32098765432098764</v>
      </c>
      <c r="AH348">
        <v>910</v>
      </c>
      <c r="AI348" s="6">
        <f>knicks_players_all_stats[[#This Row],[BLKPG]]+knicks_players_all_stats[[#This Row],[STLPG]]+knicks_players_all_stats[[#This Row],[REBPG]]</f>
        <v>6.2716049382716044</v>
      </c>
      <c r="AJ348" s="2">
        <f>knicks_players_all_stats[[#This Row],[TOV2]]/10</f>
        <v>91</v>
      </c>
      <c r="AK348" s="6">
        <f>knicks_players_all_stats[[#This Row],[TOV]]/knicks_players_all_stats[[#This Row],[GP]]</f>
        <v>1.1234567901234569</v>
      </c>
      <c r="AL348" s="2">
        <v>215</v>
      </c>
      <c r="AM348" s="2">
        <f>knicks_players_all_stats[[#This Row],[PF]]/knicks_players_all_stats[[#This Row],[GP]]</f>
        <v>2.6543209876543208</v>
      </c>
      <c r="AN348" s="2">
        <v>944</v>
      </c>
      <c r="AO348" s="6">
        <f>knicks_players_all_stats[[#This Row],[PTS]]/knicks_players_all_stats[[#This Row],[GP]]</f>
        <v>11.654320987654321</v>
      </c>
    </row>
    <row r="349" spans="1:41" customFormat="1" x14ac:dyDescent="0.3">
      <c r="A349" s="3" t="s">
        <v>1818</v>
      </c>
      <c r="B349" s="3" t="s">
        <v>1308</v>
      </c>
      <c r="C349" s="3" t="str">
        <f>knicks_players_all_stats[[#This Row],[NAME]]&amp;" ("&amp;knicks_players_all_stats[[#This Row],[SEASON]]&amp;")"</f>
        <v>Kemba Walker (2021-22)</v>
      </c>
      <c r="D349" s="3">
        <f>knicks_players_all_stats[[#This Row],[PLAYER_AGE]]/10</f>
        <v>32</v>
      </c>
      <c r="E349">
        <v>320</v>
      </c>
      <c r="F349" s="2">
        <v>37</v>
      </c>
      <c r="G349" s="2">
        <v>9480</v>
      </c>
      <c r="H34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389</v>
      </c>
      <c r="I349" s="6">
        <f>knicks_players_all_stats[[#This Row],[VALORATION]]/knicks_players_all_stats[[#This Row],[GP]]</f>
        <v>10.513513513513514</v>
      </c>
      <c r="J349" s="2">
        <v>149</v>
      </c>
      <c r="K349" s="2">
        <v>370</v>
      </c>
      <c r="L349" s="2">
        <v>403</v>
      </c>
      <c r="M349" s="2">
        <v>730</v>
      </c>
      <c r="N349" s="2">
        <v>1990</v>
      </c>
      <c r="O349" s="4">
        <f>knicks_players_all_stats[[#This Row],[FG3M]]/knicks_players_all_stats[[#This Row],[FG3A]]</f>
        <v>0.36683417085427134</v>
      </c>
      <c r="P349" s="2">
        <v>60</v>
      </c>
      <c r="Q349" s="2">
        <v>71</v>
      </c>
      <c r="R349" s="5">
        <f>knicks_players_all_stats[[#This Row],[FTM]]/knicks_players_all_stats[[#This Row],[FTA]]</f>
        <v>0.84507042253521125</v>
      </c>
      <c r="S349" s="2">
        <f>knicks_players_all_stats[[#This Row],[OREB22]]/10</f>
        <v>14</v>
      </c>
      <c r="T349" s="2">
        <f>knicks_players_all_stats[[#This Row],[DREB33]]/10</f>
        <v>97</v>
      </c>
      <c r="U349" s="2">
        <f>knicks_players_all_stats[[#This Row],[REB44]]/10</f>
        <v>111</v>
      </c>
      <c r="V349">
        <v>140</v>
      </c>
      <c r="W349">
        <v>970</v>
      </c>
      <c r="X349">
        <v>1110</v>
      </c>
      <c r="Y349" s="22">
        <f>knicks_players_all_stats[[#This Row],[REB]]/knicks_players_all_stats[[#This Row],[GP]]</f>
        <v>3</v>
      </c>
      <c r="Z349" s="2">
        <v>131</v>
      </c>
      <c r="AA349" s="6">
        <f>knicks_players_all_stats[[#This Row],[AST]]/knicks_players_all_stats[[#This Row],[GP]]</f>
        <v>3.5405405405405403</v>
      </c>
      <c r="AB349" s="2">
        <f>knicks_players_all_stats[[#This Row],[STL2]]/10</f>
        <v>26</v>
      </c>
      <c r="AC349" s="2">
        <v>260</v>
      </c>
      <c r="AD349" s="6">
        <f>knicks_players_all_stats[[#This Row],[STL]]/knicks_players_all_stats[[#This Row],[GP]]</f>
        <v>0.70270270270270274</v>
      </c>
      <c r="AE349">
        <v>70</v>
      </c>
      <c r="AF349" s="2">
        <f>knicks_players_all_stats[[#This Row],[BLK2]]/10</f>
        <v>7</v>
      </c>
      <c r="AG349" s="6">
        <f>knicks_players_all_stats[[#This Row],[BLK]]/knicks_players_all_stats[[#This Row],[GP]]</f>
        <v>0.1891891891891892</v>
      </c>
      <c r="AH349">
        <v>480</v>
      </c>
      <c r="AI349" s="6">
        <f>knicks_players_all_stats[[#This Row],[BLKPG]]+knicks_players_all_stats[[#This Row],[STLPG]]+knicks_players_all_stats[[#This Row],[REBPG]]</f>
        <v>3.8918918918918921</v>
      </c>
      <c r="AJ349" s="2">
        <f>knicks_players_all_stats[[#This Row],[TOV2]]/10</f>
        <v>48</v>
      </c>
      <c r="AK349" s="6">
        <f>knicks_players_all_stats[[#This Row],[TOV]]/knicks_players_all_stats[[#This Row],[GP]]</f>
        <v>1.2972972972972974</v>
      </c>
      <c r="AL349" s="2">
        <v>37</v>
      </c>
      <c r="AM349" s="2">
        <f>knicks_players_all_stats[[#This Row],[PF]]/knicks_players_all_stats[[#This Row],[GP]]</f>
        <v>1</v>
      </c>
      <c r="AN349" s="2">
        <v>431</v>
      </c>
      <c r="AO349" s="6">
        <f>knicks_players_all_stats[[#This Row],[PTS]]/knicks_players_all_stats[[#This Row],[GP]]</f>
        <v>11.648648648648649</v>
      </c>
    </row>
    <row r="350" spans="1:41" customFormat="1" x14ac:dyDescent="0.3">
      <c r="A350" s="3" t="s">
        <v>1496</v>
      </c>
      <c r="B350" s="3" t="s">
        <v>1308</v>
      </c>
      <c r="C350" s="3" t="str">
        <f>knicks_players_all_stats[[#This Row],[NAME]]&amp;" ("&amp;knicks_players_all_stats[[#This Row],[SEASON]]&amp;")"</f>
        <v>Immanuel Quickley (2021-22)</v>
      </c>
      <c r="D350" s="3">
        <f>knicks_players_all_stats[[#This Row],[PLAYER_AGE]]/10</f>
        <v>23</v>
      </c>
      <c r="E350">
        <v>230</v>
      </c>
      <c r="F350" s="2">
        <v>78</v>
      </c>
      <c r="G350" s="2">
        <v>18020</v>
      </c>
      <c r="H35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731</v>
      </c>
      <c r="I350" s="6">
        <f>knicks_players_all_stats[[#This Row],[VALORATION]]/knicks_players_all_stats[[#This Row],[GP]]</f>
        <v>9.3717948717948723</v>
      </c>
      <c r="J350" s="2">
        <v>284</v>
      </c>
      <c r="K350" s="2">
        <v>724</v>
      </c>
      <c r="L350" s="4">
        <f>knicks_players_all_stats[[#This Row],[FGM]]/knicks_players_all_stats[[#This Row],[FGA]]</f>
        <v>0.39226519337016574</v>
      </c>
      <c r="M350" s="2">
        <v>1370</v>
      </c>
      <c r="N350" s="2">
        <v>3960</v>
      </c>
      <c r="O350" s="4">
        <f>knicks_players_all_stats[[#This Row],[FG3M]]/knicks_players_all_stats[[#This Row],[FG3A]]</f>
        <v>0.34595959595959597</v>
      </c>
      <c r="P350" s="2">
        <v>177</v>
      </c>
      <c r="Q350" s="2">
        <v>201</v>
      </c>
      <c r="R350" s="5">
        <f>knicks_players_all_stats[[#This Row],[FTM]]/knicks_players_all_stats[[#This Row],[FTA]]</f>
        <v>0.88059701492537312</v>
      </c>
      <c r="S350" s="2">
        <f>knicks_players_all_stats[[#This Row],[OREB22]]/10</f>
        <v>31</v>
      </c>
      <c r="T350" s="2">
        <f>knicks_players_all_stats[[#This Row],[DREB33]]/10</f>
        <v>216</v>
      </c>
      <c r="U350" s="2">
        <f>knicks_players_all_stats[[#This Row],[REB44]]/10</f>
        <v>247</v>
      </c>
      <c r="V350">
        <v>310</v>
      </c>
      <c r="W350">
        <v>2160</v>
      </c>
      <c r="X350">
        <v>2470</v>
      </c>
      <c r="Y350" s="22">
        <f>knicks_players_all_stats[[#This Row],[REB]]/knicks_players_all_stats[[#This Row],[GP]]</f>
        <v>3.1666666666666665</v>
      </c>
      <c r="Z350" s="2">
        <v>275</v>
      </c>
      <c r="AA350" s="6">
        <f>knicks_players_all_stats[[#This Row],[AST]]/knicks_players_all_stats[[#This Row],[GP]]</f>
        <v>3.5256410256410255</v>
      </c>
      <c r="AB350" s="2">
        <f>knicks_players_all_stats[[#This Row],[STL2]]/10</f>
        <v>54</v>
      </c>
      <c r="AC350" s="2">
        <v>540</v>
      </c>
      <c r="AD350" s="6">
        <f>knicks_players_all_stats[[#This Row],[STL]]/knicks_players_all_stats[[#This Row],[GP]]</f>
        <v>0.69230769230769229</v>
      </c>
      <c r="AE350">
        <v>30</v>
      </c>
      <c r="AF350" s="2">
        <f>knicks_players_all_stats[[#This Row],[BLK2]]/10</f>
        <v>3</v>
      </c>
      <c r="AG350" s="6">
        <f>knicks_players_all_stats[[#This Row],[BLK]]/knicks_players_all_stats[[#This Row],[GP]]</f>
        <v>3.8461538461538464E-2</v>
      </c>
      <c r="AH350">
        <v>990</v>
      </c>
      <c r="AI350" s="6">
        <f>knicks_players_all_stats[[#This Row],[BLKPG]]+knicks_players_all_stats[[#This Row],[STLPG]]+knicks_players_all_stats[[#This Row],[REBPG]]</f>
        <v>3.8974358974358974</v>
      </c>
      <c r="AJ350" s="2">
        <f>knicks_players_all_stats[[#This Row],[TOV2]]/10</f>
        <v>99</v>
      </c>
      <c r="AK350" s="6">
        <f>knicks_players_all_stats[[#This Row],[TOV]]/knicks_players_all_stats[[#This Row],[GP]]</f>
        <v>1.2692307692307692</v>
      </c>
      <c r="AL350" s="2">
        <v>167</v>
      </c>
      <c r="AM350" s="2">
        <f>knicks_players_all_stats[[#This Row],[PF]]/knicks_players_all_stats[[#This Row],[GP]]</f>
        <v>2.141025641025641</v>
      </c>
      <c r="AN350" s="2">
        <v>882</v>
      </c>
      <c r="AO350" s="6">
        <f>knicks_players_all_stats[[#This Row],[PTS]]/knicks_players_all_stats[[#This Row],[GP]]</f>
        <v>11.307692307692308</v>
      </c>
    </row>
    <row r="351" spans="1:41" customFormat="1" x14ac:dyDescent="0.3">
      <c r="A351" s="3" t="s">
        <v>1455</v>
      </c>
      <c r="B351" s="3" t="s">
        <v>1308</v>
      </c>
      <c r="C351" s="3" t="str">
        <f>knicks_players_all_stats[[#This Row],[NAME]]&amp;" ("&amp;knicks_players_all_stats[[#This Row],[SEASON]]&amp;")"</f>
        <v>Evan Fournier (2021-22)</v>
      </c>
      <c r="D351" s="3">
        <f>knicks_players_all_stats[[#This Row],[PLAYER_AGE]]/10</f>
        <v>29</v>
      </c>
      <c r="E351">
        <v>290</v>
      </c>
      <c r="F351" s="2">
        <v>80</v>
      </c>
      <c r="G351" s="2">
        <v>23580</v>
      </c>
      <c r="H35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724</v>
      </c>
      <c r="I351" s="6">
        <f>knicks_players_all_stats[[#This Row],[VALORATION]]/knicks_players_all_stats[[#This Row],[GP]]</f>
        <v>9.0500000000000007</v>
      </c>
      <c r="J351" s="2">
        <v>402</v>
      </c>
      <c r="K351" s="2">
        <v>965</v>
      </c>
      <c r="L351" s="4">
        <f>knicks_players_all_stats[[#This Row],[FGM]]/knicks_players_all_stats[[#This Row],[FGA]]</f>
        <v>0.41658031088082903</v>
      </c>
      <c r="M351" s="2">
        <v>2410</v>
      </c>
      <c r="N351" s="2">
        <v>6190</v>
      </c>
      <c r="O351" s="4">
        <f>knicks_players_all_stats[[#This Row],[FG3M]]/knicks_players_all_stats[[#This Row],[FG3A]]</f>
        <v>0.38933764135702748</v>
      </c>
      <c r="P351" s="2">
        <v>80</v>
      </c>
      <c r="Q351" s="2">
        <v>113</v>
      </c>
      <c r="R351" s="5">
        <f>knicks_players_all_stats[[#This Row],[FTM]]/knicks_players_all_stats[[#This Row],[FTA]]</f>
        <v>0.70796460176991149</v>
      </c>
      <c r="S351" s="2">
        <f>knicks_players_all_stats[[#This Row],[OREB22]]/10</f>
        <v>34</v>
      </c>
      <c r="T351" s="2">
        <f>knicks_players_all_stats[[#This Row],[DREB33]]/10</f>
        <v>176</v>
      </c>
      <c r="U351" s="2">
        <f>knicks_players_all_stats[[#This Row],[REB44]]/10</f>
        <v>210</v>
      </c>
      <c r="V351">
        <v>340</v>
      </c>
      <c r="W351">
        <v>1760</v>
      </c>
      <c r="X351">
        <v>2100</v>
      </c>
      <c r="Y351" s="22">
        <f>knicks_players_all_stats[[#This Row],[REB]]/knicks_players_all_stats[[#This Row],[GP]]</f>
        <v>2.625</v>
      </c>
      <c r="Z351" s="2">
        <v>171</v>
      </c>
      <c r="AA351" s="6">
        <f>knicks_players_all_stats[[#This Row],[AST]]/knicks_players_all_stats[[#This Row],[GP]]</f>
        <v>2.1375000000000002</v>
      </c>
      <c r="AB351" s="2">
        <f>knicks_players_all_stats[[#This Row],[STL2]]/10</f>
        <v>79</v>
      </c>
      <c r="AC351" s="2">
        <v>790</v>
      </c>
      <c r="AD351" s="6">
        <f>knicks_players_all_stats[[#This Row],[STL]]/knicks_players_all_stats[[#This Row],[GP]]</f>
        <v>0.98750000000000004</v>
      </c>
      <c r="AE351">
        <v>200</v>
      </c>
      <c r="AF351" s="2">
        <f>knicks_players_all_stats[[#This Row],[BLK2]]/10</f>
        <v>20</v>
      </c>
      <c r="AG351" s="6">
        <f>knicks_players_all_stats[[#This Row],[BLK]]/knicks_players_all_stats[[#This Row],[GP]]</f>
        <v>0.25</v>
      </c>
      <c r="AH351">
        <v>1050</v>
      </c>
      <c r="AI351" s="6">
        <f>knicks_players_all_stats[[#This Row],[BLKPG]]+knicks_players_all_stats[[#This Row],[STLPG]]+knicks_players_all_stats[[#This Row],[REBPG]]</f>
        <v>3.8624999999999998</v>
      </c>
      <c r="AJ351" s="2">
        <f>knicks_players_all_stats[[#This Row],[TOV2]]/10</f>
        <v>105</v>
      </c>
      <c r="AK351" s="6">
        <f>knicks_players_all_stats[[#This Row],[TOV]]/knicks_players_all_stats[[#This Row],[GP]]</f>
        <v>1.3125</v>
      </c>
      <c r="AL351" s="2">
        <v>180</v>
      </c>
      <c r="AM351" s="2">
        <f>knicks_players_all_stats[[#This Row],[PF]]/knicks_players_all_stats[[#This Row],[GP]]</f>
        <v>2.25</v>
      </c>
      <c r="AN351" s="2">
        <v>1125</v>
      </c>
      <c r="AO351" s="6">
        <f>knicks_players_all_stats[[#This Row],[PTS]]/knicks_players_all_stats[[#This Row],[GP]]</f>
        <v>14.0625</v>
      </c>
    </row>
    <row r="352" spans="1:41" customFormat="1" x14ac:dyDescent="0.3">
      <c r="A352" s="3" t="s">
        <v>1798</v>
      </c>
      <c r="B352" s="3" t="s">
        <v>1308</v>
      </c>
      <c r="C352" s="3" t="str">
        <f>knicks_players_all_stats[[#This Row],[NAME]]&amp;" ("&amp;knicks_players_all_stats[[#This Row],[SEASON]]&amp;")"</f>
        <v>Obi Toppin (2021-22)</v>
      </c>
      <c r="D352" s="3">
        <f>knicks_players_all_stats[[#This Row],[PLAYER_AGE]]/10</f>
        <v>24</v>
      </c>
      <c r="E352">
        <v>240</v>
      </c>
      <c r="F352" s="2">
        <v>72</v>
      </c>
      <c r="G352" s="2">
        <v>12300</v>
      </c>
      <c r="H35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641</v>
      </c>
      <c r="I352" s="6">
        <f>knicks_players_all_stats[[#This Row],[VALORATION]]/knicks_players_all_stats[[#This Row],[GP]]</f>
        <v>8.9027777777777786</v>
      </c>
      <c r="J352" s="2">
        <v>251</v>
      </c>
      <c r="K352" s="2">
        <v>473</v>
      </c>
      <c r="L352" s="2">
        <v>531</v>
      </c>
      <c r="M352" s="2">
        <v>520</v>
      </c>
      <c r="N352" s="2">
        <v>1690</v>
      </c>
      <c r="O352" s="4">
        <f>knicks_players_all_stats[[#This Row],[FG3M]]/knicks_players_all_stats[[#This Row],[FG3A]]</f>
        <v>0.30769230769230771</v>
      </c>
      <c r="P352" s="2">
        <v>94</v>
      </c>
      <c r="Q352" s="2">
        <v>124</v>
      </c>
      <c r="R352" s="5">
        <f>knicks_players_all_stats[[#This Row],[FTM]]/knicks_players_all_stats[[#This Row],[FTA]]</f>
        <v>0.75806451612903225</v>
      </c>
      <c r="S352" s="2">
        <f>knicks_players_all_stats[[#This Row],[OREB22]]/10</f>
        <v>69</v>
      </c>
      <c r="T352" s="2">
        <f>knicks_players_all_stats[[#This Row],[DREB33]]/10</f>
        <v>199</v>
      </c>
      <c r="U352" s="2">
        <f>knicks_players_all_stats[[#This Row],[REB44]]/10</f>
        <v>268</v>
      </c>
      <c r="V352">
        <v>690</v>
      </c>
      <c r="W352">
        <v>1990</v>
      </c>
      <c r="X352">
        <v>2680</v>
      </c>
      <c r="Y352" s="22">
        <f>knicks_players_all_stats[[#This Row],[REB]]/knicks_players_all_stats[[#This Row],[GP]]</f>
        <v>3.7222222222222223</v>
      </c>
      <c r="Z352" s="2">
        <v>77</v>
      </c>
      <c r="AA352" s="6">
        <f>knicks_players_all_stats[[#This Row],[AST]]/knicks_players_all_stats[[#This Row],[GP]]</f>
        <v>1.0694444444444444</v>
      </c>
      <c r="AB352" s="2">
        <f>knicks_players_all_stats[[#This Row],[STL2]]/10</f>
        <v>25</v>
      </c>
      <c r="AC352" s="2">
        <v>250</v>
      </c>
      <c r="AD352" s="6">
        <f>knicks_players_all_stats[[#This Row],[STL]]/knicks_players_all_stats[[#This Row],[GP]]</f>
        <v>0.34722222222222221</v>
      </c>
      <c r="AE352">
        <v>330</v>
      </c>
      <c r="AF352" s="2">
        <f>knicks_players_all_stats[[#This Row],[BLK2]]/10</f>
        <v>33</v>
      </c>
      <c r="AG352" s="6">
        <f>knicks_players_all_stats[[#This Row],[BLK]]/knicks_players_all_stats[[#This Row],[GP]]</f>
        <v>0.45833333333333331</v>
      </c>
      <c r="AH352">
        <v>560</v>
      </c>
      <c r="AI352" s="6">
        <f>knicks_players_all_stats[[#This Row],[BLKPG]]+knicks_players_all_stats[[#This Row],[STLPG]]+knicks_players_all_stats[[#This Row],[REBPG]]</f>
        <v>4.5277777777777777</v>
      </c>
      <c r="AJ352" s="2">
        <f>knicks_players_all_stats[[#This Row],[TOV2]]/10</f>
        <v>56</v>
      </c>
      <c r="AK352" s="6">
        <f>knicks_players_all_stats[[#This Row],[TOV]]/knicks_players_all_stats[[#This Row],[GP]]</f>
        <v>0.77777777777777779</v>
      </c>
      <c r="AL352" s="2">
        <v>102</v>
      </c>
      <c r="AM352" s="2">
        <f>knicks_players_all_stats[[#This Row],[PF]]/knicks_players_all_stats[[#This Row],[GP]]</f>
        <v>1.4166666666666667</v>
      </c>
      <c r="AN352" s="2">
        <v>648</v>
      </c>
      <c r="AO352" s="6">
        <f>knicks_players_all_stats[[#This Row],[PTS]]/knicks_players_all_stats[[#This Row],[GP]]</f>
        <v>9</v>
      </c>
    </row>
    <row r="353" spans="1:41" customFormat="1" x14ac:dyDescent="0.3">
      <c r="A353" s="3" t="s">
        <v>1307</v>
      </c>
      <c r="B353" s="3" t="s">
        <v>1308</v>
      </c>
      <c r="C353" s="3" t="str">
        <f>knicks_players_all_stats[[#This Row],[NAME]]&amp;" ("&amp;knicks_players_all_stats[[#This Row],[SEASON]]&amp;")"</f>
        <v>Nerlens Noel (2021-22)</v>
      </c>
      <c r="D353" s="3">
        <f>knicks_players_all_stats[[#This Row],[PLAYER_AGE]]/10</f>
        <v>28</v>
      </c>
      <c r="E353">
        <v>280</v>
      </c>
      <c r="F353" s="2">
        <v>25</v>
      </c>
      <c r="G353" s="2">
        <v>5620</v>
      </c>
      <c r="H35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186</v>
      </c>
      <c r="I353" s="6">
        <f>knicks_players_all_stats[[#This Row],[VALORATION]]/knicks_players_all_stats[[#This Row],[GP]]</f>
        <v>7.44</v>
      </c>
      <c r="J353" s="2">
        <v>32</v>
      </c>
      <c r="K353" s="2">
        <v>60</v>
      </c>
      <c r="L353" s="4">
        <f>knicks_players_all_stats[[#This Row],[FGM]]/knicks_players_all_stats[[#This Row],[FGA]]</f>
        <v>0.53333333333333333</v>
      </c>
      <c r="M353" s="2">
        <v>0</v>
      </c>
      <c r="N353" s="2">
        <v>30</v>
      </c>
      <c r="O353" s="4">
        <f>knicks_players_all_stats[[#This Row],[FG3M]]/knicks_players_all_stats[[#This Row],[FG3A]]</f>
        <v>0</v>
      </c>
      <c r="P353" s="2">
        <v>21</v>
      </c>
      <c r="Q353" s="2">
        <v>30</v>
      </c>
      <c r="R353" s="5">
        <f>knicks_players_all_stats[[#This Row],[FTM]]/knicks_players_all_stats[[#This Row],[FTA]]</f>
        <v>0.7</v>
      </c>
      <c r="S353" s="2">
        <f>knicks_players_all_stats[[#This Row],[OREB22]]/10</f>
        <v>48</v>
      </c>
      <c r="T353" s="2">
        <f>knicks_players_all_stats[[#This Row],[DREB33]]/10</f>
        <v>93</v>
      </c>
      <c r="U353" s="2">
        <f>knicks_players_all_stats[[#This Row],[REB44]]/10</f>
        <v>141</v>
      </c>
      <c r="V353">
        <v>480</v>
      </c>
      <c r="W353">
        <v>930</v>
      </c>
      <c r="X353">
        <v>1410</v>
      </c>
      <c r="Y353" s="22">
        <f>knicks_players_all_stats[[#This Row],[REB]]/knicks_players_all_stats[[#This Row],[GP]]</f>
        <v>5.64</v>
      </c>
      <c r="Z353" s="2">
        <v>23</v>
      </c>
      <c r="AA353" s="6">
        <f>knicks_players_all_stats[[#This Row],[AST]]/knicks_players_all_stats[[#This Row],[GP]]</f>
        <v>0.92</v>
      </c>
      <c r="AB353" s="2">
        <f>knicks_players_all_stats[[#This Row],[STL2]]/10</f>
        <v>30</v>
      </c>
      <c r="AC353" s="2">
        <v>300</v>
      </c>
      <c r="AD353" s="6">
        <f>knicks_players_all_stats[[#This Row],[STL]]/knicks_players_all_stats[[#This Row],[GP]]</f>
        <v>1.2</v>
      </c>
      <c r="AE353">
        <v>310</v>
      </c>
      <c r="AF353" s="2">
        <f>knicks_players_all_stats[[#This Row],[BLK2]]/10</f>
        <v>31</v>
      </c>
      <c r="AG353" s="6">
        <f>knicks_players_all_stats[[#This Row],[BLK]]/knicks_players_all_stats[[#This Row],[GP]]</f>
        <v>1.24</v>
      </c>
      <c r="AH353">
        <v>200</v>
      </c>
      <c r="AI353" s="6">
        <f>knicks_players_all_stats[[#This Row],[BLKPG]]+knicks_players_all_stats[[#This Row],[STLPG]]+knicks_players_all_stats[[#This Row],[REBPG]]</f>
        <v>8.08</v>
      </c>
      <c r="AJ353" s="2">
        <f>knicks_players_all_stats[[#This Row],[TOV2]]/10</f>
        <v>20</v>
      </c>
      <c r="AK353" s="6">
        <f>knicks_players_all_stats[[#This Row],[TOV]]/knicks_players_all_stats[[#This Row],[GP]]</f>
        <v>0.8</v>
      </c>
      <c r="AL353" s="2">
        <v>67</v>
      </c>
      <c r="AM353" s="2">
        <f>knicks_players_all_stats[[#This Row],[PF]]/knicks_players_all_stats[[#This Row],[GP]]</f>
        <v>2.68</v>
      </c>
      <c r="AN353" s="2">
        <v>85</v>
      </c>
      <c r="AO353" s="6">
        <f>knicks_players_all_stats[[#This Row],[PTS]]/knicks_players_all_stats[[#This Row],[GP]]</f>
        <v>3.4</v>
      </c>
    </row>
    <row r="354" spans="1:41" x14ac:dyDescent="0.3">
      <c r="A354" s="3" t="s">
        <v>1710</v>
      </c>
      <c r="B354" s="3" t="s">
        <v>1308</v>
      </c>
      <c r="C354" s="3" t="str">
        <f>knicks_players_all_stats[[#This Row],[NAME]]&amp;" ("&amp;knicks_players_all_stats[[#This Row],[SEASON]]&amp;")"</f>
        <v>Taj Gibson (2021-22)</v>
      </c>
      <c r="D354" s="3">
        <f>knicks_players_all_stats[[#This Row],[PLAYER_AGE]]/10</f>
        <v>37</v>
      </c>
      <c r="E354">
        <v>370</v>
      </c>
      <c r="F354" s="2">
        <v>52</v>
      </c>
      <c r="G354" s="2">
        <v>9460</v>
      </c>
      <c r="H35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298</v>
      </c>
      <c r="I354" s="6">
        <f>knicks_players_all_stats[[#This Row],[VALORATION]]/knicks_players_all_stats[[#This Row],[GP]]</f>
        <v>5.7307692307692308</v>
      </c>
      <c r="J354" s="2">
        <v>86</v>
      </c>
      <c r="K354" s="2">
        <v>166</v>
      </c>
      <c r="L354" s="2">
        <v>518</v>
      </c>
      <c r="M354" s="2">
        <v>150</v>
      </c>
      <c r="N354" s="2">
        <v>380</v>
      </c>
      <c r="O354" s="4">
        <f>knicks_players_all_stats[[#This Row],[FG3M]]/knicks_players_all_stats[[#This Row],[FG3A]]</f>
        <v>0.39473684210526316</v>
      </c>
      <c r="P354" s="2">
        <v>42</v>
      </c>
      <c r="Q354" s="2">
        <v>52</v>
      </c>
      <c r="R354" s="5">
        <f>knicks_players_all_stats[[#This Row],[FTM]]/knicks_players_all_stats[[#This Row],[FTA]]</f>
        <v>0.80769230769230771</v>
      </c>
      <c r="S354" s="2">
        <f>knicks_players_all_stats[[#This Row],[OREB22]]/10</f>
        <v>88</v>
      </c>
      <c r="T354" s="2">
        <f>knicks_players_all_stats[[#This Row],[DREB33]]/10</f>
        <v>141</v>
      </c>
      <c r="U354" s="2">
        <f>knicks_players_all_stats[[#This Row],[REB44]]/10</f>
        <v>229</v>
      </c>
      <c r="V354">
        <v>880</v>
      </c>
      <c r="W354">
        <v>1410</v>
      </c>
      <c r="X354">
        <v>2290</v>
      </c>
      <c r="Y354" s="22">
        <f>knicks_players_all_stats[[#This Row],[REB]]/knicks_players_all_stats[[#This Row],[GP]]</f>
        <v>4.4038461538461542</v>
      </c>
      <c r="Z354" s="2">
        <v>32</v>
      </c>
      <c r="AA354" s="6">
        <f>knicks_players_all_stats[[#This Row],[AST]]/knicks_players_all_stats[[#This Row],[GP]]</f>
        <v>0.61538461538461542</v>
      </c>
      <c r="AB354" s="2">
        <f>knicks_players_all_stats[[#This Row],[STL2]]/10</f>
        <v>22</v>
      </c>
      <c r="AC354" s="2">
        <v>220</v>
      </c>
      <c r="AD354" s="6">
        <f>knicks_players_all_stats[[#This Row],[STL]]/knicks_players_all_stats[[#This Row],[GP]]</f>
        <v>0.42307692307692307</v>
      </c>
      <c r="AE354">
        <v>400</v>
      </c>
      <c r="AF354" s="2">
        <f>knicks_players_all_stats[[#This Row],[BLK2]]/10</f>
        <v>40</v>
      </c>
      <c r="AG354" s="6">
        <f>knicks_players_all_stats[[#This Row],[BLK]]/knicks_players_all_stats[[#This Row],[GP]]</f>
        <v>0.76923076923076927</v>
      </c>
      <c r="AH354">
        <v>270</v>
      </c>
      <c r="AI354" s="6">
        <f>knicks_players_all_stats[[#This Row],[BLKPG]]+knicks_players_all_stats[[#This Row],[STLPG]]+knicks_players_all_stats[[#This Row],[REBPG]]</f>
        <v>5.5961538461538467</v>
      </c>
      <c r="AJ354" s="2">
        <f>knicks_players_all_stats[[#This Row],[TOV2]]/10</f>
        <v>27</v>
      </c>
      <c r="AK354" s="6">
        <f>knicks_players_all_stats[[#This Row],[TOV]]/knicks_players_all_stats[[#This Row],[GP]]</f>
        <v>0.51923076923076927</v>
      </c>
      <c r="AL354" s="2">
        <v>137</v>
      </c>
      <c r="AM354" s="2">
        <f>knicks_players_all_stats[[#This Row],[PF]]/knicks_players_all_stats[[#This Row],[GP]]</f>
        <v>2.6346153846153846</v>
      </c>
      <c r="AN354" s="2">
        <v>229</v>
      </c>
      <c r="AO354" s="6">
        <f>knicks_players_all_stats[[#This Row],[PTS]]/knicks_players_all_stats[[#This Row],[GP]]</f>
        <v>4.4038461538461542</v>
      </c>
    </row>
    <row r="355" spans="1:41" x14ac:dyDescent="0.3">
      <c r="A355" s="3" t="s">
        <v>1552</v>
      </c>
      <c r="B355" s="3" t="s">
        <v>1308</v>
      </c>
      <c r="C355" s="3" t="str">
        <f>knicks_players_all_stats[[#This Row],[NAME]]&amp;" ("&amp;knicks_players_all_stats[[#This Row],[SEASON]]&amp;")"</f>
        <v>Jericho Sims (2021-22)</v>
      </c>
      <c r="D355" s="3">
        <f>knicks_players_all_stats[[#This Row],[PLAYER_AGE]]/10</f>
        <v>23</v>
      </c>
      <c r="E355">
        <v>230</v>
      </c>
      <c r="F355" s="2">
        <v>41</v>
      </c>
      <c r="G355" s="2">
        <v>5550</v>
      </c>
      <c r="H35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195</v>
      </c>
      <c r="I355" s="6">
        <f>knicks_players_all_stats[[#This Row],[VALORATION]]/knicks_players_all_stats[[#This Row],[GP]]</f>
        <v>4.7560975609756095</v>
      </c>
      <c r="J355" s="2">
        <v>39</v>
      </c>
      <c r="K355" s="2">
        <v>54</v>
      </c>
      <c r="L355" s="4">
        <f>knicks_players_all_stats[[#This Row],[FGM]]/knicks_players_all_stats[[#This Row],[FGA]]</f>
        <v>0.72222222222222221</v>
      </c>
      <c r="M355" s="2">
        <v>0</v>
      </c>
      <c r="N355" s="2">
        <v>0</v>
      </c>
      <c r="O355" s="4" t="e">
        <f>knicks_players_all_stats[[#This Row],[FG3M]]/knicks_players_all_stats[[#This Row],[FG3A]]</f>
        <v>#DIV/0!</v>
      </c>
      <c r="P355" s="2">
        <v>12</v>
      </c>
      <c r="Q355" s="2">
        <v>29</v>
      </c>
      <c r="R355" s="5">
        <f>knicks_players_all_stats[[#This Row],[FTM]]/knicks_players_all_stats[[#This Row],[FTA]]</f>
        <v>0.41379310344827586</v>
      </c>
      <c r="S355" s="2">
        <f>knicks_players_all_stats[[#This Row],[OREB22]]/10</f>
        <v>61</v>
      </c>
      <c r="T355" s="2">
        <f>knicks_players_all_stats[[#This Row],[DREB33]]/10</f>
        <v>108</v>
      </c>
      <c r="U355" s="2">
        <f>knicks_players_all_stats[[#This Row],[REB44]]/10</f>
        <v>169</v>
      </c>
      <c r="V355">
        <v>610</v>
      </c>
      <c r="W355">
        <v>1080</v>
      </c>
      <c r="X355">
        <v>1690</v>
      </c>
      <c r="Y355" s="22">
        <f>knicks_players_all_stats[[#This Row],[REB]]/knicks_players_all_stats[[#This Row],[GP]]</f>
        <v>4.1219512195121952</v>
      </c>
      <c r="Z355" s="2">
        <v>21</v>
      </c>
      <c r="AA355" s="6">
        <f>knicks_players_all_stats[[#This Row],[AST]]/knicks_players_all_stats[[#This Row],[GP]]</f>
        <v>0.51219512195121952</v>
      </c>
      <c r="AB355" s="2">
        <f>knicks_players_all_stats[[#This Row],[STL2]]/10</f>
        <v>11</v>
      </c>
      <c r="AC355" s="2">
        <v>110</v>
      </c>
      <c r="AD355" s="6">
        <f>knicks_players_all_stats[[#This Row],[STL]]/knicks_players_all_stats[[#This Row],[GP]]</f>
        <v>0.26829268292682928</v>
      </c>
      <c r="AE355">
        <v>220</v>
      </c>
      <c r="AF355" s="2">
        <f>knicks_players_all_stats[[#This Row],[BLK2]]/10</f>
        <v>22</v>
      </c>
      <c r="AG355" s="6">
        <f>knicks_players_all_stats[[#This Row],[BLK]]/knicks_players_all_stats[[#This Row],[GP]]</f>
        <v>0.53658536585365857</v>
      </c>
      <c r="AH355">
        <v>200</v>
      </c>
      <c r="AI355" s="6">
        <f>knicks_players_all_stats[[#This Row],[BLKPG]]+knicks_players_all_stats[[#This Row],[STLPG]]+knicks_players_all_stats[[#This Row],[REBPG]]</f>
        <v>4.9268292682926829</v>
      </c>
      <c r="AJ355" s="2">
        <f>knicks_players_all_stats[[#This Row],[TOV2]]/10</f>
        <v>20</v>
      </c>
      <c r="AK355" s="6">
        <f>knicks_players_all_stats[[#This Row],[TOV]]/knicks_players_all_stats[[#This Row],[GP]]</f>
        <v>0.48780487804878048</v>
      </c>
      <c r="AL355" s="2">
        <v>66</v>
      </c>
      <c r="AM355" s="2">
        <f>knicks_players_all_stats[[#This Row],[PF]]/knicks_players_all_stats[[#This Row],[GP]]</f>
        <v>1.6097560975609757</v>
      </c>
      <c r="AN355" s="2">
        <v>90</v>
      </c>
      <c r="AO355" s="6">
        <f>knicks_players_all_stats[[#This Row],[PTS]]/knicks_players_all_stats[[#This Row],[GP]]</f>
        <v>2.1951219512195124</v>
      </c>
    </row>
    <row r="356" spans="1:41" x14ac:dyDescent="0.3">
      <c r="A356" s="3" t="s">
        <v>1678</v>
      </c>
      <c r="B356" s="3" t="s">
        <v>1308</v>
      </c>
      <c r="C356" s="3" t="str">
        <f>knicks_players_all_stats[[#This Row],[NAME]]&amp;" ("&amp;knicks_players_all_stats[[#This Row],[SEASON]]&amp;")"</f>
        <v>Cam Reddish (2021-22)</v>
      </c>
      <c r="D356" s="3">
        <f>knicks_players_all_stats[[#This Row],[PLAYER_AGE]]/10</f>
        <v>22</v>
      </c>
      <c r="E356">
        <v>220</v>
      </c>
      <c r="F356" s="2">
        <v>15</v>
      </c>
      <c r="G356" s="2">
        <v>2160</v>
      </c>
      <c r="H35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69</v>
      </c>
      <c r="I356" s="6">
        <f>knicks_players_all_stats[[#This Row],[VALORATION]]/knicks_players_all_stats[[#This Row],[GP]]</f>
        <v>4.5999999999999996</v>
      </c>
      <c r="J356" s="2">
        <v>27</v>
      </c>
      <c r="K356" s="2">
        <v>65</v>
      </c>
      <c r="L356" s="2">
        <v>415</v>
      </c>
      <c r="M356" s="2">
        <v>80</v>
      </c>
      <c r="N356" s="2">
        <v>310</v>
      </c>
      <c r="O356" s="4">
        <f>knicks_players_all_stats[[#This Row],[FG3M]]/knicks_players_all_stats[[#This Row],[FG3A]]</f>
        <v>0.25806451612903225</v>
      </c>
      <c r="P356" s="2">
        <v>29</v>
      </c>
      <c r="Q356" s="2">
        <v>32</v>
      </c>
      <c r="R356" s="5">
        <f>knicks_players_all_stats[[#This Row],[FTM]]/knicks_players_all_stats[[#This Row],[FTA]]</f>
        <v>0.90625</v>
      </c>
      <c r="S356" s="2">
        <f>knicks_players_all_stats[[#This Row],[OREB22]]/10</f>
        <v>5</v>
      </c>
      <c r="T356" s="2">
        <f>knicks_players_all_stats[[#This Row],[DREB33]]/10</f>
        <v>16</v>
      </c>
      <c r="U356" s="2">
        <f>knicks_players_all_stats[[#This Row],[REB44]]/10</f>
        <v>21</v>
      </c>
      <c r="V356">
        <v>50</v>
      </c>
      <c r="W356">
        <v>160</v>
      </c>
      <c r="X356">
        <v>210</v>
      </c>
      <c r="Y356" s="22">
        <f>knicks_players_all_stats[[#This Row],[REB]]/knicks_players_all_stats[[#This Row],[GP]]</f>
        <v>1.4</v>
      </c>
      <c r="Z356" s="2">
        <v>10</v>
      </c>
      <c r="AA356" s="6">
        <f>knicks_players_all_stats[[#This Row],[AST]]/knicks_players_all_stats[[#This Row],[GP]]</f>
        <v>0.66666666666666663</v>
      </c>
      <c r="AB356" s="2">
        <f>knicks_players_all_stats[[#This Row],[STL2]]/10</f>
        <v>12</v>
      </c>
      <c r="AC356" s="2">
        <v>120</v>
      </c>
      <c r="AD356" s="6">
        <f>knicks_players_all_stats[[#This Row],[STL]]/knicks_players_all_stats[[#This Row],[GP]]</f>
        <v>0.8</v>
      </c>
      <c r="AE356">
        <v>40</v>
      </c>
      <c r="AF356" s="2">
        <f>knicks_players_all_stats[[#This Row],[BLK2]]/10</f>
        <v>4</v>
      </c>
      <c r="AG356" s="6">
        <f>knicks_players_all_stats[[#This Row],[BLK]]/knicks_players_all_stats[[#This Row],[GP]]</f>
        <v>0.26666666666666666</v>
      </c>
      <c r="AH356">
        <v>130</v>
      </c>
      <c r="AI356" s="6">
        <f>knicks_players_all_stats[[#This Row],[BLKPG]]+knicks_players_all_stats[[#This Row],[STLPG]]+knicks_players_all_stats[[#This Row],[REBPG]]</f>
        <v>2.4666666666666668</v>
      </c>
      <c r="AJ356" s="2">
        <f>knicks_players_all_stats[[#This Row],[TOV2]]/10</f>
        <v>13</v>
      </c>
      <c r="AK356" s="6">
        <f>knicks_players_all_stats[[#This Row],[TOV]]/knicks_players_all_stats[[#This Row],[GP]]</f>
        <v>0.8666666666666667</v>
      </c>
      <c r="AL356" s="2">
        <v>15</v>
      </c>
      <c r="AM356" s="2">
        <f>knicks_players_all_stats[[#This Row],[PF]]/knicks_players_all_stats[[#This Row],[GP]]</f>
        <v>1</v>
      </c>
      <c r="AN356" s="2">
        <v>91</v>
      </c>
      <c r="AO356" s="6">
        <f>knicks_players_all_stats[[#This Row],[PTS]]/knicks_players_all_stats[[#This Row],[GP]]</f>
        <v>6.0666666666666664</v>
      </c>
    </row>
    <row r="357" spans="1:41" x14ac:dyDescent="0.3">
      <c r="A357" s="3" t="s">
        <v>1630</v>
      </c>
      <c r="B357" s="3" t="s">
        <v>1308</v>
      </c>
      <c r="C357" s="3" t="str">
        <f>knicks_players_all_stats[[#This Row],[NAME]]&amp;" ("&amp;knicks_players_all_stats[[#This Row],[SEASON]]&amp;")"</f>
        <v>Quentin Grimes (2021-22)</v>
      </c>
      <c r="D357" s="3">
        <f>knicks_players_all_stats[[#This Row],[PLAYER_AGE]]/10</f>
        <v>22</v>
      </c>
      <c r="E357">
        <v>220</v>
      </c>
      <c r="F357" s="2">
        <v>46</v>
      </c>
      <c r="G357" s="2">
        <v>7860</v>
      </c>
      <c r="H35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209</v>
      </c>
      <c r="I357" s="6">
        <f>knicks_players_all_stats[[#This Row],[VALORATION]]/knicks_players_all_stats[[#This Row],[GP]]</f>
        <v>4.5434782608695654</v>
      </c>
      <c r="J357" s="2">
        <v>95</v>
      </c>
      <c r="K357" s="2">
        <v>235</v>
      </c>
      <c r="L357" s="4">
        <f>knicks_players_all_stats[[#This Row],[FGM]]/knicks_players_all_stats[[#This Row],[FGA]]</f>
        <v>0.40425531914893614</v>
      </c>
      <c r="M357" s="2">
        <v>720</v>
      </c>
      <c r="N357" s="2">
        <v>1890</v>
      </c>
      <c r="O357" s="4">
        <f>knicks_players_all_stats[[#This Row],[FG3M]]/knicks_players_all_stats[[#This Row],[FG3A]]</f>
        <v>0.38095238095238093</v>
      </c>
      <c r="P357" s="2">
        <v>13</v>
      </c>
      <c r="Q357" s="2">
        <v>19</v>
      </c>
      <c r="R357" s="5">
        <f>knicks_players_all_stats[[#This Row],[FTM]]/knicks_players_all_stats[[#This Row],[FTA]]</f>
        <v>0.68421052631578949</v>
      </c>
      <c r="S357" s="2">
        <f>knicks_players_all_stats[[#This Row],[OREB22]]/10</f>
        <v>24</v>
      </c>
      <c r="T357" s="2">
        <f>knicks_players_all_stats[[#This Row],[DREB33]]/10</f>
        <v>70</v>
      </c>
      <c r="U357" s="2">
        <f>knicks_players_all_stats[[#This Row],[REB44]]/10</f>
        <v>94</v>
      </c>
      <c r="V357">
        <v>240</v>
      </c>
      <c r="W357">
        <v>700</v>
      </c>
      <c r="X357">
        <v>940</v>
      </c>
      <c r="Y357" s="22">
        <f>knicks_players_all_stats[[#This Row],[REB]]/knicks_players_all_stats[[#This Row],[GP]]</f>
        <v>2.0434782608695654</v>
      </c>
      <c r="Z357" s="2">
        <v>44</v>
      </c>
      <c r="AA357" s="6">
        <f>knicks_players_all_stats[[#This Row],[AST]]/knicks_players_all_stats[[#This Row],[GP]]</f>
        <v>0.95652173913043481</v>
      </c>
      <c r="AB357" s="2">
        <f>knicks_players_all_stats[[#This Row],[STL2]]/10</f>
        <v>31</v>
      </c>
      <c r="AC357" s="2">
        <v>310</v>
      </c>
      <c r="AD357" s="6">
        <f>knicks_players_all_stats[[#This Row],[STL]]/knicks_players_all_stats[[#This Row],[GP]]</f>
        <v>0.67391304347826086</v>
      </c>
      <c r="AE357">
        <v>110</v>
      </c>
      <c r="AF357" s="2">
        <f>knicks_players_all_stats[[#This Row],[BLK2]]/10</f>
        <v>11</v>
      </c>
      <c r="AG357" s="6">
        <f>knicks_players_all_stats[[#This Row],[BLK]]/knicks_players_all_stats[[#This Row],[GP]]</f>
        <v>0.2391304347826087</v>
      </c>
      <c r="AH357">
        <v>280</v>
      </c>
      <c r="AI357" s="6">
        <f>knicks_players_all_stats[[#This Row],[BLKPG]]+knicks_players_all_stats[[#This Row],[STLPG]]+knicks_players_all_stats[[#This Row],[REBPG]]</f>
        <v>2.956521739130435</v>
      </c>
      <c r="AJ357" s="2">
        <f>knicks_players_all_stats[[#This Row],[TOV2]]/10</f>
        <v>28</v>
      </c>
      <c r="AK357" s="6">
        <f>knicks_players_all_stats[[#This Row],[TOV]]/knicks_players_all_stats[[#This Row],[GP]]</f>
        <v>0.60869565217391308</v>
      </c>
      <c r="AL357" s="2">
        <v>72</v>
      </c>
      <c r="AM357" s="2">
        <f>knicks_players_all_stats[[#This Row],[PF]]/knicks_players_all_stats[[#This Row],[GP]]</f>
        <v>1.5652173913043479</v>
      </c>
      <c r="AN357" s="2">
        <v>275</v>
      </c>
      <c r="AO357" s="6">
        <f>knicks_players_all_stats[[#This Row],[PTS]]/knicks_players_all_stats[[#This Row],[GP]]</f>
        <v>5.9782608695652177</v>
      </c>
    </row>
    <row r="358" spans="1:41" customFormat="1" x14ac:dyDescent="0.3">
      <c r="A358" s="3" t="s">
        <v>1616</v>
      </c>
      <c r="B358" s="3" t="s">
        <v>1308</v>
      </c>
      <c r="C358" s="3" t="str">
        <f>knicks_players_all_stats[[#This Row],[NAME]]&amp;" ("&amp;knicks_players_all_stats[[#This Row],[SEASON]]&amp;")"</f>
        <v>Kevin Knox II (2021-22)</v>
      </c>
      <c r="D358" s="3">
        <f>knicks_players_all_stats[[#This Row],[PLAYER_AGE]]/10</f>
        <v>22</v>
      </c>
      <c r="E358">
        <v>220</v>
      </c>
      <c r="F358" s="2">
        <v>13</v>
      </c>
      <c r="G358" s="2">
        <v>1110</v>
      </c>
      <c r="H35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37</v>
      </c>
      <c r="I358" s="6">
        <f>knicks_players_all_stats[[#This Row],[VALORATION]]/knicks_players_all_stats[[#This Row],[GP]]</f>
        <v>2.8461538461538463</v>
      </c>
      <c r="J358" s="2">
        <v>15</v>
      </c>
      <c r="K358" s="2">
        <v>40</v>
      </c>
      <c r="L358" s="4">
        <f>knicks_players_all_stats[[#This Row],[FGM]]/knicks_players_all_stats[[#This Row],[FGA]]</f>
        <v>0.375</v>
      </c>
      <c r="M358" s="2">
        <v>100</v>
      </c>
      <c r="N358" s="2">
        <v>280</v>
      </c>
      <c r="O358" s="4">
        <f>knicks_players_all_stats[[#This Row],[FG3M]]/knicks_players_all_stats[[#This Row],[FG3A]]</f>
        <v>0.35714285714285715</v>
      </c>
      <c r="P358" s="2">
        <v>7</v>
      </c>
      <c r="Q358" s="2">
        <v>10</v>
      </c>
      <c r="R358" s="5">
        <f>knicks_players_all_stats[[#This Row],[FTM]]/knicks_players_all_stats[[#This Row],[FTA]]</f>
        <v>0.7</v>
      </c>
      <c r="S358" s="2">
        <f>knicks_players_all_stats[[#This Row],[OREB22]]/10</f>
        <v>8</v>
      </c>
      <c r="T358" s="2">
        <f>knicks_players_all_stats[[#This Row],[DREB33]]/10</f>
        <v>14</v>
      </c>
      <c r="U358" s="2">
        <f>knicks_players_all_stats[[#This Row],[REB44]]/10</f>
        <v>22</v>
      </c>
      <c r="V358">
        <v>80</v>
      </c>
      <c r="W358">
        <v>140</v>
      </c>
      <c r="X358">
        <v>220</v>
      </c>
      <c r="Y358" s="22">
        <f>knicks_players_all_stats[[#This Row],[REB]]/knicks_players_all_stats[[#This Row],[GP]]</f>
        <v>1.6923076923076923</v>
      </c>
      <c r="Z358" s="2">
        <v>3</v>
      </c>
      <c r="AA358" s="6">
        <f>knicks_players_all_stats[[#This Row],[AST]]/knicks_players_all_stats[[#This Row],[GP]]</f>
        <v>0.23076923076923078</v>
      </c>
      <c r="AB358" s="2">
        <f>knicks_players_all_stats[[#This Row],[STL2]]/10</f>
        <v>2</v>
      </c>
      <c r="AC358" s="2">
        <v>20</v>
      </c>
      <c r="AD358" s="6">
        <f>knicks_players_all_stats[[#This Row],[STL]]/knicks_players_all_stats[[#This Row],[GP]]</f>
        <v>0.15384615384615385</v>
      </c>
      <c r="AE358">
        <v>10</v>
      </c>
      <c r="AF358" s="2">
        <f>knicks_players_all_stats[[#This Row],[BLK2]]/10</f>
        <v>1</v>
      </c>
      <c r="AG358" s="6">
        <f>knicks_players_all_stats[[#This Row],[BLK]]/knicks_players_all_stats[[#This Row],[GP]]</f>
        <v>7.6923076923076927E-2</v>
      </c>
      <c r="AH358">
        <v>50</v>
      </c>
      <c r="AI358" s="6">
        <f>knicks_players_all_stats[[#This Row],[BLKPG]]+knicks_players_all_stats[[#This Row],[STLPG]]+knicks_players_all_stats[[#This Row],[REBPG]]</f>
        <v>1.9230769230769231</v>
      </c>
      <c r="AJ358" s="2">
        <f>knicks_players_all_stats[[#This Row],[TOV2]]/10</f>
        <v>5</v>
      </c>
      <c r="AK358" s="6">
        <f>knicks_players_all_stats[[#This Row],[TOV]]/knicks_players_all_stats[[#This Row],[GP]]</f>
        <v>0.38461538461538464</v>
      </c>
      <c r="AL358" s="2">
        <v>5</v>
      </c>
      <c r="AM358" s="2">
        <f>knicks_players_all_stats[[#This Row],[PF]]/knicks_players_all_stats[[#This Row],[GP]]</f>
        <v>0.38461538461538464</v>
      </c>
      <c r="AN358" s="2">
        <v>47</v>
      </c>
      <c r="AO358" s="6">
        <f>knicks_players_all_stats[[#This Row],[PTS]]/knicks_players_all_stats[[#This Row],[GP]]</f>
        <v>3.6153846153846154</v>
      </c>
    </row>
    <row r="359" spans="1:41" customFormat="1" x14ac:dyDescent="0.3">
      <c r="A359" s="3" t="s">
        <v>1583</v>
      </c>
      <c r="B359" s="3" t="s">
        <v>1308</v>
      </c>
      <c r="C359" s="3" t="str">
        <f>knicks_players_all_stats[[#This Row],[NAME]]&amp;" ("&amp;knicks_players_all_stats[[#This Row],[SEASON]]&amp;")"</f>
        <v>Damyean Dotson (2021-22)</v>
      </c>
      <c r="D359" s="3">
        <f>knicks_players_all_stats[[#This Row],[PLAYER_AGE]]/10</f>
        <v>28</v>
      </c>
      <c r="E359">
        <v>280</v>
      </c>
      <c r="F359" s="2">
        <v>2</v>
      </c>
      <c r="G359" s="2">
        <v>210</v>
      </c>
      <c r="H35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</v>
      </c>
      <c r="I359" s="6">
        <f>knicks_players_all_stats[[#This Row],[VALORATION]]/knicks_players_all_stats[[#This Row],[GP]]</f>
        <v>2.5</v>
      </c>
      <c r="J359" s="2">
        <v>2</v>
      </c>
      <c r="K359" s="2">
        <v>4</v>
      </c>
      <c r="L359" s="4">
        <f>knicks_players_all_stats[[#This Row],[FGM]]/knicks_players_all_stats[[#This Row],[FGA]]</f>
        <v>0.5</v>
      </c>
      <c r="M359" s="2">
        <v>0</v>
      </c>
      <c r="N359" s="2">
        <v>10</v>
      </c>
      <c r="O359" s="4">
        <f>knicks_players_all_stats[[#This Row],[FG3M]]/knicks_players_all_stats[[#This Row],[FG3A]]</f>
        <v>0</v>
      </c>
      <c r="P359" s="2">
        <v>0</v>
      </c>
      <c r="Q359" s="2">
        <v>0</v>
      </c>
      <c r="R359" s="5" t="e">
        <f>knicks_players_all_stats[[#This Row],[FTM]]/knicks_players_all_stats[[#This Row],[FTA]]</f>
        <v>#DIV/0!</v>
      </c>
      <c r="S359" s="2">
        <f>knicks_players_all_stats[[#This Row],[OREB22]]/10</f>
        <v>0</v>
      </c>
      <c r="T359" s="2">
        <f>knicks_players_all_stats[[#This Row],[DREB33]]/10</f>
        <v>2</v>
      </c>
      <c r="U359" s="2">
        <f>knicks_players_all_stats[[#This Row],[REB44]]/10</f>
        <v>2</v>
      </c>
      <c r="V359">
        <v>0</v>
      </c>
      <c r="W359">
        <v>20</v>
      </c>
      <c r="X359">
        <v>20</v>
      </c>
      <c r="Y359" s="22">
        <f>knicks_players_all_stats[[#This Row],[REB]]/knicks_players_all_stats[[#This Row],[GP]]</f>
        <v>1</v>
      </c>
      <c r="Z359" s="2">
        <v>1</v>
      </c>
      <c r="AA359" s="6">
        <f>knicks_players_all_stats[[#This Row],[AST]]/knicks_players_all_stats[[#This Row],[GP]]</f>
        <v>0.5</v>
      </c>
      <c r="AB359" s="2">
        <f>knicks_players_all_stats[[#This Row],[STL2]]/10</f>
        <v>0</v>
      </c>
      <c r="AC359" s="2">
        <v>0</v>
      </c>
      <c r="AD359" s="6">
        <f>knicks_players_all_stats[[#This Row],[STL]]/knicks_players_all_stats[[#This Row],[GP]]</f>
        <v>0</v>
      </c>
      <c r="AE359">
        <v>0</v>
      </c>
      <c r="AF359" s="2">
        <f>knicks_players_all_stats[[#This Row],[BLK2]]/10</f>
        <v>0</v>
      </c>
      <c r="AG359" s="6">
        <f>knicks_players_all_stats[[#This Row],[BLK]]/knicks_players_all_stats[[#This Row],[GP]]</f>
        <v>0</v>
      </c>
      <c r="AH359">
        <v>0</v>
      </c>
      <c r="AI359" s="6">
        <f>knicks_players_all_stats[[#This Row],[BLKPG]]+knicks_players_all_stats[[#This Row],[STLPG]]+knicks_players_all_stats[[#This Row],[REBPG]]</f>
        <v>1</v>
      </c>
      <c r="AJ359" s="2">
        <f>knicks_players_all_stats[[#This Row],[TOV2]]/10</f>
        <v>0</v>
      </c>
      <c r="AK359" s="6">
        <f>knicks_players_all_stats[[#This Row],[TOV]]/knicks_players_all_stats[[#This Row],[GP]]</f>
        <v>0</v>
      </c>
      <c r="AL359" s="2">
        <v>0</v>
      </c>
      <c r="AM359" s="2">
        <f>knicks_players_all_stats[[#This Row],[PF]]/knicks_players_all_stats[[#This Row],[GP]]</f>
        <v>0</v>
      </c>
      <c r="AN359" s="2">
        <v>4</v>
      </c>
      <c r="AO359" s="6">
        <f>knicks_players_all_stats[[#This Row],[PTS]]/knicks_players_all_stats[[#This Row],[GP]]</f>
        <v>2</v>
      </c>
    </row>
    <row r="360" spans="1:41" x14ac:dyDescent="0.3">
      <c r="A360" s="3" t="s">
        <v>1424</v>
      </c>
      <c r="B360" s="3" t="s">
        <v>1308</v>
      </c>
      <c r="C360" s="3" t="str">
        <f>knicks_players_all_stats[[#This Row],[NAME]]&amp;" ("&amp;knicks_players_all_stats[[#This Row],[SEASON]]&amp;")"</f>
        <v>Ryan Arcidiacono (2021-22)</v>
      </c>
      <c r="D360" s="3">
        <f>knicks_players_all_stats[[#This Row],[PLAYER_AGE]]/10</f>
        <v>28</v>
      </c>
      <c r="E360">
        <v>280</v>
      </c>
      <c r="F360" s="2">
        <v>10</v>
      </c>
      <c r="G360" s="2">
        <v>760</v>
      </c>
      <c r="H36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15</v>
      </c>
      <c r="I360" s="6">
        <f>knicks_players_all_stats[[#This Row],[VALORATION]]/knicks_players_all_stats[[#This Row],[GP]]</f>
        <v>1.5</v>
      </c>
      <c r="J360" s="2">
        <v>6</v>
      </c>
      <c r="K360" s="2">
        <v>12</v>
      </c>
      <c r="L360" s="4">
        <f>knicks_players_all_stats[[#This Row],[FGM]]/knicks_players_all_stats[[#This Row],[FGA]]</f>
        <v>0.5</v>
      </c>
      <c r="M360" s="2">
        <v>40</v>
      </c>
      <c r="N360" s="2">
        <v>90</v>
      </c>
      <c r="O360" s="4">
        <f>knicks_players_all_stats[[#This Row],[FG3M]]/knicks_players_all_stats[[#This Row],[FG3A]]</f>
        <v>0.44444444444444442</v>
      </c>
      <c r="P360" s="2">
        <v>0</v>
      </c>
      <c r="Q360" s="2">
        <v>0</v>
      </c>
      <c r="R360" s="5" t="e">
        <f>knicks_players_all_stats[[#This Row],[FTM]]/knicks_players_all_stats[[#This Row],[FTA]]</f>
        <v>#DIV/0!</v>
      </c>
      <c r="S360" s="2">
        <f>knicks_players_all_stats[[#This Row],[OREB22]]/10</f>
        <v>0</v>
      </c>
      <c r="T360" s="2">
        <f>knicks_players_all_stats[[#This Row],[DREB33]]/10</f>
        <v>8</v>
      </c>
      <c r="U360" s="2">
        <f>knicks_players_all_stats[[#This Row],[REB44]]/10</f>
        <v>8</v>
      </c>
      <c r="V360">
        <v>0</v>
      </c>
      <c r="W360">
        <v>80</v>
      </c>
      <c r="X360">
        <v>80</v>
      </c>
      <c r="Y360" s="22">
        <f>knicks_players_all_stats[[#This Row],[REB]]/knicks_players_all_stats[[#This Row],[GP]]</f>
        <v>0.8</v>
      </c>
      <c r="Z360" s="2">
        <v>4</v>
      </c>
      <c r="AA360" s="6">
        <f>knicks_players_all_stats[[#This Row],[AST]]/knicks_players_all_stats[[#This Row],[GP]]</f>
        <v>0.4</v>
      </c>
      <c r="AB360" s="2">
        <f>knicks_players_all_stats[[#This Row],[STL2]]/10</f>
        <v>1</v>
      </c>
      <c r="AC360" s="2">
        <v>10</v>
      </c>
      <c r="AD360" s="6">
        <f>knicks_players_all_stats[[#This Row],[STL]]/knicks_players_all_stats[[#This Row],[GP]]</f>
        <v>0.1</v>
      </c>
      <c r="AE360">
        <v>0</v>
      </c>
      <c r="AF360" s="2">
        <f>knicks_players_all_stats[[#This Row],[BLK2]]/10</f>
        <v>0</v>
      </c>
      <c r="AG360" s="6">
        <f>knicks_players_all_stats[[#This Row],[BLK]]/knicks_players_all_stats[[#This Row],[GP]]</f>
        <v>0</v>
      </c>
      <c r="AH360">
        <v>30</v>
      </c>
      <c r="AI360" s="6">
        <f>knicks_players_all_stats[[#This Row],[BLKPG]]+knicks_players_all_stats[[#This Row],[STLPG]]+knicks_players_all_stats[[#This Row],[REBPG]]</f>
        <v>0.9</v>
      </c>
      <c r="AJ360" s="2">
        <f>knicks_players_all_stats[[#This Row],[TOV2]]/10</f>
        <v>3</v>
      </c>
      <c r="AK360" s="6">
        <f>knicks_players_all_stats[[#This Row],[TOV]]/knicks_players_all_stats[[#This Row],[GP]]</f>
        <v>0.3</v>
      </c>
      <c r="AL360" s="2">
        <v>5</v>
      </c>
      <c r="AM360" s="2">
        <f>knicks_players_all_stats[[#This Row],[PF]]/knicks_players_all_stats[[#This Row],[GP]]</f>
        <v>0.5</v>
      </c>
      <c r="AN360" s="2">
        <v>16</v>
      </c>
      <c r="AO360" s="6">
        <f>knicks_players_all_stats[[#This Row],[PTS]]/knicks_players_all_stats[[#This Row],[GP]]</f>
        <v>1.6</v>
      </c>
    </row>
    <row r="361" spans="1:41" x14ac:dyDescent="0.3">
      <c r="A361" s="3" t="s">
        <v>1438</v>
      </c>
      <c r="B361" s="3" t="s">
        <v>1308</v>
      </c>
      <c r="C361" s="3" t="str">
        <f>knicks_players_all_stats[[#This Row],[NAME]]&amp;" ("&amp;knicks_players_all_stats[[#This Row],[SEASON]]&amp;")"</f>
        <v>Miles McBride (2021-22)</v>
      </c>
      <c r="D361" s="3">
        <f>knicks_players_all_stats[[#This Row],[PLAYER_AGE]]/10</f>
        <v>21</v>
      </c>
      <c r="E361">
        <v>210</v>
      </c>
      <c r="F361" s="2">
        <v>40</v>
      </c>
      <c r="G361" s="2">
        <v>3720</v>
      </c>
      <c r="H36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57</v>
      </c>
      <c r="I361" s="6">
        <f>knicks_players_all_stats[[#This Row],[VALORATION]]/knicks_players_all_stats[[#This Row],[GP]]</f>
        <v>1.425</v>
      </c>
      <c r="J361" s="2">
        <v>32</v>
      </c>
      <c r="K361" s="2">
        <v>108</v>
      </c>
      <c r="L361" s="4">
        <f>knicks_players_all_stats[[#This Row],[FGM]]/knicks_players_all_stats[[#This Row],[FGA]]</f>
        <v>0.29629629629629628</v>
      </c>
      <c r="M361" s="2">
        <v>170</v>
      </c>
      <c r="N361" s="2">
        <v>680</v>
      </c>
      <c r="O361" s="4">
        <f>knicks_players_all_stats[[#This Row],[FG3M]]/knicks_players_all_stats[[#This Row],[FG3A]]</f>
        <v>0.25</v>
      </c>
      <c r="P361" s="2">
        <v>8</v>
      </c>
      <c r="Q361" s="2">
        <v>12</v>
      </c>
      <c r="R361" s="5">
        <f>knicks_players_all_stats[[#This Row],[FTM]]/knicks_players_all_stats[[#This Row],[FTA]]</f>
        <v>0.66666666666666663</v>
      </c>
      <c r="S361" s="2">
        <f>knicks_players_all_stats[[#This Row],[OREB22]]/10</f>
        <v>4</v>
      </c>
      <c r="T361" s="2">
        <f>knicks_players_all_stats[[#This Row],[DREB33]]/10</f>
        <v>38</v>
      </c>
      <c r="U361" s="2">
        <f>knicks_players_all_stats[[#This Row],[REB44]]/10</f>
        <v>42</v>
      </c>
      <c r="V361">
        <v>40</v>
      </c>
      <c r="W361">
        <v>380</v>
      </c>
      <c r="X361">
        <v>420</v>
      </c>
      <c r="Y361" s="22">
        <f>knicks_players_all_stats[[#This Row],[REB]]/knicks_players_all_stats[[#This Row],[GP]]</f>
        <v>1.05</v>
      </c>
      <c r="Z361" s="2">
        <v>41</v>
      </c>
      <c r="AA361" s="6">
        <f>knicks_players_all_stats[[#This Row],[AST]]/knicks_players_all_stats[[#This Row],[GP]]</f>
        <v>1.0249999999999999</v>
      </c>
      <c r="AB361" s="2">
        <f>knicks_players_all_stats[[#This Row],[STL2]]/10</f>
        <v>14</v>
      </c>
      <c r="AC361" s="2">
        <v>140</v>
      </c>
      <c r="AD361" s="6">
        <f>knicks_players_all_stats[[#This Row],[STL]]/knicks_players_all_stats[[#This Row],[GP]]</f>
        <v>0.35</v>
      </c>
      <c r="AE361">
        <v>10</v>
      </c>
      <c r="AF361" s="2">
        <f>knicks_players_all_stats[[#This Row],[BLK2]]/10</f>
        <v>1</v>
      </c>
      <c r="AG361" s="6">
        <f>knicks_players_all_stats[[#This Row],[BLK]]/knicks_players_all_stats[[#This Row],[GP]]</f>
        <v>2.5000000000000001E-2</v>
      </c>
      <c r="AH361">
        <v>50</v>
      </c>
      <c r="AI361" s="6">
        <f>knicks_players_all_stats[[#This Row],[BLKPG]]+knicks_players_all_stats[[#This Row],[STLPG]]+knicks_players_all_stats[[#This Row],[REBPG]]</f>
        <v>1.425</v>
      </c>
      <c r="AJ361" s="2">
        <f>knicks_players_all_stats[[#This Row],[TOV2]]/10</f>
        <v>5</v>
      </c>
      <c r="AK361" s="6">
        <f>knicks_players_all_stats[[#This Row],[TOV]]/knicks_players_all_stats[[#This Row],[GP]]</f>
        <v>0.125</v>
      </c>
      <c r="AL361" s="2">
        <v>45</v>
      </c>
      <c r="AM361" s="2">
        <f>knicks_players_all_stats[[#This Row],[PF]]/knicks_players_all_stats[[#This Row],[GP]]</f>
        <v>1.125</v>
      </c>
      <c r="AN361" s="2">
        <v>89</v>
      </c>
      <c r="AO361" s="6">
        <f>knicks_players_all_stats[[#This Row],[PTS]]/knicks_players_all_stats[[#This Row],[GP]]</f>
        <v>2.2250000000000001</v>
      </c>
    </row>
    <row r="362" spans="1:41" customFormat="1" x14ac:dyDescent="0.3">
      <c r="A362" s="3" t="s">
        <v>1433</v>
      </c>
      <c r="B362" s="3" t="s">
        <v>1308</v>
      </c>
      <c r="C362" s="3" t="str">
        <f>knicks_players_all_stats[[#This Row],[NAME]]&amp;" ("&amp;knicks_players_all_stats[[#This Row],[SEASON]]&amp;")"</f>
        <v>Wayne Selden (2021-22)</v>
      </c>
      <c r="D362" s="3">
        <f>knicks_players_all_stats[[#This Row],[PLAYER_AGE]]/10</f>
        <v>27</v>
      </c>
      <c r="E362">
        <v>270</v>
      </c>
      <c r="F362" s="2">
        <v>3</v>
      </c>
      <c r="G362" s="2">
        <v>190</v>
      </c>
      <c r="H36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</v>
      </c>
      <c r="I362" s="6">
        <f>knicks_players_all_stats[[#This Row],[VALORATION]]/knicks_players_all_stats[[#This Row],[GP]]</f>
        <v>0.33333333333333331</v>
      </c>
      <c r="J362" s="2">
        <v>1</v>
      </c>
      <c r="K362" s="2">
        <v>4</v>
      </c>
      <c r="L362" s="4">
        <f>knicks_players_all_stats[[#This Row],[FGM]]/knicks_players_all_stats[[#This Row],[FGA]]</f>
        <v>0.25</v>
      </c>
      <c r="M362" s="2">
        <v>10</v>
      </c>
      <c r="N362" s="2">
        <v>20</v>
      </c>
      <c r="O362" s="4">
        <f>knicks_players_all_stats[[#This Row],[FG3M]]/knicks_players_all_stats[[#This Row],[FG3A]]</f>
        <v>0.5</v>
      </c>
      <c r="P362" s="2">
        <v>2</v>
      </c>
      <c r="Q362" s="2">
        <v>4</v>
      </c>
      <c r="R362" s="5">
        <f>knicks_players_all_stats[[#This Row],[FTM]]/knicks_players_all_stats[[#This Row],[FTA]]</f>
        <v>0.5</v>
      </c>
      <c r="S362" s="2">
        <f>knicks_players_all_stats[[#This Row],[OREB22]]/10</f>
        <v>0</v>
      </c>
      <c r="T362" s="2">
        <f>knicks_players_all_stats[[#This Row],[DREB33]]/10</f>
        <v>1</v>
      </c>
      <c r="U362" s="2">
        <f>knicks_players_all_stats[[#This Row],[REB44]]/10</f>
        <v>1</v>
      </c>
      <c r="V362">
        <v>0</v>
      </c>
      <c r="W362">
        <v>10</v>
      </c>
      <c r="X362">
        <v>10</v>
      </c>
      <c r="Y362" s="22">
        <f>knicks_players_all_stats[[#This Row],[REB]]/knicks_players_all_stats[[#This Row],[GP]]</f>
        <v>0.33333333333333331</v>
      </c>
      <c r="Z362" s="2">
        <v>1</v>
      </c>
      <c r="AA362" s="6">
        <f>knicks_players_all_stats[[#This Row],[AST]]/knicks_players_all_stats[[#This Row],[GP]]</f>
        <v>0.33333333333333331</v>
      </c>
      <c r="AB362" s="2">
        <f>knicks_players_all_stats[[#This Row],[STL2]]/10</f>
        <v>0</v>
      </c>
      <c r="AC362" s="2">
        <v>0</v>
      </c>
      <c r="AD362" s="6">
        <f>knicks_players_all_stats[[#This Row],[STL]]/knicks_players_all_stats[[#This Row],[GP]]</f>
        <v>0</v>
      </c>
      <c r="AE362">
        <v>0</v>
      </c>
      <c r="AF362" s="2">
        <f>knicks_players_all_stats[[#This Row],[BLK2]]/10</f>
        <v>0</v>
      </c>
      <c r="AG362" s="6">
        <f>knicks_players_all_stats[[#This Row],[BLK]]/knicks_players_all_stats[[#This Row],[GP]]</f>
        <v>0</v>
      </c>
      <c r="AH362">
        <v>0</v>
      </c>
      <c r="AI362" s="6">
        <f>knicks_players_all_stats[[#This Row],[BLKPG]]+knicks_players_all_stats[[#This Row],[STLPG]]+knicks_players_all_stats[[#This Row],[REBPG]]</f>
        <v>0.33333333333333331</v>
      </c>
      <c r="AJ362" s="2">
        <f>knicks_players_all_stats[[#This Row],[TOV2]]/10</f>
        <v>0</v>
      </c>
      <c r="AK362" s="6">
        <f>knicks_players_all_stats[[#This Row],[TOV]]/knicks_players_all_stats[[#This Row],[GP]]</f>
        <v>0</v>
      </c>
      <c r="AL362" s="2">
        <v>1</v>
      </c>
      <c r="AM362" s="2">
        <f>knicks_players_all_stats[[#This Row],[PF]]/knicks_players_all_stats[[#This Row],[GP]]</f>
        <v>0.33333333333333331</v>
      </c>
      <c r="AN362" s="2">
        <v>5</v>
      </c>
      <c r="AO362" s="6">
        <f>knicks_players_all_stats[[#This Row],[PTS]]/knicks_players_all_stats[[#This Row],[GP]]</f>
        <v>1.6666666666666667</v>
      </c>
    </row>
    <row r="363" spans="1:41" customFormat="1" x14ac:dyDescent="0.3">
      <c r="A363" s="3" t="s">
        <v>1617</v>
      </c>
      <c r="B363" s="3" t="s">
        <v>1308</v>
      </c>
      <c r="C363" s="3" t="str">
        <f>knicks_players_all_stats[[#This Row],[NAME]]&amp;" ("&amp;knicks_players_all_stats[[#This Row],[SEASON]]&amp;")"</f>
        <v>Tyler Hall (2021-22)</v>
      </c>
      <c r="D363" s="3">
        <f>knicks_players_all_stats[[#This Row],[PLAYER_AGE]]/10</f>
        <v>25</v>
      </c>
      <c r="E363">
        <v>250</v>
      </c>
      <c r="F363" s="2">
        <v>1</v>
      </c>
      <c r="G363" s="2">
        <v>20</v>
      </c>
      <c r="H36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0</v>
      </c>
      <c r="I363" s="6">
        <f>knicks_players_all_stats[[#This Row],[VALORATION]]/knicks_players_all_stats[[#This Row],[GP]]</f>
        <v>0</v>
      </c>
      <c r="J363" s="2">
        <v>0</v>
      </c>
      <c r="K363" s="2">
        <v>0</v>
      </c>
      <c r="L363" s="4" t="e">
        <f>knicks_players_all_stats[[#This Row],[FGM]]/knicks_players_all_stats[[#This Row],[FGA]]</f>
        <v>#DIV/0!</v>
      </c>
      <c r="M363" s="2">
        <v>0</v>
      </c>
      <c r="N363" s="2">
        <v>0</v>
      </c>
      <c r="O363" s="4" t="e">
        <f>knicks_players_all_stats[[#This Row],[FG3M]]/knicks_players_all_stats[[#This Row],[FG3A]]</f>
        <v>#DIV/0!</v>
      </c>
      <c r="P363" s="2">
        <v>0</v>
      </c>
      <c r="Q363" s="2">
        <v>0</v>
      </c>
      <c r="R363" s="5" t="e">
        <f>knicks_players_all_stats[[#This Row],[FTM]]/knicks_players_all_stats[[#This Row],[FTA]]</f>
        <v>#DIV/0!</v>
      </c>
      <c r="S363" s="2">
        <f>knicks_players_all_stats[[#This Row],[OREB22]]/10</f>
        <v>0</v>
      </c>
      <c r="T363" s="2">
        <f>knicks_players_all_stats[[#This Row],[DREB33]]/10</f>
        <v>0</v>
      </c>
      <c r="U363" s="2">
        <f>knicks_players_all_stats[[#This Row],[REB44]]/10</f>
        <v>0</v>
      </c>
      <c r="V363">
        <v>0</v>
      </c>
      <c r="W363">
        <v>0</v>
      </c>
      <c r="X363">
        <v>0</v>
      </c>
      <c r="Y363" s="22">
        <f>knicks_players_all_stats[[#This Row],[REB]]/knicks_players_all_stats[[#This Row],[GP]]</f>
        <v>0</v>
      </c>
      <c r="Z363" s="2">
        <v>0</v>
      </c>
      <c r="AA363" s="6">
        <f>knicks_players_all_stats[[#This Row],[AST]]/knicks_players_all_stats[[#This Row],[GP]]</f>
        <v>0</v>
      </c>
      <c r="AB363" s="2">
        <f>knicks_players_all_stats[[#This Row],[STL2]]/10</f>
        <v>0</v>
      </c>
      <c r="AC363" s="2">
        <v>0</v>
      </c>
      <c r="AD363" s="6">
        <f>knicks_players_all_stats[[#This Row],[STL]]/knicks_players_all_stats[[#This Row],[GP]]</f>
        <v>0</v>
      </c>
      <c r="AE363">
        <v>0</v>
      </c>
      <c r="AF363" s="2">
        <f>knicks_players_all_stats[[#This Row],[BLK2]]/10</f>
        <v>0</v>
      </c>
      <c r="AG363" s="6">
        <f>knicks_players_all_stats[[#This Row],[BLK]]/knicks_players_all_stats[[#This Row],[GP]]</f>
        <v>0</v>
      </c>
      <c r="AH363">
        <v>0</v>
      </c>
      <c r="AI363" s="6">
        <f>knicks_players_all_stats[[#This Row],[BLKPG]]+knicks_players_all_stats[[#This Row],[STLPG]]+knicks_players_all_stats[[#This Row],[REBPG]]</f>
        <v>0</v>
      </c>
      <c r="AJ363" s="2">
        <f>knicks_players_all_stats[[#This Row],[TOV2]]/10</f>
        <v>0</v>
      </c>
      <c r="AK363" s="6">
        <f>knicks_players_all_stats[[#This Row],[TOV]]/knicks_players_all_stats[[#This Row],[GP]]</f>
        <v>0</v>
      </c>
      <c r="AL363" s="2">
        <v>0</v>
      </c>
      <c r="AM363" s="2">
        <f>knicks_players_all_stats[[#This Row],[PF]]/knicks_players_all_stats[[#This Row],[GP]]</f>
        <v>0</v>
      </c>
      <c r="AN363" s="2">
        <v>0</v>
      </c>
      <c r="AO363" s="6">
        <f>knicks_players_all_stats[[#This Row],[PTS]]/knicks_players_all_stats[[#This Row],[GP]]</f>
        <v>0</v>
      </c>
    </row>
    <row r="364" spans="1:41" x14ac:dyDescent="0.3">
      <c r="A364" s="3" t="s">
        <v>1454</v>
      </c>
      <c r="B364" s="3" t="s">
        <v>1308</v>
      </c>
      <c r="C364" s="3" t="str">
        <f>knicks_players_all_stats[[#This Row],[NAME]]&amp;" ("&amp;knicks_players_all_stats[[#This Row],[SEASON]]&amp;")"</f>
        <v>Feron Hunt (2021-22)</v>
      </c>
      <c r="D364" s="3">
        <f>knicks_players_all_stats[[#This Row],[PLAYER_AGE]]/10</f>
        <v>22</v>
      </c>
      <c r="E364">
        <v>220</v>
      </c>
      <c r="F364" s="2">
        <v>2</v>
      </c>
      <c r="G364" s="2">
        <v>80</v>
      </c>
      <c r="H36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-1</v>
      </c>
      <c r="I364" s="6">
        <f>knicks_players_all_stats[[#This Row],[VALORATION]]/knicks_players_all_stats[[#This Row],[GP]]</f>
        <v>-0.5</v>
      </c>
      <c r="J364" s="2">
        <v>0</v>
      </c>
      <c r="K364" s="2">
        <v>2</v>
      </c>
      <c r="L364" s="4">
        <f>knicks_players_all_stats[[#This Row],[FGM]]/knicks_players_all_stats[[#This Row],[FGA]]</f>
        <v>0</v>
      </c>
      <c r="M364" s="2">
        <v>0</v>
      </c>
      <c r="N364" s="2">
        <v>0</v>
      </c>
      <c r="O364" s="4" t="e">
        <f>knicks_players_all_stats[[#This Row],[FG3M]]/knicks_players_all_stats[[#This Row],[FG3A]]</f>
        <v>#DIV/0!</v>
      </c>
      <c r="P364" s="2">
        <v>0</v>
      </c>
      <c r="Q364" s="2">
        <v>0</v>
      </c>
      <c r="R364" s="5" t="e">
        <f>knicks_players_all_stats[[#This Row],[FTM]]/knicks_players_all_stats[[#This Row],[FTA]]</f>
        <v>#DIV/0!</v>
      </c>
      <c r="S364" s="2">
        <f>knicks_players_all_stats[[#This Row],[OREB22]]/10</f>
        <v>1</v>
      </c>
      <c r="T364" s="2">
        <f>knicks_players_all_stats[[#This Row],[DREB33]]/10</f>
        <v>0</v>
      </c>
      <c r="U364" s="2">
        <f>knicks_players_all_stats[[#This Row],[REB44]]/10</f>
        <v>1</v>
      </c>
      <c r="V364">
        <v>10</v>
      </c>
      <c r="W364">
        <v>0</v>
      </c>
      <c r="X364">
        <v>10</v>
      </c>
      <c r="Y364" s="22">
        <f>knicks_players_all_stats[[#This Row],[REB]]/knicks_players_all_stats[[#This Row],[GP]]</f>
        <v>0.5</v>
      </c>
      <c r="Z364" s="2">
        <v>1</v>
      </c>
      <c r="AA364" s="6">
        <f>knicks_players_all_stats[[#This Row],[AST]]/knicks_players_all_stats[[#This Row],[GP]]</f>
        <v>0.5</v>
      </c>
      <c r="AB364" s="2">
        <f>knicks_players_all_stats[[#This Row],[STL2]]/10</f>
        <v>1</v>
      </c>
      <c r="AC364" s="2">
        <v>10</v>
      </c>
      <c r="AD364" s="6">
        <f>knicks_players_all_stats[[#This Row],[STL]]/knicks_players_all_stats[[#This Row],[GP]]</f>
        <v>0.5</v>
      </c>
      <c r="AE364">
        <v>0</v>
      </c>
      <c r="AF364" s="2">
        <f>knicks_players_all_stats[[#This Row],[BLK2]]/10</f>
        <v>0</v>
      </c>
      <c r="AG364" s="6">
        <f>knicks_players_all_stats[[#This Row],[BLK]]/knicks_players_all_stats[[#This Row],[GP]]</f>
        <v>0</v>
      </c>
      <c r="AH364">
        <v>10</v>
      </c>
      <c r="AI364" s="6">
        <f>knicks_players_all_stats[[#This Row],[BLKPG]]+knicks_players_all_stats[[#This Row],[STLPG]]+knicks_players_all_stats[[#This Row],[REBPG]]</f>
        <v>1</v>
      </c>
      <c r="AJ364" s="2">
        <f>knicks_players_all_stats[[#This Row],[TOV2]]/10</f>
        <v>1</v>
      </c>
      <c r="AK364" s="6">
        <f>knicks_players_all_stats[[#This Row],[TOV]]/knicks_players_all_stats[[#This Row],[GP]]</f>
        <v>0.5</v>
      </c>
      <c r="AL364" s="2">
        <v>1</v>
      </c>
      <c r="AM364" s="2">
        <f>knicks_players_all_stats[[#This Row],[PF]]/knicks_players_all_stats[[#This Row],[GP]]</f>
        <v>0.5</v>
      </c>
      <c r="AN364" s="2">
        <v>0</v>
      </c>
      <c r="AO364" s="6">
        <f>knicks_players_all_stats[[#This Row],[PTS]]/knicks_players_all_stats[[#This Row],[GP]]</f>
        <v>0</v>
      </c>
    </row>
    <row r="365" spans="1:41" x14ac:dyDescent="0.3">
      <c r="A365" s="3" t="s">
        <v>1353</v>
      </c>
      <c r="B365" s="3" t="s">
        <v>1308</v>
      </c>
      <c r="C365" s="3" t="str">
        <f>knicks_players_all_stats[[#This Row],[NAME]]&amp;" ("&amp;knicks_players_all_stats[[#This Row],[SEASON]]&amp;")"</f>
        <v>Matt Mooney (2021-22)</v>
      </c>
      <c r="D365" s="3">
        <f>knicks_players_all_stats[[#This Row],[PLAYER_AGE]]/10</f>
        <v>27</v>
      </c>
      <c r="E365">
        <v>270</v>
      </c>
      <c r="F365" s="2">
        <v>1</v>
      </c>
      <c r="G365" s="2">
        <v>20</v>
      </c>
      <c r="H36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-1</v>
      </c>
      <c r="I365" s="6">
        <f>knicks_players_all_stats[[#This Row],[VALORATION]]/knicks_players_all_stats[[#This Row],[GP]]</f>
        <v>-1</v>
      </c>
      <c r="J365" s="2">
        <v>0</v>
      </c>
      <c r="K365" s="2">
        <v>1</v>
      </c>
      <c r="L365" s="4">
        <f>knicks_players_all_stats[[#This Row],[FGM]]/knicks_players_all_stats[[#This Row],[FGA]]</f>
        <v>0</v>
      </c>
      <c r="M365" s="2">
        <v>0</v>
      </c>
      <c r="N365" s="2">
        <v>10</v>
      </c>
      <c r="O365" s="4">
        <f>knicks_players_all_stats[[#This Row],[FG3M]]/knicks_players_all_stats[[#This Row],[FG3A]]</f>
        <v>0</v>
      </c>
      <c r="P365" s="2">
        <v>0</v>
      </c>
      <c r="Q365" s="2">
        <v>0</v>
      </c>
      <c r="R365" s="5" t="e">
        <f>knicks_players_all_stats[[#This Row],[FTM]]/knicks_players_all_stats[[#This Row],[FTA]]</f>
        <v>#DIV/0!</v>
      </c>
      <c r="S365" s="2">
        <f>knicks_players_all_stats[[#This Row],[OREB22]]/10</f>
        <v>0</v>
      </c>
      <c r="T365" s="2">
        <f>knicks_players_all_stats[[#This Row],[DREB33]]/10</f>
        <v>0</v>
      </c>
      <c r="U365" s="2">
        <f>knicks_players_all_stats[[#This Row],[REB44]]/10</f>
        <v>0</v>
      </c>
      <c r="V365">
        <v>0</v>
      </c>
      <c r="W365">
        <v>0</v>
      </c>
      <c r="X365">
        <v>0</v>
      </c>
      <c r="Y365" s="22">
        <f>knicks_players_all_stats[[#This Row],[REB]]/knicks_players_all_stats[[#This Row],[GP]]</f>
        <v>0</v>
      </c>
      <c r="Z365" s="2">
        <v>0</v>
      </c>
      <c r="AA365" s="6">
        <f>knicks_players_all_stats[[#This Row],[AST]]/knicks_players_all_stats[[#This Row],[GP]]</f>
        <v>0</v>
      </c>
      <c r="AB365" s="2">
        <f>knicks_players_all_stats[[#This Row],[STL2]]/10</f>
        <v>1</v>
      </c>
      <c r="AC365" s="2">
        <v>10</v>
      </c>
      <c r="AD365" s="6">
        <f>knicks_players_all_stats[[#This Row],[STL]]/knicks_players_all_stats[[#This Row],[GP]]</f>
        <v>1</v>
      </c>
      <c r="AE365">
        <v>0</v>
      </c>
      <c r="AF365" s="2">
        <f>knicks_players_all_stats[[#This Row],[BLK2]]/10</f>
        <v>0</v>
      </c>
      <c r="AG365" s="6">
        <f>knicks_players_all_stats[[#This Row],[BLK]]/knicks_players_all_stats[[#This Row],[GP]]</f>
        <v>0</v>
      </c>
      <c r="AH365">
        <v>10</v>
      </c>
      <c r="AI365" s="6">
        <f>knicks_players_all_stats[[#This Row],[BLKPG]]+knicks_players_all_stats[[#This Row],[STLPG]]+knicks_players_all_stats[[#This Row],[REBPG]]</f>
        <v>1</v>
      </c>
      <c r="AJ365" s="2">
        <f>knicks_players_all_stats[[#This Row],[TOV2]]/10</f>
        <v>1</v>
      </c>
      <c r="AK365" s="6">
        <f>knicks_players_all_stats[[#This Row],[TOV]]/knicks_players_all_stats[[#This Row],[GP]]</f>
        <v>1</v>
      </c>
      <c r="AL365" s="2">
        <v>0</v>
      </c>
      <c r="AM365" s="2">
        <f>knicks_players_all_stats[[#This Row],[PF]]/knicks_players_all_stats[[#This Row],[GP]]</f>
        <v>0</v>
      </c>
      <c r="AN365" s="2">
        <v>0</v>
      </c>
      <c r="AO365" s="6">
        <f>knicks_players_all_stats[[#This Row],[PTS]]/knicks_players_all_stats[[#This Row],[GP]]</f>
        <v>0</v>
      </c>
    </row>
    <row r="366" spans="1:41" x14ac:dyDescent="0.3">
      <c r="A366" s="3" t="s">
        <v>1472</v>
      </c>
      <c r="B366" s="3" t="s">
        <v>1308</v>
      </c>
      <c r="C366" s="3" t="str">
        <f>knicks_players_all_stats[[#This Row],[NAME]]&amp;" ("&amp;knicks_players_all_stats[[#This Row],[SEASON]]&amp;")"</f>
        <v>Danuel House Jr. (2021-22)</v>
      </c>
      <c r="D366" s="3">
        <f>knicks_players_all_stats[[#This Row],[PLAYER_AGE]]/10</f>
        <v>29</v>
      </c>
      <c r="E366">
        <v>290</v>
      </c>
      <c r="F366" s="2">
        <v>1</v>
      </c>
      <c r="G366" s="2">
        <v>30</v>
      </c>
      <c r="H36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-1</v>
      </c>
      <c r="I366" s="6">
        <f>knicks_players_all_stats[[#This Row],[VALORATION]]/knicks_players_all_stats[[#This Row],[GP]]</f>
        <v>-1</v>
      </c>
      <c r="J366" s="2">
        <v>0</v>
      </c>
      <c r="K366" s="2">
        <v>1</v>
      </c>
      <c r="L366" s="4">
        <f>knicks_players_all_stats[[#This Row],[FGM]]/knicks_players_all_stats[[#This Row],[FGA]]</f>
        <v>0</v>
      </c>
      <c r="M366" s="2">
        <v>0</v>
      </c>
      <c r="N366" s="2">
        <v>10</v>
      </c>
      <c r="O366" s="4">
        <f>knicks_players_all_stats[[#This Row],[FG3M]]/knicks_players_all_stats[[#This Row],[FG3A]]</f>
        <v>0</v>
      </c>
      <c r="P366" s="2">
        <v>0</v>
      </c>
      <c r="Q366" s="2">
        <v>0</v>
      </c>
      <c r="R366" s="5" t="e">
        <f>knicks_players_all_stats[[#This Row],[FTM]]/knicks_players_all_stats[[#This Row],[FTA]]</f>
        <v>#DIV/0!</v>
      </c>
      <c r="S366" s="2">
        <f>knicks_players_all_stats[[#This Row],[OREB22]]/10</f>
        <v>0</v>
      </c>
      <c r="T366" s="2">
        <f>knicks_players_all_stats[[#This Row],[DREB33]]/10</f>
        <v>0</v>
      </c>
      <c r="U366" s="2">
        <f>knicks_players_all_stats[[#This Row],[REB44]]/10</f>
        <v>0</v>
      </c>
      <c r="V366">
        <v>0</v>
      </c>
      <c r="W366">
        <v>0</v>
      </c>
      <c r="X366">
        <v>0</v>
      </c>
      <c r="Y366" s="22">
        <f>knicks_players_all_stats[[#This Row],[REB]]/knicks_players_all_stats[[#This Row],[GP]]</f>
        <v>0</v>
      </c>
      <c r="Z366" s="2">
        <v>0</v>
      </c>
      <c r="AA366" s="6">
        <f>knicks_players_all_stats[[#This Row],[AST]]/knicks_players_all_stats[[#This Row],[GP]]</f>
        <v>0</v>
      </c>
      <c r="AB366" s="2">
        <f>knicks_players_all_stats[[#This Row],[STL2]]/10</f>
        <v>0</v>
      </c>
      <c r="AC366" s="2">
        <v>0</v>
      </c>
      <c r="AD366" s="6">
        <f>knicks_players_all_stats[[#This Row],[STL]]/knicks_players_all_stats[[#This Row],[GP]]</f>
        <v>0</v>
      </c>
      <c r="AE366">
        <v>0</v>
      </c>
      <c r="AF366" s="2">
        <f>knicks_players_all_stats[[#This Row],[BLK2]]/10</f>
        <v>0</v>
      </c>
      <c r="AG366" s="6">
        <f>knicks_players_all_stats[[#This Row],[BLK]]/knicks_players_all_stats[[#This Row],[GP]]</f>
        <v>0</v>
      </c>
      <c r="AH366">
        <v>0</v>
      </c>
      <c r="AI366" s="6">
        <f>knicks_players_all_stats[[#This Row],[BLKPG]]+knicks_players_all_stats[[#This Row],[STLPG]]+knicks_players_all_stats[[#This Row],[REBPG]]</f>
        <v>0</v>
      </c>
      <c r="AJ366" s="2">
        <f>knicks_players_all_stats[[#This Row],[TOV2]]/10</f>
        <v>0</v>
      </c>
      <c r="AK366" s="6">
        <f>knicks_players_all_stats[[#This Row],[TOV]]/knicks_players_all_stats[[#This Row],[GP]]</f>
        <v>0</v>
      </c>
      <c r="AL366" s="2">
        <v>0</v>
      </c>
      <c r="AM366" s="2">
        <f>knicks_players_all_stats[[#This Row],[PF]]/knicks_players_all_stats[[#This Row],[GP]]</f>
        <v>0</v>
      </c>
      <c r="AN366" s="2">
        <v>0</v>
      </c>
      <c r="AO366" s="6">
        <f>knicks_players_all_stats[[#This Row],[PTS]]/knicks_players_all_stats[[#This Row],[GP]]</f>
        <v>0</v>
      </c>
    </row>
    <row r="367" spans="1:41" x14ac:dyDescent="0.3">
      <c r="A367" s="3" t="s">
        <v>1535</v>
      </c>
      <c r="B367" s="3" t="s">
        <v>1327</v>
      </c>
      <c r="C367" s="3" t="str">
        <f>knicks_players_all_stats[[#This Row],[NAME]]&amp;" ("&amp;knicks_players_all_stats[[#This Row],[SEASON]]&amp;")"</f>
        <v>Julius Randle (2022-23)</v>
      </c>
      <c r="D367" s="3">
        <f>knicks_players_all_stats[[#This Row],[PLAYER_AGE]]/10</f>
        <v>28</v>
      </c>
      <c r="E367">
        <v>280</v>
      </c>
      <c r="F367" s="2">
        <v>77</v>
      </c>
      <c r="G367" s="2">
        <v>27370</v>
      </c>
      <c r="H36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1737</v>
      </c>
      <c r="I367" s="6">
        <f>knicks_players_all_stats[[#This Row],[VALORATION]]/knicks_players_all_stats[[#This Row],[GP]]</f>
        <v>22.558441558441558</v>
      </c>
      <c r="J367" s="2">
        <v>658</v>
      </c>
      <c r="K367" s="2">
        <v>1432</v>
      </c>
      <c r="L367" s="4">
        <f>knicks_players_all_stats[[#This Row],[FGM]]/knicks_players_all_stats[[#This Row],[FGA]]</f>
        <v>0.45949720670391059</v>
      </c>
      <c r="M367" s="2">
        <v>2180</v>
      </c>
      <c r="N367" s="2">
        <v>6360</v>
      </c>
      <c r="O367" s="4">
        <f>knicks_players_all_stats[[#This Row],[FG3M]]/knicks_players_all_stats[[#This Row],[FG3A]]</f>
        <v>0.34276729559748426</v>
      </c>
      <c r="P367" s="2">
        <v>402</v>
      </c>
      <c r="Q367" s="2">
        <v>531</v>
      </c>
      <c r="R367" s="5">
        <f>knicks_players_all_stats[[#This Row],[FTM]]/knicks_players_all_stats[[#This Row],[FTA]]</f>
        <v>0.75706214689265539</v>
      </c>
      <c r="S367" s="2">
        <f>knicks_players_all_stats[[#This Row],[OREB22]]/10</f>
        <v>141</v>
      </c>
      <c r="T367" s="2">
        <f>knicks_players_all_stats[[#This Row],[DREB33]]/10</f>
        <v>626</v>
      </c>
      <c r="U367" s="2">
        <f>knicks_players_all_stats[[#This Row],[REB44]]/10</f>
        <v>767</v>
      </c>
      <c r="V367">
        <v>1410</v>
      </c>
      <c r="W367">
        <v>6260</v>
      </c>
      <c r="X367">
        <v>7670</v>
      </c>
      <c r="Y367" s="22">
        <f>knicks_players_all_stats[[#This Row],[REB]]/knicks_players_all_stats[[#This Row],[GP]]</f>
        <v>9.9610389610389607</v>
      </c>
      <c r="Z367" s="2">
        <v>316</v>
      </c>
      <c r="AA367" s="6">
        <f>knicks_players_all_stats[[#This Row],[AST]]/knicks_players_all_stats[[#This Row],[GP]]</f>
        <v>4.1038961038961039</v>
      </c>
      <c r="AB367" s="2">
        <f>knicks_players_all_stats[[#This Row],[STL2]]/10</f>
        <v>49</v>
      </c>
      <c r="AC367" s="2">
        <v>490</v>
      </c>
      <c r="AD367" s="6">
        <f>knicks_players_all_stats[[#This Row],[STL]]/knicks_players_all_stats[[#This Row],[GP]]</f>
        <v>0.63636363636363635</v>
      </c>
      <c r="AE367">
        <v>210</v>
      </c>
      <c r="AF367" s="2">
        <f>knicks_players_all_stats[[#This Row],[BLK2]]/10</f>
        <v>21</v>
      </c>
      <c r="AG367" s="6">
        <f>knicks_players_all_stats[[#This Row],[BLK]]/knicks_players_all_stats[[#This Row],[GP]]</f>
        <v>0.27272727272727271</v>
      </c>
      <c r="AH367">
        <v>2160</v>
      </c>
      <c r="AI367" s="6">
        <f>knicks_players_all_stats[[#This Row],[BLKPG]]+knicks_players_all_stats[[#This Row],[STLPG]]+knicks_players_all_stats[[#This Row],[REBPG]]</f>
        <v>10.870129870129869</v>
      </c>
      <c r="AJ367" s="2">
        <f>knicks_players_all_stats[[#This Row],[TOV2]]/10</f>
        <v>216</v>
      </c>
      <c r="AK367" s="6">
        <f>knicks_players_all_stats[[#This Row],[TOV]]/knicks_players_all_stats[[#This Row],[GP]]</f>
        <v>2.8051948051948052</v>
      </c>
      <c r="AL367" s="2">
        <v>233</v>
      </c>
      <c r="AM367" s="2">
        <f>knicks_players_all_stats[[#This Row],[PF]]/knicks_players_all_stats[[#This Row],[GP]]</f>
        <v>3.0259740259740258</v>
      </c>
      <c r="AN367" s="2">
        <v>1936</v>
      </c>
      <c r="AO367" s="6">
        <f>knicks_players_all_stats[[#This Row],[PTS]]/knicks_players_all_stats[[#This Row],[GP]]</f>
        <v>25.142857142857142</v>
      </c>
    </row>
    <row r="368" spans="1:41" customFormat="1" x14ac:dyDescent="0.3">
      <c r="A368" s="3" t="s">
        <v>1591</v>
      </c>
      <c r="B368" s="3" t="s">
        <v>1327</v>
      </c>
      <c r="C368" s="3" t="str">
        <f>knicks_players_all_stats[[#This Row],[NAME]]&amp;" ("&amp;knicks_players_all_stats[[#This Row],[SEASON]]&amp;")"</f>
        <v>Jalen Brunson (2022-23)</v>
      </c>
      <c r="D368" s="3">
        <f>knicks_players_all_stats[[#This Row],[PLAYER_AGE]]/10</f>
        <v>26</v>
      </c>
      <c r="E368">
        <v>260</v>
      </c>
      <c r="F368" s="2">
        <v>68</v>
      </c>
      <c r="G368" s="2">
        <v>23790</v>
      </c>
      <c r="H36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1402</v>
      </c>
      <c r="I368" s="6">
        <f>knicks_players_all_stats[[#This Row],[VALORATION]]/knicks_players_all_stats[[#This Row],[GP]]</f>
        <v>20.617647058823529</v>
      </c>
      <c r="J368" s="2">
        <v>587</v>
      </c>
      <c r="K368" s="2">
        <v>1195</v>
      </c>
      <c r="L368" s="4">
        <f>knicks_players_all_stats[[#This Row],[FGM]]/knicks_players_all_stats[[#This Row],[FGA]]</f>
        <v>0.49121338912133894</v>
      </c>
      <c r="M368" s="2">
        <v>1340</v>
      </c>
      <c r="N368" s="2">
        <v>3220</v>
      </c>
      <c r="O368" s="4">
        <f>knicks_players_all_stats[[#This Row],[FG3M]]/knicks_players_all_stats[[#This Row],[FG3A]]</f>
        <v>0.41614906832298137</v>
      </c>
      <c r="P368" s="2">
        <v>325</v>
      </c>
      <c r="Q368" s="2">
        <v>392</v>
      </c>
      <c r="R368" s="5">
        <f>knicks_players_all_stats[[#This Row],[FTM]]/knicks_players_all_stats[[#This Row],[FTA]]</f>
        <v>0.82908163265306123</v>
      </c>
      <c r="S368" s="2">
        <f>knicks_players_all_stats[[#This Row],[OREB22]]/10</f>
        <v>40</v>
      </c>
      <c r="T368" s="2">
        <f>knicks_players_all_stats[[#This Row],[DREB33]]/10</f>
        <v>201</v>
      </c>
      <c r="U368" s="2">
        <f>knicks_players_all_stats[[#This Row],[REB44]]/10</f>
        <v>241</v>
      </c>
      <c r="V368">
        <v>400</v>
      </c>
      <c r="W368">
        <v>2010</v>
      </c>
      <c r="X368">
        <v>2410</v>
      </c>
      <c r="Y368" s="22">
        <f>knicks_players_all_stats[[#This Row],[REB]]/knicks_players_all_stats[[#This Row],[GP]]</f>
        <v>3.5441176470588234</v>
      </c>
      <c r="Z368" s="2">
        <v>421</v>
      </c>
      <c r="AA368" s="6">
        <f>knicks_players_all_stats[[#This Row],[AST]]/knicks_players_all_stats[[#This Row],[GP]]</f>
        <v>6.1911764705882355</v>
      </c>
      <c r="AB368" s="2">
        <f>knicks_players_all_stats[[#This Row],[STL2]]/10</f>
        <v>61</v>
      </c>
      <c r="AC368" s="2">
        <v>610</v>
      </c>
      <c r="AD368" s="6">
        <f>knicks_players_all_stats[[#This Row],[STL]]/knicks_players_all_stats[[#This Row],[GP]]</f>
        <v>0.8970588235294118</v>
      </c>
      <c r="AE368">
        <v>150</v>
      </c>
      <c r="AF368" s="2">
        <f>knicks_players_all_stats[[#This Row],[BLK2]]/10</f>
        <v>15</v>
      </c>
      <c r="AG368" s="6">
        <f>knicks_players_all_stats[[#This Row],[BLK]]/knicks_players_all_stats[[#This Row],[GP]]</f>
        <v>0.22058823529411764</v>
      </c>
      <c r="AH368">
        <v>1420</v>
      </c>
      <c r="AI368" s="6">
        <f>knicks_players_all_stats[[#This Row],[BLKPG]]+knicks_players_all_stats[[#This Row],[STLPG]]+knicks_players_all_stats[[#This Row],[REBPG]]</f>
        <v>4.6617647058823533</v>
      </c>
      <c r="AJ368" s="2">
        <f>knicks_players_all_stats[[#This Row],[TOV2]]/10</f>
        <v>142</v>
      </c>
      <c r="AK368" s="6">
        <f>knicks_players_all_stats[[#This Row],[TOV]]/knicks_players_all_stats[[#This Row],[GP]]</f>
        <v>2.0882352941176472</v>
      </c>
      <c r="AL368" s="2">
        <v>152</v>
      </c>
      <c r="AM368" s="2">
        <f>knicks_players_all_stats[[#This Row],[PF]]/knicks_players_all_stats[[#This Row],[GP]]</f>
        <v>2.2352941176470589</v>
      </c>
      <c r="AN368" s="2">
        <v>1633</v>
      </c>
      <c r="AO368" s="6">
        <f>knicks_players_all_stats[[#This Row],[PTS]]/knicks_players_all_stats[[#This Row],[GP]]</f>
        <v>24.014705882352942</v>
      </c>
    </row>
    <row r="369" spans="1:41" x14ac:dyDescent="0.3">
      <c r="A369" s="3" t="s">
        <v>1562</v>
      </c>
      <c r="B369" s="3" t="s">
        <v>1327</v>
      </c>
      <c r="C369" s="3" t="str">
        <f>knicks_players_all_stats[[#This Row],[NAME]]&amp;" ("&amp;knicks_players_all_stats[[#This Row],[SEASON]]&amp;")"</f>
        <v>Josh Hart (2022-23)</v>
      </c>
      <c r="D369" s="3">
        <f>knicks_players_all_stats[[#This Row],[PLAYER_AGE]]/10</f>
        <v>28</v>
      </c>
      <c r="E369">
        <v>280</v>
      </c>
      <c r="F369" s="2">
        <v>25</v>
      </c>
      <c r="G369" s="2">
        <v>7500</v>
      </c>
      <c r="H36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391</v>
      </c>
      <c r="I369" s="6">
        <f>knicks_players_all_stats[[#This Row],[VALORATION]]/knicks_players_all_stats[[#This Row],[GP]]</f>
        <v>15.64</v>
      </c>
      <c r="J369" s="2">
        <v>92</v>
      </c>
      <c r="K369" s="2">
        <v>157</v>
      </c>
      <c r="L369" s="4">
        <f>knicks_players_all_stats[[#This Row],[FGM]]/knicks_players_all_stats[[#This Row],[FGA]]</f>
        <v>0.5859872611464968</v>
      </c>
      <c r="M369" s="2">
        <v>270</v>
      </c>
      <c r="N369" s="2">
        <v>520</v>
      </c>
      <c r="O369" s="4">
        <f>knicks_players_all_stats[[#This Row],[FG3M]]/knicks_players_all_stats[[#This Row],[FG3A]]</f>
        <v>0.51923076923076927</v>
      </c>
      <c r="P369" s="2">
        <v>45</v>
      </c>
      <c r="Q369" s="2">
        <v>57</v>
      </c>
      <c r="R369" s="5">
        <f>knicks_players_all_stats[[#This Row],[FTM]]/knicks_players_all_stats[[#This Row],[FTA]]</f>
        <v>0.78947368421052633</v>
      </c>
      <c r="S369" s="2">
        <f>knicks_players_all_stats[[#This Row],[OREB22]]/10</f>
        <v>47</v>
      </c>
      <c r="T369" s="2">
        <f>knicks_players_all_stats[[#This Row],[DREB33]]/10</f>
        <v>129</v>
      </c>
      <c r="U369" s="2">
        <f>knicks_players_all_stats[[#This Row],[REB44]]/10</f>
        <v>176</v>
      </c>
      <c r="V369">
        <v>470</v>
      </c>
      <c r="W369">
        <v>1290</v>
      </c>
      <c r="X369">
        <v>1760</v>
      </c>
      <c r="Y369" s="22">
        <f>knicks_players_all_stats[[#This Row],[REB]]/knicks_players_all_stats[[#This Row],[GP]]</f>
        <v>7.04</v>
      </c>
      <c r="Z369" s="2">
        <v>90</v>
      </c>
      <c r="AA369" s="6">
        <f>knicks_players_all_stats[[#This Row],[AST]]/knicks_players_all_stats[[#This Row],[GP]]</f>
        <v>3.6</v>
      </c>
      <c r="AB369" s="2">
        <f>knicks_players_all_stats[[#This Row],[STL2]]/10</f>
        <v>34</v>
      </c>
      <c r="AC369" s="2">
        <v>340</v>
      </c>
      <c r="AD369" s="6">
        <f>knicks_players_all_stats[[#This Row],[STL]]/knicks_players_all_stats[[#This Row],[GP]]</f>
        <v>1.36</v>
      </c>
      <c r="AE369">
        <v>120</v>
      </c>
      <c r="AF369" s="2">
        <f>knicks_players_all_stats[[#This Row],[BLK2]]/10</f>
        <v>12</v>
      </c>
      <c r="AG369" s="6">
        <f>knicks_players_all_stats[[#This Row],[BLK]]/knicks_players_all_stats[[#This Row],[GP]]</f>
        <v>0.48</v>
      </c>
      <c r="AH369">
        <v>380</v>
      </c>
      <c r="AI369" s="6">
        <f>knicks_players_all_stats[[#This Row],[BLKPG]]+knicks_players_all_stats[[#This Row],[STLPG]]+knicks_players_all_stats[[#This Row],[REBPG]]</f>
        <v>8.8800000000000008</v>
      </c>
      <c r="AJ369" s="2">
        <f>knicks_players_all_stats[[#This Row],[TOV2]]/10</f>
        <v>38</v>
      </c>
      <c r="AK369" s="6">
        <f>knicks_players_all_stats[[#This Row],[TOV]]/knicks_players_all_stats[[#This Row],[GP]]</f>
        <v>1.52</v>
      </c>
      <c r="AL369" s="2">
        <v>62</v>
      </c>
      <c r="AM369" s="2">
        <f>knicks_players_all_stats[[#This Row],[PF]]/knicks_players_all_stats[[#This Row],[GP]]</f>
        <v>2.48</v>
      </c>
      <c r="AN369" s="2">
        <v>256</v>
      </c>
      <c r="AO369" s="6">
        <f>knicks_players_all_stats[[#This Row],[PTS]]/knicks_players_all_stats[[#This Row],[GP]]</f>
        <v>10.24</v>
      </c>
    </row>
    <row r="370" spans="1:41" x14ac:dyDescent="0.3">
      <c r="A370" s="3" t="s">
        <v>1534</v>
      </c>
      <c r="B370" s="3" t="s">
        <v>1327</v>
      </c>
      <c r="C370" s="3" t="str">
        <f>knicks_players_all_stats[[#This Row],[NAME]]&amp;" ("&amp;knicks_players_all_stats[[#This Row],[SEASON]]&amp;")"</f>
        <v>Mitchell Robinson (2022-23)</v>
      </c>
      <c r="D370" s="3">
        <f>knicks_players_all_stats[[#This Row],[PLAYER_AGE]]/10</f>
        <v>25</v>
      </c>
      <c r="E370">
        <v>250</v>
      </c>
      <c r="F370" s="2">
        <v>59</v>
      </c>
      <c r="G370" s="2">
        <v>15890</v>
      </c>
      <c r="H37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852</v>
      </c>
      <c r="I370" s="6">
        <f>knicks_players_all_stats[[#This Row],[VALORATION]]/knicks_players_all_stats[[#This Row],[GP]]</f>
        <v>14.440677966101696</v>
      </c>
      <c r="J370" s="2">
        <v>188</v>
      </c>
      <c r="K370" s="2">
        <v>280</v>
      </c>
      <c r="L370" s="4">
        <f>knicks_players_all_stats[[#This Row],[FGM]]/knicks_players_all_stats[[#This Row],[FGA]]</f>
        <v>0.67142857142857137</v>
      </c>
      <c r="M370" s="2">
        <v>0</v>
      </c>
      <c r="N370" s="2">
        <v>0</v>
      </c>
      <c r="O370" s="4" t="e">
        <f>knicks_players_all_stats[[#This Row],[FG3M]]/knicks_players_all_stats[[#This Row],[FG3A]]</f>
        <v>#DIV/0!</v>
      </c>
      <c r="P370" s="2">
        <v>59</v>
      </c>
      <c r="Q370" s="2">
        <v>122</v>
      </c>
      <c r="R370" s="5">
        <f>knicks_players_all_stats[[#This Row],[FTM]]/knicks_players_all_stats[[#This Row],[FTA]]</f>
        <v>0.48360655737704916</v>
      </c>
      <c r="S370" s="2">
        <f>knicks_players_all_stats[[#This Row],[OREB22]]/10</f>
        <v>267</v>
      </c>
      <c r="T370" s="2">
        <f>knicks_players_all_stats[[#This Row],[DREB33]]/10</f>
        <v>288</v>
      </c>
      <c r="U370" s="2">
        <f>knicks_players_all_stats[[#This Row],[REB44]]/10</f>
        <v>555</v>
      </c>
      <c r="V370">
        <v>2670</v>
      </c>
      <c r="W370">
        <v>2880</v>
      </c>
      <c r="X370">
        <v>5550</v>
      </c>
      <c r="Y370" s="22">
        <f>knicks_players_all_stats[[#This Row],[REB]]/knicks_players_all_stats[[#This Row],[GP]]</f>
        <v>9.4067796610169498</v>
      </c>
      <c r="Z370" s="2">
        <v>53</v>
      </c>
      <c r="AA370" s="6">
        <f>knicks_players_all_stats[[#This Row],[AST]]/knicks_players_all_stats[[#This Row],[GP]]</f>
        <v>0.89830508474576276</v>
      </c>
      <c r="AB370" s="2">
        <f>knicks_players_all_stats[[#This Row],[STL2]]/10</f>
        <v>56</v>
      </c>
      <c r="AC370" s="2">
        <v>560</v>
      </c>
      <c r="AD370" s="6">
        <f>knicks_players_all_stats[[#This Row],[STL]]/knicks_players_all_stats[[#This Row],[GP]]</f>
        <v>0.94915254237288138</v>
      </c>
      <c r="AE370">
        <v>1090</v>
      </c>
      <c r="AF370" s="2">
        <f>knicks_players_all_stats[[#This Row],[BLK2]]/10</f>
        <v>109</v>
      </c>
      <c r="AG370" s="6">
        <f>knicks_players_all_stats[[#This Row],[BLK]]/knicks_players_all_stats[[#This Row],[GP]]</f>
        <v>1.847457627118644</v>
      </c>
      <c r="AH370">
        <v>410</v>
      </c>
      <c r="AI370" s="6">
        <f>knicks_players_all_stats[[#This Row],[BLKPG]]+knicks_players_all_stats[[#This Row],[STLPG]]+knicks_players_all_stats[[#This Row],[REBPG]]</f>
        <v>12.203389830508476</v>
      </c>
      <c r="AJ370" s="2">
        <f>knicks_players_all_stats[[#This Row],[TOV2]]/10</f>
        <v>41</v>
      </c>
      <c r="AK370" s="6">
        <f>knicks_players_all_stats[[#This Row],[TOV]]/knicks_players_all_stats[[#This Row],[GP]]</f>
        <v>0.69491525423728817</v>
      </c>
      <c r="AL370" s="2">
        <v>160</v>
      </c>
      <c r="AM370" s="2">
        <f>knicks_players_all_stats[[#This Row],[PF]]/knicks_players_all_stats[[#This Row],[GP]]</f>
        <v>2.7118644067796609</v>
      </c>
      <c r="AN370" s="2">
        <v>435</v>
      </c>
      <c r="AO370" s="6">
        <f>knicks_players_all_stats[[#This Row],[PTS]]/knicks_players_all_stats[[#This Row],[GP]]</f>
        <v>7.3728813559322033</v>
      </c>
    </row>
    <row r="371" spans="1:41" x14ac:dyDescent="0.3">
      <c r="A371" s="3" t="s">
        <v>1496</v>
      </c>
      <c r="B371" s="3" t="s">
        <v>1327</v>
      </c>
      <c r="C371" s="3" t="str">
        <f>knicks_players_all_stats[[#This Row],[NAME]]&amp;" ("&amp;knicks_players_all_stats[[#This Row],[SEASON]]&amp;")"</f>
        <v>Immanuel Quickley (2022-23)</v>
      </c>
      <c r="D371" s="3">
        <f>knicks_players_all_stats[[#This Row],[PLAYER_AGE]]/10</f>
        <v>24</v>
      </c>
      <c r="E371">
        <v>240</v>
      </c>
      <c r="F371" s="2">
        <v>81</v>
      </c>
      <c r="G371" s="2">
        <v>23440</v>
      </c>
      <c r="H37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1091</v>
      </c>
      <c r="I371" s="6">
        <f>knicks_players_all_stats[[#This Row],[VALORATION]]/knicks_players_all_stats[[#This Row],[GP]]</f>
        <v>13.469135802469136</v>
      </c>
      <c r="J371" s="2">
        <v>419</v>
      </c>
      <c r="K371" s="2">
        <v>936</v>
      </c>
      <c r="L371" s="4">
        <f>knicks_players_all_stats[[#This Row],[FGM]]/knicks_players_all_stats[[#This Row],[FGA]]</f>
        <v>0.44764957264957267</v>
      </c>
      <c r="M371" s="2">
        <v>1680</v>
      </c>
      <c r="N371" s="2">
        <v>4540</v>
      </c>
      <c r="O371" s="4">
        <f>knicks_players_all_stats[[#This Row],[FG3M]]/knicks_players_all_stats[[#This Row],[FG3A]]</f>
        <v>0.37004405286343611</v>
      </c>
      <c r="P371" s="2">
        <v>203</v>
      </c>
      <c r="Q371" s="2">
        <v>248</v>
      </c>
      <c r="R371" s="5">
        <f>knicks_players_all_stats[[#This Row],[FTM]]/knicks_players_all_stats[[#This Row],[FTA]]</f>
        <v>0.81854838709677424</v>
      </c>
      <c r="S371" s="2">
        <f>knicks_players_all_stats[[#This Row],[OREB22]]/10</f>
        <v>58</v>
      </c>
      <c r="T371" s="2">
        <f>knicks_players_all_stats[[#This Row],[DREB33]]/10</f>
        <v>279</v>
      </c>
      <c r="U371" s="2">
        <f>knicks_players_all_stats[[#This Row],[REB44]]/10</f>
        <v>337</v>
      </c>
      <c r="V371">
        <v>580</v>
      </c>
      <c r="W371">
        <v>2790</v>
      </c>
      <c r="X371">
        <v>3370</v>
      </c>
      <c r="Y371" s="22">
        <f>knicks_players_all_stats[[#This Row],[REB]]/knicks_players_all_stats[[#This Row],[GP]]</f>
        <v>4.1604938271604937</v>
      </c>
      <c r="Z371" s="2">
        <v>279</v>
      </c>
      <c r="AA371" s="6">
        <f>knicks_players_all_stats[[#This Row],[AST]]/knicks_players_all_stats[[#This Row],[GP]]</f>
        <v>3.4444444444444446</v>
      </c>
      <c r="AB371" s="2">
        <f>knicks_players_all_stats[[#This Row],[STL2]]/10</f>
        <v>80</v>
      </c>
      <c r="AC371" s="2">
        <v>800</v>
      </c>
      <c r="AD371" s="6">
        <f>knicks_players_all_stats[[#This Row],[STL]]/knicks_players_all_stats[[#This Row],[GP]]</f>
        <v>0.98765432098765427</v>
      </c>
      <c r="AE371">
        <v>140</v>
      </c>
      <c r="AF371" s="2">
        <f>knicks_players_all_stats[[#This Row],[BLK2]]/10</f>
        <v>14</v>
      </c>
      <c r="AG371" s="6">
        <f>knicks_players_all_stats[[#This Row],[BLK]]/knicks_players_all_stats[[#This Row],[GP]]</f>
        <v>0.1728395061728395</v>
      </c>
      <c r="AH371">
        <v>1000</v>
      </c>
      <c r="AI371" s="6">
        <f>knicks_players_all_stats[[#This Row],[BLKPG]]+knicks_players_all_stats[[#This Row],[STLPG]]+knicks_players_all_stats[[#This Row],[REBPG]]</f>
        <v>5.3209876543209873</v>
      </c>
      <c r="AJ371" s="2">
        <f>knicks_players_all_stats[[#This Row],[TOV2]]/10</f>
        <v>100</v>
      </c>
      <c r="AK371" s="6">
        <f>knicks_players_all_stats[[#This Row],[TOV]]/knicks_players_all_stats[[#This Row],[GP]]</f>
        <v>1.2345679012345678</v>
      </c>
      <c r="AL371" s="2">
        <v>166</v>
      </c>
      <c r="AM371" s="2">
        <f>knicks_players_all_stats[[#This Row],[PF]]/knicks_players_all_stats[[#This Row],[GP]]</f>
        <v>2.0493827160493829</v>
      </c>
      <c r="AN371" s="2">
        <v>1209</v>
      </c>
      <c r="AO371" s="6">
        <f>knicks_players_all_stats[[#This Row],[PTS]]/knicks_players_all_stats[[#This Row],[GP]]</f>
        <v>14.925925925925926</v>
      </c>
    </row>
    <row r="372" spans="1:41" x14ac:dyDescent="0.3">
      <c r="A372" s="3" t="s">
        <v>1395</v>
      </c>
      <c r="B372" s="3" t="s">
        <v>1327</v>
      </c>
      <c r="C372" s="3" t="str">
        <f>knicks_players_all_stats[[#This Row],[NAME]]&amp;" ("&amp;knicks_players_all_stats[[#This Row],[SEASON]]&amp;")"</f>
        <v>RJ Barrett (2022-23)</v>
      </c>
      <c r="D372" s="3">
        <f>knicks_players_all_stats[[#This Row],[PLAYER_AGE]]/10</f>
        <v>23</v>
      </c>
      <c r="E372">
        <v>230</v>
      </c>
      <c r="F372" s="2">
        <v>73</v>
      </c>
      <c r="G372" s="2">
        <v>24760</v>
      </c>
      <c r="H37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935</v>
      </c>
      <c r="I372" s="6">
        <f>knicks_players_all_stats[[#This Row],[VALORATION]]/knicks_players_all_stats[[#This Row],[GP]]</f>
        <v>12.808219178082192</v>
      </c>
      <c r="J372" s="2">
        <v>510</v>
      </c>
      <c r="K372" s="2">
        <v>1176</v>
      </c>
      <c r="L372" s="4">
        <f>knicks_players_all_stats[[#This Row],[FGM]]/knicks_players_all_stats[[#This Row],[FGA]]</f>
        <v>0.43367346938775508</v>
      </c>
      <c r="M372" s="2">
        <v>1210</v>
      </c>
      <c r="N372" s="2">
        <v>3900</v>
      </c>
      <c r="O372" s="4">
        <f>knicks_players_all_stats[[#This Row],[FG3M]]/knicks_players_all_stats[[#This Row],[FG3A]]</f>
        <v>0.31025641025641026</v>
      </c>
      <c r="P372" s="2">
        <v>290</v>
      </c>
      <c r="Q372" s="2">
        <v>392</v>
      </c>
      <c r="R372" s="5">
        <f>knicks_players_all_stats[[#This Row],[FTM]]/knicks_players_all_stats[[#This Row],[FTA]]</f>
        <v>0.73979591836734693</v>
      </c>
      <c r="S372" s="2">
        <f>knicks_players_all_stats[[#This Row],[OREB22]]/10</f>
        <v>60</v>
      </c>
      <c r="T372" s="2">
        <f>knicks_players_all_stats[[#This Row],[DREB33]]/10</f>
        <v>308</v>
      </c>
      <c r="U372" s="2">
        <f>knicks_players_all_stats[[#This Row],[REB44]]/10</f>
        <v>368</v>
      </c>
      <c r="V372">
        <v>600</v>
      </c>
      <c r="W372">
        <v>3080</v>
      </c>
      <c r="X372">
        <v>3680</v>
      </c>
      <c r="Y372" s="22">
        <f>knicks_players_all_stats[[#This Row],[REB]]/knicks_players_all_stats[[#This Row],[GP]]</f>
        <v>5.0410958904109586</v>
      </c>
      <c r="Z372" s="2">
        <v>201</v>
      </c>
      <c r="AA372" s="6">
        <f>knicks_players_all_stats[[#This Row],[AST]]/knicks_players_all_stats[[#This Row],[GP]]</f>
        <v>2.7534246575342465</v>
      </c>
      <c r="AB372" s="2">
        <f>knicks_players_all_stats[[#This Row],[STL2]]/10</f>
        <v>31</v>
      </c>
      <c r="AC372" s="2">
        <v>310</v>
      </c>
      <c r="AD372" s="6">
        <f>knicks_players_all_stats[[#This Row],[STL]]/knicks_players_all_stats[[#This Row],[GP]]</f>
        <v>0.42465753424657532</v>
      </c>
      <c r="AE372">
        <v>150</v>
      </c>
      <c r="AF372" s="2">
        <f>knicks_players_all_stats[[#This Row],[BLK2]]/10</f>
        <v>15</v>
      </c>
      <c r="AG372" s="6">
        <f>knicks_players_all_stats[[#This Row],[BLK]]/knicks_players_all_stats[[#This Row],[GP]]</f>
        <v>0.20547945205479451</v>
      </c>
      <c r="AH372">
        <v>1640</v>
      </c>
      <c r="AI372" s="6">
        <f>knicks_players_all_stats[[#This Row],[BLKPG]]+knicks_players_all_stats[[#This Row],[STLPG]]+knicks_players_all_stats[[#This Row],[REBPG]]</f>
        <v>5.6712328767123283</v>
      </c>
      <c r="AJ372" s="2">
        <f>knicks_players_all_stats[[#This Row],[TOV2]]/10</f>
        <v>164</v>
      </c>
      <c r="AK372" s="6">
        <f>knicks_players_all_stats[[#This Row],[TOV]]/knicks_players_all_stats[[#This Row],[GP]]</f>
        <v>2.2465753424657535</v>
      </c>
      <c r="AL372" s="2">
        <v>179</v>
      </c>
      <c r="AM372" s="2">
        <f>knicks_players_all_stats[[#This Row],[PF]]/knicks_players_all_stats[[#This Row],[GP]]</f>
        <v>2.452054794520548</v>
      </c>
      <c r="AN372" s="2">
        <v>1431</v>
      </c>
      <c r="AO372" s="6">
        <f>knicks_players_all_stats[[#This Row],[PTS]]/knicks_players_all_stats[[#This Row],[GP]]</f>
        <v>19.602739726027398</v>
      </c>
    </row>
    <row r="373" spans="1:41" x14ac:dyDescent="0.3">
      <c r="A373" s="3" t="s">
        <v>1630</v>
      </c>
      <c r="B373" s="3" t="s">
        <v>1327</v>
      </c>
      <c r="C373" s="3" t="str">
        <f>knicks_players_all_stats[[#This Row],[NAME]]&amp;" ("&amp;knicks_players_all_stats[[#This Row],[SEASON]]&amp;")"</f>
        <v>Quentin Grimes (2022-23)</v>
      </c>
      <c r="D373" s="3">
        <f>knicks_players_all_stats[[#This Row],[PLAYER_AGE]]/10</f>
        <v>23</v>
      </c>
      <c r="E373">
        <v>230</v>
      </c>
      <c r="F373" s="2">
        <v>71</v>
      </c>
      <c r="G373" s="2">
        <v>21210</v>
      </c>
      <c r="H37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665</v>
      </c>
      <c r="I373" s="6">
        <f>knicks_players_all_stats[[#This Row],[VALORATION]]/knicks_players_all_stats[[#This Row],[GP]]</f>
        <v>9.3661971830985919</v>
      </c>
      <c r="J373" s="2">
        <v>282</v>
      </c>
      <c r="K373" s="2">
        <v>602</v>
      </c>
      <c r="L373" s="4">
        <f>knicks_players_all_stats[[#This Row],[FGM]]/knicks_players_all_stats[[#This Row],[FGA]]</f>
        <v>0.46843853820598008</v>
      </c>
      <c r="M373" s="2">
        <v>1570</v>
      </c>
      <c r="N373" s="2">
        <v>4070</v>
      </c>
      <c r="O373" s="4">
        <f>knicks_players_all_stats[[#This Row],[FG3M]]/knicks_players_all_stats[[#This Row],[FG3A]]</f>
        <v>0.38574938574938578</v>
      </c>
      <c r="P373" s="2">
        <v>78</v>
      </c>
      <c r="Q373" s="2">
        <v>98</v>
      </c>
      <c r="R373" s="5">
        <f>knicks_players_all_stats[[#This Row],[FTM]]/knicks_players_all_stats[[#This Row],[FTA]]</f>
        <v>0.79591836734693877</v>
      </c>
      <c r="S373" s="2">
        <f>knicks_players_all_stats[[#This Row],[OREB22]]/10</f>
        <v>49</v>
      </c>
      <c r="T373" s="2">
        <f>knicks_players_all_stats[[#This Row],[DREB33]]/10</f>
        <v>180</v>
      </c>
      <c r="U373" s="2">
        <f>knicks_players_all_stats[[#This Row],[REB44]]/10</f>
        <v>229</v>
      </c>
      <c r="V373">
        <v>490</v>
      </c>
      <c r="W373">
        <v>1800</v>
      </c>
      <c r="X373">
        <v>2290</v>
      </c>
      <c r="Y373" s="22">
        <f>knicks_players_all_stats[[#This Row],[REB]]/knicks_players_all_stats[[#This Row],[GP]]</f>
        <v>3.2253521126760565</v>
      </c>
      <c r="Z373" s="2">
        <v>150</v>
      </c>
      <c r="AA373" s="6">
        <f>knicks_players_all_stats[[#This Row],[AST]]/knicks_players_all_stats[[#This Row],[GP]]</f>
        <v>2.112676056338028</v>
      </c>
      <c r="AB373" s="2">
        <f>knicks_players_all_stats[[#This Row],[STL2]]/10</f>
        <v>47</v>
      </c>
      <c r="AC373" s="2">
        <v>470</v>
      </c>
      <c r="AD373" s="6">
        <f>knicks_players_all_stats[[#This Row],[STL]]/knicks_players_all_stats[[#This Row],[GP]]</f>
        <v>0.6619718309859155</v>
      </c>
      <c r="AE373">
        <v>260</v>
      </c>
      <c r="AF373" s="2">
        <f>knicks_players_all_stats[[#This Row],[BLK2]]/10</f>
        <v>26</v>
      </c>
      <c r="AG373" s="6">
        <f>knicks_players_all_stats[[#This Row],[BLK]]/knicks_players_all_stats[[#This Row],[GP]]</f>
        <v>0.36619718309859156</v>
      </c>
      <c r="AH373">
        <v>690</v>
      </c>
      <c r="AI373" s="6">
        <f>knicks_players_all_stats[[#This Row],[BLKPG]]+knicks_players_all_stats[[#This Row],[STLPG]]+knicks_players_all_stats[[#This Row],[REBPG]]</f>
        <v>4.2535211267605639</v>
      </c>
      <c r="AJ373" s="2">
        <f>knicks_players_all_stats[[#This Row],[TOV2]]/10</f>
        <v>69</v>
      </c>
      <c r="AK373" s="6">
        <f>knicks_players_all_stats[[#This Row],[TOV]]/knicks_players_all_stats[[#This Row],[GP]]</f>
        <v>0.971830985915493</v>
      </c>
      <c r="AL373" s="2">
        <v>177</v>
      </c>
      <c r="AM373" s="2">
        <f>knicks_players_all_stats[[#This Row],[PF]]/knicks_players_all_stats[[#This Row],[GP]]</f>
        <v>2.492957746478873</v>
      </c>
      <c r="AN373" s="2">
        <v>799</v>
      </c>
      <c r="AO373" s="6">
        <f>knicks_players_all_stats[[#This Row],[PTS]]/knicks_players_all_stats[[#This Row],[GP]]</f>
        <v>11.253521126760564</v>
      </c>
    </row>
    <row r="374" spans="1:41" x14ac:dyDescent="0.3">
      <c r="A374" s="3" t="s">
        <v>1558</v>
      </c>
      <c r="B374" s="3" t="s">
        <v>1327</v>
      </c>
      <c r="C374" s="3" t="str">
        <f>knicks_players_all_stats[[#This Row],[NAME]]&amp;" ("&amp;knicks_players_all_stats[[#This Row],[SEASON]]&amp;")"</f>
        <v>Isaiah Hartenstein (2022-23)</v>
      </c>
      <c r="D374" s="3">
        <f>knicks_players_all_stats[[#This Row],[PLAYER_AGE]]/10</f>
        <v>25</v>
      </c>
      <c r="E374">
        <v>250</v>
      </c>
      <c r="F374" s="2">
        <v>82</v>
      </c>
      <c r="G374" s="2">
        <v>16280</v>
      </c>
      <c r="H37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707</v>
      </c>
      <c r="I374" s="6">
        <f>knicks_players_all_stats[[#This Row],[VALORATION]]/knicks_players_all_stats[[#This Row],[GP]]</f>
        <v>8.6219512195121943</v>
      </c>
      <c r="J374" s="2">
        <v>175</v>
      </c>
      <c r="K374" s="2">
        <v>327</v>
      </c>
      <c r="L374" s="4">
        <f>knicks_players_all_stats[[#This Row],[FGM]]/knicks_players_all_stats[[#This Row],[FGA]]</f>
        <v>0.53516819571865448</v>
      </c>
      <c r="M374" s="2">
        <v>80</v>
      </c>
      <c r="N374" s="2">
        <v>370</v>
      </c>
      <c r="O374" s="4">
        <f>knicks_players_all_stats[[#This Row],[FG3M]]/knicks_players_all_stats[[#This Row],[FG3A]]</f>
        <v>0.21621621621621623</v>
      </c>
      <c r="P374" s="2">
        <v>48</v>
      </c>
      <c r="Q374" s="2">
        <v>71</v>
      </c>
      <c r="R374" s="5">
        <f>knicks_players_all_stats[[#This Row],[FTM]]/knicks_players_all_stats[[#This Row],[FTA]]</f>
        <v>0.676056338028169</v>
      </c>
      <c r="S374" s="2">
        <f>knicks_players_all_stats[[#This Row],[OREB22]]/10</f>
        <v>209</v>
      </c>
      <c r="T374" s="2">
        <f>knicks_players_all_stats[[#This Row],[DREB33]]/10</f>
        <v>327</v>
      </c>
      <c r="U374" s="2">
        <f>knicks_players_all_stats[[#This Row],[REB44]]/10</f>
        <v>536</v>
      </c>
      <c r="V374">
        <v>2090</v>
      </c>
      <c r="W374">
        <v>3270</v>
      </c>
      <c r="X374">
        <v>5360</v>
      </c>
      <c r="Y374" s="22">
        <f>knicks_players_all_stats[[#This Row],[REB]]/knicks_players_all_stats[[#This Row],[GP]]</f>
        <v>6.5365853658536581</v>
      </c>
      <c r="Z374" s="2">
        <v>102</v>
      </c>
      <c r="AA374" s="6">
        <f>knicks_players_all_stats[[#This Row],[AST]]/knicks_players_all_stats[[#This Row],[GP]]</f>
        <v>1.2439024390243902</v>
      </c>
      <c r="AB374" s="2">
        <f>knicks_players_all_stats[[#This Row],[STL2]]/10</f>
        <v>53</v>
      </c>
      <c r="AC374" s="2">
        <v>530</v>
      </c>
      <c r="AD374" s="6">
        <f>knicks_players_all_stats[[#This Row],[STL]]/knicks_players_all_stats[[#This Row],[GP]]</f>
        <v>0.64634146341463417</v>
      </c>
      <c r="AE374">
        <v>640</v>
      </c>
      <c r="AF374" s="2">
        <f>knicks_players_all_stats[[#This Row],[BLK2]]/10</f>
        <v>64</v>
      </c>
      <c r="AG374" s="6">
        <f>knicks_players_all_stats[[#This Row],[BLK]]/knicks_players_all_stats[[#This Row],[GP]]</f>
        <v>0.78048780487804881</v>
      </c>
      <c r="AH374">
        <v>660</v>
      </c>
      <c r="AI374" s="6">
        <f>knicks_players_all_stats[[#This Row],[BLKPG]]+knicks_players_all_stats[[#This Row],[STLPG]]+knicks_players_all_stats[[#This Row],[REBPG]]</f>
        <v>7.963414634146341</v>
      </c>
      <c r="AJ374" s="2">
        <f>knicks_players_all_stats[[#This Row],[TOV2]]/10</f>
        <v>66</v>
      </c>
      <c r="AK374" s="6">
        <f>knicks_players_all_stats[[#This Row],[TOV]]/knicks_players_all_stats[[#This Row],[GP]]</f>
        <v>0.80487804878048785</v>
      </c>
      <c r="AL374" s="2">
        <v>213</v>
      </c>
      <c r="AM374" s="2">
        <f>knicks_players_all_stats[[#This Row],[PF]]/knicks_players_all_stats[[#This Row],[GP]]</f>
        <v>2.5975609756097562</v>
      </c>
      <c r="AN374" s="2">
        <v>406</v>
      </c>
      <c r="AO374" s="6">
        <f>knicks_players_all_stats[[#This Row],[PTS]]/knicks_players_all_stats[[#This Row],[GP]]</f>
        <v>4.9512195121951219</v>
      </c>
    </row>
    <row r="375" spans="1:41" customFormat="1" x14ac:dyDescent="0.3">
      <c r="A375" s="3" t="s">
        <v>1798</v>
      </c>
      <c r="B375" s="3" t="s">
        <v>1327</v>
      </c>
      <c r="C375" s="3" t="str">
        <f>knicks_players_all_stats[[#This Row],[NAME]]&amp;" ("&amp;knicks_players_all_stats[[#This Row],[SEASON]]&amp;")"</f>
        <v>Obi Toppin (2022-23)</v>
      </c>
      <c r="D375" s="3">
        <f>knicks_players_all_stats[[#This Row],[PLAYER_AGE]]/10</f>
        <v>25</v>
      </c>
      <c r="E375">
        <v>250</v>
      </c>
      <c r="F375" s="2">
        <v>67</v>
      </c>
      <c r="G375" s="2">
        <v>10510</v>
      </c>
      <c r="H37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438</v>
      </c>
      <c r="I375" s="6">
        <f>knicks_players_all_stats[[#This Row],[VALORATION]]/knicks_players_all_stats[[#This Row],[GP]]</f>
        <v>6.5373134328358207</v>
      </c>
      <c r="J375" s="2">
        <v>187</v>
      </c>
      <c r="K375" s="2">
        <v>419</v>
      </c>
      <c r="L375" s="2">
        <v>446</v>
      </c>
      <c r="M375" s="2">
        <v>850</v>
      </c>
      <c r="N375" s="2">
        <v>2470</v>
      </c>
      <c r="O375" s="4">
        <f>knicks_players_all_stats[[#This Row],[FG3M]]/knicks_players_all_stats[[#This Row],[FG3A]]</f>
        <v>0.34412955465587042</v>
      </c>
      <c r="P375" s="2">
        <v>38</v>
      </c>
      <c r="Q375" s="2">
        <v>47</v>
      </c>
      <c r="R375" s="5">
        <f>knicks_players_all_stats[[#This Row],[FTM]]/knicks_players_all_stats[[#This Row],[FTA]]</f>
        <v>0.80851063829787229</v>
      </c>
      <c r="S375" s="2">
        <f>knicks_players_all_stats[[#This Row],[OREB22]]/10</f>
        <v>29</v>
      </c>
      <c r="T375" s="2">
        <f>knicks_players_all_stats[[#This Row],[DREB33]]/10</f>
        <v>158</v>
      </c>
      <c r="U375" s="2">
        <f>knicks_players_all_stats[[#This Row],[REB44]]/10</f>
        <v>187</v>
      </c>
      <c r="V375">
        <v>290</v>
      </c>
      <c r="W375">
        <v>1580</v>
      </c>
      <c r="X375">
        <v>1870</v>
      </c>
      <c r="Y375" s="22">
        <f>knicks_players_all_stats[[#This Row],[REB]]/knicks_players_all_stats[[#This Row],[GP]]</f>
        <v>2.7910447761194028</v>
      </c>
      <c r="Z375" s="2">
        <v>66</v>
      </c>
      <c r="AA375" s="6">
        <f>knicks_players_all_stats[[#This Row],[AST]]/knicks_players_all_stats[[#This Row],[GP]]</f>
        <v>0.9850746268656716</v>
      </c>
      <c r="AB375" s="2">
        <f>knicks_players_all_stats[[#This Row],[STL2]]/10</f>
        <v>23</v>
      </c>
      <c r="AC375" s="2">
        <v>230</v>
      </c>
      <c r="AD375" s="6">
        <f>knicks_players_all_stats[[#This Row],[STL]]/knicks_players_all_stats[[#This Row],[GP]]</f>
        <v>0.34328358208955223</v>
      </c>
      <c r="AE375">
        <v>120</v>
      </c>
      <c r="AF375" s="2">
        <f>knicks_players_all_stats[[#This Row],[BLK2]]/10</f>
        <v>12</v>
      </c>
      <c r="AG375" s="6">
        <f>knicks_players_all_stats[[#This Row],[BLK]]/knicks_players_all_stats[[#This Row],[GP]]</f>
        <v>0.17910447761194029</v>
      </c>
      <c r="AH375">
        <v>380</v>
      </c>
      <c r="AI375" s="6">
        <f>knicks_players_all_stats[[#This Row],[BLKPG]]+knicks_players_all_stats[[#This Row],[STLPG]]+knicks_players_all_stats[[#This Row],[REBPG]]</f>
        <v>3.3134328358208953</v>
      </c>
      <c r="AJ375" s="2">
        <f>knicks_players_all_stats[[#This Row],[TOV2]]/10</f>
        <v>38</v>
      </c>
      <c r="AK375" s="6">
        <f>knicks_players_all_stats[[#This Row],[TOV]]/knicks_players_all_stats[[#This Row],[GP]]</f>
        <v>0.56716417910447758</v>
      </c>
      <c r="AL375" s="2">
        <v>68</v>
      </c>
      <c r="AM375" s="2">
        <f>knicks_players_all_stats[[#This Row],[PF]]/knicks_players_all_stats[[#This Row],[GP]]</f>
        <v>1.0149253731343284</v>
      </c>
      <c r="AN375" s="2">
        <v>497</v>
      </c>
      <c r="AO375" s="6">
        <f>knicks_players_all_stats[[#This Row],[PTS]]/knicks_players_all_stats[[#This Row],[GP]]</f>
        <v>7.4179104477611943</v>
      </c>
    </row>
    <row r="376" spans="1:41" customFormat="1" x14ac:dyDescent="0.3">
      <c r="A376" s="3" t="s">
        <v>1552</v>
      </c>
      <c r="B376" s="3" t="s">
        <v>1327</v>
      </c>
      <c r="C376" s="3" t="str">
        <f>knicks_players_all_stats[[#This Row],[NAME]]&amp;" ("&amp;knicks_players_all_stats[[#This Row],[SEASON]]&amp;")"</f>
        <v>Jericho Sims (2022-23)</v>
      </c>
      <c r="D376" s="3">
        <f>knicks_players_all_stats[[#This Row],[PLAYER_AGE]]/10</f>
        <v>24</v>
      </c>
      <c r="E376">
        <v>240</v>
      </c>
      <c r="F376" s="2">
        <v>52</v>
      </c>
      <c r="G376" s="2">
        <v>8120</v>
      </c>
      <c r="H37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337</v>
      </c>
      <c r="I376" s="6">
        <f>knicks_players_all_stats[[#This Row],[VALORATION]]/knicks_players_all_stats[[#This Row],[GP]]</f>
        <v>6.4807692307692308</v>
      </c>
      <c r="J376" s="2">
        <v>83</v>
      </c>
      <c r="K376" s="2">
        <v>107</v>
      </c>
      <c r="L376" s="4">
        <f>knicks_players_all_stats[[#This Row],[FGM]]/knicks_players_all_stats[[#This Row],[FGA]]</f>
        <v>0.77570093457943923</v>
      </c>
      <c r="M376" s="2">
        <v>0</v>
      </c>
      <c r="N376" s="2">
        <v>10</v>
      </c>
      <c r="O376" s="4">
        <f>knicks_players_all_stats[[#This Row],[FG3M]]/knicks_players_all_stats[[#This Row],[FG3A]]</f>
        <v>0</v>
      </c>
      <c r="P376" s="2">
        <v>12</v>
      </c>
      <c r="Q376" s="2">
        <v>16</v>
      </c>
      <c r="R376" s="5">
        <f>knicks_players_all_stats[[#This Row],[FTM]]/knicks_players_all_stats[[#This Row],[FTA]]</f>
        <v>0.75</v>
      </c>
      <c r="S376" s="2">
        <f>knicks_players_all_stats[[#This Row],[OREB22]]/10</f>
        <v>99</v>
      </c>
      <c r="T376" s="2">
        <f>knicks_players_all_stats[[#This Row],[DREB33]]/10</f>
        <v>143</v>
      </c>
      <c r="U376" s="2">
        <f>knicks_players_all_stats[[#This Row],[REB44]]/10</f>
        <v>242</v>
      </c>
      <c r="V376">
        <v>990</v>
      </c>
      <c r="W376">
        <v>1430</v>
      </c>
      <c r="X376">
        <v>2420</v>
      </c>
      <c r="Y376" s="22">
        <f>knicks_players_all_stats[[#This Row],[REB]]/knicks_players_all_stats[[#This Row],[GP]]</f>
        <v>4.6538461538461542</v>
      </c>
      <c r="Z376" s="2">
        <v>25</v>
      </c>
      <c r="AA376" s="6">
        <f>knicks_players_all_stats[[#This Row],[AST]]/knicks_players_all_stats[[#This Row],[GP]]</f>
        <v>0.48076923076923078</v>
      </c>
      <c r="AB376" s="2">
        <f>knicks_players_all_stats[[#This Row],[STL2]]/10</f>
        <v>15</v>
      </c>
      <c r="AC376" s="2">
        <v>150</v>
      </c>
      <c r="AD376" s="6">
        <f>knicks_players_all_stats[[#This Row],[STL]]/knicks_players_all_stats[[#This Row],[GP]]</f>
        <v>0.28846153846153844</v>
      </c>
      <c r="AE376">
        <v>280</v>
      </c>
      <c r="AF376" s="2">
        <f>knicks_players_all_stats[[#This Row],[BLK2]]/10</f>
        <v>28</v>
      </c>
      <c r="AG376" s="6">
        <f>knicks_players_all_stats[[#This Row],[BLK]]/knicks_players_all_stats[[#This Row],[GP]]</f>
        <v>0.53846153846153844</v>
      </c>
      <c r="AH376">
        <v>270</v>
      </c>
      <c r="AI376" s="6">
        <f>knicks_players_all_stats[[#This Row],[BLKPG]]+knicks_players_all_stats[[#This Row],[STLPG]]+knicks_players_all_stats[[#This Row],[REBPG]]</f>
        <v>5.4807692307692308</v>
      </c>
      <c r="AJ376" s="2">
        <f>knicks_players_all_stats[[#This Row],[TOV2]]/10</f>
        <v>27</v>
      </c>
      <c r="AK376" s="6">
        <f>knicks_players_all_stats[[#This Row],[TOV]]/knicks_players_all_stats[[#This Row],[GP]]</f>
        <v>0.51923076923076927</v>
      </c>
      <c r="AL376" s="2">
        <v>96</v>
      </c>
      <c r="AM376" s="2">
        <f>knicks_players_all_stats[[#This Row],[PF]]/knicks_players_all_stats[[#This Row],[GP]]</f>
        <v>1.8461538461538463</v>
      </c>
      <c r="AN376" s="2">
        <v>178</v>
      </c>
      <c r="AO376" s="6">
        <f>knicks_players_all_stats[[#This Row],[PTS]]/knicks_players_all_stats[[#This Row],[GP]]</f>
        <v>3.4230769230769229</v>
      </c>
    </row>
    <row r="377" spans="1:41" customFormat="1" x14ac:dyDescent="0.3">
      <c r="A377" s="3" t="s">
        <v>1678</v>
      </c>
      <c r="B377" s="3" t="s">
        <v>1327</v>
      </c>
      <c r="C377" s="3" t="str">
        <f>knicks_players_all_stats[[#This Row],[NAME]]&amp;" ("&amp;knicks_players_all_stats[[#This Row],[SEASON]]&amp;")"</f>
        <v>Cam Reddish (2022-23)</v>
      </c>
      <c r="D377" s="3">
        <f>knicks_players_all_stats[[#This Row],[PLAYER_AGE]]/10</f>
        <v>23</v>
      </c>
      <c r="E377">
        <v>230</v>
      </c>
      <c r="F377" s="2">
        <v>20</v>
      </c>
      <c r="G377" s="2">
        <v>4380</v>
      </c>
      <c r="H37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116</v>
      </c>
      <c r="I377" s="6">
        <f>knicks_players_all_stats[[#This Row],[VALORATION]]/knicks_players_all_stats[[#This Row],[GP]]</f>
        <v>5.8</v>
      </c>
      <c r="J377" s="2">
        <v>61</v>
      </c>
      <c r="K377" s="2">
        <v>136</v>
      </c>
      <c r="L377" s="2">
        <v>449</v>
      </c>
      <c r="M377" s="2">
        <v>170</v>
      </c>
      <c r="N377" s="2">
        <v>560</v>
      </c>
      <c r="O377" s="4">
        <f>knicks_players_all_stats[[#This Row],[FG3M]]/knicks_players_all_stats[[#This Row],[FG3A]]</f>
        <v>0.30357142857142855</v>
      </c>
      <c r="P377" s="2">
        <v>29</v>
      </c>
      <c r="Q377" s="2">
        <v>33</v>
      </c>
      <c r="R377" s="5">
        <f>knicks_players_all_stats[[#This Row],[FTM]]/knicks_players_all_stats[[#This Row],[FTA]]</f>
        <v>0.87878787878787878</v>
      </c>
      <c r="S377" s="2">
        <f>knicks_players_all_stats[[#This Row],[OREB22]]/10</f>
        <v>7</v>
      </c>
      <c r="T377" s="2">
        <f>knicks_players_all_stats[[#This Row],[DREB33]]/10</f>
        <v>24</v>
      </c>
      <c r="U377" s="2">
        <f>knicks_players_all_stats[[#This Row],[REB44]]/10</f>
        <v>31</v>
      </c>
      <c r="V377">
        <v>70</v>
      </c>
      <c r="W377">
        <v>240</v>
      </c>
      <c r="X377">
        <v>310</v>
      </c>
      <c r="Y377" s="22">
        <f>knicks_players_all_stats[[#This Row],[REB]]/knicks_players_all_stats[[#This Row],[GP]]</f>
        <v>1.55</v>
      </c>
      <c r="Z377" s="2">
        <v>20</v>
      </c>
      <c r="AA377" s="6">
        <f>knicks_players_all_stats[[#This Row],[AST]]/knicks_players_all_stats[[#This Row],[GP]]</f>
        <v>1</v>
      </c>
      <c r="AB377" s="2">
        <f>knicks_players_all_stats[[#This Row],[STL2]]/10</f>
        <v>15</v>
      </c>
      <c r="AC377" s="2">
        <v>150</v>
      </c>
      <c r="AD377" s="6">
        <f>knicks_players_all_stats[[#This Row],[STL]]/knicks_players_all_stats[[#This Row],[GP]]</f>
        <v>0.75</v>
      </c>
      <c r="AE377">
        <v>80</v>
      </c>
      <c r="AF377" s="2">
        <f>knicks_players_all_stats[[#This Row],[BLK2]]/10</f>
        <v>8</v>
      </c>
      <c r="AG377" s="6">
        <f>knicks_players_all_stats[[#This Row],[BLK]]/knicks_players_all_stats[[#This Row],[GP]]</f>
        <v>0.4</v>
      </c>
      <c r="AH377">
        <v>150</v>
      </c>
      <c r="AI377" s="6">
        <f>knicks_players_all_stats[[#This Row],[BLKPG]]+knicks_players_all_stats[[#This Row],[STLPG]]+knicks_players_all_stats[[#This Row],[REBPG]]</f>
        <v>2.7</v>
      </c>
      <c r="AJ377" s="2">
        <f>knicks_players_all_stats[[#This Row],[TOV2]]/10</f>
        <v>15</v>
      </c>
      <c r="AK377" s="6">
        <f>knicks_players_all_stats[[#This Row],[TOV]]/knicks_players_all_stats[[#This Row],[GP]]</f>
        <v>0.75</v>
      </c>
      <c r="AL377" s="2">
        <v>32</v>
      </c>
      <c r="AM377" s="2">
        <f>knicks_players_all_stats[[#This Row],[PF]]/knicks_players_all_stats[[#This Row],[GP]]</f>
        <v>1.6</v>
      </c>
      <c r="AN377" s="2">
        <v>168</v>
      </c>
      <c r="AO377" s="6">
        <f>knicks_players_all_stats[[#This Row],[PTS]]/knicks_players_all_stats[[#This Row],[GP]]</f>
        <v>8.4</v>
      </c>
    </row>
    <row r="378" spans="1:41" x14ac:dyDescent="0.3">
      <c r="A378" s="3" t="s">
        <v>1408</v>
      </c>
      <c r="B378" s="3" t="s">
        <v>1327</v>
      </c>
      <c r="C378" s="3" t="str">
        <f>knicks_players_all_stats[[#This Row],[NAME]]&amp;" ("&amp;knicks_players_all_stats[[#This Row],[SEASON]]&amp;")"</f>
        <v>Derrick Rose (2022-23)</v>
      </c>
      <c r="D378" s="3">
        <f>knicks_players_all_stats[[#This Row],[PLAYER_AGE]]/10</f>
        <v>34</v>
      </c>
      <c r="E378">
        <v>340</v>
      </c>
      <c r="F378" s="2">
        <v>27</v>
      </c>
      <c r="G378" s="2">
        <v>3380</v>
      </c>
      <c r="H37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111</v>
      </c>
      <c r="I378" s="6">
        <f>knicks_players_all_stats[[#This Row],[VALORATION]]/knicks_players_all_stats[[#This Row],[GP]]</f>
        <v>4.1111111111111107</v>
      </c>
      <c r="J378" s="2">
        <v>61</v>
      </c>
      <c r="K378" s="2">
        <v>159</v>
      </c>
      <c r="L378" s="4">
        <f>knicks_players_all_stats[[#This Row],[FGM]]/knicks_players_all_stats[[#This Row],[FGA]]</f>
        <v>0.38364779874213839</v>
      </c>
      <c r="M378" s="2">
        <v>190</v>
      </c>
      <c r="N378" s="2">
        <v>630</v>
      </c>
      <c r="O378" s="4">
        <f>knicks_players_all_stats[[#This Row],[FG3M]]/knicks_players_all_stats[[#This Row],[FG3A]]</f>
        <v>0.30158730158730157</v>
      </c>
      <c r="P378" s="2">
        <v>11</v>
      </c>
      <c r="Q378" s="2">
        <v>12</v>
      </c>
      <c r="R378" s="5">
        <f>knicks_players_all_stats[[#This Row],[FTM]]/knicks_players_all_stats[[#This Row],[FTA]]</f>
        <v>0.91666666666666663</v>
      </c>
      <c r="S378" s="2">
        <f>knicks_players_all_stats[[#This Row],[OREB22]]/10</f>
        <v>8</v>
      </c>
      <c r="T378" s="2">
        <f>knicks_players_all_stats[[#This Row],[DREB33]]/10</f>
        <v>32</v>
      </c>
      <c r="U378" s="2">
        <f>knicks_players_all_stats[[#This Row],[REB44]]/10</f>
        <v>40</v>
      </c>
      <c r="V378">
        <v>80</v>
      </c>
      <c r="W378">
        <v>320</v>
      </c>
      <c r="X378">
        <v>400</v>
      </c>
      <c r="Y378" s="22">
        <f>knicks_players_all_stats[[#This Row],[REB]]/knicks_players_all_stats[[#This Row],[GP]]</f>
        <v>1.4814814814814814</v>
      </c>
      <c r="Z378" s="2">
        <v>46</v>
      </c>
      <c r="AA378" s="6">
        <f>knicks_players_all_stats[[#This Row],[AST]]/knicks_players_all_stats[[#This Row],[GP]]</f>
        <v>1.7037037037037037</v>
      </c>
      <c r="AB378" s="2">
        <f>knicks_players_all_stats[[#This Row],[STL2]]/10</f>
        <v>7</v>
      </c>
      <c r="AC378" s="2">
        <v>70</v>
      </c>
      <c r="AD378" s="6">
        <f>knicks_players_all_stats[[#This Row],[STL]]/knicks_players_all_stats[[#This Row],[GP]]</f>
        <v>0.25925925925925924</v>
      </c>
      <c r="AE378">
        <v>50</v>
      </c>
      <c r="AF378" s="2">
        <f>knicks_players_all_stats[[#This Row],[BLK2]]/10</f>
        <v>5</v>
      </c>
      <c r="AG378" s="6">
        <f>knicks_players_all_stats[[#This Row],[BLK]]/knicks_players_all_stats[[#This Row],[GP]]</f>
        <v>0.18518518518518517</v>
      </c>
      <c r="AH378">
        <v>220</v>
      </c>
      <c r="AI378" s="6">
        <f>knicks_players_all_stats[[#This Row],[BLKPG]]+knicks_players_all_stats[[#This Row],[STLPG]]+knicks_players_all_stats[[#This Row],[REBPG]]</f>
        <v>1.9259259259259258</v>
      </c>
      <c r="AJ378" s="2">
        <f>knicks_players_all_stats[[#This Row],[TOV2]]/10</f>
        <v>22</v>
      </c>
      <c r="AK378" s="6">
        <f>knicks_players_all_stats[[#This Row],[TOV]]/knicks_players_all_stats[[#This Row],[GP]]</f>
        <v>0.81481481481481477</v>
      </c>
      <c r="AL378" s="2">
        <v>18</v>
      </c>
      <c r="AM378" s="2">
        <f>knicks_players_all_stats[[#This Row],[PF]]/knicks_players_all_stats[[#This Row],[GP]]</f>
        <v>0.66666666666666663</v>
      </c>
      <c r="AN378" s="2">
        <v>152</v>
      </c>
      <c r="AO378" s="6">
        <f>knicks_players_all_stats[[#This Row],[PTS]]/knicks_players_all_stats[[#This Row],[GP]]</f>
        <v>5.6296296296296298</v>
      </c>
    </row>
    <row r="379" spans="1:41" x14ac:dyDescent="0.3">
      <c r="A379" s="3" t="s">
        <v>1455</v>
      </c>
      <c r="B379" s="3" t="s">
        <v>1327</v>
      </c>
      <c r="C379" s="3" t="str">
        <f>knicks_players_all_stats[[#This Row],[NAME]]&amp;" ("&amp;knicks_players_all_stats[[#This Row],[SEASON]]&amp;")"</f>
        <v>Evan Fournier (2022-23)</v>
      </c>
      <c r="D379" s="3">
        <f>knicks_players_all_stats[[#This Row],[PLAYER_AGE]]/10</f>
        <v>30</v>
      </c>
      <c r="E379">
        <v>300</v>
      </c>
      <c r="F379" s="2">
        <v>27</v>
      </c>
      <c r="G379" s="2">
        <v>4590</v>
      </c>
      <c r="H37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88</v>
      </c>
      <c r="I379" s="6">
        <f>knicks_players_all_stats[[#This Row],[VALORATION]]/knicks_players_all_stats[[#This Row],[GP]]</f>
        <v>3.2592592592592591</v>
      </c>
      <c r="J379" s="2">
        <v>56</v>
      </c>
      <c r="K379" s="2">
        <v>166</v>
      </c>
      <c r="L379" s="4">
        <f>knicks_players_all_stats[[#This Row],[FGM]]/knicks_players_all_stats[[#This Row],[FGA]]</f>
        <v>0.33734939759036142</v>
      </c>
      <c r="M379" s="2">
        <v>350</v>
      </c>
      <c r="N379" s="2">
        <v>1140</v>
      </c>
      <c r="O379" s="4">
        <f>knicks_players_all_stats[[#This Row],[FG3M]]/knicks_players_all_stats[[#This Row],[FG3A]]</f>
        <v>0.30701754385964913</v>
      </c>
      <c r="P379" s="2">
        <v>18</v>
      </c>
      <c r="Q379" s="2">
        <v>21</v>
      </c>
      <c r="R379" s="5">
        <f>knicks_players_all_stats[[#This Row],[FTM]]/knicks_players_all_stats[[#This Row],[FTA]]</f>
        <v>0.8571428571428571</v>
      </c>
      <c r="S379" s="2">
        <f>knicks_players_all_stats[[#This Row],[OREB22]]/10</f>
        <v>4</v>
      </c>
      <c r="T379" s="2">
        <f>knicks_players_all_stats[[#This Row],[DREB33]]/10</f>
        <v>45</v>
      </c>
      <c r="U379" s="2">
        <f>knicks_players_all_stats[[#This Row],[REB44]]/10</f>
        <v>49</v>
      </c>
      <c r="V379">
        <v>40</v>
      </c>
      <c r="W379">
        <v>450</v>
      </c>
      <c r="X379">
        <v>490</v>
      </c>
      <c r="Y379" s="22">
        <f>knicks_players_all_stats[[#This Row],[REB]]/knicks_players_all_stats[[#This Row],[GP]]</f>
        <v>1.8148148148148149</v>
      </c>
      <c r="Z379" s="2">
        <v>36</v>
      </c>
      <c r="AA379" s="6">
        <f>knicks_players_all_stats[[#This Row],[AST]]/knicks_players_all_stats[[#This Row],[GP]]</f>
        <v>1.3333333333333333</v>
      </c>
      <c r="AB379" s="2">
        <f>knicks_players_all_stats[[#This Row],[STL2]]/10</f>
        <v>16</v>
      </c>
      <c r="AC379" s="2">
        <v>160</v>
      </c>
      <c r="AD379" s="6">
        <f>knicks_players_all_stats[[#This Row],[STL]]/knicks_players_all_stats[[#This Row],[GP]]</f>
        <v>0.59259259259259256</v>
      </c>
      <c r="AE379">
        <v>30</v>
      </c>
      <c r="AF379" s="2">
        <f>knicks_players_all_stats[[#This Row],[BLK2]]/10</f>
        <v>3</v>
      </c>
      <c r="AG379" s="6">
        <f>knicks_players_all_stats[[#This Row],[BLK]]/knicks_players_all_stats[[#This Row],[GP]]</f>
        <v>0.1111111111111111</v>
      </c>
      <c r="AH379">
        <v>220</v>
      </c>
      <c r="AI379" s="6">
        <f>knicks_players_all_stats[[#This Row],[BLKPG]]+knicks_players_all_stats[[#This Row],[STLPG]]+knicks_players_all_stats[[#This Row],[REBPG]]</f>
        <v>2.5185185185185186</v>
      </c>
      <c r="AJ379" s="2">
        <f>knicks_players_all_stats[[#This Row],[TOV2]]/10</f>
        <v>22</v>
      </c>
      <c r="AK379" s="6">
        <f>knicks_players_all_stats[[#This Row],[TOV]]/knicks_players_all_stats[[#This Row],[GP]]</f>
        <v>0.81481481481481477</v>
      </c>
      <c r="AL379" s="2">
        <v>46</v>
      </c>
      <c r="AM379" s="2">
        <f>knicks_players_all_stats[[#This Row],[PF]]/knicks_players_all_stats[[#This Row],[GP]]</f>
        <v>1.7037037037037037</v>
      </c>
      <c r="AN379" s="2">
        <v>165</v>
      </c>
      <c r="AO379" s="6">
        <f>knicks_players_all_stats[[#This Row],[PTS]]/knicks_players_all_stats[[#This Row],[GP]]</f>
        <v>6.1111111111111107</v>
      </c>
    </row>
    <row r="380" spans="1:41" x14ac:dyDescent="0.3">
      <c r="A380" s="3" t="s">
        <v>1438</v>
      </c>
      <c r="B380" s="3" t="s">
        <v>1327</v>
      </c>
      <c r="C380" s="3" t="str">
        <f>knicks_players_all_stats[[#This Row],[NAME]]&amp;" ("&amp;knicks_players_all_stats[[#This Row],[SEASON]]&amp;")"</f>
        <v>Miles McBride (2022-23)</v>
      </c>
      <c r="D380" s="3">
        <f>knicks_players_all_stats[[#This Row],[PLAYER_AGE]]/10</f>
        <v>22</v>
      </c>
      <c r="E380">
        <v>220</v>
      </c>
      <c r="F380" s="2">
        <v>64</v>
      </c>
      <c r="G380" s="2">
        <v>7600</v>
      </c>
      <c r="H38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152</v>
      </c>
      <c r="I380" s="6">
        <f>knicks_players_all_stats[[#This Row],[VALORATION]]/knicks_players_all_stats[[#This Row],[GP]]</f>
        <v>2.375</v>
      </c>
      <c r="J380" s="2">
        <v>77</v>
      </c>
      <c r="K380" s="2">
        <v>215</v>
      </c>
      <c r="L380" s="4">
        <f>knicks_players_all_stats[[#This Row],[FGM]]/knicks_players_all_stats[[#This Row],[FGA]]</f>
        <v>0.35813953488372091</v>
      </c>
      <c r="M380" s="2">
        <v>400</v>
      </c>
      <c r="N380" s="2">
        <v>1340</v>
      </c>
      <c r="O380" s="4">
        <f>knicks_players_all_stats[[#This Row],[FG3M]]/knicks_players_all_stats[[#This Row],[FG3A]]</f>
        <v>0.29850746268656714</v>
      </c>
      <c r="P380" s="2">
        <v>28</v>
      </c>
      <c r="Q380" s="2">
        <v>42</v>
      </c>
      <c r="R380" s="5">
        <f>knicks_players_all_stats[[#This Row],[FTM]]/knicks_players_all_stats[[#This Row],[FTA]]</f>
        <v>0.66666666666666663</v>
      </c>
      <c r="S380" s="2">
        <f>knicks_players_all_stats[[#This Row],[OREB22]]/10</f>
        <v>13</v>
      </c>
      <c r="T380" s="2">
        <f>knicks_players_all_stats[[#This Row],[DREB33]]/10</f>
        <v>37</v>
      </c>
      <c r="U380" s="2">
        <f>knicks_players_all_stats[[#This Row],[REB44]]/10</f>
        <v>50</v>
      </c>
      <c r="V380">
        <v>130</v>
      </c>
      <c r="W380">
        <v>370</v>
      </c>
      <c r="X380">
        <v>500</v>
      </c>
      <c r="Y380" s="22">
        <f>knicks_players_all_stats[[#This Row],[REB]]/knicks_players_all_stats[[#This Row],[GP]]</f>
        <v>0.78125</v>
      </c>
      <c r="Z380" s="2">
        <v>72</v>
      </c>
      <c r="AA380" s="6">
        <f>knicks_players_all_stats[[#This Row],[AST]]/knicks_players_all_stats[[#This Row],[GP]]</f>
        <v>1.125</v>
      </c>
      <c r="AB380" s="2">
        <f>knicks_players_all_stats[[#This Row],[STL2]]/10</f>
        <v>37</v>
      </c>
      <c r="AC380" s="2">
        <v>370</v>
      </c>
      <c r="AD380" s="6">
        <f>knicks_players_all_stats[[#This Row],[STL]]/knicks_players_all_stats[[#This Row],[GP]]</f>
        <v>0.578125</v>
      </c>
      <c r="AE380">
        <v>80</v>
      </c>
      <c r="AF380" s="2">
        <f>knicks_players_all_stats[[#This Row],[BLK2]]/10</f>
        <v>8</v>
      </c>
      <c r="AG380" s="6">
        <f>knicks_players_all_stats[[#This Row],[BLK]]/knicks_players_all_stats[[#This Row],[GP]]</f>
        <v>0.125</v>
      </c>
      <c r="AH380">
        <v>250</v>
      </c>
      <c r="AI380" s="6">
        <f>knicks_players_all_stats[[#This Row],[BLKPG]]+knicks_players_all_stats[[#This Row],[STLPG]]+knicks_players_all_stats[[#This Row],[REBPG]]</f>
        <v>1.484375</v>
      </c>
      <c r="AJ380" s="2">
        <f>knicks_players_all_stats[[#This Row],[TOV2]]/10</f>
        <v>25</v>
      </c>
      <c r="AK380" s="6">
        <f>knicks_players_all_stats[[#This Row],[TOV]]/knicks_players_all_stats[[#This Row],[GP]]</f>
        <v>0.390625</v>
      </c>
      <c r="AL380" s="2">
        <v>60</v>
      </c>
      <c r="AM380" s="2">
        <f>knicks_players_all_stats[[#This Row],[PF]]/knicks_players_all_stats[[#This Row],[GP]]</f>
        <v>0.9375</v>
      </c>
      <c r="AN380" s="2">
        <v>222</v>
      </c>
      <c r="AO380" s="6">
        <f>knicks_players_all_stats[[#This Row],[PTS]]/knicks_players_all_stats[[#This Row],[GP]]</f>
        <v>3.46875</v>
      </c>
    </row>
    <row r="381" spans="1:41" customFormat="1" x14ac:dyDescent="0.3">
      <c r="A381" s="3" t="s">
        <v>1328</v>
      </c>
      <c r="B381" s="3" t="s">
        <v>1327</v>
      </c>
      <c r="C381" s="3" t="str">
        <f>knicks_players_all_stats[[#This Row],[NAME]]&amp;" ("&amp;knicks_players_all_stats[[#This Row],[SEASON]]&amp;")"</f>
        <v>Svi Mykhailiuk (2022-23)</v>
      </c>
      <c r="D381" s="3">
        <f>knicks_players_all_stats[[#This Row],[PLAYER_AGE]]/10</f>
        <v>26</v>
      </c>
      <c r="E381">
        <v>260</v>
      </c>
      <c r="F381" s="2">
        <v>13</v>
      </c>
      <c r="G381" s="2">
        <v>400</v>
      </c>
      <c r="H38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19</v>
      </c>
      <c r="I381" s="6">
        <f>knicks_players_all_stats[[#This Row],[VALORATION]]/knicks_players_all_stats[[#This Row],[GP]]</f>
        <v>1.4615384615384615</v>
      </c>
      <c r="J381" s="2">
        <v>6</v>
      </c>
      <c r="K381" s="2">
        <v>12</v>
      </c>
      <c r="L381" s="4">
        <f>knicks_players_all_stats[[#This Row],[FGM]]/knicks_players_all_stats[[#This Row],[FGA]]</f>
        <v>0.5</v>
      </c>
      <c r="M381" s="2">
        <v>60</v>
      </c>
      <c r="N381" s="2">
        <v>100</v>
      </c>
      <c r="O381" s="4">
        <f>knicks_players_all_stats[[#This Row],[FG3M]]/knicks_players_all_stats[[#This Row],[FG3A]]</f>
        <v>0.6</v>
      </c>
      <c r="P381" s="2">
        <v>3</v>
      </c>
      <c r="Q381" s="2">
        <v>5</v>
      </c>
      <c r="R381" s="5">
        <f>knicks_players_all_stats[[#This Row],[FTM]]/knicks_players_all_stats[[#This Row],[FTA]]</f>
        <v>0.6</v>
      </c>
      <c r="S381" s="2">
        <f>knicks_players_all_stats[[#This Row],[OREB22]]/10</f>
        <v>0</v>
      </c>
      <c r="T381" s="2">
        <f>knicks_players_all_stats[[#This Row],[DREB33]]/10</f>
        <v>7</v>
      </c>
      <c r="U381" s="2">
        <f>knicks_players_all_stats[[#This Row],[REB44]]/10</f>
        <v>7</v>
      </c>
      <c r="V381">
        <v>0</v>
      </c>
      <c r="W381">
        <v>70</v>
      </c>
      <c r="X381">
        <v>70</v>
      </c>
      <c r="Y381" s="22">
        <f>knicks_players_all_stats[[#This Row],[REB]]/knicks_players_all_stats[[#This Row],[GP]]</f>
        <v>0.53846153846153844</v>
      </c>
      <c r="Z381" s="2">
        <v>1</v>
      </c>
      <c r="AA381" s="6">
        <f>knicks_players_all_stats[[#This Row],[AST]]/knicks_players_all_stats[[#This Row],[GP]]</f>
        <v>7.6923076923076927E-2</v>
      </c>
      <c r="AB381" s="2">
        <f>knicks_players_all_stats[[#This Row],[STL2]]/10</f>
        <v>1</v>
      </c>
      <c r="AC381" s="2">
        <v>10</v>
      </c>
      <c r="AD381" s="6">
        <f>knicks_players_all_stats[[#This Row],[STL]]/knicks_players_all_stats[[#This Row],[GP]]</f>
        <v>7.6923076923076927E-2</v>
      </c>
      <c r="AE381">
        <v>0</v>
      </c>
      <c r="AF381" s="2">
        <f>knicks_players_all_stats[[#This Row],[BLK2]]/10</f>
        <v>0</v>
      </c>
      <c r="AG381" s="6">
        <f>knicks_players_all_stats[[#This Row],[BLK]]/knicks_players_all_stats[[#This Row],[GP]]</f>
        <v>0</v>
      </c>
      <c r="AH381">
        <v>20</v>
      </c>
      <c r="AI381" s="6">
        <f>knicks_players_all_stats[[#This Row],[BLKPG]]+knicks_players_all_stats[[#This Row],[STLPG]]+knicks_players_all_stats[[#This Row],[REBPG]]</f>
        <v>0.61538461538461542</v>
      </c>
      <c r="AJ381" s="2">
        <f>knicks_players_all_stats[[#This Row],[TOV2]]/10</f>
        <v>2</v>
      </c>
      <c r="AK381" s="6">
        <f>knicks_players_all_stats[[#This Row],[TOV]]/knicks_players_all_stats[[#This Row],[GP]]</f>
        <v>0.15384615384615385</v>
      </c>
      <c r="AL381" s="2">
        <v>1</v>
      </c>
      <c r="AM381" s="2">
        <f>knicks_players_all_stats[[#This Row],[PF]]/knicks_players_all_stats[[#This Row],[GP]]</f>
        <v>7.6923076923076927E-2</v>
      </c>
      <c r="AN381" s="2">
        <v>21</v>
      </c>
      <c r="AO381" s="6">
        <f>knicks_players_all_stats[[#This Row],[PTS]]/knicks_players_all_stats[[#This Row],[GP]]</f>
        <v>1.6153846153846154</v>
      </c>
    </row>
    <row r="382" spans="1:41" customFormat="1" x14ac:dyDescent="0.3">
      <c r="A382" s="3" t="s">
        <v>1665</v>
      </c>
      <c r="B382" s="3" t="s">
        <v>1327</v>
      </c>
      <c r="C382" s="3" t="str">
        <f>knicks_players_all_stats[[#This Row],[NAME]]&amp;" ("&amp;knicks_players_all_stats[[#This Row],[SEASON]]&amp;")"</f>
        <v>Trevor Keels (2022-23)</v>
      </c>
      <c r="D382" s="3">
        <f>knicks_players_all_stats[[#This Row],[PLAYER_AGE]]/10</f>
        <v>19</v>
      </c>
      <c r="E382">
        <v>190</v>
      </c>
      <c r="F382" s="2">
        <v>3</v>
      </c>
      <c r="G382" s="2">
        <v>80</v>
      </c>
      <c r="H38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</v>
      </c>
      <c r="I382" s="6">
        <f>knicks_players_all_stats[[#This Row],[VALORATION]]/knicks_players_all_stats[[#This Row],[GP]]</f>
        <v>0.66666666666666663</v>
      </c>
      <c r="J382" s="2">
        <v>1</v>
      </c>
      <c r="K382" s="2">
        <v>4</v>
      </c>
      <c r="L382" s="2">
        <v>25</v>
      </c>
      <c r="M382" s="2">
        <v>10</v>
      </c>
      <c r="N382" s="2">
        <v>40</v>
      </c>
      <c r="O382" s="4">
        <f>knicks_players_all_stats[[#This Row],[FG3M]]/knicks_players_all_stats[[#This Row],[FG3A]]</f>
        <v>0.25</v>
      </c>
      <c r="P382" s="2">
        <v>0</v>
      </c>
      <c r="Q382" s="2">
        <v>0</v>
      </c>
      <c r="R382" s="5" t="e">
        <f>knicks_players_all_stats[[#This Row],[FTM]]/knicks_players_all_stats[[#This Row],[FTA]]</f>
        <v>#DIV/0!</v>
      </c>
      <c r="S382" s="2">
        <f>knicks_players_all_stats[[#This Row],[OREB22]]/10</f>
        <v>0</v>
      </c>
      <c r="T382" s="2">
        <f>knicks_players_all_stats[[#This Row],[DREB33]]/10</f>
        <v>2</v>
      </c>
      <c r="U382" s="2">
        <f>knicks_players_all_stats[[#This Row],[REB44]]/10</f>
        <v>2</v>
      </c>
      <c r="V382">
        <v>0</v>
      </c>
      <c r="W382">
        <v>20</v>
      </c>
      <c r="X382">
        <v>20</v>
      </c>
      <c r="Y382" s="22">
        <f>knicks_players_all_stats[[#This Row],[REB]]/knicks_players_all_stats[[#This Row],[GP]]</f>
        <v>0.66666666666666663</v>
      </c>
      <c r="Z382" s="2">
        <v>0</v>
      </c>
      <c r="AA382" s="6">
        <f>knicks_players_all_stats[[#This Row],[AST]]/knicks_players_all_stats[[#This Row],[GP]]</f>
        <v>0</v>
      </c>
      <c r="AB382" s="2">
        <f>knicks_players_all_stats[[#This Row],[STL2]]/10</f>
        <v>0</v>
      </c>
      <c r="AC382" s="2">
        <v>0</v>
      </c>
      <c r="AD382" s="6">
        <f>knicks_players_all_stats[[#This Row],[STL]]/knicks_players_all_stats[[#This Row],[GP]]</f>
        <v>0</v>
      </c>
      <c r="AE382">
        <v>0</v>
      </c>
      <c r="AF382" s="2">
        <f>knicks_players_all_stats[[#This Row],[BLK2]]/10</f>
        <v>0</v>
      </c>
      <c r="AG382" s="6">
        <f>knicks_players_all_stats[[#This Row],[BLK]]/knicks_players_all_stats[[#This Row],[GP]]</f>
        <v>0</v>
      </c>
      <c r="AH382">
        <v>0</v>
      </c>
      <c r="AI382" s="6">
        <f>knicks_players_all_stats[[#This Row],[BLKPG]]+knicks_players_all_stats[[#This Row],[STLPG]]+knicks_players_all_stats[[#This Row],[REBPG]]</f>
        <v>0.66666666666666663</v>
      </c>
      <c r="AJ382" s="2">
        <f>knicks_players_all_stats[[#This Row],[TOV2]]/10</f>
        <v>0</v>
      </c>
      <c r="AK382" s="6">
        <f>knicks_players_all_stats[[#This Row],[TOV]]/knicks_players_all_stats[[#This Row],[GP]]</f>
        <v>0</v>
      </c>
      <c r="AL382" s="2">
        <v>0</v>
      </c>
      <c r="AM382" s="2">
        <f>knicks_players_all_stats[[#This Row],[PF]]/knicks_players_all_stats[[#This Row],[GP]]</f>
        <v>0</v>
      </c>
      <c r="AN382" s="2">
        <v>3</v>
      </c>
      <c r="AO382" s="6">
        <f>knicks_players_all_stats[[#This Row],[PTS]]/knicks_players_all_stats[[#This Row],[GP]]</f>
        <v>1</v>
      </c>
    </row>
    <row r="383" spans="1:41" customFormat="1" x14ac:dyDescent="0.3">
      <c r="A383" s="3" t="s">
        <v>1424</v>
      </c>
      <c r="B383" s="3" t="s">
        <v>1327</v>
      </c>
      <c r="C383" s="3" t="str">
        <f>knicks_players_all_stats[[#This Row],[NAME]]&amp;" ("&amp;knicks_players_all_stats[[#This Row],[SEASON]]&amp;")"</f>
        <v>Ryan Arcidiacono (2022-23)</v>
      </c>
      <c r="D383" s="3">
        <f>knicks_players_all_stats[[#This Row],[PLAYER_AGE]]/10</f>
        <v>29</v>
      </c>
      <c r="E383">
        <v>290</v>
      </c>
      <c r="F383" s="2">
        <v>11</v>
      </c>
      <c r="G383" s="2">
        <v>260</v>
      </c>
      <c r="H38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</v>
      </c>
      <c r="I383" s="6">
        <f>knicks_players_all_stats[[#This Row],[VALORATION]]/knicks_players_all_stats[[#This Row],[GP]]</f>
        <v>0.27272727272727271</v>
      </c>
      <c r="J383" s="2">
        <v>1</v>
      </c>
      <c r="K383" s="2">
        <v>5</v>
      </c>
      <c r="L383" s="4">
        <f>knicks_players_all_stats[[#This Row],[FGM]]/knicks_players_all_stats[[#This Row],[FGA]]</f>
        <v>0.2</v>
      </c>
      <c r="M383" s="2">
        <v>10</v>
      </c>
      <c r="N383" s="2">
        <v>30</v>
      </c>
      <c r="O383" s="4">
        <f>knicks_players_all_stats[[#This Row],[FG3M]]/knicks_players_all_stats[[#This Row],[FG3A]]</f>
        <v>0.33333333333333331</v>
      </c>
      <c r="P383" s="2">
        <v>0</v>
      </c>
      <c r="Q383" s="2">
        <v>0</v>
      </c>
      <c r="R383" s="5" t="e">
        <f>knicks_players_all_stats[[#This Row],[FTM]]/knicks_players_all_stats[[#This Row],[FTA]]</f>
        <v>#DIV/0!</v>
      </c>
      <c r="S383" s="2">
        <f>knicks_players_all_stats[[#This Row],[OREB22]]/10</f>
        <v>0</v>
      </c>
      <c r="T383" s="2">
        <f>knicks_players_all_stats[[#This Row],[DREB33]]/10</f>
        <v>4</v>
      </c>
      <c r="U383" s="2">
        <f>knicks_players_all_stats[[#This Row],[REB44]]/10</f>
        <v>4</v>
      </c>
      <c r="V383">
        <v>0</v>
      </c>
      <c r="W383">
        <v>40</v>
      </c>
      <c r="X383">
        <v>40</v>
      </c>
      <c r="Y383" s="22">
        <f>knicks_players_all_stats[[#This Row],[REB]]/knicks_players_all_stats[[#This Row],[GP]]</f>
        <v>0.36363636363636365</v>
      </c>
      <c r="Z383" s="2">
        <v>2</v>
      </c>
      <c r="AA383" s="6">
        <f>knicks_players_all_stats[[#This Row],[AST]]/knicks_players_all_stats[[#This Row],[GP]]</f>
        <v>0.18181818181818182</v>
      </c>
      <c r="AB383" s="2">
        <f>knicks_players_all_stats[[#This Row],[STL2]]/10</f>
        <v>2</v>
      </c>
      <c r="AC383" s="2">
        <v>20</v>
      </c>
      <c r="AD383" s="6">
        <f>knicks_players_all_stats[[#This Row],[STL]]/knicks_players_all_stats[[#This Row],[GP]]</f>
        <v>0.18181818181818182</v>
      </c>
      <c r="AE383">
        <v>0</v>
      </c>
      <c r="AF383" s="2">
        <f>knicks_players_all_stats[[#This Row],[BLK2]]/10</f>
        <v>0</v>
      </c>
      <c r="AG383" s="6">
        <f>knicks_players_all_stats[[#This Row],[BLK]]/knicks_players_all_stats[[#This Row],[GP]]</f>
        <v>0</v>
      </c>
      <c r="AH383">
        <v>10</v>
      </c>
      <c r="AI383" s="6">
        <f>knicks_players_all_stats[[#This Row],[BLKPG]]+knicks_players_all_stats[[#This Row],[STLPG]]+knicks_players_all_stats[[#This Row],[REBPG]]</f>
        <v>0.54545454545454541</v>
      </c>
      <c r="AJ383" s="2">
        <f>knicks_players_all_stats[[#This Row],[TOV2]]/10</f>
        <v>1</v>
      </c>
      <c r="AK383" s="6">
        <f>knicks_players_all_stats[[#This Row],[TOV]]/knicks_players_all_stats[[#This Row],[GP]]</f>
        <v>9.0909090909090912E-2</v>
      </c>
      <c r="AL383" s="2">
        <v>3</v>
      </c>
      <c r="AM383" s="2">
        <f>knicks_players_all_stats[[#This Row],[PF]]/knicks_players_all_stats[[#This Row],[GP]]</f>
        <v>0.27272727272727271</v>
      </c>
      <c r="AN383" s="2">
        <v>3</v>
      </c>
      <c r="AO383" s="6">
        <f>knicks_players_all_stats[[#This Row],[PTS]]/knicks_players_all_stats[[#This Row],[GP]]</f>
        <v>0.27272727272727271</v>
      </c>
    </row>
    <row r="384" spans="1:41" customFormat="1" x14ac:dyDescent="0.3">
      <c r="A384" s="3" t="s">
        <v>1591</v>
      </c>
      <c r="B384" s="3" t="s">
        <v>1369</v>
      </c>
      <c r="C384" s="3" t="str">
        <f>knicks_players_all_stats[[#This Row],[NAME]]&amp;" ("&amp;knicks_players_all_stats[[#This Row],[SEASON]]&amp;")"</f>
        <v>Jalen Brunson (2023-24)</v>
      </c>
      <c r="D384" s="3">
        <f>knicks_players_all_stats[[#This Row],[PLAYER_AGE]]/10</f>
        <v>27</v>
      </c>
      <c r="E384">
        <v>270</v>
      </c>
      <c r="F384" s="2">
        <v>77</v>
      </c>
      <c r="G384" s="2">
        <v>27260</v>
      </c>
      <c r="H38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1828</v>
      </c>
      <c r="I384" s="6">
        <f>knicks_players_all_stats[[#This Row],[VALORATION]]/knicks_players_all_stats[[#This Row],[GP]]</f>
        <v>23.740259740259742</v>
      </c>
      <c r="J384" s="2">
        <v>790</v>
      </c>
      <c r="K384" s="2">
        <v>1648</v>
      </c>
      <c r="L384" s="4">
        <f>knicks_players_all_stats[[#This Row],[FGM]]/knicks_players_all_stats[[#This Row],[FGA]]</f>
        <v>0.47936893203883496</v>
      </c>
      <c r="M384" s="2">
        <v>2110</v>
      </c>
      <c r="N384" s="2">
        <v>5260</v>
      </c>
      <c r="O384" s="4">
        <f>knicks_players_all_stats[[#This Row],[FG3M]]/knicks_players_all_stats[[#This Row],[FG3A]]</f>
        <v>0.40114068441064638</v>
      </c>
      <c r="P384" s="2">
        <v>421</v>
      </c>
      <c r="Q384" s="2">
        <v>497</v>
      </c>
      <c r="R384" s="5">
        <f>knicks_players_all_stats[[#This Row],[FTM]]/knicks_players_all_stats[[#This Row],[FTA]]</f>
        <v>0.84708249496981891</v>
      </c>
      <c r="S384" s="2">
        <f>knicks_players_all_stats[[#This Row],[OREB22]]/10</f>
        <v>43</v>
      </c>
      <c r="T384" s="2">
        <f>knicks_players_all_stats[[#This Row],[DREB33]]/10</f>
        <v>235</v>
      </c>
      <c r="U384" s="2">
        <f>knicks_players_all_stats[[#This Row],[REB44]]/10</f>
        <v>278</v>
      </c>
      <c r="V384">
        <v>430</v>
      </c>
      <c r="W384">
        <v>2350</v>
      </c>
      <c r="X384">
        <v>2780</v>
      </c>
      <c r="Y384" s="22">
        <f>knicks_players_all_stats[[#This Row],[REB]]/knicks_players_all_stats[[#This Row],[GP]]</f>
        <v>3.6103896103896105</v>
      </c>
      <c r="Z384" s="2">
        <v>519</v>
      </c>
      <c r="AA384" s="6">
        <f>knicks_players_all_stats[[#This Row],[AST]]/knicks_players_all_stats[[#This Row],[GP]]</f>
        <v>6.7402597402597406</v>
      </c>
      <c r="AB384" s="2">
        <f>knicks_players_all_stats[[#This Row],[STL2]]/10</f>
        <v>70</v>
      </c>
      <c r="AC384" s="2">
        <v>700</v>
      </c>
      <c r="AD384" s="6">
        <f>knicks_players_all_stats[[#This Row],[STL]]/knicks_players_all_stats[[#This Row],[GP]]</f>
        <v>0.90909090909090906</v>
      </c>
      <c r="AE384">
        <v>130</v>
      </c>
      <c r="AF384" s="2">
        <f>knicks_players_all_stats[[#This Row],[BLK2]]/10</f>
        <v>13</v>
      </c>
      <c r="AG384" s="6">
        <f>knicks_players_all_stats[[#This Row],[BLK]]/knicks_players_all_stats[[#This Row],[GP]]</f>
        <v>0.16883116883116883</v>
      </c>
      <c r="AH384">
        <v>1860</v>
      </c>
      <c r="AI384" s="6">
        <f>knicks_players_all_stats[[#This Row],[BLKPG]]+knicks_players_all_stats[[#This Row],[STLPG]]+knicks_players_all_stats[[#This Row],[REBPG]]</f>
        <v>4.6883116883116882</v>
      </c>
      <c r="AJ384" s="2">
        <f>knicks_players_all_stats[[#This Row],[TOV2]]/10</f>
        <v>186</v>
      </c>
      <c r="AK384" s="6">
        <f>knicks_players_all_stats[[#This Row],[TOV]]/knicks_players_all_stats[[#This Row],[GP]]</f>
        <v>2.4155844155844157</v>
      </c>
      <c r="AL384" s="2">
        <v>144</v>
      </c>
      <c r="AM384" s="2">
        <f>knicks_players_all_stats[[#This Row],[PF]]/knicks_players_all_stats[[#This Row],[GP]]</f>
        <v>1.8701298701298701</v>
      </c>
      <c r="AN384" s="2">
        <v>2212</v>
      </c>
      <c r="AO384" s="6">
        <f>knicks_players_all_stats[[#This Row],[PTS]]/knicks_players_all_stats[[#This Row],[GP]]</f>
        <v>28.727272727272727</v>
      </c>
    </row>
    <row r="385" spans="1:41" customFormat="1" x14ac:dyDescent="0.3">
      <c r="A385" s="3" t="s">
        <v>1535</v>
      </c>
      <c r="B385" s="3" t="s">
        <v>1369</v>
      </c>
      <c r="C385" s="3" t="str">
        <f>knicks_players_all_stats[[#This Row],[NAME]]&amp;" ("&amp;knicks_players_all_stats[[#This Row],[SEASON]]&amp;")"</f>
        <v>Julius Randle (2023-24)</v>
      </c>
      <c r="D385" s="3">
        <f>knicks_players_all_stats[[#This Row],[PLAYER_AGE]]/10</f>
        <v>29</v>
      </c>
      <c r="E385">
        <v>290</v>
      </c>
      <c r="F385" s="2">
        <v>46</v>
      </c>
      <c r="G385" s="2">
        <v>16300</v>
      </c>
      <c r="H38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1000</v>
      </c>
      <c r="I385" s="6">
        <f>knicks_players_all_stats[[#This Row],[VALORATION]]/knicks_players_all_stats[[#This Row],[GP]]</f>
        <v>21.739130434782609</v>
      </c>
      <c r="J385" s="2">
        <v>395</v>
      </c>
      <c r="K385" s="2">
        <v>836</v>
      </c>
      <c r="L385" s="4">
        <f>knicks_players_all_stats[[#This Row],[FGM]]/knicks_players_all_stats[[#This Row],[FGA]]</f>
        <v>0.47248803827751196</v>
      </c>
      <c r="M385" s="2">
        <v>760</v>
      </c>
      <c r="N385" s="2">
        <v>2440</v>
      </c>
      <c r="O385" s="4">
        <f>knicks_players_all_stats[[#This Row],[FG3M]]/knicks_players_all_stats[[#This Row],[FG3A]]</f>
        <v>0.31147540983606559</v>
      </c>
      <c r="P385" s="2">
        <v>236</v>
      </c>
      <c r="Q385" s="2">
        <v>302</v>
      </c>
      <c r="R385" s="5">
        <f>knicks_players_all_stats[[#This Row],[FTM]]/knicks_players_all_stats[[#This Row],[FTA]]</f>
        <v>0.7814569536423841</v>
      </c>
      <c r="S385" s="2">
        <f>knicks_players_all_stats[[#This Row],[OREB22]]/10</f>
        <v>99</v>
      </c>
      <c r="T385" s="2">
        <f>knicks_players_all_stats[[#This Row],[DREB33]]/10</f>
        <v>324</v>
      </c>
      <c r="U385" s="2">
        <f>knicks_players_all_stats[[#This Row],[REB44]]/10</f>
        <v>423</v>
      </c>
      <c r="V385">
        <v>990</v>
      </c>
      <c r="W385">
        <v>3240</v>
      </c>
      <c r="X385">
        <v>4230</v>
      </c>
      <c r="Y385" s="22">
        <f>knicks_players_all_stats[[#This Row],[REB]]/knicks_players_all_stats[[#This Row],[GP]]</f>
        <v>9.195652173913043</v>
      </c>
      <c r="Z385" s="2">
        <v>229</v>
      </c>
      <c r="AA385" s="6">
        <f>knicks_players_all_stats[[#This Row],[AST]]/knicks_players_all_stats[[#This Row],[GP]]</f>
        <v>4.9782608695652177</v>
      </c>
      <c r="AB385" s="2">
        <f>knicks_players_all_stats[[#This Row],[STL2]]/10</f>
        <v>25</v>
      </c>
      <c r="AC385" s="2">
        <v>250</v>
      </c>
      <c r="AD385" s="6">
        <f>knicks_players_all_stats[[#This Row],[STL]]/knicks_players_all_stats[[#This Row],[GP]]</f>
        <v>0.54347826086956519</v>
      </c>
      <c r="AE385">
        <v>120</v>
      </c>
      <c r="AF385" s="2">
        <f>knicks_players_all_stats[[#This Row],[BLK2]]/10</f>
        <v>12</v>
      </c>
      <c r="AG385" s="6">
        <f>knicks_players_all_stats[[#This Row],[BLK]]/knicks_players_all_stats[[#This Row],[GP]]</f>
        <v>0.2608695652173913</v>
      </c>
      <c r="AH385">
        <v>1590</v>
      </c>
      <c r="AI385" s="6">
        <f>knicks_players_all_stats[[#This Row],[BLKPG]]+knicks_players_all_stats[[#This Row],[STLPG]]+knicks_players_all_stats[[#This Row],[REBPG]]</f>
        <v>10</v>
      </c>
      <c r="AJ385" s="2">
        <f>knicks_players_all_stats[[#This Row],[TOV2]]/10</f>
        <v>159</v>
      </c>
      <c r="AK385" s="6">
        <f>knicks_players_all_stats[[#This Row],[TOV]]/knicks_players_all_stats[[#This Row],[GP]]</f>
        <v>3.4565217391304346</v>
      </c>
      <c r="AL385" s="2">
        <v>125</v>
      </c>
      <c r="AM385" s="2">
        <f>knicks_players_all_stats[[#This Row],[PF]]/knicks_players_all_stats[[#This Row],[GP]]</f>
        <v>2.7173913043478262</v>
      </c>
      <c r="AN385" s="2">
        <v>1102</v>
      </c>
      <c r="AO385" s="6">
        <f>knicks_players_all_stats[[#This Row],[PTS]]/knicks_players_all_stats[[#This Row],[GP]]</f>
        <v>23.956521739130434</v>
      </c>
    </row>
    <row r="386" spans="1:41" x14ac:dyDescent="0.3">
      <c r="A386" s="3" t="s">
        <v>1558</v>
      </c>
      <c r="B386" s="3" t="s">
        <v>1369</v>
      </c>
      <c r="C386" s="3" t="str">
        <f>knicks_players_all_stats[[#This Row],[NAME]]&amp;" ("&amp;knicks_players_all_stats[[#This Row],[SEASON]]&amp;")"</f>
        <v>Isaiah Hartenstein (2023-24)</v>
      </c>
      <c r="D386" s="3">
        <f>knicks_players_all_stats[[#This Row],[PLAYER_AGE]]/10</f>
        <v>26</v>
      </c>
      <c r="E386">
        <v>260</v>
      </c>
      <c r="F386" s="2">
        <v>75</v>
      </c>
      <c r="G386" s="2">
        <v>18960</v>
      </c>
      <c r="H38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1089</v>
      </c>
      <c r="I386" s="6">
        <f>knicks_players_all_stats[[#This Row],[VALORATION]]/knicks_players_all_stats[[#This Row],[GP]]</f>
        <v>14.52</v>
      </c>
      <c r="J386" s="2">
        <v>235</v>
      </c>
      <c r="K386" s="2">
        <v>365</v>
      </c>
      <c r="L386" s="4">
        <f>knicks_players_all_stats[[#This Row],[FGM]]/knicks_players_all_stats[[#This Row],[FGA]]</f>
        <v>0.64383561643835618</v>
      </c>
      <c r="M386" s="2">
        <v>10</v>
      </c>
      <c r="N386" s="2">
        <v>30</v>
      </c>
      <c r="O386" s="4">
        <f>knicks_players_all_stats[[#This Row],[FG3M]]/knicks_players_all_stats[[#This Row],[FG3A]]</f>
        <v>0.33333333333333331</v>
      </c>
      <c r="P386" s="2">
        <v>111</v>
      </c>
      <c r="Q386" s="2">
        <v>157</v>
      </c>
      <c r="R386" s="5">
        <f>knicks_players_all_stats[[#This Row],[FTM]]/knicks_players_all_stats[[#This Row],[FTA]]</f>
        <v>0.70700636942675155</v>
      </c>
      <c r="S386" s="2">
        <f>knicks_players_all_stats[[#This Row],[OREB22]]/10</f>
        <v>244</v>
      </c>
      <c r="T386" s="2">
        <f>knicks_players_all_stats[[#This Row],[DREB33]]/10</f>
        <v>382</v>
      </c>
      <c r="U386" s="2">
        <f>knicks_players_all_stats[[#This Row],[REB44]]/10</f>
        <v>626</v>
      </c>
      <c r="V386">
        <v>2440</v>
      </c>
      <c r="W386">
        <v>3820</v>
      </c>
      <c r="X386">
        <v>6260</v>
      </c>
      <c r="Y386" s="22">
        <f>knicks_players_all_stats[[#This Row],[REB]]/knicks_players_all_stats[[#This Row],[GP]]</f>
        <v>8.3466666666666658</v>
      </c>
      <c r="Z386" s="2">
        <v>188</v>
      </c>
      <c r="AA386" s="6">
        <f>knicks_players_all_stats[[#This Row],[AST]]/knicks_players_all_stats[[#This Row],[GP]]</f>
        <v>2.5066666666666668</v>
      </c>
      <c r="AB386" s="2">
        <f>knicks_players_all_stats[[#This Row],[STL2]]/10</f>
        <v>87</v>
      </c>
      <c r="AC386" s="2">
        <v>870</v>
      </c>
      <c r="AD386" s="6">
        <f>knicks_players_all_stats[[#This Row],[STL]]/knicks_players_all_stats[[#This Row],[GP]]</f>
        <v>1.1599999999999999</v>
      </c>
      <c r="AE386">
        <v>850</v>
      </c>
      <c r="AF386" s="2">
        <f>knicks_players_all_stats[[#This Row],[BLK2]]/10</f>
        <v>85</v>
      </c>
      <c r="AG386" s="6">
        <f>knicks_players_all_stats[[#This Row],[BLK]]/knicks_players_all_stats[[#This Row],[GP]]</f>
        <v>1.1333333333333333</v>
      </c>
      <c r="AH386">
        <v>930</v>
      </c>
      <c r="AI386" s="6">
        <f>knicks_players_all_stats[[#This Row],[BLKPG]]+knicks_players_all_stats[[#This Row],[STLPG]]+knicks_players_all_stats[[#This Row],[REBPG]]</f>
        <v>10.639999999999999</v>
      </c>
      <c r="AJ386" s="2">
        <f>knicks_players_all_stats[[#This Row],[TOV2]]/10</f>
        <v>93</v>
      </c>
      <c r="AK386" s="6">
        <f>knicks_players_all_stats[[#This Row],[TOV]]/knicks_players_all_stats[[#This Row],[GP]]</f>
        <v>1.24</v>
      </c>
      <c r="AL386" s="2">
        <v>210</v>
      </c>
      <c r="AM386" s="2">
        <f>knicks_players_all_stats[[#This Row],[PF]]/knicks_players_all_stats[[#This Row],[GP]]</f>
        <v>2.8</v>
      </c>
      <c r="AN386" s="2">
        <v>582</v>
      </c>
      <c r="AO386" s="6">
        <f>knicks_players_all_stats[[#This Row],[PTS]]/knicks_players_all_stats[[#This Row],[GP]]</f>
        <v>7.76</v>
      </c>
    </row>
    <row r="387" spans="1:41" x14ac:dyDescent="0.3">
      <c r="A387" s="3" t="s">
        <v>1562</v>
      </c>
      <c r="B387" s="3" t="s">
        <v>1369</v>
      </c>
      <c r="C387" s="3" t="str">
        <f>knicks_players_all_stats[[#This Row],[NAME]]&amp;" ("&amp;knicks_players_all_stats[[#This Row],[SEASON]]&amp;")"</f>
        <v>Josh Hart (2023-24)</v>
      </c>
      <c r="D387" s="3">
        <f>knicks_players_all_stats[[#This Row],[PLAYER_AGE]]/10</f>
        <v>29</v>
      </c>
      <c r="E387">
        <v>290</v>
      </c>
      <c r="F387" s="2">
        <v>81</v>
      </c>
      <c r="G387" s="2">
        <v>27070</v>
      </c>
      <c r="H38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1168</v>
      </c>
      <c r="I387" s="6">
        <f>knicks_players_all_stats[[#This Row],[VALORATION]]/knicks_players_all_stats[[#This Row],[GP]]</f>
        <v>14.419753086419753</v>
      </c>
      <c r="J387" s="2">
        <v>295</v>
      </c>
      <c r="K387" s="2">
        <v>679</v>
      </c>
      <c r="L387" s="4">
        <f>knicks_players_all_stats[[#This Row],[FGM]]/knicks_players_all_stats[[#This Row],[FGA]]</f>
        <v>0.43446244477172313</v>
      </c>
      <c r="M387" s="2">
        <v>800</v>
      </c>
      <c r="N387" s="2">
        <v>2580</v>
      </c>
      <c r="O387" s="4">
        <f>knicks_players_all_stats[[#This Row],[FG3M]]/knicks_players_all_stats[[#This Row],[FG3A]]</f>
        <v>0.31007751937984496</v>
      </c>
      <c r="P387" s="2">
        <v>91</v>
      </c>
      <c r="Q387" s="2">
        <v>115</v>
      </c>
      <c r="R387" s="5">
        <f>knicks_players_all_stats[[#This Row],[FTM]]/knicks_players_all_stats[[#This Row],[FTA]]</f>
        <v>0.79130434782608694</v>
      </c>
      <c r="S387" s="2">
        <f>knicks_players_all_stats[[#This Row],[OREB22]]/10</f>
        <v>128</v>
      </c>
      <c r="T387" s="2">
        <f>knicks_players_all_stats[[#This Row],[DREB33]]/10</f>
        <v>547</v>
      </c>
      <c r="U387" s="2">
        <f>knicks_players_all_stats[[#This Row],[REB44]]/10</f>
        <v>675</v>
      </c>
      <c r="V387">
        <v>1280</v>
      </c>
      <c r="W387">
        <v>5470</v>
      </c>
      <c r="X387">
        <v>6750</v>
      </c>
      <c r="Y387" s="22">
        <f>knicks_players_all_stats[[#This Row],[REB]]/knicks_players_all_stats[[#This Row],[GP]]</f>
        <v>8.3333333333333339</v>
      </c>
      <c r="Z387" s="2">
        <v>331</v>
      </c>
      <c r="AA387" s="6">
        <f>knicks_players_all_stats[[#This Row],[AST]]/knicks_players_all_stats[[#This Row],[GP]]</f>
        <v>4.0864197530864201</v>
      </c>
      <c r="AB387" s="2">
        <f>knicks_players_all_stats[[#This Row],[STL2]]/10</f>
        <v>75</v>
      </c>
      <c r="AC387" s="2">
        <v>750</v>
      </c>
      <c r="AD387" s="6">
        <f>knicks_players_all_stats[[#This Row],[STL]]/knicks_players_all_stats[[#This Row],[GP]]</f>
        <v>0.92592592592592593</v>
      </c>
      <c r="AE387">
        <v>230</v>
      </c>
      <c r="AF387" s="2">
        <f>knicks_players_all_stats[[#This Row],[BLK2]]/10</f>
        <v>23</v>
      </c>
      <c r="AG387" s="6">
        <f>knicks_players_all_stats[[#This Row],[BLK]]/knicks_players_all_stats[[#This Row],[GP]]</f>
        <v>0.2839506172839506</v>
      </c>
      <c r="AH387">
        <v>1180</v>
      </c>
      <c r="AI387" s="6">
        <f>knicks_players_all_stats[[#This Row],[BLKPG]]+knicks_players_all_stats[[#This Row],[STLPG]]+knicks_players_all_stats[[#This Row],[REBPG]]</f>
        <v>9.5432098765432105</v>
      </c>
      <c r="AJ387" s="2">
        <f>knicks_players_all_stats[[#This Row],[TOV2]]/10</f>
        <v>118</v>
      </c>
      <c r="AK387" s="6">
        <f>knicks_players_all_stats[[#This Row],[TOV]]/knicks_players_all_stats[[#This Row],[GP]]</f>
        <v>1.4567901234567902</v>
      </c>
      <c r="AL387" s="2">
        <v>171</v>
      </c>
      <c r="AM387" s="2">
        <f>knicks_players_all_stats[[#This Row],[PF]]/knicks_players_all_stats[[#This Row],[GP]]</f>
        <v>2.1111111111111112</v>
      </c>
      <c r="AN387" s="2">
        <v>761</v>
      </c>
      <c r="AO387" s="6">
        <f>knicks_players_all_stats[[#This Row],[PTS]]/knicks_players_all_stats[[#This Row],[GP]]</f>
        <v>9.3950617283950617</v>
      </c>
    </row>
    <row r="388" spans="1:41" x14ac:dyDescent="0.3">
      <c r="A388" s="3" t="s">
        <v>1618</v>
      </c>
      <c r="B388" s="3" t="s">
        <v>1369</v>
      </c>
      <c r="C388" s="3" t="str">
        <f>knicks_players_all_stats[[#This Row],[NAME]]&amp;" ("&amp;knicks_players_all_stats[[#This Row],[SEASON]]&amp;")"</f>
        <v>Donte DiVincenzo (2023-24)</v>
      </c>
      <c r="D388" s="3">
        <f>knicks_players_all_stats[[#This Row],[PLAYER_AGE]]/10</f>
        <v>27</v>
      </c>
      <c r="E388">
        <v>270</v>
      </c>
      <c r="F388" s="2">
        <v>81</v>
      </c>
      <c r="G388" s="2">
        <v>23600</v>
      </c>
      <c r="H38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1049</v>
      </c>
      <c r="I388" s="6">
        <f>knicks_players_all_stats[[#This Row],[VALORATION]]/knicks_players_all_stats[[#This Row],[GP]]</f>
        <v>12.950617283950617</v>
      </c>
      <c r="J388" s="2">
        <v>445</v>
      </c>
      <c r="K388" s="2">
        <v>1004</v>
      </c>
      <c r="L388" s="4">
        <f>knicks_players_all_stats[[#This Row],[FGM]]/knicks_players_all_stats[[#This Row],[FGA]]</f>
        <v>0.44322709163346613</v>
      </c>
      <c r="M388" s="2">
        <v>2830</v>
      </c>
      <c r="N388" s="2">
        <v>7050</v>
      </c>
      <c r="O388" s="4">
        <f>knicks_players_all_stats[[#This Row],[FG3M]]/knicks_players_all_stats[[#This Row],[FG3A]]</f>
        <v>0.40141843971631208</v>
      </c>
      <c r="P388" s="2">
        <v>86</v>
      </c>
      <c r="Q388" s="2">
        <v>114</v>
      </c>
      <c r="R388" s="5">
        <f>knicks_players_all_stats[[#This Row],[FTM]]/knicks_players_all_stats[[#This Row],[FTA]]</f>
        <v>0.75438596491228072</v>
      </c>
      <c r="S388" s="2">
        <f>knicks_players_all_stats[[#This Row],[OREB22]]/10</f>
        <v>63</v>
      </c>
      <c r="T388" s="2">
        <f>knicks_players_all_stats[[#This Row],[DREB33]]/10</f>
        <v>234</v>
      </c>
      <c r="U388" s="2">
        <f>knicks_players_all_stats[[#This Row],[REB44]]/10</f>
        <v>297</v>
      </c>
      <c r="V388">
        <v>630</v>
      </c>
      <c r="W388">
        <v>2340</v>
      </c>
      <c r="X388">
        <v>2970</v>
      </c>
      <c r="Y388" s="22">
        <f>knicks_players_all_stats[[#This Row],[REB]]/knicks_players_all_stats[[#This Row],[GP]]</f>
        <v>3.6666666666666665</v>
      </c>
      <c r="Z388" s="2">
        <v>216</v>
      </c>
      <c r="AA388" s="6">
        <f>knicks_players_all_stats[[#This Row],[AST]]/knicks_players_all_stats[[#This Row],[GP]]</f>
        <v>2.6666666666666665</v>
      </c>
      <c r="AB388" s="2">
        <f>knicks_players_all_stats[[#This Row],[STL2]]/10</f>
        <v>107</v>
      </c>
      <c r="AC388" s="2">
        <v>1070</v>
      </c>
      <c r="AD388" s="6">
        <f>knicks_players_all_stats[[#This Row],[STL]]/knicks_players_all_stats[[#This Row],[GP]]</f>
        <v>1.3209876543209877</v>
      </c>
      <c r="AE388">
        <v>360</v>
      </c>
      <c r="AF388" s="2">
        <f>knicks_players_all_stats[[#This Row],[BLK2]]/10</f>
        <v>36</v>
      </c>
      <c r="AG388" s="6">
        <f>knicks_players_all_stats[[#This Row],[BLK]]/knicks_players_all_stats[[#This Row],[GP]]</f>
        <v>0.44444444444444442</v>
      </c>
      <c r="AH388">
        <v>1130</v>
      </c>
      <c r="AI388" s="6">
        <f>knicks_players_all_stats[[#This Row],[BLKPG]]+knicks_players_all_stats[[#This Row],[STLPG]]+knicks_players_all_stats[[#This Row],[REBPG]]</f>
        <v>5.4320987654320989</v>
      </c>
      <c r="AJ388" s="2">
        <f>knicks_players_all_stats[[#This Row],[TOV2]]/10</f>
        <v>113</v>
      </c>
      <c r="AK388" s="6">
        <f>knicks_players_all_stats[[#This Row],[TOV]]/knicks_players_all_stats[[#This Row],[GP]]</f>
        <v>1.3950617283950617</v>
      </c>
      <c r="AL388" s="2">
        <v>166</v>
      </c>
      <c r="AM388" s="2">
        <f>knicks_players_all_stats[[#This Row],[PF]]/knicks_players_all_stats[[#This Row],[GP]]</f>
        <v>2.0493827160493829</v>
      </c>
      <c r="AN388" s="2">
        <v>1259</v>
      </c>
      <c r="AO388" s="6">
        <f>knicks_players_all_stats[[#This Row],[PTS]]/knicks_players_all_stats[[#This Row],[GP]]</f>
        <v>15.543209876543211</v>
      </c>
    </row>
    <row r="389" spans="1:41" customFormat="1" x14ac:dyDescent="0.3">
      <c r="A389" s="3" t="s">
        <v>1395</v>
      </c>
      <c r="B389" s="3" t="s">
        <v>1369</v>
      </c>
      <c r="C389" s="3" t="str">
        <f>knicks_players_all_stats[[#This Row],[NAME]]&amp;" ("&amp;knicks_players_all_stats[[#This Row],[SEASON]]&amp;")"</f>
        <v>RJ Barrett (2023-24)</v>
      </c>
      <c r="D389" s="3">
        <f>knicks_players_all_stats[[#This Row],[PLAYER_AGE]]/10</f>
        <v>24</v>
      </c>
      <c r="E389">
        <v>240</v>
      </c>
      <c r="F389" s="2">
        <v>26</v>
      </c>
      <c r="G389" s="2">
        <v>7670</v>
      </c>
      <c r="H38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332</v>
      </c>
      <c r="I389" s="6">
        <f>knicks_players_all_stats[[#This Row],[VALORATION]]/knicks_players_all_stats[[#This Row],[GP]]</f>
        <v>12.76923076923077</v>
      </c>
      <c r="J389" s="2">
        <v>164</v>
      </c>
      <c r="K389" s="2">
        <v>388</v>
      </c>
      <c r="L389" s="4">
        <f>knicks_players_all_stats[[#This Row],[FGM]]/knicks_players_all_stats[[#This Row],[FGA]]</f>
        <v>0.42268041237113402</v>
      </c>
      <c r="M389" s="2">
        <v>430</v>
      </c>
      <c r="N389" s="2">
        <v>1300</v>
      </c>
      <c r="O389" s="4">
        <f>knicks_players_all_stats[[#This Row],[FG3M]]/knicks_players_all_stats[[#This Row],[FG3A]]</f>
        <v>0.33076923076923076</v>
      </c>
      <c r="P389" s="2">
        <v>103</v>
      </c>
      <c r="Q389" s="2">
        <v>124</v>
      </c>
      <c r="R389" s="5">
        <f>knicks_players_all_stats[[#This Row],[FTM]]/knicks_players_all_stats[[#This Row],[FTA]]</f>
        <v>0.83064516129032262</v>
      </c>
      <c r="S389" s="2">
        <f>knicks_players_all_stats[[#This Row],[OREB22]]/10</f>
        <v>19</v>
      </c>
      <c r="T389" s="2">
        <f>knicks_players_all_stats[[#This Row],[DREB33]]/10</f>
        <v>92</v>
      </c>
      <c r="U389" s="2">
        <f>knicks_players_all_stats[[#This Row],[REB44]]/10</f>
        <v>111</v>
      </c>
      <c r="V389">
        <v>190</v>
      </c>
      <c r="W389">
        <v>920</v>
      </c>
      <c r="X389">
        <v>1110</v>
      </c>
      <c r="Y389" s="22">
        <f>knicks_players_all_stats[[#This Row],[REB]]/knicks_players_all_stats[[#This Row],[GP]]</f>
        <v>4.2692307692307692</v>
      </c>
      <c r="Z389" s="2">
        <v>63</v>
      </c>
      <c r="AA389" s="6">
        <f>knicks_players_all_stats[[#This Row],[AST]]/knicks_players_all_stats[[#This Row],[GP]]</f>
        <v>2.4230769230769229</v>
      </c>
      <c r="AB389" s="2">
        <f>knicks_players_all_stats[[#This Row],[STL2]]/10</f>
        <v>12</v>
      </c>
      <c r="AC389" s="2">
        <v>120</v>
      </c>
      <c r="AD389" s="6">
        <f>knicks_players_all_stats[[#This Row],[STL]]/knicks_players_all_stats[[#This Row],[GP]]</f>
        <v>0.46153846153846156</v>
      </c>
      <c r="AE389">
        <v>90</v>
      </c>
      <c r="AF389" s="2">
        <f>knicks_players_all_stats[[#This Row],[BLK2]]/10</f>
        <v>9</v>
      </c>
      <c r="AG389" s="6">
        <f>knicks_players_all_stats[[#This Row],[BLK]]/knicks_players_all_stats[[#This Row],[GP]]</f>
        <v>0.34615384615384615</v>
      </c>
      <c r="AH389">
        <v>470</v>
      </c>
      <c r="AI389" s="6">
        <f>knicks_players_all_stats[[#This Row],[BLKPG]]+knicks_players_all_stats[[#This Row],[STLPG]]+knicks_players_all_stats[[#This Row],[REBPG]]</f>
        <v>5.0769230769230766</v>
      </c>
      <c r="AJ389" s="2">
        <f>knicks_players_all_stats[[#This Row],[TOV2]]/10</f>
        <v>47</v>
      </c>
      <c r="AK389" s="6">
        <f>knicks_players_all_stats[[#This Row],[TOV]]/knicks_players_all_stats[[#This Row],[GP]]</f>
        <v>1.8076923076923077</v>
      </c>
      <c r="AL389" s="2">
        <v>45</v>
      </c>
      <c r="AM389" s="2">
        <f>knicks_players_all_stats[[#This Row],[PF]]/knicks_players_all_stats[[#This Row],[GP]]</f>
        <v>1.7307692307692308</v>
      </c>
      <c r="AN389" s="2">
        <v>474</v>
      </c>
      <c r="AO389" s="6">
        <f>knicks_players_all_stats[[#This Row],[PTS]]/knicks_players_all_stats[[#This Row],[GP]]</f>
        <v>18.23076923076923</v>
      </c>
    </row>
    <row r="390" spans="1:41" customFormat="1" x14ac:dyDescent="0.3">
      <c r="A390" s="3" t="s">
        <v>1490</v>
      </c>
      <c r="B390" s="3" t="s">
        <v>1369</v>
      </c>
      <c r="C390" s="3" t="str">
        <f>knicks_players_all_stats[[#This Row],[NAME]]&amp;" ("&amp;knicks_players_all_stats[[#This Row],[SEASON]]&amp;")"</f>
        <v>OG Anunoby (2023-24)</v>
      </c>
      <c r="D390" s="3">
        <f>knicks_players_all_stats[[#This Row],[PLAYER_AGE]]/10</f>
        <v>26</v>
      </c>
      <c r="E390">
        <v>260</v>
      </c>
      <c r="F390" s="2">
        <v>23</v>
      </c>
      <c r="G390" s="2">
        <v>8020</v>
      </c>
      <c r="H39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290</v>
      </c>
      <c r="I390" s="6">
        <f>knicks_players_all_stats[[#This Row],[VALORATION]]/knicks_players_all_stats[[#This Row],[GP]]</f>
        <v>12.608695652173912</v>
      </c>
      <c r="J390" s="2">
        <v>125</v>
      </c>
      <c r="K390" s="2">
        <v>256</v>
      </c>
      <c r="L390" s="4">
        <f>knicks_players_all_stats[[#This Row],[FGM]]/knicks_players_all_stats[[#This Row],[FGA]]</f>
        <v>0.48828125</v>
      </c>
      <c r="M390" s="2">
        <v>410</v>
      </c>
      <c r="N390" s="2">
        <v>1040</v>
      </c>
      <c r="O390" s="4">
        <f>knicks_players_all_stats[[#This Row],[FG3M]]/knicks_players_all_stats[[#This Row],[FG3A]]</f>
        <v>0.39423076923076922</v>
      </c>
      <c r="P390" s="2">
        <v>34</v>
      </c>
      <c r="Q390" s="2">
        <v>43</v>
      </c>
      <c r="R390" s="5">
        <f>knicks_players_all_stats[[#This Row],[FTM]]/knicks_players_all_stats[[#This Row],[FTA]]</f>
        <v>0.79069767441860461</v>
      </c>
      <c r="S390" s="2">
        <f>knicks_players_all_stats[[#This Row],[OREB22]]/10</f>
        <v>23</v>
      </c>
      <c r="T390" s="2">
        <f>knicks_players_all_stats[[#This Row],[DREB33]]/10</f>
        <v>79</v>
      </c>
      <c r="U390" s="2">
        <f>knicks_players_all_stats[[#This Row],[REB44]]/10</f>
        <v>102</v>
      </c>
      <c r="V390">
        <v>230</v>
      </c>
      <c r="W390">
        <v>790</v>
      </c>
      <c r="X390">
        <v>1020</v>
      </c>
      <c r="Y390" s="22">
        <f>knicks_players_all_stats[[#This Row],[REB]]/knicks_players_all_stats[[#This Row],[GP]]</f>
        <v>4.4347826086956523</v>
      </c>
      <c r="Z390" s="2">
        <v>35</v>
      </c>
      <c r="AA390" s="6">
        <f>knicks_players_all_stats[[#This Row],[AST]]/knicks_players_all_stats[[#This Row],[GP]]</f>
        <v>1.5217391304347827</v>
      </c>
      <c r="AB390" s="2">
        <f>knicks_players_all_stats[[#This Row],[STL2]]/10</f>
        <v>40</v>
      </c>
      <c r="AC390" s="2">
        <v>400</v>
      </c>
      <c r="AD390" s="6">
        <f>knicks_players_all_stats[[#This Row],[STL]]/knicks_players_all_stats[[#This Row],[GP]]</f>
        <v>1.7391304347826086</v>
      </c>
      <c r="AE390">
        <v>230</v>
      </c>
      <c r="AF390" s="2">
        <f>knicks_players_all_stats[[#This Row],[BLK2]]/10</f>
        <v>23</v>
      </c>
      <c r="AG390" s="6">
        <f>knicks_players_all_stats[[#This Row],[BLK]]/knicks_players_all_stats[[#This Row],[GP]]</f>
        <v>1</v>
      </c>
      <c r="AH390">
        <v>380</v>
      </c>
      <c r="AI390" s="6">
        <f>knicks_players_all_stats[[#This Row],[BLKPG]]+knicks_players_all_stats[[#This Row],[STLPG]]+knicks_players_all_stats[[#This Row],[REBPG]]</f>
        <v>7.1739130434782608</v>
      </c>
      <c r="AJ390" s="2">
        <f>knicks_players_all_stats[[#This Row],[TOV2]]/10</f>
        <v>38</v>
      </c>
      <c r="AK390" s="6">
        <f>knicks_players_all_stats[[#This Row],[TOV]]/knicks_players_all_stats[[#This Row],[GP]]</f>
        <v>1.6521739130434783</v>
      </c>
      <c r="AL390" s="2">
        <v>57</v>
      </c>
      <c r="AM390" s="2">
        <f>knicks_players_all_stats[[#This Row],[PF]]/knicks_players_all_stats[[#This Row],[GP]]</f>
        <v>2.4782608695652173</v>
      </c>
      <c r="AN390" s="2">
        <v>325</v>
      </c>
      <c r="AO390" s="6">
        <f>knicks_players_all_stats[[#This Row],[PTS]]/knicks_players_all_stats[[#This Row],[GP]]</f>
        <v>14.130434782608695</v>
      </c>
    </row>
    <row r="391" spans="1:41" x14ac:dyDescent="0.3">
      <c r="A391" s="3" t="s">
        <v>1496</v>
      </c>
      <c r="B391" s="3" t="s">
        <v>1369</v>
      </c>
      <c r="C391" s="3" t="str">
        <f>knicks_players_all_stats[[#This Row],[NAME]]&amp;" ("&amp;knicks_players_all_stats[[#This Row],[SEASON]]&amp;")"</f>
        <v>Immanuel Quickley (2023-24)</v>
      </c>
      <c r="D391" s="3">
        <f>knicks_players_all_stats[[#This Row],[PLAYER_AGE]]/10</f>
        <v>25</v>
      </c>
      <c r="E391">
        <v>250</v>
      </c>
      <c r="F391" s="2">
        <v>30</v>
      </c>
      <c r="G391" s="2">
        <v>7200</v>
      </c>
      <c r="H39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350</v>
      </c>
      <c r="I391" s="6">
        <f>knicks_players_all_stats[[#This Row],[VALORATION]]/knicks_players_all_stats[[#This Row],[GP]]</f>
        <v>11.666666666666666</v>
      </c>
      <c r="J391" s="2">
        <v>152</v>
      </c>
      <c r="K391" s="2">
        <v>335</v>
      </c>
      <c r="L391" s="4">
        <f>knicks_players_all_stats[[#This Row],[FGM]]/knicks_players_all_stats[[#This Row],[FGA]]</f>
        <v>0.45373134328358211</v>
      </c>
      <c r="M391" s="2">
        <v>640</v>
      </c>
      <c r="N391" s="2">
        <v>1620</v>
      </c>
      <c r="O391" s="4">
        <f>knicks_players_all_stats[[#This Row],[FG3M]]/knicks_players_all_stats[[#This Row],[FG3A]]</f>
        <v>0.39506172839506171</v>
      </c>
      <c r="P391" s="2">
        <v>82</v>
      </c>
      <c r="Q391" s="2">
        <v>94</v>
      </c>
      <c r="R391" s="5">
        <f>knicks_players_all_stats[[#This Row],[FTM]]/knicks_players_all_stats[[#This Row],[FTA]]</f>
        <v>0.87234042553191493</v>
      </c>
      <c r="S391" s="2">
        <f>knicks_players_all_stats[[#This Row],[OREB22]]/10</f>
        <v>5</v>
      </c>
      <c r="T391" s="2">
        <f>knicks_players_all_stats[[#This Row],[DREB33]]/10</f>
        <v>72</v>
      </c>
      <c r="U391" s="2">
        <f>knicks_players_all_stats[[#This Row],[REB44]]/10</f>
        <v>77</v>
      </c>
      <c r="V391">
        <v>50</v>
      </c>
      <c r="W391">
        <v>720</v>
      </c>
      <c r="X391">
        <v>770</v>
      </c>
      <c r="Y391" s="22">
        <f>knicks_players_all_stats[[#This Row],[REB]]/knicks_players_all_stats[[#This Row],[GP]]</f>
        <v>2.5666666666666669</v>
      </c>
      <c r="Z391" s="2">
        <v>74</v>
      </c>
      <c r="AA391" s="6">
        <f>knicks_players_all_stats[[#This Row],[AST]]/knicks_players_all_stats[[#This Row],[GP]]</f>
        <v>2.4666666666666668</v>
      </c>
      <c r="AB391" s="2">
        <f>knicks_players_all_stats[[#This Row],[STL2]]/10</f>
        <v>16</v>
      </c>
      <c r="AC391" s="2">
        <v>160</v>
      </c>
      <c r="AD391" s="6">
        <f>knicks_players_all_stats[[#This Row],[STL]]/knicks_players_all_stats[[#This Row],[GP]]</f>
        <v>0.53333333333333333</v>
      </c>
      <c r="AE391">
        <v>30</v>
      </c>
      <c r="AF391" s="2">
        <f>knicks_players_all_stats[[#This Row],[BLK2]]/10</f>
        <v>3</v>
      </c>
      <c r="AG391" s="6">
        <f>knicks_players_all_stats[[#This Row],[BLK]]/knicks_players_all_stats[[#This Row],[GP]]</f>
        <v>0.1</v>
      </c>
      <c r="AH391">
        <v>310</v>
      </c>
      <c r="AI391" s="6">
        <f>knicks_players_all_stats[[#This Row],[BLKPG]]+knicks_players_all_stats[[#This Row],[STLPG]]+knicks_players_all_stats[[#This Row],[REBPG]]</f>
        <v>3.2</v>
      </c>
      <c r="AJ391" s="2">
        <f>knicks_players_all_stats[[#This Row],[TOV2]]/10</f>
        <v>31</v>
      </c>
      <c r="AK391" s="6">
        <f>knicks_players_all_stats[[#This Row],[TOV]]/knicks_players_all_stats[[#This Row],[GP]]</f>
        <v>1.0333333333333334</v>
      </c>
      <c r="AL391" s="2">
        <v>44</v>
      </c>
      <c r="AM391" s="2">
        <f>knicks_players_all_stats[[#This Row],[PF]]/knicks_players_all_stats[[#This Row],[GP]]</f>
        <v>1.4666666666666666</v>
      </c>
      <c r="AN391" s="2">
        <v>450</v>
      </c>
      <c r="AO391" s="6">
        <f>knicks_players_all_stats[[#This Row],[PTS]]/knicks_players_all_stats[[#This Row],[GP]]</f>
        <v>15</v>
      </c>
    </row>
    <row r="392" spans="1:41" customFormat="1" x14ac:dyDescent="0.3">
      <c r="A392" s="3" t="s">
        <v>1534</v>
      </c>
      <c r="B392" s="3" t="s">
        <v>1369</v>
      </c>
      <c r="C392" s="3" t="str">
        <f>knicks_players_all_stats[[#This Row],[NAME]]&amp;" ("&amp;knicks_players_all_stats[[#This Row],[SEASON]]&amp;")"</f>
        <v>Mitchell Robinson (2023-24)</v>
      </c>
      <c r="D392" s="3">
        <f>knicks_players_all_stats[[#This Row],[PLAYER_AGE]]/10</f>
        <v>26</v>
      </c>
      <c r="E392">
        <v>260</v>
      </c>
      <c r="F392" s="2">
        <v>31</v>
      </c>
      <c r="G392" s="2">
        <v>7680</v>
      </c>
      <c r="H39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353</v>
      </c>
      <c r="I392" s="6">
        <f>knicks_players_all_stats[[#This Row],[VALORATION]]/knicks_players_all_stats[[#This Row],[GP]]</f>
        <v>11.387096774193548</v>
      </c>
      <c r="J392" s="2">
        <v>73</v>
      </c>
      <c r="K392" s="2">
        <v>127</v>
      </c>
      <c r="L392" s="4">
        <f>knicks_players_all_stats[[#This Row],[FGM]]/knicks_players_all_stats[[#This Row],[FGA]]</f>
        <v>0.57480314960629919</v>
      </c>
      <c r="M392" s="2">
        <v>0</v>
      </c>
      <c r="N392" s="2">
        <v>0</v>
      </c>
      <c r="O392" s="4" t="e">
        <f>knicks_players_all_stats[[#This Row],[FG3M]]/knicks_players_all_stats[[#This Row],[FG3A]]</f>
        <v>#DIV/0!</v>
      </c>
      <c r="P392" s="2">
        <v>27</v>
      </c>
      <c r="Q392" s="2">
        <v>66</v>
      </c>
      <c r="R392" s="5">
        <f>knicks_players_all_stats[[#This Row],[FTM]]/knicks_players_all_stats[[#This Row],[FTA]]</f>
        <v>0.40909090909090912</v>
      </c>
      <c r="S392" s="2">
        <f>knicks_players_all_stats[[#This Row],[OREB22]]/10</f>
        <v>142</v>
      </c>
      <c r="T392" s="2">
        <f>knicks_players_all_stats[[#This Row],[DREB33]]/10</f>
        <v>121</v>
      </c>
      <c r="U392" s="2">
        <f>knicks_players_all_stats[[#This Row],[REB44]]/10</f>
        <v>263</v>
      </c>
      <c r="V392">
        <v>1420</v>
      </c>
      <c r="W392">
        <v>1210</v>
      </c>
      <c r="X392">
        <v>2630</v>
      </c>
      <c r="Y392" s="22">
        <f>knicks_players_all_stats[[#This Row],[REB]]/knicks_players_all_stats[[#This Row],[GP]]</f>
        <v>8.4838709677419359</v>
      </c>
      <c r="Z392" s="2">
        <v>18</v>
      </c>
      <c r="AA392" s="6">
        <f>knicks_players_all_stats[[#This Row],[AST]]/knicks_players_all_stats[[#This Row],[GP]]</f>
        <v>0.58064516129032262</v>
      </c>
      <c r="AB392" s="2">
        <f>knicks_players_all_stats[[#This Row],[STL2]]/10</f>
        <v>37</v>
      </c>
      <c r="AC392" s="2">
        <v>370</v>
      </c>
      <c r="AD392" s="6">
        <f>knicks_players_all_stats[[#This Row],[STL]]/knicks_players_all_stats[[#This Row],[GP]]</f>
        <v>1.1935483870967742</v>
      </c>
      <c r="AE392">
        <v>350</v>
      </c>
      <c r="AF392" s="2">
        <f>knicks_players_all_stats[[#This Row],[BLK2]]/10</f>
        <v>35</v>
      </c>
      <c r="AG392" s="6">
        <f>knicks_players_all_stats[[#This Row],[BLK]]/knicks_players_all_stats[[#This Row],[GP]]</f>
        <v>1.1290322580645162</v>
      </c>
      <c r="AH392">
        <v>250</v>
      </c>
      <c r="AI392" s="6">
        <f>knicks_players_all_stats[[#This Row],[BLKPG]]+knicks_players_all_stats[[#This Row],[STLPG]]+knicks_players_all_stats[[#This Row],[REBPG]]</f>
        <v>10.806451612903226</v>
      </c>
      <c r="AJ392" s="2">
        <f>knicks_players_all_stats[[#This Row],[TOV2]]/10</f>
        <v>25</v>
      </c>
      <c r="AK392" s="6">
        <f>knicks_players_all_stats[[#This Row],[TOV]]/knicks_players_all_stats[[#This Row],[GP]]</f>
        <v>0.80645161290322576</v>
      </c>
      <c r="AL392" s="2">
        <v>55</v>
      </c>
      <c r="AM392" s="2">
        <f>knicks_players_all_stats[[#This Row],[PF]]/knicks_players_all_stats[[#This Row],[GP]]</f>
        <v>1.7741935483870968</v>
      </c>
      <c r="AN392" s="2">
        <v>173</v>
      </c>
      <c r="AO392" s="6">
        <f>knicks_players_all_stats[[#This Row],[PTS]]/knicks_players_all_stats[[#This Row],[GP]]</f>
        <v>5.580645161290323</v>
      </c>
    </row>
    <row r="393" spans="1:41" customFormat="1" x14ac:dyDescent="0.3">
      <c r="A393" s="3" t="s">
        <v>1762</v>
      </c>
      <c r="B393" s="3" t="s">
        <v>1369</v>
      </c>
      <c r="C393" s="3" t="str">
        <f>knicks_players_all_stats[[#This Row],[NAME]]&amp;" ("&amp;knicks_players_all_stats[[#This Row],[SEASON]]&amp;")"</f>
        <v>Precious Achiuwa (2023-24)</v>
      </c>
      <c r="D393" s="3">
        <f>knicks_players_all_stats[[#This Row],[PLAYER_AGE]]/10</f>
        <v>24</v>
      </c>
      <c r="E393">
        <v>240</v>
      </c>
      <c r="F393" s="2">
        <v>49</v>
      </c>
      <c r="G393" s="2">
        <v>11870</v>
      </c>
      <c r="H39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538</v>
      </c>
      <c r="I393" s="6">
        <f>knicks_players_all_stats[[#This Row],[VALORATION]]/knicks_players_all_stats[[#This Row],[GP]]</f>
        <v>10.979591836734693</v>
      </c>
      <c r="J393" s="2">
        <v>157</v>
      </c>
      <c r="K393" s="2">
        <v>299</v>
      </c>
      <c r="L393" s="2">
        <v>525</v>
      </c>
      <c r="M393" s="2">
        <v>130</v>
      </c>
      <c r="N393" s="2">
        <v>500</v>
      </c>
      <c r="O393" s="4">
        <f>knicks_players_all_stats[[#This Row],[FG3M]]/knicks_players_all_stats[[#This Row],[FG3A]]</f>
        <v>0.26</v>
      </c>
      <c r="P393" s="2">
        <v>45</v>
      </c>
      <c r="Q393" s="2">
        <v>70</v>
      </c>
      <c r="R393" s="5">
        <f>knicks_players_all_stats[[#This Row],[FTM]]/knicks_players_all_stats[[#This Row],[FTA]]</f>
        <v>0.6428571428571429</v>
      </c>
      <c r="S393" s="2">
        <f>knicks_players_all_stats[[#This Row],[OREB22]]/10</f>
        <v>141</v>
      </c>
      <c r="T393" s="2">
        <f>knicks_players_all_stats[[#This Row],[DREB33]]/10</f>
        <v>210</v>
      </c>
      <c r="U393" s="2">
        <f>knicks_players_all_stats[[#This Row],[REB44]]/10</f>
        <v>351</v>
      </c>
      <c r="V393">
        <v>1410</v>
      </c>
      <c r="W393">
        <v>2100</v>
      </c>
      <c r="X393">
        <v>3510</v>
      </c>
      <c r="Y393" s="22">
        <f>knicks_players_all_stats[[#This Row],[REB]]/knicks_players_all_stats[[#This Row],[GP]]</f>
        <v>7.1632653061224492</v>
      </c>
      <c r="Z393" s="2">
        <v>53</v>
      </c>
      <c r="AA393" s="6">
        <f>knicks_players_all_stats[[#This Row],[AST]]/knicks_players_all_stats[[#This Row],[GP]]</f>
        <v>1.0816326530612246</v>
      </c>
      <c r="AB393" s="2">
        <f>knicks_players_all_stats[[#This Row],[STL2]]/10</f>
        <v>30</v>
      </c>
      <c r="AC393" s="2">
        <v>300</v>
      </c>
      <c r="AD393" s="6">
        <f>knicks_players_all_stats[[#This Row],[STL]]/knicks_players_all_stats[[#This Row],[GP]]</f>
        <v>0.61224489795918369</v>
      </c>
      <c r="AE393">
        <v>560</v>
      </c>
      <c r="AF393" s="2">
        <f>knicks_players_all_stats[[#This Row],[BLK2]]/10</f>
        <v>56</v>
      </c>
      <c r="AG393" s="6">
        <f>knicks_players_all_stats[[#This Row],[BLK]]/knicks_players_all_stats[[#This Row],[GP]]</f>
        <v>1.1428571428571428</v>
      </c>
      <c r="AH393">
        <v>540</v>
      </c>
      <c r="AI393" s="6">
        <f>knicks_players_all_stats[[#This Row],[BLKPG]]+knicks_players_all_stats[[#This Row],[STLPG]]+knicks_players_all_stats[[#This Row],[REBPG]]</f>
        <v>8.9183673469387763</v>
      </c>
      <c r="AJ393" s="2">
        <f>knicks_players_all_stats[[#This Row],[TOV2]]/10</f>
        <v>54</v>
      </c>
      <c r="AK393" s="6">
        <f>knicks_players_all_stats[[#This Row],[TOV]]/knicks_players_all_stats[[#This Row],[GP]]</f>
        <v>1.1020408163265305</v>
      </c>
      <c r="AL393" s="2">
        <v>103</v>
      </c>
      <c r="AM393" s="2">
        <f>knicks_players_all_stats[[#This Row],[PF]]/knicks_players_all_stats[[#This Row],[GP]]</f>
        <v>2.1020408163265305</v>
      </c>
      <c r="AN393" s="2">
        <v>372</v>
      </c>
      <c r="AO393" s="6">
        <f>knicks_players_all_stats[[#This Row],[PTS]]/knicks_players_all_stats[[#This Row],[GP]]</f>
        <v>7.591836734693878</v>
      </c>
    </row>
    <row r="394" spans="1:41" customFormat="1" x14ac:dyDescent="0.3">
      <c r="A394" s="3" t="s">
        <v>1438</v>
      </c>
      <c r="B394" s="3" t="s">
        <v>1369</v>
      </c>
      <c r="C394" s="3" t="str">
        <f>knicks_players_all_stats[[#This Row],[NAME]]&amp;" ("&amp;knicks_players_all_stats[[#This Row],[SEASON]]&amp;")"</f>
        <v>Miles McBride (2023-24)</v>
      </c>
      <c r="D394" s="3">
        <f>knicks_players_all_stats[[#This Row],[PLAYER_AGE]]/10</f>
        <v>23</v>
      </c>
      <c r="E394">
        <v>230</v>
      </c>
      <c r="F394" s="2">
        <v>68</v>
      </c>
      <c r="G394" s="2">
        <v>13280</v>
      </c>
      <c r="H39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439</v>
      </c>
      <c r="I394" s="6">
        <f>knicks_players_all_stats[[#This Row],[VALORATION]]/knicks_players_all_stats[[#This Row],[GP]]</f>
        <v>6.4558823529411766</v>
      </c>
      <c r="J394" s="2">
        <v>205</v>
      </c>
      <c r="K394" s="2">
        <v>454</v>
      </c>
      <c r="L394" s="4">
        <f>knicks_players_all_stats[[#This Row],[FGM]]/knicks_players_all_stats[[#This Row],[FGA]]</f>
        <v>0.45154185022026433</v>
      </c>
      <c r="M394" s="2">
        <v>1090</v>
      </c>
      <c r="N394" s="2">
        <v>2660</v>
      </c>
      <c r="O394" s="4">
        <f>knicks_players_all_stats[[#This Row],[FG3M]]/knicks_players_all_stats[[#This Row],[FG3A]]</f>
        <v>0.40977443609022557</v>
      </c>
      <c r="P394" s="2">
        <v>43</v>
      </c>
      <c r="Q394" s="2">
        <v>50</v>
      </c>
      <c r="R394" s="5">
        <f>knicks_players_all_stats[[#This Row],[FTM]]/knicks_players_all_stats[[#This Row],[FTA]]</f>
        <v>0.86</v>
      </c>
      <c r="S394" s="2">
        <f>knicks_players_all_stats[[#This Row],[OREB22]]/10</f>
        <v>31</v>
      </c>
      <c r="T394" s="2">
        <f>knicks_players_all_stats[[#This Row],[DREB33]]/10</f>
        <v>69</v>
      </c>
      <c r="U394" s="2">
        <f>knicks_players_all_stats[[#This Row],[REB44]]/10</f>
        <v>100</v>
      </c>
      <c r="V394">
        <v>310</v>
      </c>
      <c r="W394">
        <v>690</v>
      </c>
      <c r="X394">
        <v>1000</v>
      </c>
      <c r="Y394" s="22">
        <f>knicks_players_all_stats[[#This Row],[REB]]/knicks_players_all_stats[[#This Row],[GP]]</f>
        <v>1.4705882352941178</v>
      </c>
      <c r="Z394" s="2">
        <v>114</v>
      </c>
      <c r="AA394" s="6">
        <f>knicks_players_all_stats[[#This Row],[AST]]/knicks_players_all_stats[[#This Row],[GP]]</f>
        <v>1.6764705882352942</v>
      </c>
      <c r="AB394" s="2">
        <f>knicks_players_all_stats[[#This Row],[STL2]]/10</f>
        <v>50</v>
      </c>
      <c r="AC394" s="2">
        <v>500</v>
      </c>
      <c r="AD394" s="6">
        <f>knicks_players_all_stats[[#This Row],[STL]]/knicks_players_all_stats[[#This Row],[GP]]</f>
        <v>0.73529411764705888</v>
      </c>
      <c r="AE394">
        <v>70</v>
      </c>
      <c r="AF394" s="2">
        <f>knicks_players_all_stats[[#This Row],[BLK2]]/10</f>
        <v>7</v>
      </c>
      <c r="AG394" s="6">
        <f>knicks_players_all_stats[[#This Row],[BLK]]/knicks_players_all_stats[[#This Row],[GP]]</f>
        <v>0.10294117647058823</v>
      </c>
      <c r="AH394">
        <v>300</v>
      </c>
      <c r="AI394" s="6">
        <f>knicks_players_all_stats[[#This Row],[BLKPG]]+knicks_players_all_stats[[#This Row],[STLPG]]+knicks_players_all_stats[[#This Row],[REBPG]]</f>
        <v>2.3088235294117649</v>
      </c>
      <c r="AJ394" s="2">
        <f>knicks_players_all_stats[[#This Row],[TOV2]]/10</f>
        <v>30</v>
      </c>
      <c r="AK394" s="6">
        <f>knicks_players_all_stats[[#This Row],[TOV]]/knicks_players_all_stats[[#This Row],[GP]]</f>
        <v>0.44117647058823528</v>
      </c>
      <c r="AL394" s="2">
        <v>108</v>
      </c>
      <c r="AM394" s="2">
        <f>knicks_players_all_stats[[#This Row],[PF]]/knicks_players_all_stats[[#This Row],[GP]]</f>
        <v>1.588235294117647</v>
      </c>
      <c r="AN394" s="2">
        <v>562</v>
      </c>
      <c r="AO394" s="6">
        <f>knicks_players_all_stats[[#This Row],[PTS]]/knicks_players_all_stats[[#This Row],[GP]]</f>
        <v>8.264705882352942</v>
      </c>
    </row>
    <row r="395" spans="1:41" customFormat="1" x14ac:dyDescent="0.3">
      <c r="A395" s="3" t="s">
        <v>1752</v>
      </c>
      <c r="B395" s="3" t="s">
        <v>1369</v>
      </c>
      <c r="C395" s="3" t="str">
        <f>knicks_players_all_stats[[#This Row],[NAME]]&amp;" ("&amp;knicks_players_all_stats[[#This Row],[SEASON]]&amp;")"</f>
        <v>Bojan Bogdanovic (2023-24)</v>
      </c>
      <c r="D395" s="3">
        <f>knicks_players_all_stats[[#This Row],[PLAYER_AGE]]/10</f>
        <v>35</v>
      </c>
      <c r="E395">
        <v>350</v>
      </c>
      <c r="F395" s="2">
        <v>29</v>
      </c>
      <c r="G395" s="2">
        <v>5570</v>
      </c>
      <c r="H39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164</v>
      </c>
      <c r="I395" s="6">
        <f>knicks_players_all_stats[[#This Row],[VALORATION]]/knicks_players_all_stats[[#This Row],[GP]]</f>
        <v>5.6551724137931032</v>
      </c>
      <c r="J395" s="2">
        <v>110</v>
      </c>
      <c r="K395" s="2">
        <v>256</v>
      </c>
      <c r="L395" s="2">
        <v>43</v>
      </c>
      <c r="M395" s="2">
        <v>470</v>
      </c>
      <c r="N395" s="2">
        <v>1270</v>
      </c>
      <c r="O395" s="4">
        <f>knicks_players_all_stats[[#This Row],[FG3M]]/knicks_players_all_stats[[#This Row],[FG3A]]</f>
        <v>0.37007874015748032</v>
      </c>
      <c r="P395" s="2">
        <v>36</v>
      </c>
      <c r="Q395" s="2">
        <v>45</v>
      </c>
      <c r="R395" s="5">
        <f>knicks_players_all_stats[[#This Row],[FTM]]/knicks_players_all_stats[[#This Row],[FTA]]</f>
        <v>0.8</v>
      </c>
      <c r="S395" s="2">
        <f>knicks_players_all_stats[[#This Row],[OREB22]]/10</f>
        <v>9</v>
      </c>
      <c r="T395" s="2">
        <f>knicks_players_all_stats[[#This Row],[DREB33]]/10</f>
        <v>49</v>
      </c>
      <c r="U395" s="2">
        <f>knicks_players_all_stats[[#This Row],[REB44]]/10</f>
        <v>58</v>
      </c>
      <c r="V395">
        <v>90</v>
      </c>
      <c r="W395">
        <v>490</v>
      </c>
      <c r="X395">
        <v>580</v>
      </c>
      <c r="Y395" s="22">
        <f>knicks_players_all_stats[[#This Row],[REB]]/knicks_players_all_stats[[#This Row],[GP]]</f>
        <v>2</v>
      </c>
      <c r="Z395" s="2">
        <v>26</v>
      </c>
      <c r="AA395" s="6">
        <f>knicks_players_all_stats[[#This Row],[AST]]/knicks_players_all_stats[[#This Row],[GP]]</f>
        <v>0.89655172413793105</v>
      </c>
      <c r="AB395" s="2">
        <f>knicks_players_all_stats[[#This Row],[STL2]]/10</f>
        <v>7</v>
      </c>
      <c r="AC395" s="2">
        <v>70</v>
      </c>
      <c r="AD395" s="6">
        <f>knicks_players_all_stats[[#This Row],[STL]]/knicks_players_all_stats[[#This Row],[GP]]</f>
        <v>0.2413793103448276</v>
      </c>
      <c r="AE395">
        <v>10</v>
      </c>
      <c r="AF395" s="2">
        <f>knicks_players_all_stats[[#This Row],[BLK2]]/10</f>
        <v>1</v>
      </c>
      <c r="AG395" s="6">
        <f>knicks_players_all_stats[[#This Row],[BLK]]/knicks_players_all_stats[[#This Row],[GP]]</f>
        <v>3.4482758620689655E-2</v>
      </c>
      <c r="AH395">
        <v>380</v>
      </c>
      <c r="AI395" s="6">
        <f>knicks_players_all_stats[[#This Row],[BLKPG]]+knicks_players_all_stats[[#This Row],[STLPG]]+knicks_players_all_stats[[#This Row],[REBPG]]</f>
        <v>2.2758620689655173</v>
      </c>
      <c r="AJ395" s="2">
        <f>knicks_players_all_stats[[#This Row],[TOV2]]/10</f>
        <v>38</v>
      </c>
      <c r="AK395" s="6">
        <f>knicks_players_all_stats[[#This Row],[TOV]]/knicks_players_all_stats[[#This Row],[GP]]</f>
        <v>1.3103448275862069</v>
      </c>
      <c r="AL395" s="2">
        <v>38</v>
      </c>
      <c r="AM395" s="2">
        <f>knicks_players_all_stats[[#This Row],[PF]]/knicks_players_all_stats[[#This Row],[GP]]</f>
        <v>1.3103448275862069</v>
      </c>
      <c r="AN395" s="2">
        <v>303</v>
      </c>
      <c r="AO395" s="6">
        <f>knicks_players_all_stats[[#This Row],[PTS]]/knicks_players_all_stats[[#This Row],[GP]]</f>
        <v>10.448275862068966</v>
      </c>
    </row>
    <row r="396" spans="1:41" customFormat="1" x14ac:dyDescent="0.3">
      <c r="A396" s="3" t="s">
        <v>1630</v>
      </c>
      <c r="B396" s="3" t="s">
        <v>1369</v>
      </c>
      <c r="C396" s="3" t="str">
        <f>knicks_players_all_stats[[#This Row],[NAME]]&amp;" ("&amp;knicks_players_all_stats[[#This Row],[SEASON]]&amp;")"</f>
        <v>Quentin Grimes (2023-24)</v>
      </c>
      <c r="D396" s="3">
        <f>knicks_players_all_stats[[#This Row],[PLAYER_AGE]]/10</f>
        <v>24</v>
      </c>
      <c r="E396">
        <v>240</v>
      </c>
      <c r="F396" s="2">
        <v>45</v>
      </c>
      <c r="G396" s="2">
        <v>9100</v>
      </c>
      <c r="H39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230</v>
      </c>
      <c r="I396" s="6">
        <f>knicks_players_all_stats[[#This Row],[VALORATION]]/knicks_players_all_stats[[#This Row],[GP]]</f>
        <v>5.1111111111111107</v>
      </c>
      <c r="J396" s="2">
        <v>113</v>
      </c>
      <c r="K396" s="2">
        <v>286</v>
      </c>
      <c r="L396" s="4">
        <f>knicks_players_all_stats[[#This Row],[FGM]]/knicks_players_all_stats[[#This Row],[FGA]]</f>
        <v>0.3951048951048951</v>
      </c>
      <c r="M396" s="2">
        <v>770</v>
      </c>
      <c r="N396" s="2">
        <v>2120</v>
      </c>
      <c r="O396" s="4">
        <f>knicks_players_all_stats[[#This Row],[FG3M]]/knicks_players_all_stats[[#This Row],[FG3A]]</f>
        <v>0.3632075471698113</v>
      </c>
      <c r="P396" s="2">
        <v>24</v>
      </c>
      <c r="Q396" s="2">
        <v>34</v>
      </c>
      <c r="R396" s="5">
        <f>knicks_players_all_stats[[#This Row],[FTM]]/knicks_players_all_stats[[#This Row],[FTA]]</f>
        <v>0.70588235294117652</v>
      </c>
      <c r="S396" s="2">
        <f>knicks_players_all_stats[[#This Row],[OREB22]]/10</f>
        <v>14</v>
      </c>
      <c r="T396" s="2">
        <f>knicks_players_all_stats[[#This Row],[DREB33]]/10</f>
        <v>74</v>
      </c>
      <c r="U396" s="2">
        <f>knicks_players_all_stats[[#This Row],[REB44]]/10</f>
        <v>88</v>
      </c>
      <c r="V396">
        <v>140</v>
      </c>
      <c r="W396">
        <v>740</v>
      </c>
      <c r="X396">
        <v>880</v>
      </c>
      <c r="Y396" s="22">
        <f>knicks_players_all_stats[[#This Row],[REB]]/knicks_players_all_stats[[#This Row],[GP]]</f>
        <v>1.9555555555555555</v>
      </c>
      <c r="Z396" s="2">
        <v>52</v>
      </c>
      <c r="AA396" s="6">
        <f>knicks_players_all_stats[[#This Row],[AST]]/knicks_players_all_stats[[#This Row],[GP]]</f>
        <v>1.1555555555555554</v>
      </c>
      <c r="AB396" s="2">
        <f>knicks_players_all_stats[[#This Row],[STL2]]/10</f>
        <v>30</v>
      </c>
      <c r="AC396" s="2">
        <v>300</v>
      </c>
      <c r="AD396" s="6">
        <f>knicks_players_all_stats[[#This Row],[STL]]/knicks_players_all_stats[[#This Row],[GP]]</f>
        <v>0.66666666666666663</v>
      </c>
      <c r="AE396">
        <v>30</v>
      </c>
      <c r="AF396" s="2">
        <f>knicks_players_all_stats[[#This Row],[BLK2]]/10</f>
        <v>3</v>
      </c>
      <c r="AG396" s="6">
        <f>knicks_players_all_stats[[#This Row],[BLK]]/knicks_players_all_stats[[#This Row],[GP]]</f>
        <v>6.6666666666666666E-2</v>
      </c>
      <c r="AH396">
        <v>210</v>
      </c>
      <c r="AI396" s="6">
        <f>knicks_players_all_stats[[#This Row],[BLKPG]]+knicks_players_all_stats[[#This Row],[STLPG]]+knicks_players_all_stats[[#This Row],[REBPG]]</f>
        <v>2.6888888888888887</v>
      </c>
      <c r="AJ396" s="2">
        <f>knicks_players_all_stats[[#This Row],[TOV2]]/10</f>
        <v>21</v>
      </c>
      <c r="AK396" s="6">
        <f>knicks_players_all_stats[[#This Row],[TOV]]/knicks_players_all_stats[[#This Row],[GP]]</f>
        <v>0.46666666666666667</v>
      </c>
      <c r="AL396" s="2">
        <v>66</v>
      </c>
      <c r="AM396" s="2">
        <f>knicks_players_all_stats[[#This Row],[PF]]/knicks_players_all_stats[[#This Row],[GP]]</f>
        <v>1.4666666666666666</v>
      </c>
      <c r="AN396" s="2">
        <v>327</v>
      </c>
      <c r="AO396" s="6">
        <f>knicks_players_all_stats[[#This Row],[PTS]]/knicks_players_all_stats[[#This Row],[GP]]</f>
        <v>7.2666666666666666</v>
      </c>
    </row>
    <row r="397" spans="1:41" x14ac:dyDescent="0.3">
      <c r="A397" s="3" t="s">
        <v>1552</v>
      </c>
      <c r="B397" s="3" t="s">
        <v>1369</v>
      </c>
      <c r="C397" s="3" t="str">
        <f>knicks_players_all_stats[[#This Row],[NAME]]&amp;" ("&amp;knicks_players_all_stats[[#This Row],[SEASON]]&amp;")"</f>
        <v>Jericho Sims (2023-24)</v>
      </c>
      <c r="D397" s="3">
        <f>knicks_players_all_stats[[#This Row],[PLAYER_AGE]]/10</f>
        <v>25</v>
      </c>
      <c r="E397">
        <v>250</v>
      </c>
      <c r="F397" s="2">
        <v>45</v>
      </c>
      <c r="G397" s="2">
        <v>5850</v>
      </c>
      <c r="H39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205</v>
      </c>
      <c r="I397" s="6">
        <f>knicks_players_all_stats[[#This Row],[VALORATION]]/knicks_players_all_stats[[#This Row],[GP]]</f>
        <v>4.5555555555555554</v>
      </c>
      <c r="J397" s="2">
        <v>38</v>
      </c>
      <c r="K397" s="2">
        <v>55</v>
      </c>
      <c r="L397" s="4">
        <f>knicks_players_all_stats[[#This Row],[FGM]]/knicks_players_all_stats[[#This Row],[FGA]]</f>
        <v>0.69090909090909092</v>
      </c>
      <c r="M397" s="2">
        <v>0</v>
      </c>
      <c r="N397" s="2">
        <v>0</v>
      </c>
      <c r="O397" s="4" t="e">
        <f>knicks_players_all_stats[[#This Row],[FG3M]]/knicks_players_all_stats[[#This Row],[FG3A]]</f>
        <v>#DIV/0!</v>
      </c>
      <c r="P397" s="2">
        <v>16</v>
      </c>
      <c r="Q397" s="2">
        <v>24</v>
      </c>
      <c r="R397" s="5">
        <f>knicks_players_all_stats[[#This Row],[FTM]]/knicks_players_all_stats[[#This Row],[FTA]]</f>
        <v>0.66666666666666663</v>
      </c>
      <c r="S397" s="2">
        <f>knicks_players_all_stats[[#This Row],[OREB22]]/10</f>
        <v>56</v>
      </c>
      <c r="T397" s="2">
        <f>knicks_players_all_stats[[#This Row],[DREB33]]/10</f>
        <v>91</v>
      </c>
      <c r="U397" s="2">
        <f>knicks_players_all_stats[[#This Row],[REB44]]/10</f>
        <v>147</v>
      </c>
      <c r="V397">
        <v>560</v>
      </c>
      <c r="W397">
        <v>910</v>
      </c>
      <c r="X397">
        <v>1470</v>
      </c>
      <c r="Y397" s="22">
        <f>knicks_players_all_stats[[#This Row],[REB]]/knicks_players_all_stats[[#This Row],[GP]]</f>
        <v>3.2666666666666666</v>
      </c>
      <c r="Z397" s="2">
        <v>25</v>
      </c>
      <c r="AA397" s="6">
        <f>knicks_players_all_stats[[#This Row],[AST]]/knicks_players_all_stats[[#This Row],[GP]]</f>
        <v>0.55555555555555558</v>
      </c>
      <c r="AB397" s="2">
        <f>knicks_players_all_stats[[#This Row],[STL2]]/10</f>
        <v>8</v>
      </c>
      <c r="AC397" s="2">
        <v>80</v>
      </c>
      <c r="AD397" s="6">
        <f>knicks_players_all_stats[[#This Row],[STL]]/knicks_players_all_stats[[#This Row],[GP]]</f>
        <v>0.17777777777777778</v>
      </c>
      <c r="AE397">
        <v>190</v>
      </c>
      <c r="AF397" s="2">
        <f>knicks_players_all_stats[[#This Row],[BLK2]]/10</f>
        <v>19</v>
      </c>
      <c r="AG397" s="6">
        <f>knicks_players_all_stats[[#This Row],[BLK]]/knicks_players_all_stats[[#This Row],[GP]]</f>
        <v>0.42222222222222222</v>
      </c>
      <c r="AH397">
        <v>160</v>
      </c>
      <c r="AI397" s="6">
        <f>knicks_players_all_stats[[#This Row],[BLKPG]]+knicks_players_all_stats[[#This Row],[STLPG]]+knicks_players_all_stats[[#This Row],[REBPG]]</f>
        <v>3.8666666666666667</v>
      </c>
      <c r="AJ397" s="2">
        <f>knicks_players_all_stats[[#This Row],[TOV2]]/10</f>
        <v>16</v>
      </c>
      <c r="AK397" s="6">
        <f>knicks_players_all_stats[[#This Row],[TOV]]/knicks_players_all_stats[[#This Row],[GP]]</f>
        <v>0.35555555555555557</v>
      </c>
      <c r="AL397" s="2">
        <v>45</v>
      </c>
      <c r="AM397" s="2">
        <f>knicks_players_all_stats[[#This Row],[PF]]/knicks_players_all_stats[[#This Row],[GP]]</f>
        <v>1</v>
      </c>
      <c r="AN397" s="2">
        <v>92</v>
      </c>
      <c r="AO397" s="6">
        <f>knicks_players_all_stats[[#This Row],[PTS]]/knicks_players_all_stats[[#This Row],[GP]]</f>
        <v>2.0444444444444443</v>
      </c>
    </row>
    <row r="398" spans="1:41" x14ac:dyDescent="0.3">
      <c r="A398" s="3" t="s">
        <v>1545</v>
      </c>
      <c r="B398" s="3" t="s">
        <v>1369</v>
      </c>
      <c r="C398" s="3" t="str">
        <f>knicks_players_all_stats[[#This Row],[NAME]]&amp;" ("&amp;knicks_players_all_stats[[#This Row],[SEASON]]&amp;")"</f>
        <v>Alec Burks (2023-24)</v>
      </c>
      <c r="D398" s="3">
        <f>knicks_players_all_stats[[#This Row],[PLAYER_AGE]]/10</f>
        <v>32</v>
      </c>
      <c r="E398">
        <v>320</v>
      </c>
      <c r="F398" s="2">
        <v>23</v>
      </c>
      <c r="G398" s="2">
        <v>3110</v>
      </c>
      <c r="H39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68</v>
      </c>
      <c r="I398" s="6">
        <f>knicks_players_all_stats[[#This Row],[VALORATION]]/knicks_players_all_stats[[#This Row],[GP]]</f>
        <v>2.9565217391304346</v>
      </c>
      <c r="J398" s="2">
        <v>50</v>
      </c>
      <c r="K398" s="2">
        <v>163</v>
      </c>
      <c r="L398" s="4">
        <f>knicks_players_all_stats[[#This Row],[FGM]]/knicks_players_all_stats[[#This Row],[FGA]]</f>
        <v>0.30674846625766872</v>
      </c>
      <c r="M398" s="2">
        <v>250</v>
      </c>
      <c r="N398" s="2">
        <v>830</v>
      </c>
      <c r="O398" s="4">
        <f>knicks_players_all_stats[[#This Row],[FG3M]]/knicks_players_all_stats[[#This Row],[FG3A]]</f>
        <v>0.30120481927710846</v>
      </c>
      <c r="P398" s="2">
        <v>24</v>
      </c>
      <c r="Q398" s="2">
        <v>33</v>
      </c>
      <c r="R398" s="5">
        <f>knicks_players_all_stats[[#This Row],[FTM]]/knicks_players_all_stats[[#This Row],[FTA]]</f>
        <v>0.72727272727272729</v>
      </c>
      <c r="S398" s="2">
        <f>knicks_players_all_stats[[#This Row],[OREB22]]/10</f>
        <v>8</v>
      </c>
      <c r="T398" s="2">
        <f>knicks_players_all_stats[[#This Row],[DREB33]]/10</f>
        <v>32</v>
      </c>
      <c r="U398" s="2">
        <f>knicks_players_all_stats[[#This Row],[REB44]]/10</f>
        <v>40</v>
      </c>
      <c r="V398">
        <v>80</v>
      </c>
      <c r="W398">
        <v>320</v>
      </c>
      <c r="X398">
        <v>400</v>
      </c>
      <c r="Y398" s="22">
        <f>knicks_players_all_stats[[#This Row],[REB]]/knicks_players_all_stats[[#This Row],[GP]]</f>
        <v>1.7391304347826086</v>
      </c>
      <c r="Z398" s="2">
        <v>20</v>
      </c>
      <c r="AA398" s="6">
        <f>knicks_players_all_stats[[#This Row],[AST]]/knicks_players_all_stats[[#This Row],[GP]]</f>
        <v>0.86956521739130432</v>
      </c>
      <c r="AB398" s="2">
        <f>knicks_players_all_stats[[#This Row],[STL2]]/10</f>
        <v>7</v>
      </c>
      <c r="AC398" s="2">
        <v>70</v>
      </c>
      <c r="AD398" s="6">
        <f>knicks_players_all_stats[[#This Row],[STL]]/knicks_players_all_stats[[#This Row],[GP]]</f>
        <v>0.30434782608695654</v>
      </c>
      <c r="AE398">
        <v>10</v>
      </c>
      <c r="AF398" s="2">
        <f>knicks_players_all_stats[[#This Row],[BLK2]]/10</f>
        <v>1</v>
      </c>
      <c r="AG398" s="6">
        <f>knicks_players_all_stats[[#This Row],[BLK]]/knicks_players_all_stats[[#This Row],[GP]]</f>
        <v>4.3478260869565216E-2</v>
      </c>
      <c r="AH398">
        <v>160</v>
      </c>
      <c r="AI398" s="6">
        <f>knicks_players_all_stats[[#This Row],[BLKPG]]+knicks_players_all_stats[[#This Row],[STLPG]]+knicks_players_all_stats[[#This Row],[REBPG]]</f>
        <v>2.0869565217391304</v>
      </c>
      <c r="AJ398" s="2">
        <f>knicks_players_all_stats[[#This Row],[TOV2]]/10</f>
        <v>16</v>
      </c>
      <c r="AK398" s="6">
        <f>knicks_players_all_stats[[#This Row],[TOV]]/knicks_players_all_stats[[#This Row],[GP]]</f>
        <v>0.69565217391304346</v>
      </c>
      <c r="AL398" s="2">
        <v>11</v>
      </c>
      <c r="AM398" s="2">
        <f>knicks_players_all_stats[[#This Row],[PF]]/knicks_players_all_stats[[#This Row],[GP]]</f>
        <v>0.47826086956521741</v>
      </c>
      <c r="AN398" s="2">
        <v>149</v>
      </c>
      <c r="AO398" s="6">
        <f>knicks_players_all_stats[[#This Row],[PTS]]/knicks_players_all_stats[[#This Row],[GP]]</f>
        <v>6.4782608695652177</v>
      </c>
    </row>
    <row r="399" spans="1:41" customFormat="1" x14ac:dyDescent="0.3">
      <c r="A399" s="3" t="s">
        <v>1797</v>
      </c>
      <c r="B399" s="3" t="s">
        <v>1369</v>
      </c>
      <c r="C399" s="3" t="str">
        <f>knicks_players_all_stats[[#This Row],[NAME]]&amp;" ("&amp;knicks_players_all_stats[[#This Row],[SEASON]]&amp;")"</f>
        <v>Jacob Toppin (2023-24)</v>
      </c>
      <c r="D399" s="3">
        <f>knicks_players_all_stats[[#This Row],[PLAYER_AGE]]/10</f>
        <v>24</v>
      </c>
      <c r="E399">
        <v>240</v>
      </c>
      <c r="F399" s="2">
        <v>9</v>
      </c>
      <c r="G399" s="2">
        <v>380</v>
      </c>
      <c r="H39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16</v>
      </c>
      <c r="I399" s="6">
        <f>knicks_players_all_stats[[#This Row],[VALORATION]]/knicks_players_all_stats[[#This Row],[GP]]</f>
        <v>1.7777777777777777</v>
      </c>
      <c r="J399" s="2">
        <v>5</v>
      </c>
      <c r="K399" s="2">
        <v>9</v>
      </c>
      <c r="L399" s="2">
        <v>556</v>
      </c>
      <c r="M399" s="2">
        <v>10</v>
      </c>
      <c r="N399" s="2">
        <v>40</v>
      </c>
      <c r="O399" s="4">
        <f>knicks_players_all_stats[[#This Row],[FG3M]]/knicks_players_all_stats[[#This Row],[FG3A]]</f>
        <v>0.25</v>
      </c>
      <c r="P399" s="2">
        <v>2</v>
      </c>
      <c r="Q399" s="2">
        <v>2</v>
      </c>
      <c r="R399" s="5">
        <f>knicks_players_all_stats[[#This Row],[FTM]]/knicks_players_all_stats[[#This Row],[FTA]]</f>
        <v>1</v>
      </c>
      <c r="S399" s="2">
        <f>knicks_players_all_stats[[#This Row],[OREB22]]/10</f>
        <v>3</v>
      </c>
      <c r="T399" s="2">
        <f>knicks_players_all_stats[[#This Row],[DREB33]]/10</f>
        <v>4</v>
      </c>
      <c r="U399" s="2">
        <f>knicks_players_all_stats[[#This Row],[REB44]]/10</f>
        <v>7</v>
      </c>
      <c r="V399">
        <v>30</v>
      </c>
      <c r="W399">
        <v>40</v>
      </c>
      <c r="X399">
        <v>70</v>
      </c>
      <c r="Y399" s="22">
        <f>knicks_players_all_stats[[#This Row],[REB]]/knicks_players_all_stats[[#This Row],[GP]]</f>
        <v>0.77777777777777779</v>
      </c>
      <c r="Z399" s="2">
        <v>3</v>
      </c>
      <c r="AA399" s="6">
        <f>knicks_players_all_stats[[#This Row],[AST]]/knicks_players_all_stats[[#This Row],[GP]]</f>
        <v>0.33333333333333331</v>
      </c>
      <c r="AB399" s="2">
        <f>knicks_players_all_stats[[#This Row],[STL2]]/10</f>
        <v>0</v>
      </c>
      <c r="AC399" s="2">
        <v>0</v>
      </c>
      <c r="AD399" s="6">
        <f>knicks_players_all_stats[[#This Row],[STL]]/knicks_players_all_stats[[#This Row],[GP]]</f>
        <v>0</v>
      </c>
      <c r="AE399">
        <v>10</v>
      </c>
      <c r="AF399" s="2">
        <f>knicks_players_all_stats[[#This Row],[BLK2]]/10</f>
        <v>1</v>
      </c>
      <c r="AG399" s="6">
        <f>knicks_players_all_stats[[#This Row],[BLK]]/knicks_players_all_stats[[#This Row],[GP]]</f>
        <v>0.1111111111111111</v>
      </c>
      <c r="AH399">
        <v>10</v>
      </c>
      <c r="AI399" s="6">
        <f>knicks_players_all_stats[[#This Row],[BLKPG]]+knicks_players_all_stats[[#This Row],[STLPG]]+knicks_players_all_stats[[#This Row],[REBPG]]</f>
        <v>0.88888888888888884</v>
      </c>
      <c r="AJ399" s="2">
        <f>knicks_players_all_stats[[#This Row],[TOV2]]/10</f>
        <v>1</v>
      </c>
      <c r="AK399" s="6">
        <f>knicks_players_all_stats[[#This Row],[TOV]]/knicks_players_all_stats[[#This Row],[GP]]</f>
        <v>0.1111111111111111</v>
      </c>
      <c r="AL399" s="2">
        <v>3</v>
      </c>
      <c r="AM399" s="2">
        <f>knicks_players_all_stats[[#This Row],[PF]]/knicks_players_all_stats[[#This Row],[GP]]</f>
        <v>0.33333333333333331</v>
      </c>
      <c r="AN399" s="2">
        <v>13</v>
      </c>
      <c r="AO399" s="6">
        <f>knicks_players_all_stats[[#This Row],[PTS]]/knicks_players_all_stats[[#This Row],[GP]]</f>
        <v>1.4444444444444444</v>
      </c>
    </row>
    <row r="400" spans="1:41" customFormat="1" x14ac:dyDescent="0.3">
      <c r="A400" s="3" t="s">
        <v>1370</v>
      </c>
      <c r="B400" s="3" t="s">
        <v>1369</v>
      </c>
      <c r="C400" s="3" t="str">
        <f>knicks_players_all_stats[[#This Row],[NAME]]&amp;" ("&amp;knicks_players_all_stats[[#This Row],[SEASON]]&amp;")"</f>
        <v>Shake Milton (2023-24)</v>
      </c>
      <c r="D400" s="3">
        <f>knicks_players_all_stats[[#This Row],[PLAYER_AGE]]/10</f>
        <v>27</v>
      </c>
      <c r="E400">
        <v>270</v>
      </c>
      <c r="F400" s="2">
        <v>6</v>
      </c>
      <c r="G400" s="2">
        <v>270</v>
      </c>
      <c r="H400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10</v>
      </c>
      <c r="I400" s="6">
        <f>knicks_players_all_stats[[#This Row],[VALORATION]]/knicks_players_all_stats[[#This Row],[GP]]</f>
        <v>1.6666666666666667</v>
      </c>
      <c r="J400" s="2">
        <v>4</v>
      </c>
      <c r="K400" s="2">
        <v>9</v>
      </c>
      <c r="L400" s="4">
        <f>knicks_players_all_stats[[#This Row],[FGM]]/knicks_players_all_stats[[#This Row],[FGA]]</f>
        <v>0.44444444444444442</v>
      </c>
      <c r="M400" s="2">
        <v>10</v>
      </c>
      <c r="N400" s="2">
        <v>20</v>
      </c>
      <c r="O400" s="4">
        <f>knicks_players_all_stats[[#This Row],[FG3M]]/knicks_players_all_stats[[#This Row],[FG3A]]</f>
        <v>0.5</v>
      </c>
      <c r="P400" s="2">
        <v>2</v>
      </c>
      <c r="Q400" s="2">
        <v>2</v>
      </c>
      <c r="R400" s="5">
        <f>knicks_players_all_stats[[#This Row],[FTM]]/knicks_players_all_stats[[#This Row],[FTA]]</f>
        <v>1</v>
      </c>
      <c r="S400" s="2">
        <f>knicks_players_all_stats[[#This Row],[OREB22]]/10</f>
        <v>0</v>
      </c>
      <c r="T400" s="2">
        <f>knicks_players_all_stats[[#This Row],[DREB33]]/10</f>
        <v>6</v>
      </c>
      <c r="U400" s="2">
        <f>knicks_players_all_stats[[#This Row],[REB44]]/10</f>
        <v>6</v>
      </c>
      <c r="V400">
        <v>0</v>
      </c>
      <c r="W400">
        <v>60</v>
      </c>
      <c r="X400">
        <v>60</v>
      </c>
      <c r="Y400" s="22">
        <f>knicks_players_all_stats[[#This Row],[REB]]/knicks_players_all_stats[[#This Row],[GP]]</f>
        <v>1</v>
      </c>
      <c r="Z400" s="2">
        <v>4</v>
      </c>
      <c r="AA400" s="6">
        <f>knicks_players_all_stats[[#This Row],[AST]]/knicks_players_all_stats[[#This Row],[GP]]</f>
        <v>0.66666666666666663</v>
      </c>
      <c r="AB400" s="2">
        <f>knicks_players_all_stats[[#This Row],[STL2]]/10</f>
        <v>1</v>
      </c>
      <c r="AC400" s="2">
        <v>10</v>
      </c>
      <c r="AD400" s="6">
        <f>knicks_players_all_stats[[#This Row],[STL]]/knicks_players_all_stats[[#This Row],[GP]]</f>
        <v>0.16666666666666666</v>
      </c>
      <c r="AE400">
        <v>0</v>
      </c>
      <c r="AF400" s="2">
        <f>knicks_players_all_stats[[#This Row],[BLK2]]/10</f>
        <v>0</v>
      </c>
      <c r="AG400" s="6">
        <f>knicks_players_all_stats[[#This Row],[BLK]]/knicks_players_all_stats[[#This Row],[GP]]</f>
        <v>0</v>
      </c>
      <c r="AH400">
        <v>0</v>
      </c>
      <c r="AI400" s="6">
        <f>knicks_players_all_stats[[#This Row],[BLKPG]]+knicks_players_all_stats[[#This Row],[STLPG]]+knicks_players_all_stats[[#This Row],[REBPG]]</f>
        <v>1.1666666666666667</v>
      </c>
      <c r="AJ400" s="2">
        <f>knicks_players_all_stats[[#This Row],[TOV2]]/10</f>
        <v>0</v>
      </c>
      <c r="AK400" s="6">
        <f>knicks_players_all_stats[[#This Row],[TOV]]/knicks_players_all_stats[[#This Row],[GP]]</f>
        <v>0</v>
      </c>
      <c r="AL400" s="2">
        <v>7</v>
      </c>
      <c r="AM400" s="2">
        <f>knicks_players_all_stats[[#This Row],[PF]]/knicks_players_all_stats[[#This Row],[GP]]</f>
        <v>1.1666666666666667</v>
      </c>
      <c r="AN400" s="2">
        <v>11</v>
      </c>
      <c r="AO400" s="6">
        <f>knicks_players_all_stats[[#This Row],[PTS]]/knicks_players_all_stats[[#This Row],[GP]]</f>
        <v>1.8333333333333333</v>
      </c>
    </row>
    <row r="401" spans="1:41" customFormat="1" x14ac:dyDescent="0.3">
      <c r="A401" s="3" t="s">
        <v>1473</v>
      </c>
      <c r="B401" s="3" t="s">
        <v>1369</v>
      </c>
      <c r="C401" s="3" t="str">
        <f>knicks_players_all_stats[[#This Row],[NAME]]&amp;" ("&amp;knicks_players_all_stats[[#This Row],[SEASON]]&amp;")"</f>
        <v>Malachi Flynn (2023-24)</v>
      </c>
      <c r="D401" s="3">
        <f>knicks_players_all_stats[[#This Row],[PLAYER_AGE]]/10</f>
        <v>26</v>
      </c>
      <c r="E401">
        <v>260</v>
      </c>
      <c r="F401" s="2">
        <v>14</v>
      </c>
      <c r="G401" s="2">
        <v>610</v>
      </c>
      <c r="H401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22</v>
      </c>
      <c r="I401" s="6">
        <f>knicks_players_all_stats[[#This Row],[VALORATION]]/knicks_players_all_stats[[#This Row],[GP]]</f>
        <v>1.5714285714285714</v>
      </c>
      <c r="J401" s="2">
        <v>9</v>
      </c>
      <c r="K401" s="2">
        <v>23</v>
      </c>
      <c r="L401" s="4">
        <f>knicks_players_all_stats[[#This Row],[FGM]]/knicks_players_all_stats[[#This Row],[FGA]]</f>
        <v>0.39130434782608697</v>
      </c>
      <c r="M401" s="2">
        <v>40</v>
      </c>
      <c r="N401" s="2">
        <v>130</v>
      </c>
      <c r="O401" s="4">
        <f>knicks_players_all_stats[[#This Row],[FG3M]]/knicks_players_all_stats[[#This Row],[FG3A]]</f>
        <v>0.30769230769230771</v>
      </c>
      <c r="P401" s="2">
        <v>9</v>
      </c>
      <c r="Q401" s="2">
        <v>11</v>
      </c>
      <c r="R401" s="5">
        <f>knicks_players_all_stats[[#This Row],[FTM]]/knicks_players_all_stats[[#This Row],[FTA]]</f>
        <v>0.81818181818181823</v>
      </c>
      <c r="S401" s="2">
        <f>knicks_players_all_stats[[#This Row],[OREB22]]/10</f>
        <v>0</v>
      </c>
      <c r="T401" s="2">
        <f>knicks_players_all_stats[[#This Row],[DREB33]]/10</f>
        <v>6</v>
      </c>
      <c r="U401" s="2">
        <f>knicks_players_all_stats[[#This Row],[REB44]]/10</f>
        <v>6</v>
      </c>
      <c r="V401">
        <v>0</v>
      </c>
      <c r="W401">
        <v>60</v>
      </c>
      <c r="X401">
        <v>60</v>
      </c>
      <c r="Y401" s="22">
        <f>knicks_players_all_stats[[#This Row],[REB]]/knicks_players_all_stats[[#This Row],[GP]]</f>
        <v>0.42857142857142855</v>
      </c>
      <c r="Z401" s="2">
        <v>6</v>
      </c>
      <c r="AA401" s="6">
        <f>knicks_players_all_stats[[#This Row],[AST]]/knicks_players_all_stats[[#This Row],[GP]]</f>
        <v>0.42857142857142855</v>
      </c>
      <c r="AB401" s="2">
        <f>knicks_players_all_stats[[#This Row],[STL2]]/10</f>
        <v>1</v>
      </c>
      <c r="AC401" s="2">
        <v>10</v>
      </c>
      <c r="AD401" s="6">
        <f>knicks_players_all_stats[[#This Row],[STL]]/knicks_players_all_stats[[#This Row],[GP]]</f>
        <v>7.1428571428571425E-2</v>
      </c>
      <c r="AE401">
        <v>0</v>
      </c>
      <c r="AF401" s="2">
        <f>knicks_players_all_stats[[#This Row],[BLK2]]/10</f>
        <v>0</v>
      </c>
      <c r="AG401" s="6">
        <f>knicks_players_all_stats[[#This Row],[BLK]]/knicks_players_all_stats[[#This Row],[GP]]</f>
        <v>0</v>
      </c>
      <c r="AH401">
        <v>30</v>
      </c>
      <c r="AI401" s="6">
        <f>knicks_players_all_stats[[#This Row],[BLKPG]]+knicks_players_all_stats[[#This Row],[STLPG]]+knicks_players_all_stats[[#This Row],[REBPG]]</f>
        <v>0.5</v>
      </c>
      <c r="AJ401" s="2">
        <f>knicks_players_all_stats[[#This Row],[TOV2]]/10</f>
        <v>3</v>
      </c>
      <c r="AK401" s="6">
        <f>knicks_players_all_stats[[#This Row],[TOV]]/knicks_players_all_stats[[#This Row],[GP]]</f>
        <v>0.21428571428571427</v>
      </c>
      <c r="AL401" s="2">
        <v>3</v>
      </c>
      <c r="AM401" s="2">
        <f>knicks_players_all_stats[[#This Row],[PF]]/knicks_players_all_stats[[#This Row],[GP]]</f>
        <v>0.21428571428571427</v>
      </c>
      <c r="AN401" s="2">
        <v>31</v>
      </c>
      <c r="AO401" s="6">
        <f>knicks_players_all_stats[[#This Row],[PTS]]/knicks_players_all_stats[[#This Row],[GP]]</f>
        <v>2.2142857142857144</v>
      </c>
    </row>
    <row r="402" spans="1:41" customFormat="1" x14ac:dyDescent="0.3">
      <c r="A402" s="3" t="s">
        <v>1845</v>
      </c>
      <c r="B402" s="3" t="s">
        <v>1369</v>
      </c>
      <c r="C402" s="3" t="str">
        <f>knicks_players_all_stats[[#This Row],[NAME]]&amp;" ("&amp;knicks_players_all_stats[[#This Row],[SEASON]]&amp;")"</f>
        <v>Dylan Windler (2023-24)</v>
      </c>
      <c r="D402" s="3">
        <f>knicks_players_all_stats[[#This Row],[PLAYER_AGE]]/10</f>
        <v>27</v>
      </c>
      <c r="E402">
        <v>270</v>
      </c>
      <c r="F402" s="2">
        <v>3</v>
      </c>
      <c r="G402" s="2">
        <v>70</v>
      </c>
      <c r="H402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3</v>
      </c>
      <c r="I402" s="6">
        <f>knicks_players_all_stats[[#This Row],[VALORATION]]/knicks_players_all_stats[[#This Row],[GP]]</f>
        <v>1</v>
      </c>
      <c r="J402" s="2">
        <v>1</v>
      </c>
      <c r="K402" s="2">
        <v>2</v>
      </c>
      <c r="L402" s="2">
        <v>5</v>
      </c>
      <c r="M402" s="2">
        <v>10</v>
      </c>
      <c r="N402" s="2">
        <v>20</v>
      </c>
      <c r="O402" s="4">
        <f>knicks_players_all_stats[[#This Row],[FG3M]]/knicks_players_all_stats[[#This Row],[FG3A]]</f>
        <v>0.5</v>
      </c>
      <c r="P402" s="2">
        <v>0</v>
      </c>
      <c r="Q402" s="2">
        <v>0</v>
      </c>
      <c r="R402" s="5" t="e">
        <f>knicks_players_all_stats[[#This Row],[FTM]]/knicks_players_all_stats[[#This Row],[FTA]]</f>
        <v>#DIV/0!</v>
      </c>
      <c r="S402" s="2">
        <f>knicks_players_all_stats[[#This Row],[OREB22]]/10</f>
        <v>0</v>
      </c>
      <c r="T402" s="2">
        <f>knicks_players_all_stats[[#This Row],[DREB33]]/10</f>
        <v>1</v>
      </c>
      <c r="U402" s="2">
        <f>knicks_players_all_stats[[#This Row],[REB44]]/10</f>
        <v>1</v>
      </c>
      <c r="V402">
        <v>0</v>
      </c>
      <c r="W402">
        <v>10</v>
      </c>
      <c r="X402">
        <v>10</v>
      </c>
      <c r="Y402" s="22">
        <f>knicks_players_all_stats[[#This Row],[REB]]/knicks_players_all_stats[[#This Row],[GP]]</f>
        <v>0.33333333333333331</v>
      </c>
      <c r="Z402" s="2">
        <v>1</v>
      </c>
      <c r="AA402" s="6">
        <f>knicks_players_all_stats[[#This Row],[AST]]/knicks_players_all_stats[[#This Row],[GP]]</f>
        <v>0.33333333333333331</v>
      </c>
      <c r="AB402" s="2">
        <f>knicks_players_all_stats[[#This Row],[STL2]]/10</f>
        <v>0</v>
      </c>
      <c r="AC402" s="2">
        <v>0</v>
      </c>
      <c r="AD402" s="6">
        <f>knicks_players_all_stats[[#This Row],[STL]]/knicks_players_all_stats[[#This Row],[GP]]</f>
        <v>0</v>
      </c>
      <c r="AE402">
        <v>0</v>
      </c>
      <c r="AF402" s="2">
        <f>knicks_players_all_stats[[#This Row],[BLK2]]/10</f>
        <v>0</v>
      </c>
      <c r="AG402" s="6">
        <f>knicks_players_all_stats[[#This Row],[BLK]]/knicks_players_all_stats[[#This Row],[GP]]</f>
        <v>0</v>
      </c>
      <c r="AH402">
        <v>0</v>
      </c>
      <c r="AI402" s="6">
        <f>knicks_players_all_stats[[#This Row],[BLKPG]]+knicks_players_all_stats[[#This Row],[STLPG]]+knicks_players_all_stats[[#This Row],[REBPG]]</f>
        <v>0.33333333333333331</v>
      </c>
      <c r="AJ402" s="2">
        <f>knicks_players_all_stats[[#This Row],[TOV2]]/10</f>
        <v>0</v>
      </c>
      <c r="AK402" s="6">
        <f>knicks_players_all_stats[[#This Row],[TOV]]/knicks_players_all_stats[[#This Row],[GP]]</f>
        <v>0</v>
      </c>
      <c r="AL402" s="2">
        <v>1</v>
      </c>
      <c r="AM402" s="2">
        <f>knicks_players_all_stats[[#This Row],[PF]]/knicks_players_all_stats[[#This Row],[GP]]</f>
        <v>0.33333333333333331</v>
      </c>
      <c r="AN402" s="2">
        <v>3</v>
      </c>
      <c r="AO402" s="6">
        <f>knicks_players_all_stats[[#This Row],[PTS]]/knicks_players_all_stats[[#This Row],[GP]]</f>
        <v>1</v>
      </c>
    </row>
    <row r="403" spans="1:41" x14ac:dyDescent="0.3">
      <c r="A403" s="3" t="s">
        <v>1710</v>
      </c>
      <c r="B403" s="3" t="s">
        <v>1369</v>
      </c>
      <c r="C403" s="3" t="str">
        <f>knicks_players_all_stats[[#This Row],[NAME]]&amp;" ("&amp;knicks_players_all_stats[[#This Row],[SEASON]]&amp;")"</f>
        <v>Taj Gibson (2023-24)</v>
      </c>
      <c r="D403" s="3">
        <f>knicks_players_all_stats[[#This Row],[PLAYER_AGE]]/10</f>
        <v>39</v>
      </c>
      <c r="E403">
        <v>390</v>
      </c>
      <c r="F403" s="2">
        <v>16</v>
      </c>
      <c r="G403" s="2">
        <v>1650</v>
      </c>
      <c r="H403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12</v>
      </c>
      <c r="I403" s="6">
        <f>knicks_players_all_stats[[#This Row],[VALORATION]]/knicks_players_all_stats[[#This Row],[GP]]</f>
        <v>0.75</v>
      </c>
      <c r="J403" s="2">
        <v>7</v>
      </c>
      <c r="K403" s="2">
        <v>23</v>
      </c>
      <c r="L403" s="2">
        <v>304</v>
      </c>
      <c r="M403" s="2">
        <v>0</v>
      </c>
      <c r="N403" s="2">
        <v>60</v>
      </c>
      <c r="O403" s="4">
        <f>knicks_players_all_stats[[#This Row],[FG3M]]/knicks_players_all_stats[[#This Row],[FG3A]]</f>
        <v>0</v>
      </c>
      <c r="P403" s="2">
        <v>2</v>
      </c>
      <c r="Q403" s="2">
        <v>2</v>
      </c>
      <c r="R403" s="5">
        <f>knicks_players_all_stats[[#This Row],[FTM]]/knicks_players_all_stats[[#This Row],[FTA]]</f>
        <v>1</v>
      </c>
      <c r="S403" s="2">
        <f>knicks_players_all_stats[[#This Row],[OREB22]]/10</f>
        <v>10</v>
      </c>
      <c r="T403" s="2">
        <f>knicks_players_all_stats[[#This Row],[DREB33]]/10</f>
        <v>18</v>
      </c>
      <c r="U403" s="2">
        <f>knicks_players_all_stats[[#This Row],[REB44]]/10</f>
        <v>28</v>
      </c>
      <c r="V403">
        <v>100</v>
      </c>
      <c r="W403">
        <v>180</v>
      </c>
      <c r="X403">
        <v>280</v>
      </c>
      <c r="Y403" s="22">
        <f>knicks_players_all_stats[[#This Row],[REB]]/knicks_players_all_stats[[#This Row],[GP]]</f>
        <v>1.75</v>
      </c>
      <c r="Z403" s="2">
        <v>9</v>
      </c>
      <c r="AA403" s="6">
        <f>knicks_players_all_stats[[#This Row],[AST]]/knicks_players_all_stats[[#This Row],[GP]]</f>
        <v>0.5625</v>
      </c>
      <c r="AB403" s="2">
        <f>knicks_players_all_stats[[#This Row],[STL2]]/10</f>
        <v>2</v>
      </c>
      <c r="AC403" s="2">
        <v>20</v>
      </c>
      <c r="AD403" s="6">
        <f>knicks_players_all_stats[[#This Row],[STL]]/knicks_players_all_stats[[#This Row],[GP]]</f>
        <v>0.125</v>
      </c>
      <c r="AE403">
        <v>60</v>
      </c>
      <c r="AF403" s="2">
        <f>knicks_players_all_stats[[#This Row],[BLK2]]/10</f>
        <v>6</v>
      </c>
      <c r="AG403" s="6">
        <f>knicks_players_all_stats[[#This Row],[BLK]]/knicks_players_all_stats[[#This Row],[GP]]</f>
        <v>0.375</v>
      </c>
      <c r="AH403">
        <v>50</v>
      </c>
      <c r="AI403" s="6">
        <f>knicks_players_all_stats[[#This Row],[BLKPG]]+knicks_players_all_stats[[#This Row],[STLPG]]+knicks_players_all_stats[[#This Row],[REBPG]]</f>
        <v>2.25</v>
      </c>
      <c r="AJ403" s="2">
        <f>knicks_players_all_stats[[#This Row],[TOV2]]/10</f>
        <v>5</v>
      </c>
      <c r="AK403" s="6">
        <f>knicks_players_all_stats[[#This Row],[TOV]]/knicks_players_all_stats[[#This Row],[GP]]</f>
        <v>0.3125</v>
      </c>
      <c r="AL403" s="2">
        <v>28</v>
      </c>
      <c r="AM403" s="2">
        <f>knicks_players_all_stats[[#This Row],[PF]]/knicks_players_all_stats[[#This Row],[GP]]</f>
        <v>1.75</v>
      </c>
      <c r="AN403" s="2">
        <v>16</v>
      </c>
      <c r="AO403" s="6">
        <f>knicks_players_all_stats[[#This Row],[PTS]]/knicks_players_all_stats[[#This Row],[GP]]</f>
        <v>1</v>
      </c>
    </row>
    <row r="404" spans="1:41" x14ac:dyDescent="0.3">
      <c r="A404" s="3" t="s">
        <v>1455</v>
      </c>
      <c r="B404" s="3" t="s">
        <v>1369</v>
      </c>
      <c r="C404" s="3" t="str">
        <f>knicks_players_all_stats[[#This Row],[NAME]]&amp;" ("&amp;knicks_players_all_stats[[#This Row],[SEASON]]&amp;")"</f>
        <v>Evan Fournier (2023-24)</v>
      </c>
      <c r="D404" s="3">
        <f>knicks_players_all_stats[[#This Row],[PLAYER_AGE]]/10</f>
        <v>31</v>
      </c>
      <c r="E404">
        <v>310</v>
      </c>
      <c r="F404" s="2">
        <v>3</v>
      </c>
      <c r="G404" s="2">
        <v>390</v>
      </c>
      <c r="H404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2</v>
      </c>
      <c r="I404" s="6">
        <f>knicks_players_all_stats[[#This Row],[VALORATION]]/knicks_players_all_stats[[#This Row],[GP]]</f>
        <v>0.66666666666666663</v>
      </c>
      <c r="J404" s="2">
        <v>4</v>
      </c>
      <c r="K404" s="2">
        <v>20</v>
      </c>
      <c r="L404" s="4">
        <f>knicks_players_all_stats[[#This Row],[FGM]]/knicks_players_all_stats[[#This Row],[FGA]]</f>
        <v>0.2</v>
      </c>
      <c r="M404" s="2">
        <v>20</v>
      </c>
      <c r="N404" s="2">
        <v>150</v>
      </c>
      <c r="O404" s="4">
        <f>knicks_players_all_stats[[#This Row],[FG3M]]/knicks_players_all_stats[[#This Row],[FG3A]]</f>
        <v>0.13333333333333333</v>
      </c>
      <c r="P404" s="2">
        <v>2</v>
      </c>
      <c r="Q404" s="2">
        <v>2</v>
      </c>
      <c r="R404" s="5">
        <f>knicks_players_all_stats[[#This Row],[FTM]]/knicks_players_all_stats[[#This Row],[FTA]]</f>
        <v>1</v>
      </c>
      <c r="S404" s="2">
        <f>knicks_players_all_stats[[#This Row],[OREB22]]/10</f>
        <v>0</v>
      </c>
      <c r="T404" s="2">
        <f>knicks_players_all_stats[[#This Row],[DREB33]]/10</f>
        <v>4</v>
      </c>
      <c r="U404" s="2">
        <f>knicks_players_all_stats[[#This Row],[REB44]]/10</f>
        <v>4</v>
      </c>
      <c r="V404">
        <v>0</v>
      </c>
      <c r="W404">
        <v>40</v>
      </c>
      <c r="X404">
        <v>40</v>
      </c>
      <c r="Y404" s="22">
        <f>knicks_players_all_stats[[#This Row],[REB]]/knicks_players_all_stats[[#This Row],[GP]]</f>
        <v>1.3333333333333333</v>
      </c>
      <c r="Z404" s="2">
        <v>3</v>
      </c>
      <c r="AA404" s="6">
        <f>knicks_players_all_stats[[#This Row],[AST]]/knicks_players_all_stats[[#This Row],[GP]]</f>
        <v>1</v>
      </c>
      <c r="AB404" s="2">
        <f>knicks_players_all_stats[[#This Row],[STL2]]/10</f>
        <v>4</v>
      </c>
      <c r="AC404" s="2">
        <v>40</v>
      </c>
      <c r="AD404" s="6">
        <f>knicks_players_all_stats[[#This Row],[STL]]/knicks_players_all_stats[[#This Row],[GP]]</f>
        <v>1.3333333333333333</v>
      </c>
      <c r="AE404">
        <v>0</v>
      </c>
      <c r="AF404" s="2">
        <f>knicks_players_all_stats[[#This Row],[BLK2]]/10</f>
        <v>0</v>
      </c>
      <c r="AG404" s="6">
        <f>knicks_players_all_stats[[#This Row],[BLK]]/knicks_players_all_stats[[#This Row],[GP]]</f>
        <v>0</v>
      </c>
      <c r="AH404">
        <v>10</v>
      </c>
      <c r="AI404" s="6">
        <f>knicks_players_all_stats[[#This Row],[BLKPG]]+knicks_players_all_stats[[#This Row],[STLPG]]+knicks_players_all_stats[[#This Row],[REBPG]]</f>
        <v>2.6666666666666665</v>
      </c>
      <c r="AJ404" s="2">
        <f>knicks_players_all_stats[[#This Row],[TOV2]]/10</f>
        <v>1</v>
      </c>
      <c r="AK404" s="6">
        <f>knicks_players_all_stats[[#This Row],[TOV]]/knicks_players_all_stats[[#This Row],[GP]]</f>
        <v>0.33333333333333331</v>
      </c>
      <c r="AL404" s="2">
        <v>4</v>
      </c>
      <c r="AM404" s="2">
        <f>knicks_players_all_stats[[#This Row],[PF]]/knicks_players_all_stats[[#This Row],[GP]]</f>
        <v>1.3333333333333333</v>
      </c>
      <c r="AN404" s="2">
        <v>12</v>
      </c>
      <c r="AO404" s="6">
        <f>knicks_players_all_stats[[#This Row],[PTS]]/knicks_players_all_stats[[#This Row],[GP]]</f>
        <v>4</v>
      </c>
    </row>
    <row r="405" spans="1:41" customFormat="1" x14ac:dyDescent="0.3">
      <c r="A405" s="3" t="s">
        <v>1741</v>
      </c>
      <c r="B405" s="3" t="s">
        <v>1369</v>
      </c>
      <c r="C405" s="3" t="str">
        <f>knicks_players_all_stats[[#This Row],[NAME]]&amp;" ("&amp;knicks_players_all_stats[[#This Row],[SEASON]]&amp;")"</f>
        <v>DaQuan Jeffries (2023-24)</v>
      </c>
      <c r="D405" s="3">
        <f>knicks_players_all_stats[[#This Row],[PLAYER_AGE]]/10</f>
        <v>26</v>
      </c>
      <c r="E405">
        <v>260</v>
      </c>
      <c r="F405" s="2">
        <v>17</v>
      </c>
      <c r="G405" s="2">
        <v>460</v>
      </c>
      <c r="H405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7</v>
      </c>
      <c r="I405" s="6">
        <f>knicks_players_all_stats[[#This Row],[VALORATION]]/knicks_players_all_stats[[#This Row],[GP]]</f>
        <v>0.41176470588235292</v>
      </c>
      <c r="J405" s="2">
        <v>6</v>
      </c>
      <c r="K405" s="2">
        <v>17</v>
      </c>
      <c r="L405" s="2">
        <v>353</v>
      </c>
      <c r="M405" s="2">
        <v>20</v>
      </c>
      <c r="N405" s="2">
        <v>100</v>
      </c>
      <c r="O405" s="4">
        <f>knicks_players_all_stats[[#This Row],[FG3M]]/knicks_players_all_stats[[#This Row],[FG3A]]</f>
        <v>0.2</v>
      </c>
      <c r="P405" s="2">
        <v>0</v>
      </c>
      <c r="Q405" s="2">
        <v>2</v>
      </c>
      <c r="R405" s="5">
        <f>knicks_players_all_stats[[#This Row],[FTM]]/knicks_players_all_stats[[#This Row],[FTA]]</f>
        <v>0</v>
      </c>
      <c r="S405" s="2">
        <f>knicks_players_all_stats[[#This Row],[OREB22]]/10</f>
        <v>0</v>
      </c>
      <c r="T405" s="2">
        <f>knicks_players_all_stats[[#This Row],[DREB33]]/10</f>
        <v>5</v>
      </c>
      <c r="U405" s="2">
        <f>knicks_players_all_stats[[#This Row],[REB44]]/10</f>
        <v>5</v>
      </c>
      <c r="V405">
        <v>0</v>
      </c>
      <c r="W405">
        <v>50</v>
      </c>
      <c r="X405">
        <v>50</v>
      </c>
      <c r="Y405" s="22">
        <f>knicks_players_all_stats[[#This Row],[REB]]/knicks_players_all_stats[[#This Row],[GP]]</f>
        <v>0.29411764705882354</v>
      </c>
      <c r="Z405" s="2">
        <v>5</v>
      </c>
      <c r="AA405" s="6">
        <f>knicks_players_all_stats[[#This Row],[AST]]/knicks_players_all_stats[[#This Row],[GP]]</f>
        <v>0.29411764705882354</v>
      </c>
      <c r="AB405" s="2">
        <f>knicks_players_all_stats[[#This Row],[STL2]]/10</f>
        <v>0</v>
      </c>
      <c r="AC405" s="2">
        <v>0</v>
      </c>
      <c r="AD405" s="6">
        <f>knicks_players_all_stats[[#This Row],[STL]]/knicks_players_all_stats[[#This Row],[GP]]</f>
        <v>0</v>
      </c>
      <c r="AE405">
        <v>10</v>
      </c>
      <c r="AF405" s="2">
        <f>knicks_players_all_stats[[#This Row],[BLK2]]/10</f>
        <v>1</v>
      </c>
      <c r="AG405" s="6">
        <f>knicks_players_all_stats[[#This Row],[BLK]]/knicks_players_all_stats[[#This Row],[GP]]</f>
        <v>5.8823529411764705E-2</v>
      </c>
      <c r="AH405">
        <v>30</v>
      </c>
      <c r="AI405" s="6">
        <f>knicks_players_all_stats[[#This Row],[BLKPG]]+knicks_players_all_stats[[#This Row],[STLPG]]+knicks_players_all_stats[[#This Row],[REBPG]]</f>
        <v>0.35294117647058826</v>
      </c>
      <c r="AJ405" s="2">
        <f>knicks_players_all_stats[[#This Row],[TOV2]]/10</f>
        <v>3</v>
      </c>
      <c r="AK405" s="6">
        <f>knicks_players_all_stats[[#This Row],[TOV]]/knicks_players_all_stats[[#This Row],[GP]]</f>
        <v>0.17647058823529413</v>
      </c>
      <c r="AL405" s="2">
        <v>2</v>
      </c>
      <c r="AM405" s="2">
        <f>knicks_players_all_stats[[#This Row],[PF]]/knicks_players_all_stats[[#This Row],[GP]]</f>
        <v>0.11764705882352941</v>
      </c>
      <c r="AN405" s="2">
        <v>14</v>
      </c>
      <c r="AO405" s="6">
        <f>knicks_players_all_stats[[#This Row],[PTS]]/knicks_players_all_stats[[#This Row],[GP]]</f>
        <v>0.82352941176470584</v>
      </c>
    </row>
    <row r="406" spans="1:41" customFormat="1" x14ac:dyDescent="0.3">
      <c r="A406" s="3" t="s">
        <v>1424</v>
      </c>
      <c r="B406" s="3" t="s">
        <v>1369</v>
      </c>
      <c r="C406" s="3" t="str">
        <f>knicks_players_all_stats[[#This Row],[NAME]]&amp;" ("&amp;knicks_players_all_stats[[#This Row],[SEASON]]&amp;")"</f>
        <v>Ryan Arcidiacono (2023-24)</v>
      </c>
      <c r="D406" s="3">
        <f>knicks_players_all_stats[[#This Row],[PLAYER_AGE]]/10</f>
        <v>30</v>
      </c>
      <c r="E406">
        <v>300</v>
      </c>
      <c r="F406" s="2">
        <v>20</v>
      </c>
      <c r="G406" s="2">
        <v>450</v>
      </c>
      <c r="H406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1</v>
      </c>
      <c r="I406" s="6">
        <f>knicks_players_all_stats[[#This Row],[VALORATION]]/knicks_players_all_stats[[#This Row],[GP]]</f>
        <v>0.05</v>
      </c>
      <c r="J406" s="2">
        <v>0</v>
      </c>
      <c r="K406" s="2">
        <v>6</v>
      </c>
      <c r="L406" s="4">
        <f>knicks_players_all_stats[[#This Row],[FGM]]/knicks_players_all_stats[[#This Row],[FGA]]</f>
        <v>0</v>
      </c>
      <c r="M406" s="2">
        <v>0</v>
      </c>
      <c r="N406" s="2">
        <v>60</v>
      </c>
      <c r="O406" s="4">
        <f>knicks_players_all_stats[[#This Row],[FG3M]]/knicks_players_all_stats[[#This Row],[FG3A]]</f>
        <v>0</v>
      </c>
      <c r="P406" s="2">
        <v>0</v>
      </c>
      <c r="Q406" s="2">
        <v>0</v>
      </c>
      <c r="R406" s="5" t="e">
        <f>knicks_players_all_stats[[#This Row],[FTM]]/knicks_players_all_stats[[#This Row],[FTA]]</f>
        <v>#DIV/0!</v>
      </c>
      <c r="S406" s="2">
        <f>knicks_players_all_stats[[#This Row],[OREB22]]/10</f>
        <v>0</v>
      </c>
      <c r="T406" s="2">
        <f>knicks_players_all_stats[[#This Row],[DREB33]]/10</f>
        <v>8</v>
      </c>
      <c r="U406" s="2">
        <f>knicks_players_all_stats[[#This Row],[REB44]]/10</f>
        <v>8</v>
      </c>
      <c r="V406">
        <v>0</v>
      </c>
      <c r="W406">
        <v>80</v>
      </c>
      <c r="X406">
        <v>80</v>
      </c>
      <c r="Y406" s="22">
        <f>knicks_players_all_stats[[#This Row],[REB]]/knicks_players_all_stats[[#This Row],[GP]]</f>
        <v>0.4</v>
      </c>
      <c r="Z406" s="2">
        <v>4</v>
      </c>
      <c r="AA406" s="6">
        <f>knicks_players_all_stats[[#This Row],[AST]]/knicks_players_all_stats[[#This Row],[GP]]</f>
        <v>0.2</v>
      </c>
      <c r="AB406" s="2">
        <f>knicks_players_all_stats[[#This Row],[STL2]]/10</f>
        <v>2</v>
      </c>
      <c r="AC406" s="2">
        <v>20</v>
      </c>
      <c r="AD406" s="6">
        <f>knicks_players_all_stats[[#This Row],[STL]]/knicks_players_all_stats[[#This Row],[GP]]</f>
        <v>0.1</v>
      </c>
      <c r="AE406">
        <v>0</v>
      </c>
      <c r="AF406" s="2">
        <f>knicks_players_all_stats[[#This Row],[BLK2]]/10</f>
        <v>0</v>
      </c>
      <c r="AG406" s="6">
        <f>knicks_players_all_stats[[#This Row],[BLK]]/knicks_players_all_stats[[#This Row],[GP]]</f>
        <v>0</v>
      </c>
      <c r="AH406">
        <v>20</v>
      </c>
      <c r="AI406" s="6">
        <f>knicks_players_all_stats[[#This Row],[BLKPG]]+knicks_players_all_stats[[#This Row],[STLPG]]+knicks_players_all_stats[[#This Row],[REBPG]]</f>
        <v>0.5</v>
      </c>
      <c r="AJ406" s="2">
        <f>knicks_players_all_stats[[#This Row],[TOV2]]/10</f>
        <v>2</v>
      </c>
      <c r="AK406" s="6">
        <f>knicks_players_all_stats[[#This Row],[TOV]]/knicks_players_all_stats[[#This Row],[GP]]</f>
        <v>0.1</v>
      </c>
      <c r="AL406" s="2">
        <v>5</v>
      </c>
      <c r="AM406" s="2">
        <f>knicks_players_all_stats[[#This Row],[PF]]/knicks_players_all_stats[[#This Row],[GP]]</f>
        <v>0.25</v>
      </c>
      <c r="AN406" s="2">
        <v>0</v>
      </c>
      <c r="AO406" s="6">
        <f>knicks_players_all_stats[[#This Row],[PTS]]/knicks_players_all_stats[[#This Row],[GP]]</f>
        <v>0</v>
      </c>
    </row>
    <row r="407" spans="1:41" customFormat="1" x14ac:dyDescent="0.3">
      <c r="A407" s="3" t="s">
        <v>1613</v>
      </c>
      <c r="B407" s="3" t="s">
        <v>1369</v>
      </c>
      <c r="C407" s="3" t="str">
        <f>knicks_players_all_stats[[#This Row],[NAME]]&amp;" ("&amp;knicks_players_all_stats[[#This Row],[SEASON]]&amp;")"</f>
        <v>Mamadi Diakite (2023-24)</v>
      </c>
      <c r="D407" s="3">
        <f>knicks_players_all_stats[[#This Row],[PLAYER_AGE]]/10</f>
        <v>27</v>
      </c>
      <c r="E407">
        <v>270</v>
      </c>
      <c r="F407" s="2">
        <v>3</v>
      </c>
      <c r="G407" s="2">
        <v>80</v>
      </c>
      <c r="H407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-1</v>
      </c>
      <c r="I407" s="6">
        <f>knicks_players_all_stats[[#This Row],[VALORATION]]/knicks_players_all_stats[[#This Row],[GP]]</f>
        <v>-0.33333333333333331</v>
      </c>
      <c r="J407" s="2">
        <v>0</v>
      </c>
      <c r="K407" s="2">
        <v>1</v>
      </c>
      <c r="L407" s="4">
        <f>knicks_players_all_stats[[#This Row],[FGM]]/knicks_players_all_stats[[#This Row],[FGA]]</f>
        <v>0</v>
      </c>
      <c r="M407" s="2">
        <v>0</v>
      </c>
      <c r="N407" s="2">
        <v>10</v>
      </c>
      <c r="O407" s="4">
        <f>knicks_players_all_stats[[#This Row],[FG3M]]/knicks_players_all_stats[[#This Row],[FG3A]]</f>
        <v>0</v>
      </c>
      <c r="P407" s="2">
        <v>0</v>
      </c>
      <c r="Q407" s="2">
        <v>0</v>
      </c>
      <c r="R407" s="5" t="e">
        <f>knicks_players_all_stats[[#This Row],[FTM]]/knicks_players_all_stats[[#This Row],[FTA]]</f>
        <v>#DIV/0!</v>
      </c>
      <c r="S407" s="2">
        <f>knicks_players_all_stats[[#This Row],[OREB22]]/10</f>
        <v>0</v>
      </c>
      <c r="T407" s="2">
        <f>knicks_players_all_stats[[#This Row],[DREB33]]/10</f>
        <v>1</v>
      </c>
      <c r="U407" s="2">
        <f>knicks_players_all_stats[[#This Row],[REB44]]/10</f>
        <v>1</v>
      </c>
      <c r="V407">
        <v>0</v>
      </c>
      <c r="W407">
        <v>10</v>
      </c>
      <c r="X407">
        <v>10</v>
      </c>
      <c r="Y407" s="22">
        <f>knicks_players_all_stats[[#This Row],[REB]]/knicks_players_all_stats[[#This Row],[GP]]</f>
        <v>0.33333333333333331</v>
      </c>
      <c r="Z407" s="2">
        <v>0</v>
      </c>
      <c r="AA407" s="6">
        <f>knicks_players_all_stats[[#This Row],[AST]]/knicks_players_all_stats[[#This Row],[GP]]</f>
        <v>0</v>
      </c>
      <c r="AB407" s="2">
        <f>knicks_players_all_stats[[#This Row],[STL2]]/10</f>
        <v>1</v>
      </c>
      <c r="AC407" s="2">
        <v>10</v>
      </c>
      <c r="AD407" s="6">
        <f>knicks_players_all_stats[[#This Row],[STL]]/knicks_players_all_stats[[#This Row],[GP]]</f>
        <v>0.33333333333333331</v>
      </c>
      <c r="AE407">
        <v>0</v>
      </c>
      <c r="AF407" s="2">
        <f>knicks_players_all_stats[[#This Row],[BLK2]]/10</f>
        <v>0</v>
      </c>
      <c r="AG407" s="6">
        <f>knicks_players_all_stats[[#This Row],[BLK]]/knicks_players_all_stats[[#This Row],[GP]]</f>
        <v>0</v>
      </c>
      <c r="AH407">
        <v>10</v>
      </c>
      <c r="AI407" s="6">
        <f>knicks_players_all_stats[[#This Row],[BLKPG]]+knicks_players_all_stats[[#This Row],[STLPG]]+knicks_players_all_stats[[#This Row],[REBPG]]</f>
        <v>0.66666666666666663</v>
      </c>
      <c r="AJ407" s="2">
        <f>knicks_players_all_stats[[#This Row],[TOV2]]/10</f>
        <v>1</v>
      </c>
      <c r="AK407" s="6">
        <f>knicks_players_all_stats[[#This Row],[TOV]]/knicks_players_all_stats[[#This Row],[GP]]</f>
        <v>0.33333333333333331</v>
      </c>
      <c r="AL407" s="2">
        <v>1</v>
      </c>
      <c r="AM407" s="2">
        <f>knicks_players_all_stats[[#This Row],[PF]]/knicks_players_all_stats[[#This Row],[GP]]</f>
        <v>0.33333333333333331</v>
      </c>
      <c r="AN407" s="2">
        <v>0</v>
      </c>
      <c r="AO407" s="6">
        <f>knicks_players_all_stats[[#This Row],[PTS]]/knicks_players_all_stats[[#This Row],[GP]]</f>
        <v>0</v>
      </c>
    </row>
    <row r="408" spans="1:41" customFormat="1" x14ac:dyDescent="0.3">
      <c r="A408" s="3" t="s">
        <v>1579</v>
      </c>
      <c r="B408" s="3" t="s">
        <v>1369</v>
      </c>
      <c r="C408" s="3" t="str">
        <f>knicks_players_all_stats[[#This Row],[NAME]]&amp;" ("&amp;knicks_players_all_stats[[#This Row],[SEASON]]&amp;")"</f>
        <v>Dmytro Skapintsev (2023-24)</v>
      </c>
      <c r="D408" s="3">
        <f>knicks_players_all_stats[[#This Row],[PLAYER_AGE]]/10</f>
        <v>26</v>
      </c>
      <c r="E408">
        <v>260</v>
      </c>
      <c r="F408" s="2">
        <v>2</v>
      </c>
      <c r="G408" s="2">
        <v>20</v>
      </c>
      <c r="H408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-1</v>
      </c>
      <c r="I408" s="6">
        <f>knicks_players_all_stats[[#This Row],[VALORATION]]/knicks_players_all_stats[[#This Row],[GP]]</f>
        <v>-0.5</v>
      </c>
      <c r="J408" s="2">
        <v>0</v>
      </c>
      <c r="K408" s="2">
        <v>1</v>
      </c>
      <c r="L408" s="4">
        <f>knicks_players_all_stats[[#This Row],[FGM]]/knicks_players_all_stats[[#This Row],[FGA]]</f>
        <v>0</v>
      </c>
      <c r="M408" s="2">
        <v>0</v>
      </c>
      <c r="N408" s="2">
        <v>0</v>
      </c>
      <c r="O408" s="4" t="e">
        <f>knicks_players_all_stats[[#This Row],[FG3M]]/knicks_players_all_stats[[#This Row],[FG3A]]</f>
        <v>#DIV/0!</v>
      </c>
      <c r="P408" s="2">
        <v>0</v>
      </c>
      <c r="Q408" s="2">
        <v>0</v>
      </c>
      <c r="R408" s="5" t="e">
        <f>knicks_players_all_stats[[#This Row],[FTM]]/knicks_players_all_stats[[#This Row],[FTA]]</f>
        <v>#DIV/0!</v>
      </c>
      <c r="S408" s="2">
        <f>knicks_players_all_stats[[#This Row],[OREB22]]/10</f>
        <v>0</v>
      </c>
      <c r="T408" s="2">
        <f>knicks_players_all_stats[[#This Row],[DREB33]]/10</f>
        <v>0</v>
      </c>
      <c r="U408" s="2">
        <f>knicks_players_all_stats[[#This Row],[REB44]]/10</f>
        <v>0</v>
      </c>
      <c r="V408">
        <v>0</v>
      </c>
      <c r="W408">
        <v>0</v>
      </c>
      <c r="X408">
        <v>0</v>
      </c>
      <c r="Y408" s="22">
        <f>knicks_players_all_stats[[#This Row],[REB]]/knicks_players_all_stats[[#This Row],[GP]]</f>
        <v>0</v>
      </c>
      <c r="Z408" s="2">
        <v>0</v>
      </c>
      <c r="AA408" s="6">
        <f>knicks_players_all_stats[[#This Row],[AST]]/knicks_players_all_stats[[#This Row],[GP]]</f>
        <v>0</v>
      </c>
      <c r="AB408" s="2">
        <f>knicks_players_all_stats[[#This Row],[STL2]]/10</f>
        <v>0</v>
      </c>
      <c r="AC408" s="2">
        <v>0</v>
      </c>
      <c r="AD408" s="6">
        <f>knicks_players_all_stats[[#This Row],[STL]]/knicks_players_all_stats[[#This Row],[GP]]</f>
        <v>0</v>
      </c>
      <c r="AE408">
        <v>0</v>
      </c>
      <c r="AF408" s="2">
        <f>knicks_players_all_stats[[#This Row],[BLK2]]/10</f>
        <v>0</v>
      </c>
      <c r="AG408" s="6">
        <f>knicks_players_all_stats[[#This Row],[BLK]]/knicks_players_all_stats[[#This Row],[GP]]</f>
        <v>0</v>
      </c>
      <c r="AH408">
        <v>0</v>
      </c>
      <c r="AI408" s="6">
        <f>knicks_players_all_stats[[#This Row],[BLKPG]]+knicks_players_all_stats[[#This Row],[STLPG]]+knicks_players_all_stats[[#This Row],[REBPG]]</f>
        <v>0</v>
      </c>
      <c r="AJ408" s="2">
        <f>knicks_players_all_stats[[#This Row],[TOV2]]/10</f>
        <v>0</v>
      </c>
      <c r="AK408" s="6">
        <f>knicks_players_all_stats[[#This Row],[TOV]]/knicks_players_all_stats[[#This Row],[GP]]</f>
        <v>0</v>
      </c>
      <c r="AL408" s="2">
        <v>0</v>
      </c>
      <c r="AM408" s="2">
        <f>knicks_players_all_stats[[#This Row],[PF]]/knicks_players_all_stats[[#This Row],[GP]]</f>
        <v>0</v>
      </c>
      <c r="AN408" s="2">
        <v>0</v>
      </c>
      <c r="AO408" s="6">
        <f>knicks_players_all_stats[[#This Row],[PTS]]/knicks_players_all_stats[[#This Row],[GP]]</f>
        <v>0</v>
      </c>
    </row>
    <row r="409" spans="1:41" customFormat="1" x14ac:dyDescent="0.3">
      <c r="A409" s="3" t="s">
        <v>1597</v>
      </c>
      <c r="B409" s="3" t="s">
        <v>1369</v>
      </c>
      <c r="C409" s="3" t="str">
        <f>knicks_players_all_stats[[#This Row],[NAME]]&amp;" ("&amp;knicks_players_all_stats[[#This Row],[SEASON]]&amp;")"</f>
        <v>Charlie Brown Jr. (2023-24)</v>
      </c>
      <c r="D409" s="3">
        <f>knicks_players_all_stats[[#This Row],[PLAYER_AGE]]/10</f>
        <v>27</v>
      </c>
      <c r="E409">
        <v>270</v>
      </c>
      <c r="F409" s="2">
        <v>8</v>
      </c>
      <c r="G409" s="2">
        <v>370</v>
      </c>
      <c r="H409" s="2">
        <f>(knicks_players_all_stats[[#This Row],[PTS]]+knicks_players_all_stats[[#This Row],[BLK]]+knicks_players_all_stats[[#This Row],[STL]]+knicks_players_all_stats[[#This Row],[AST]]+knicks_players_all_stats[[#This Row],[REB]])-((knicks_players_all_stats[[#This Row],[FGA]]-knicks_players_all_stats[[#This Row],[FGM]])+(knicks_players_all_stats[[#This Row],[FTA]]-knicks_players_all_stats[[#This Row],[FTM]])+(knicks_players_all_stats[[#This Row],[TOV]])+(knicks_players_all_stats[[#This Row],[PF]]))</f>
        <v>-5</v>
      </c>
      <c r="I409" s="6">
        <f>knicks_players_all_stats[[#This Row],[VALORATION]]/knicks_players_all_stats[[#This Row],[GP]]</f>
        <v>-0.625</v>
      </c>
      <c r="J409" s="2">
        <v>2</v>
      </c>
      <c r="K409" s="2">
        <v>10</v>
      </c>
      <c r="L409" s="4">
        <f>knicks_players_all_stats[[#This Row],[FGM]]/knicks_players_all_stats[[#This Row],[FGA]]</f>
        <v>0.2</v>
      </c>
      <c r="M409" s="2">
        <v>20</v>
      </c>
      <c r="N409" s="2">
        <v>70</v>
      </c>
      <c r="O409" s="4">
        <f>knicks_players_all_stats[[#This Row],[FG3M]]/knicks_players_all_stats[[#This Row],[FG3A]]</f>
        <v>0.2857142857142857</v>
      </c>
      <c r="P409" s="2">
        <v>0</v>
      </c>
      <c r="Q409" s="2">
        <v>0</v>
      </c>
      <c r="R409" s="5" t="e">
        <f>knicks_players_all_stats[[#This Row],[FTM]]/knicks_players_all_stats[[#This Row],[FTA]]</f>
        <v>#DIV/0!</v>
      </c>
      <c r="S409" s="2">
        <f>knicks_players_all_stats[[#This Row],[OREB22]]/10</f>
        <v>1</v>
      </c>
      <c r="T409" s="2">
        <f>knicks_players_all_stats[[#This Row],[DREB33]]/10</f>
        <v>1</v>
      </c>
      <c r="U409" s="2">
        <f>knicks_players_all_stats[[#This Row],[REB44]]/10</f>
        <v>2</v>
      </c>
      <c r="V409">
        <v>10</v>
      </c>
      <c r="W409">
        <v>10</v>
      </c>
      <c r="X409">
        <v>20</v>
      </c>
      <c r="Y409" s="22">
        <f>knicks_players_all_stats[[#This Row],[REB]]/knicks_players_all_stats[[#This Row],[GP]]</f>
        <v>0.25</v>
      </c>
      <c r="Z409" s="2">
        <v>0</v>
      </c>
      <c r="AA409" s="6">
        <f>knicks_players_all_stats[[#This Row],[AST]]/knicks_players_all_stats[[#This Row],[GP]]</f>
        <v>0</v>
      </c>
      <c r="AB409" s="2">
        <f>knicks_players_all_stats[[#This Row],[STL2]]/10</f>
        <v>0</v>
      </c>
      <c r="AC409" s="2">
        <v>0</v>
      </c>
      <c r="AD409" s="6">
        <f>knicks_players_all_stats[[#This Row],[STL]]/knicks_players_all_stats[[#This Row],[GP]]</f>
        <v>0</v>
      </c>
      <c r="AE409">
        <v>20</v>
      </c>
      <c r="AF409" s="2">
        <f>knicks_players_all_stats[[#This Row],[BLK2]]/10</f>
        <v>2</v>
      </c>
      <c r="AG409" s="6">
        <f>knicks_players_all_stats[[#This Row],[BLK]]/knicks_players_all_stats[[#This Row],[GP]]</f>
        <v>0.25</v>
      </c>
      <c r="AH409">
        <v>20</v>
      </c>
      <c r="AI409" s="6">
        <f>knicks_players_all_stats[[#This Row],[BLKPG]]+knicks_players_all_stats[[#This Row],[STLPG]]+knicks_players_all_stats[[#This Row],[REBPG]]</f>
        <v>0.5</v>
      </c>
      <c r="AJ409" s="2">
        <f>knicks_players_all_stats[[#This Row],[TOV2]]/10</f>
        <v>2</v>
      </c>
      <c r="AK409" s="6">
        <f>knicks_players_all_stats[[#This Row],[TOV]]/knicks_players_all_stats[[#This Row],[GP]]</f>
        <v>0.25</v>
      </c>
      <c r="AL409" s="2">
        <v>5</v>
      </c>
      <c r="AM409" s="2">
        <f>knicks_players_all_stats[[#This Row],[PF]]/knicks_players_all_stats[[#This Row],[GP]]</f>
        <v>0.625</v>
      </c>
      <c r="AN409" s="2">
        <v>6</v>
      </c>
      <c r="AO409" s="6">
        <f>knicks_players_all_stats[[#This Row],[PTS]]/knicks_players_all_stats[[#This Row],[GP]]</f>
        <v>0.75</v>
      </c>
    </row>
    <row r="410" spans="1:41" s="14" customFormat="1" x14ac:dyDescent="0.3">
      <c r="A410" s="13"/>
      <c r="B410" s="13"/>
      <c r="C410" s="13"/>
      <c r="D410" s="13"/>
      <c r="E410" s="14">
        <v>220</v>
      </c>
      <c r="L410" s="15"/>
      <c r="O410" s="15"/>
      <c r="R410" s="16"/>
      <c r="X410" s="14">
        <v>260</v>
      </c>
      <c r="Y410" s="24" t="e">
        <f>knicks_players_all_stats[[#This Row],[REB]]/knicks_players_all_stats[[#This Row],[GP]]</f>
        <v>#DIV/0!</v>
      </c>
      <c r="AI410" s="19" t="e">
        <f>knicks_players_all_stats[[#This Row],[BLKPG]]+knicks_players_all_stats[[#This Row],[STLPG]]+knicks_players_all_stats[[#This Row],[REBPG]]</f>
        <v>#DIV/0!</v>
      </c>
    </row>
    <row r="411" spans="1:41" s="14" customFormat="1" x14ac:dyDescent="0.3">
      <c r="A411" s="13"/>
      <c r="B411" s="13"/>
      <c r="C411" s="13"/>
      <c r="D411" s="13"/>
      <c r="E411" s="14">
        <v>240</v>
      </c>
      <c r="L411" s="15"/>
      <c r="O411" s="15"/>
      <c r="R411" s="16"/>
      <c r="X411" s="14">
        <v>120</v>
      </c>
      <c r="Y411" s="24" t="e">
        <f>knicks_players_all_stats[[#This Row],[REB]]/knicks_players_all_stats[[#This Row],[GP]]</f>
        <v>#DIV/0!</v>
      </c>
      <c r="AI411" s="19" t="e">
        <f>knicks_players_all_stats[[#This Row],[BLKPG]]+knicks_players_all_stats[[#This Row],[STLPG]]+knicks_players_all_stats[[#This Row],[REBPG]]</f>
        <v>#DIV/0!</v>
      </c>
    </row>
    <row r="412" spans="1:41" s="17" customFormat="1" x14ac:dyDescent="0.3">
      <c r="A412" s="13"/>
      <c r="B412" s="13"/>
      <c r="C412" s="13"/>
      <c r="D412" s="13"/>
      <c r="E412" s="14">
        <v>260</v>
      </c>
      <c r="F412" s="14"/>
      <c r="G412" s="14"/>
      <c r="H412" s="14"/>
      <c r="I412" s="14"/>
      <c r="J412" s="14"/>
      <c r="K412" s="14"/>
      <c r="L412" s="15"/>
      <c r="M412" s="14"/>
      <c r="N412" s="14"/>
      <c r="O412" s="15"/>
      <c r="P412" s="14"/>
      <c r="Q412" s="14"/>
      <c r="R412" s="16"/>
      <c r="S412" s="14"/>
      <c r="T412" s="14"/>
      <c r="U412" s="14"/>
      <c r="V412" s="14"/>
      <c r="W412" s="14"/>
      <c r="X412" s="14">
        <v>2480</v>
      </c>
      <c r="Y412" s="24" t="e">
        <f>knicks_players_all_stats[[#This Row],[REB]]/knicks_players_all_stats[[#This Row],[GP]]</f>
        <v>#DIV/0!</v>
      </c>
      <c r="Z412" s="14"/>
      <c r="AA412" s="14"/>
      <c r="AB412" s="14"/>
      <c r="AC412" s="14"/>
      <c r="AD412" s="14"/>
      <c r="AE412" s="14"/>
      <c r="AF412" s="14"/>
      <c r="AG412" s="14"/>
      <c r="AH412" s="14"/>
      <c r="AI412" s="19" t="e">
        <f>knicks_players_all_stats[[#This Row],[BLKPG]]+knicks_players_all_stats[[#This Row],[STLPG]]+knicks_players_all_stats[[#This Row],[REBPG]]</f>
        <v>#DIV/0!</v>
      </c>
      <c r="AJ412" s="14"/>
      <c r="AK412" s="14"/>
      <c r="AL412" s="14"/>
      <c r="AM412" s="14"/>
      <c r="AN412" s="14"/>
      <c r="AO412" s="14"/>
    </row>
    <row r="413" spans="1:41" s="14" customFormat="1" x14ac:dyDescent="0.3">
      <c r="A413" s="13"/>
      <c r="B413" s="13"/>
      <c r="C413" s="13"/>
      <c r="D413" s="13"/>
      <c r="E413" s="14">
        <v>250</v>
      </c>
      <c r="L413" s="15"/>
      <c r="O413" s="15"/>
      <c r="R413" s="16"/>
      <c r="V413" s="14">
        <v>10</v>
      </c>
      <c r="W413" s="14">
        <v>20</v>
      </c>
      <c r="X413" s="14">
        <v>30</v>
      </c>
      <c r="Y413" s="24" t="e">
        <f>knicks_players_all_stats[[#This Row],[REB]]/knicks_players_all_stats[[#This Row],[GP]]</f>
        <v>#DIV/0!</v>
      </c>
      <c r="AC413" s="14">
        <v>20</v>
      </c>
      <c r="AE413" s="14">
        <v>10</v>
      </c>
      <c r="AH413" s="14">
        <v>20</v>
      </c>
      <c r="AI413" s="19" t="e">
        <f>knicks_players_all_stats[[#This Row],[BLKPG]]+knicks_players_all_stats[[#This Row],[STLPG]]+knicks_players_all_stats[[#This Row],[REBPG]]</f>
        <v>#DIV/0!</v>
      </c>
    </row>
    <row r="414" spans="1:41" s="14" customFormat="1" x14ac:dyDescent="0.3">
      <c r="A414" s="13"/>
      <c r="B414" s="13"/>
      <c r="C414" s="13"/>
      <c r="D414" s="13"/>
      <c r="E414" s="14">
        <v>230</v>
      </c>
      <c r="L414" s="15"/>
      <c r="O414" s="15"/>
      <c r="R414" s="16"/>
      <c r="X414" s="14">
        <v>1490</v>
      </c>
      <c r="Y414" s="24" t="e">
        <f>knicks_players_all_stats[[#This Row],[REB]]/knicks_players_all_stats[[#This Row],[GP]]</f>
        <v>#DIV/0!</v>
      </c>
      <c r="AI414" s="19" t="e">
        <f>knicks_players_all_stats[[#This Row],[BLKPG]]+knicks_players_all_stats[[#This Row],[STLPG]]+knicks_players_all_stats[[#This Row],[REBPG]]</f>
        <v>#DIV/0!</v>
      </c>
    </row>
    <row r="415" spans="1:41" s="14" customFormat="1" x14ac:dyDescent="0.3">
      <c r="A415" s="13"/>
      <c r="B415" s="13"/>
      <c r="C415" s="13"/>
      <c r="D415" s="13"/>
      <c r="E415" s="14">
        <v>240</v>
      </c>
      <c r="L415" s="15"/>
      <c r="O415" s="15"/>
      <c r="R415" s="16"/>
      <c r="X415" s="14">
        <v>1640</v>
      </c>
      <c r="Y415" s="24" t="e">
        <f>knicks_players_all_stats[[#This Row],[REB]]/knicks_players_all_stats[[#This Row],[GP]]</f>
        <v>#DIV/0!</v>
      </c>
      <c r="AI415" s="19" t="e">
        <f>knicks_players_all_stats[[#This Row],[BLKPG]]+knicks_players_all_stats[[#This Row],[STLPG]]+knicks_players_all_stats[[#This Row],[REBPG]]</f>
        <v>#DIV/0!</v>
      </c>
    </row>
    <row r="416" spans="1:41" s="14" customFormat="1" x14ac:dyDescent="0.3">
      <c r="A416" s="13"/>
      <c r="B416" s="13"/>
      <c r="C416" s="13"/>
      <c r="D416" s="13"/>
      <c r="E416" s="14">
        <v>250</v>
      </c>
      <c r="L416" s="15"/>
      <c r="O416" s="15"/>
      <c r="R416" s="16"/>
      <c r="X416" s="14">
        <v>70</v>
      </c>
      <c r="Y416" s="24" t="e">
        <f>knicks_players_all_stats[[#This Row],[REB]]/knicks_players_all_stats[[#This Row],[GP]]</f>
        <v>#DIV/0!</v>
      </c>
      <c r="AI416" s="19" t="e">
        <f>knicks_players_all_stats[[#This Row],[BLKPG]]+knicks_players_all_stats[[#This Row],[STLPG]]+knicks_players_all_stats[[#This Row],[REBPG]]</f>
        <v>#DIV/0!</v>
      </c>
    </row>
    <row r="417" spans="1:41" s="14" customFormat="1" x14ac:dyDescent="0.3">
      <c r="A417" s="13"/>
      <c r="B417" s="13"/>
      <c r="C417" s="13"/>
      <c r="D417" s="13"/>
      <c r="E417" s="14">
        <v>290</v>
      </c>
      <c r="L417" s="15"/>
      <c r="O417" s="15"/>
      <c r="R417" s="16"/>
      <c r="V417" s="14">
        <v>890</v>
      </c>
      <c r="W417" s="14">
        <v>1780</v>
      </c>
      <c r="X417" s="14">
        <v>2670</v>
      </c>
      <c r="Y417" s="24" t="e">
        <f>knicks_players_all_stats[[#This Row],[REB]]/knicks_players_all_stats[[#This Row],[GP]]</f>
        <v>#DIV/0!</v>
      </c>
      <c r="AC417" s="14">
        <v>710</v>
      </c>
      <c r="AE417" s="14">
        <v>60</v>
      </c>
      <c r="AI417" s="19" t="e">
        <f>knicks_players_all_stats[[#This Row],[BLKPG]]+knicks_players_all_stats[[#This Row],[STLPG]]+knicks_players_all_stats[[#This Row],[REBPG]]</f>
        <v>#DIV/0!</v>
      </c>
    </row>
    <row r="418" spans="1:41" s="14" customFormat="1" x14ac:dyDescent="0.3">
      <c r="A418" s="13"/>
      <c r="B418" s="13"/>
      <c r="C418" s="13"/>
      <c r="D418" s="13"/>
      <c r="E418" s="14">
        <v>300</v>
      </c>
      <c r="L418" s="15"/>
      <c r="O418" s="15"/>
      <c r="R418" s="16"/>
      <c r="V418" s="14">
        <v>500</v>
      </c>
      <c r="W418" s="14">
        <v>1130</v>
      </c>
      <c r="X418" s="14">
        <v>1630</v>
      </c>
      <c r="Y418" s="24" t="e">
        <f>knicks_players_all_stats[[#This Row],[REB]]/knicks_players_all_stats[[#This Row],[GP]]</f>
        <v>#DIV/0!</v>
      </c>
      <c r="AC418" s="14">
        <v>570</v>
      </c>
      <c r="AE418" s="14">
        <v>50</v>
      </c>
      <c r="AI418" s="19" t="e">
        <f>knicks_players_all_stats[[#This Row],[BLKPG]]+knicks_players_all_stats[[#This Row],[STLPG]]+knicks_players_all_stats[[#This Row],[REBPG]]</f>
        <v>#DIV/0!</v>
      </c>
    </row>
    <row r="419" spans="1:41" s="14" customFormat="1" x14ac:dyDescent="0.3">
      <c r="A419" s="13"/>
      <c r="B419" s="13"/>
      <c r="C419" s="13"/>
      <c r="D419" s="13"/>
      <c r="E419" s="14">
        <v>310</v>
      </c>
      <c r="L419" s="15"/>
      <c r="O419" s="15"/>
      <c r="R419" s="16"/>
      <c r="V419" s="14">
        <v>760</v>
      </c>
      <c r="W419" s="14">
        <v>1880</v>
      </c>
      <c r="X419" s="14">
        <v>2640</v>
      </c>
      <c r="Y419" s="24" t="e">
        <f>knicks_players_all_stats[[#This Row],[REB]]/knicks_players_all_stats[[#This Row],[GP]]</f>
        <v>#DIV/0!</v>
      </c>
      <c r="AC419" s="14">
        <v>1170</v>
      </c>
      <c r="AE419" s="14">
        <v>30</v>
      </c>
      <c r="AH419" s="14">
        <v>1540</v>
      </c>
      <c r="AI419" s="19" t="e">
        <f>knicks_players_all_stats[[#This Row],[BLKPG]]+knicks_players_all_stats[[#This Row],[STLPG]]+knicks_players_all_stats[[#This Row],[REBPG]]</f>
        <v>#DIV/0!</v>
      </c>
    </row>
    <row r="420" spans="1:41" s="14" customFormat="1" x14ac:dyDescent="0.3">
      <c r="A420" s="13"/>
      <c r="B420" s="13"/>
      <c r="C420" s="13"/>
      <c r="D420" s="13"/>
      <c r="E420" s="14">
        <v>320</v>
      </c>
      <c r="L420" s="15"/>
      <c r="O420" s="15"/>
      <c r="R420" s="16"/>
      <c r="V420" s="14">
        <v>10</v>
      </c>
      <c r="W420" s="14">
        <v>90</v>
      </c>
      <c r="X420" s="14">
        <v>100</v>
      </c>
      <c r="Y420" s="24" t="e">
        <f>knicks_players_all_stats[[#This Row],[REB]]/knicks_players_all_stats[[#This Row],[GP]]</f>
        <v>#DIV/0!</v>
      </c>
      <c r="AC420" s="14">
        <v>70</v>
      </c>
      <c r="AE420" s="14">
        <v>0</v>
      </c>
      <c r="AH420" s="14">
        <v>100</v>
      </c>
      <c r="AI420" s="19" t="e">
        <f>knicks_players_all_stats[[#This Row],[BLKPG]]+knicks_players_all_stats[[#This Row],[STLPG]]+knicks_players_all_stats[[#This Row],[REBPG]]</f>
        <v>#DIV/0!</v>
      </c>
    </row>
    <row r="421" spans="1:41" s="14" customFormat="1" x14ac:dyDescent="0.3">
      <c r="A421" s="13"/>
      <c r="B421" s="13"/>
      <c r="C421" s="13"/>
      <c r="D421" s="13"/>
      <c r="E421" s="14">
        <v>240</v>
      </c>
      <c r="L421" s="15"/>
      <c r="O421" s="15"/>
      <c r="R421" s="16"/>
      <c r="X421" s="14">
        <v>0</v>
      </c>
      <c r="Y421" s="24" t="e">
        <f>knicks_players_all_stats[[#This Row],[REB]]/knicks_players_all_stats[[#This Row],[GP]]</f>
        <v>#DIV/0!</v>
      </c>
      <c r="AI421" s="19" t="e">
        <f>knicks_players_all_stats[[#This Row],[BLKPG]]+knicks_players_all_stats[[#This Row],[STLPG]]+knicks_players_all_stats[[#This Row],[REBPG]]</f>
        <v>#DIV/0!</v>
      </c>
    </row>
    <row r="422" spans="1:41" s="14" customFormat="1" x14ac:dyDescent="0.3">
      <c r="A422" s="13"/>
      <c r="B422" s="13"/>
      <c r="C422" s="13"/>
      <c r="D422" s="13"/>
      <c r="E422" s="14">
        <v>250</v>
      </c>
      <c r="L422" s="15"/>
      <c r="O422" s="15"/>
      <c r="R422" s="16"/>
      <c r="V422" s="14">
        <v>3430</v>
      </c>
      <c r="W422" s="14">
        <v>5180</v>
      </c>
      <c r="X422" s="14">
        <v>8610</v>
      </c>
      <c r="Y422" s="24" t="e">
        <f>knicks_players_all_stats[[#This Row],[REB]]/knicks_players_all_stats[[#This Row],[GP]]</f>
        <v>#DIV/0!</v>
      </c>
      <c r="AC422" s="14">
        <v>1040</v>
      </c>
      <c r="AE422" s="14">
        <v>140</v>
      </c>
      <c r="AH422" s="14">
        <v>2480</v>
      </c>
      <c r="AI422" s="19" t="e">
        <f>knicks_players_all_stats[[#This Row],[BLKPG]]+knicks_players_all_stats[[#This Row],[STLPG]]+knicks_players_all_stats[[#This Row],[REBPG]]</f>
        <v>#DIV/0!</v>
      </c>
    </row>
    <row r="423" spans="1:41" s="14" customFormat="1" x14ac:dyDescent="0.3">
      <c r="A423" s="13"/>
      <c r="B423" s="13"/>
      <c r="C423" s="13"/>
      <c r="D423" s="13"/>
      <c r="E423" s="14">
        <v>260</v>
      </c>
      <c r="L423" s="15"/>
      <c r="O423" s="15"/>
      <c r="R423" s="16"/>
      <c r="V423" s="14">
        <v>2580</v>
      </c>
      <c r="W423" s="14">
        <v>4690</v>
      </c>
      <c r="X423" s="14">
        <v>7270</v>
      </c>
      <c r="Y423" s="24" t="e">
        <f>knicks_players_all_stats[[#This Row],[REB]]/knicks_players_all_stats[[#This Row],[GP]]</f>
        <v>#DIV/0!</v>
      </c>
      <c r="AC423" s="14">
        <v>640</v>
      </c>
      <c r="AE423" s="14">
        <v>160</v>
      </c>
      <c r="AH423" s="14">
        <v>1650</v>
      </c>
      <c r="AI423" s="19" t="e">
        <f>knicks_players_all_stats[[#This Row],[BLKPG]]+knicks_players_all_stats[[#This Row],[STLPG]]+knicks_players_all_stats[[#This Row],[REBPG]]</f>
        <v>#DIV/0!</v>
      </c>
    </row>
    <row r="424" spans="1:41" s="14" customFormat="1" x14ac:dyDescent="0.3">
      <c r="A424" s="13"/>
      <c r="B424" s="13"/>
      <c r="C424" s="13"/>
      <c r="D424" s="13"/>
      <c r="E424" s="14">
        <v>270</v>
      </c>
      <c r="L424" s="15"/>
      <c r="O424" s="15"/>
      <c r="R424" s="16"/>
      <c r="V424" s="14">
        <v>3050</v>
      </c>
      <c r="W424" s="14">
        <v>6150</v>
      </c>
      <c r="X424" s="14">
        <v>9200</v>
      </c>
      <c r="Y424" s="24" t="e">
        <f>knicks_players_all_stats[[#This Row],[REB]]/knicks_players_all_stats[[#This Row],[GP]]</f>
        <v>#DIV/0!</v>
      </c>
      <c r="AC424" s="14">
        <v>620</v>
      </c>
      <c r="AE424" s="14">
        <v>170</v>
      </c>
      <c r="AH424" s="14">
        <v>2150</v>
      </c>
      <c r="AI424" s="19" t="e">
        <f>knicks_players_all_stats[[#This Row],[BLKPG]]+knicks_players_all_stats[[#This Row],[STLPG]]+knicks_players_all_stats[[#This Row],[REBPG]]</f>
        <v>#DIV/0!</v>
      </c>
    </row>
    <row r="425" spans="1:41" s="14" customFormat="1" x14ac:dyDescent="0.3">
      <c r="A425" s="13"/>
      <c r="B425" s="13"/>
      <c r="C425" s="13"/>
      <c r="D425" s="13"/>
      <c r="E425" s="14">
        <v>280</v>
      </c>
      <c r="L425" s="15"/>
      <c r="O425" s="15"/>
      <c r="R425" s="16"/>
      <c r="V425" s="14">
        <v>2560</v>
      </c>
      <c r="W425" s="14">
        <v>4440</v>
      </c>
      <c r="X425" s="14">
        <v>7000</v>
      </c>
      <c r="Y425" s="24" t="e">
        <f>knicks_players_all_stats[[#This Row],[REB]]/knicks_players_all_stats[[#This Row],[GP]]</f>
        <v>#DIV/0!</v>
      </c>
      <c r="AC425" s="14">
        <v>670</v>
      </c>
      <c r="AE425" s="14">
        <v>150</v>
      </c>
      <c r="AH425" s="14">
        <v>1230</v>
      </c>
      <c r="AI425" s="19" t="e">
        <f>knicks_players_all_stats[[#This Row],[BLKPG]]+knicks_players_all_stats[[#This Row],[STLPG]]+knicks_players_all_stats[[#This Row],[REBPG]]</f>
        <v>#DIV/0!</v>
      </c>
    </row>
    <row r="426" spans="1:41" s="14" customFormat="1" x14ac:dyDescent="0.3">
      <c r="A426" s="13"/>
      <c r="B426" s="13"/>
      <c r="C426" s="13"/>
      <c r="D426" s="13"/>
      <c r="E426" s="14">
        <v>290</v>
      </c>
      <c r="L426" s="15"/>
      <c r="O426" s="15"/>
      <c r="R426" s="16"/>
      <c r="V426" s="14">
        <v>2880</v>
      </c>
      <c r="W426" s="14">
        <v>4200</v>
      </c>
      <c r="X426" s="14">
        <v>7080</v>
      </c>
      <c r="Y426" s="24" t="e">
        <f>knicks_players_all_stats[[#This Row],[REB]]/knicks_players_all_stats[[#This Row],[GP]]</f>
        <v>#DIV/0!</v>
      </c>
      <c r="AC426" s="14">
        <v>850</v>
      </c>
      <c r="AE426" s="14">
        <v>150</v>
      </c>
      <c r="AH426" s="14">
        <v>1240</v>
      </c>
      <c r="AI426" s="19" t="e">
        <f>knicks_players_all_stats[[#This Row],[BLKPG]]+knicks_players_all_stats[[#This Row],[STLPG]]+knicks_players_all_stats[[#This Row],[REBPG]]</f>
        <v>#DIV/0!</v>
      </c>
    </row>
    <row r="427" spans="1:41" s="14" customFormat="1" x14ac:dyDescent="0.3">
      <c r="A427" s="13"/>
      <c r="B427" s="13"/>
      <c r="C427" s="13"/>
      <c r="D427" s="13"/>
      <c r="E427" s="14">
        <v>300</v>
      </c>
      <c r="L427" s="15"/>
      <c r="O427" s="15"/>
      <c r="R427" s="16"/>
      <c r="V427" s="14">
        <v>3490</v>
      </c>
      <c r="W427" s="14">
        <v>6160</v>
      </c>
      <c r="X427" s="14">
        <v>9650</v>
      </c>
      <c r="Y427" s="24" t="e">
        <f>knicks_players_all_stats[[#This Row],[REB]]/knicks_players_all_stats[[#This Row],[GP]]</f>
        <v>#DIV/0!</v>
      </c>
      <c r="AC427" s="14">
        <v>1100</v>
      </c>
      <c r="AE427" s="14">
        <v>180</v>
      </c>
      <c r="AH427" s="14">
        <v>1930</v>
      </c>
      <c r="AI427" s="19" t="e">
        <f>knicks_players_all_stats[[#This Row],[BLKPG]]+knicks_players_all_stats[[#This Row],[STLPG]]+knicks_players_all_stats[[#This Row],[REBPG]]</f>
        <v>#DIV/0!</v>
      </c>
    </row>
    <row r="428" spans="1:41" s="17" customFormat="1" x14ac:dyDescent="0.3">
      <c r="A428" s="13"/>
      <c r="B428" s="13"/>
      <c r="C428" s="13"/>
      <c r="D428" s="13"/>
      <c r="E428" s="14">
        <v>310</v>
      </c>
      <c r="F428" s="14"/>
      <c r="G428" s="14"/>
      <c r="H428" s="14"/>
      <c r="I428" s="14"/>
      <c r="J428" s="14"/>
      <c r="K428" s="14"/>
      <c r="L428" s="15"/>
      <c r="M428" s="14"/>
      <c r="N428" s="14"/>
      <c r="O428" s="15"/>
      <c r="P428" s="14"/>
      <c r="Q428" s="14"/>
      <c r="R428" s="16"/>
      <c r="S428" s="14"/>
      <c r="T428" s="14"/>
      <c r="U428" s="14"/>
      <c r="V428" s="14">
        <v>1550</v>
      </c>
      <c r="W428" s="14">
        <v>2900</v>
      </c>
      <c r="X428" s="14">
        <v>4450</v>
      </c>
      <c r="Y428" s="24" t="e">
        <f>knicks_players_all_stats[[#This Row],[REB]]/knicks_players_all_stats[[#This Row],[GP]]</f>
        <v>#DIV/0!</v>
      </c>
      <c r="Z428" s="14"/>
      <c r="AA428" s="14"/>
      <c r="AB428" s="14"/>
      <c r="AC428" s="14">
        <v>600</v>
      </c>
      <c r="AD428" s="14"/>
      <c r="AE428" s="14">
        <v>70</v>
      </c>
      <c r="AF428" s="14"/>
      <c r="AG428" s="14"/>
      <c r="AH428" s="14">
        <v>1030</v>
      </c>
      <c r="AI428" s="19" t="e">
        <f>knicks_players_all_stats[[#This Row],[BLKPG]]+knicks_players_all_stats[[#This Row],[STLPG]]+knicks_players_all_stats[[#This Row],[REBPG]]</f>
        <v>#DIV/0!</v>
      </c>
      <c r="AJ428" s="14"/>
      <c r="AK428" s="14"/>
      <c r="AL428" s="14"/>
      <c r="AM428" s="14"/>
      <c r="AN428" s="14"/>
      <c r="AO428" s="14"/>
    </row>
    <row r="429" spans="1:41" s="17" customFormat="1" x14ac:dyDescent="0.3">
      <c r="A429" s="13"/>
      <c r="B429" s="13"/>
      <c r="C429" s="13"/>
      <c r="D429" s="13"/>
      <c r="E429" s="14">
        <v>320</v>
      </c>
      <c r="F429" s="14"/>
      <c r="G429" s="14"/>
      <c r="H429" s="14"/>
      <c r="I429" s="14"/>
      <c r="J429" s="14"/>
      <c r="K429" s="14"/>
      <c r="L429" s="15"/>
      <c r="M429" s="14"/>
      <c r="N429" s="14"/>
      <c r="O429" s="15"/>
      <c r="P429" s="14"/>
      <c r="Q429" s="14"/>
      <c r="R429" s="16"/>
      <c r="S429" s="14"/>
      <c r="T429" s="14"/>
      <c r="U429" s="14"/>
      <c r="V429" s="14">
        <v>1620</v>
      </c>
      <c r="W429" s="14">
        <v>2980</v>
      </c>
      <c r="X429" s="14">
        <v>4600</v>
      </c>
      <c r="Y429" s="24" t="e">
        <f>knicks_players_all_stats[[#This Row],[REB]]/knicks_players_all_stats[[#This Row],[GP]]</f>
        <v>#DIV/0!</v>
      </c>
      <c r="Z429" s="14"/>
      <c r="AA429" s="14"/>
      <c r="AB429" s="14"/>
      <c r="AC429" s="14">
        <v>580</v>
      </c>
      <c r="AD429" s="14"/>
      <c r="AE429" s="14">
        <v>140</v>
      </c>
      <c r="AF429" s="14"/>
      <c r="AG429" s="14"/>
      <c r="AH429" s="14">
        <v>1040</v>
      </c>
      <c r="AI429" s="19" t="e">
        <f>knicks_players_all_stats[[#This Row],[BLKPG]]+knicks_players_all_stats[[#This Row],[STLPG]]+knicks_players_all_stats[[#This Row],[REBPG]]</f>
        <v>#DIV/0!</v>
      </c>
      <c r="AJ429" s="14"/>
      <c r="AK429" s="14"/>
      <c r="AL429" s="14"/>
      <c r="AM429" s="14"/>
      <c r="AN429" s="14"/>
      <c r="AO429" s="14"/>
    </row>
    <row r="430" spans="1:41" s="14" customFormat="1" x14ac:dyDescent="0.3">
      <c r="A430" s="13"/>
      <c r="B430" s="13"/>
      <c r="C430" s="13"/>
      <c r="D430" s="13"/>
      <c r="E430" s="14">
        <v>330</v>
      </c>
      <c r="L430" s="15"/>
      <c r="O430" s="15"/>
      <c r="R430" s="16"/>
      <c r="V430" s="14">
        <v>2460</v>
      </c>
      <c r="W430" s="14">
        <v>5350</v>
      </c>
      <c r="X430" s="14">
        <v>7810</v>
      </c>
      <c r="Y430" s="24" t="e">
        <f>knicks_players_all_stats[[#This Row],[REB]]/knicks_players_all_stats[[#This Row],[GP]]</f>
        <v>#DIV/0!</v>
      </c>
      <c r="AC430" s="14">
        <v>1110</v>
      </c>
      <c r="AE430" s="14">
        <v>210</v>
      </c>
      <c r="AH430" s="14">
        <v>1710</v>
      </c>
      <c r="AI430" s="19" t="e">
        <f>knicks_players_all_stats[[#This Row],[BLKPG]]+knicks_players_all_stats[[#This Row],[STLPG]]+knicks_players_all_stats[[#This Row],[REBPG]]</f>
        <v>#DIV/0!</v>
      </c>
    </row>
    <row r="431" spans="1:41" s="14" customFormat="1" x14ac:dyDescent="0.3">
      <c r="A431" s="13"/>
      <c r="B431" s="13"/>
      <c r="C431" s="13"/>
      <c r="D431" s="13"/>
      <c r="E431" s="14">
        <v>340</v>
      </c>
      <c r="L431" s="15"/>
      <c r="O431" s="15"/>
      <c r="R431" s="16"/>
      <c r="V431" s="14">
        <v>2180</v>
      </c>
      <c r="W431" s="14">
        <v>5060</v>
      </c>
      <c r="X431" s="14">
        <v>7240</v>
      </c>
      <c r="Y431" s="24" t="e">
        <f>knicks_players_all_stats[[#This Row],[REB]]/knicks_players_all_stats[[#This Row],[GP]]</f>
        <v>#DIV/0!</v>
      </c>
      <c r="AC431" s="14">
        <v>1230</v>
      </c>
      <c r="AE431" s="14">
        <v>220</v>
      </c>
      <c r="AH431" s="14">
        <v>1260</v>
      </c>
      <c r="AI431" s="19" t="e">
        <f>knicks_players_all_stats[[#This Row],[BLKPG]]+knicks_players_all_stats[[#This Row],[STLPG]]+knicks_players_all_stats[[#This Row],[REBPG]]</f>
        <v>#DIV/0!</v>
      </c>
    </row>
    <row r="432" spans="1:41" s="14" customFormat="1" x14ac:dyDescent="0.3">
      <c r="A432" s="13"/>
      <c r="B432" s="13"/>
      <c r="C432" s="13"/>
      <c r="D432" s="13"/>
      <c r="E432" s="14">
        <v>220</v>
      </c>
      <c r="L432" s="15"/>
      <c r="O432" s="15"/>
      <c r="R432" s="16"/>
      <c r="V432" s="14">
        <v>470</v>
      </c>
      <c r="W432" s="14">
        <v>850</v>
      </c>
      <c r="X432" s="14">
        <v>1320</v>
      </c>
      <c r="Y432" s="24" t="e">
        <f>knicks_players_all_stats[[#This Row],[REB]]/knicks_players_all_stats[[#This Row],[GP]]</f>
        <v>#DIV/0!</v>
      </c>
      <c r="AC432" s="14">
        <v>120</v>
      </c>
      <c r="AE432" s="14">
        <v>40</v>
      </c>
      <c r="AH432" s="14">
        <v>300</v>
      </c>
      <c r="AI432" s="19" t="e">
        <f>knicks_players_all_stats[[#This Row],[BLKPG]]+knicks_players_all_stats[[#This Row],[STLPG]]+knicks_players_all_stats[[#This Row],[REBPG]]</f>
        <v>#DIV/0!</v>
      </c>
    </row>
    <row r="433" spans="1:41" s="14" customFormat="1" x14ac:dyDescent="0.3">
      <c r="A433" s="13"/>
      <c r="B433" s="13"/>
      <c r="C433" s="13"/>
      <c r="D433" s="13"/>
      <c r="E433" s="14">
        <v>230</v>
      </c>
      <c r="L433" s="15"/>
      <c r="O433" s="15"/>
      <c r="R433" s="16"/>
      <c r="V433" s="14">
        <v>20</v>
      </c>
      <c r="W433" s="14">
        <v>30</v>
      </c>
      <c r="X433" s="14">
        <v>50</v>
      </c>
      <c r="Y433" s="24" t="e">
        <f>knicks_players_all_stats[[#This Row],[REB]]/knicks_players_all_stats[[#This Row],[GP]]</f>
        <v>#DIV/0!</v>
      </c>
      <c r="AC433" s="14">
        <v>10</v>
      </c>
      <c r="AE433" s="14">
        <v>10</v>
      </c>
      <c r="AH433" s="14">
        <v>20</v>
      </c>
      <c r="AI433" s="19" t="e">
        <f>knicks_players_all_stats[[#This Row],[BLKPG]]+knicks_players_all_stats[[#This Row],[STLPG]]+knicks_players_all_stats[[#This Row],[REBPG]]</f>
        <v>#DIV/0!</v>
      </c>
    </row>
    <row r="434" spans="1:41" s="14" customFormat="1" x14ac:dyDescent="0.3">
      <c r="A434" s="13"/>
      <c r="B434" s="13"/>
      <c r="C434" s="13"/>
      <c r="D434" s="13"/>
      <c r="E434" s="14">
        <v>340</v>
      </c>
      <c r="L434" s="15"/>
      <c r="O434" s="15"/>
      <c r="R434" s="16"/>
      <c r="V434" s="14">
        <v>90</v>
      </c>
      <c r="W434" s="14">
        <v>170</v>
      </c>
      <c r="X434" s="14">
        <v>260</v>
      </c>
      <c r="Y434" s="24" t="e">
        <f>knicks_players_all_stats[[#This Row],[REB]]/knicks_players_all_stats[[#This Row],[GP]]</f>
        <v>#DIV/0!</v>
      </c>
      <c r="AC434" s="14">
        <v>60</v>
      </c>
      <c r="AE434" s="14">
        <v>20</v>
      </c>
      <c r="AH434" s="14">
        <v>70</v>
      </c>
      <c r="AI434" s="19" t="e">
        <f>knicks_players_all_stats[[#This Row],[BLKPG]]+knicks_players_all_stats[[#This Row],[STLPG]]+knicks_players_all_stats[[#This Row],[REBPG]]</f>
        <v>#DIV/0!</v>
      </c>
    </row>
    <row r="435" spans="1:41" s="14" customFormat="1" x14ac:dyDescent="0.3">
      <c r="A435" s="13"/>
      <c r="B435" s="13"/>
      <c r="C435" s="13"/>
      <c r="D435" s="13"/>
      <c r="E435" s="14">
        <v>230</v>
      </c>
      <c r="L435" s="15"/>
      <c r="O435" s="15"/>
      <c r="R435" s="16"/>
      <c r="V435" s="14">
        <v>60</v>
      </c>
      <c r="W435" s="14">
        <v>80</v>
      </c>
      <c r="X435" s="14">
        <v>140</v>
      </c>
      <c r="Y435" s="24" t="e">
        <f>knicks_players_all_stats[[#This Row],[REB]]/knicks_players_all_stats[[#This Row],[GP]]</f>
        <v>#DIV/0!</v>
      </c>
      <c r="AC435" s="14">
        <v>30</v>
      </c>
      <c r="AE435" s="14">
        <v>10</v>
      </c>
      <c r="AH435" s="14">
        <v>50</v>
      </c>
      <c r="AI435" s="19" t="e">
        <f>knicks_players_all_stats[[#This Row],[BLKPG]]+knicks_players_all_stats[[#This Row],[STLPG]]+knicks_players_all_stats[[#This Row],[REBPG]]</f>
        <v>#DIV/0!</v>
      </c>
    </row>
    <row r="436" spans="1:41" s="14" customFormat="1" x14ac:dyDescent="0.3">
      <c r="A436" s="13"/>
      <c r="B436" s="13"/>
      <c r="C436" s="13"/>
      <c r="D436" s="13"/>
      <c r="E436" s="14">
        <v>240</v>
      </c>
      <c r="L436" s="15"/>
      <c r="O436" s="15"/>
      <c r="R436" s="16"/>
      <c r="V436" s="14">
        <v>60</v>
      </c>
      <c r="W436" s="14">
        <v>110</v>
      </c>
      <c r="X436" s="14">
        <v>170</v>
      </c>
      <c r="Y436" s="24" t="e">
        <f>knicks_players_all_stats[[#This Row],[REB]]/knicks_players_all_stats[[#This Row],[GP]]</f>
        <v>#DIV/0!</v>
      </c>
      <c r="AC436" s="14">
        <v>0</v>
      </c>
      <c r="AE436" s="14">
        <v>10</v>
      </c>
      <c r="AH436" s="14">
        <v>20</v>
      </c>
      <c r="AI436" s="19" t="e">
        <f>knicks_players_all_stats[[#This Row],[BLKPG]]+knicks_players_all_stats[[#This Row],[STLPG]]+knicks_players_all_stats[[#This Row],[REBPG]]</f>
        <v>#DIV/0!</v>
      </c>
    </row>
    <row r="437" spans="1:41" s="14" customFormat="1" x14ac:dyDescent="0.3">
      <c r="A437" s="13"/>
      <c r="B437" s="13"/>
      <c r="C437" s="13"/>
      <c r="D437" s="13"/>
      <c r="E437" s="14">
        <v>230</v>
      </c>
      <c r="L437" s="15"/>
      <c r="O437" s="15"/>
      <c r="R437" s="16"/>
      <c r="Y437" s="24" t="e">
        <f>knicks_players_all_stats[[#This Row],[REB]]/knicks_players_all_stats[[#This Row],[GP]]</f>
        <v>#DIV/0!</v>
      </c>
      <c r="AI437" s="19" t="e">
        <f>knicks_players_all_stats[[#This Row],[BLKPG]]+knicks_players_all_stats[[#This Row],[STLPG]]+knicks_players_all_stats[[#This Row],[REBPG]]</f>
        <v>#DIV/0!</v>
      </c>
    </row>
    <row r="438" spans="1:41" s="17" customFormat="1" x14ac:dyDescent="0.3">
      <c r="A438" s="13"/>
      <c r="B438" s="13"/>
      <c r="C438" s="13"/>
      <c r="D438" s="13"/>
      <c r="E438" s="14">
        <v>240</v>
      </c>
      <c r="F438" s="14"/>
      <c r="G438" s="14"/>
      <c r="H438" s="14"/>
      <c r="I438" s="14"/>
      <c r="J438" s="14"/>
      <c r="K438" s="14"/>
      <c r="L438" s="15"/>
      <c r="M438" s="14"/>
      <c r="N438" s="14"/>
      <c r="O438" s="15"/>
      <c r="P438" s="14"/>
      <c r="Q438" s="14"/>
      <c r="R438" s="16"/>
      <c r="S438" s="14"/>
      <c r="T438" s="14"/>
      <c r="U438" s="14"/>
      <c r="V438" s="14"/>
      <c r="W438" s="14"/>
      <c r="X438" s="14"/>
      <c r="Y438" s="24" t="e">
        <f>knicks_players_all_stats[[#This Row],[REB]]/knicks_players_all_stats[[#This Row],[GP]]</f>
        <v>#DIV/0!</v>
      </c>
      <c r="Z438" s="14"/>
      <c r="AA438" s="14"/>
      <c r="AB438" s="14"/>
      <c r="AC438" s="14"/>
      <c r="AD438" s="14"/>
      <c r="AE438" s="14"/>
      <c r="AF438" s="14"/>
      <c r="AG438" s="14"/>
      <c r="AH438" s="14"/>
      <c r="AI438" s="19" t="e">
        <f>knicks_players_all_stats[[#This Row],[BLKPG]]+knicks_players_all_stats[[#This Row],[STLPG]]+knicks_players_all_stats[[#This Row],[REBPG]]</f>
        <v>#DIV/0!</v>
      </c>
      <c r="AJ438" s="14"/>
      <c r="AK438" s="14"/>
      <c r="AL438" s="14"/>
      <c r="AM438" s="14"/>
      <c r="AN438" s="14"/>
      <c r="AO438" s="14"/>
    </row>
    <row r="439" spans="1:41" s="17" customFormat="1" x14ac:dyDescent="0.3">
      <c r="A439" s="13"/>
      <c r="B439" s="13"/>
      <c r="C439" s="13"/>
      <c r="D439" s="13"/>
      <c r="E439" s="14">
        <v>250</v>
      </c>
      <c r="F439" s="14"/>
      <c r="G439" s="14"/>
      <c r="H439" s="14"/>
      <c r="I439" s="14"/>
      <c r="J439" s="14"/>
      <c r="K439" s="14"/>
      <c r="L439" s="15"/>
      <c r="M439" s="14"/>
      <c r="N439" s="14"/>
      <c r="O439" s="15"/>
      <c r="P439" s="14"/>
      <c r="Q439" s="14"/>
      <c r="R439" s="16"/>
      <c r="S439" s="14"/>
      <c r="T439" s="14"/>
      <c r="U439" s="14"/>
      <c r="V439" s="14"/>
      <c r="W439" s="14"/>
      <c r="X439" s="14"/>
      <c r="Y439" s="24" t="e">
        <f>knicks_players_all_stats[[#This Row],[REB]]/knicks_players_all_stats[[#This Row],[GP]]</f>
        <v>#DIV/0!</v>
      </c>
      <c r="Z439" s="14"/>
      <c r="AA439" s="14"/>
      <c r="AB439" s="14"/>
      <c r="AC439" s="14"/>
      <c r="AD439" s="14"/>
      <c r="AE439" s="14"/>
      <c r="AF439" s="14"/>
      <c r="AG439" s="14"/>
      <c r="AH439" s="14"/>
      <c r="AI439" s="19" t="e">
        <f>knicks_players_all_stats[[#This Row],[BLKPG]]+knicks_players_all_stats[[#This Row],[STLPG]]+knicks_players_all_stats[[#This Row],[REBPG]]</f>
        <v>#DIV/0!</v>
      </c>
      <c r="AJ439" s="14"/>
      <c r="AK439" s="14"/>
      <c r="AL439" s="14"/>
      <c r="AM439" s="14"/>
      <c r="AN439" s="14"/>
      <c r="AO439" s="14"/>
    </row>
    <row r="440" spans="1:41" s="14" customFormat="1" x14ac:dyDescent="0.3">
      <c r="A440" s="18"/>
      <c r="B440" s="18"/>
      <c r="C440" s="18"/>
      <c r="D440" s="18"/>
      <c r="E440" s="14">
        <v>300</v>
      </c>
      <c r="F440" s="17"/>
      <c r="G440" s="17"/>
      <c r="H440" s="17"/>
      <c r="I440" s="19"/>
      <c r="J440" s="17"/>
      <c r="K440" s="17"/>
      <c r="L440" s="17"/>
      <c r="M440" s="17"/>
      <c r="N440" s="17"/>
      <c r="O440" s="20"/>
      <c r="P440" s="17"/>
      <c r="Q440" s="17"/>
      <c r="R440" s="21"/>
      <c r="S440" s="17"/>
      <c r="T440" s="17"/>
      <c r="U440" s="17"/>
      <c r="V440" s="14">
        <v>640</v>
      </c>
      <c r="W440" s="14">
        <v>1520</v>
      </c>
      <c r="X440" s="14">
        <v>2160</v>
      </c>
      <c r="Y440" s="24" t="e">
        <f>knicks_players_all_stats[[#This Row],[REB]]/knicks_players_all_stats[[#This Row],[GP]]</f>
        <v>#DIV/0!</v>
      </c>
      <c r="Z440" s="17"/>
      <c r="AA440" s="17"/>
      <c r="AB440" s="17"/>
      <c r="AC440" s="17">
        <v>90</v>
      </c>
      <c r="AD440" s="17"/>
      <c r="AE440" s="14">
        <v>200</v>
      </c>
      <c r="AF440" s="17"/>
      <c r="AG440" s="17"/>
      <c r="AH440" s="14">
        <v>420</v>
      </c>
      <c r="AI440" s="19" t="e">
        <f>knicks_players_all_stats[[#This Row],[BLKPG]]+knicks_players_all_stats[[#This Row],[STLPG]]+knicks_players_all_stats[[#This Row],[REBPG]]</f>
        <v>#DIV/0!</v>
      </c>
      <c r="AJ440" s="17"/>
      <c r="AK440" s="17"/>
      <c r="AL440" s="17"/>
      <c r="AM440" s="17"/>
      <c r="AN440" s="17"/>
      <c r="AO440" s="17"/>
    </row>
    <row r="441" spans="1:41" s="14" customFormat="1" x14ac:dyDescent="0.3">
      <c r="A441" s="18"/>
      <c r="B441" s="18"/>
      <c r="C441" s="18"/>
      <c r="D441" s="18"/>
      <c r="E441" s="14">
        <v>250</v>
      </c>
      <c r="F441" s="17"/>
      <c r="G441" s="17"/>
      <c r="H441" s="17"/>
      <c r="I441" s="19"/>
      <c r="J441" s="17"/>
      <c r="K441" s="17"/>
      <c r="L441" s="20"/>
      <c r="M441" s="17"/>
      <c r="N441" s="17"/>
      <c r="O441" s="20"/>
      <c r="P441" s="17"/>
      <c r="Q441" s="17"/>
      <c r="R441" s="21"/>
      <c r="S441" s="17"/>
      <c r="T441" s="17"/>
      <c r="U441" s="17"/>
      <c r="V441" s="14">
        <v>1510</v>
      </c>
      <c r="W441" s="14">
        <v>4710</v>
      </c>
      <c r="X441" s="14">
        <v>6220</v>
      </c>
      <c r="Y441" s="24" t="e">
        <f>knicks_players_all_stats[[#This Row],[REB]]/knicks_players_all_stats[[#This Row],[GP]]</f>
        <v>#DIV/0!</v>
      </c>
      <c r="Z441" s="17"/>
      <c r="AA441" s="17"/>
      <c r="AB441" s="17"/>
      <c r="AC441" s="17">
        <v>510</v>
      </c>
      <c r="AD441" s="17"/>
      <c r="AE441" s="14">
        <v>220</v>
      </c>
      <c r="AF441" s="17"/>
      <c r="AG441" s="17"/>
      <c r="AH441" s="14">
        <v>1930</v>
      </c>
      <c r="AI441" s="19" t="e">
        <f>knicks_players_all_stats[[#This Row],[BLKPG]]+knicks_players_all_stats[[#This Row],[STLPG]]+knicks_players_all_stats[[#This Row],[REBPG]]</f>
        <v>#DIV/0!</v>
      </c>
      <c r="AJ441" s="17"/>
      <c r="AK441" s="17"/>
      <c r="AL441" s="17"/>
      <c r="AM441" s="17"/>
      <c r="AN441" s="17"/>
      <c r="AO441" s="17"/>
    </row>
    <row r="442" spans="1:41" s="17" customFormat="1" x14ac:dyDescent="0.3">
      <c r="A442" s="18"/>
      <c r="B442" s="18"/>
      <c r="C442" s="18"/>
      <c r="D442" s="18"/>
      <c r="E442" s="14">
        <v>270</v>
      </c>
      <c r="I442" s="19"/>
      <c r="O442" s="20"/>
      <c r="R442" s="21"/>
      <c r="V442" s="14">
        <v>1710</v>
      </c>
      <c r="W442" s="14">
        <v>2900</v>
      </c>
      <c r="X442" s="14">
        <v>4610</v>
      </c>
      <c r="Y442" s="24" t="e">
        <f>knicks_players_all_stats[[#This Row],[REB]]/knicks_players_all_stats[[#This Row],[GP]]</f>
        <v>#DIV/0!</v>
      </c>
      <c r="AC442" s="17">
        <v>180</v>
      </c>
      <c r="AE442" s="14">
        <v>170</v>
      </c>
      <c r="AH442" s="14">
        <v>790</v>
      </c>
      <c r="AI442" s="19" t="e">
        <f>knicks_players_all_stats[[#This Row],[BLKPG]]+knicks_players_all_stats[[#This Row],[STLPG]]+knicks_players_all_stats[[#This Row],[REBPG]]</f>
        <v>#DIV/0!</v>
      </c>
    </row>
    <row r="443" spans="1:41" s="14" customFormat="1" x14ac:dyDescent="0.3">
      <c r="A443" s="13"/>
      <c r="B443" s="13"/>
      <c r="C443" s="13"/>
      <c r="D443" s="13"/>
      <c r="E443" s="14">
        <v>240</v>
      </c>
      <c r="L443" s="15"/>
      <c r="O443" s="15"/>
      <c r="R443" s="16"/>
      <c r="V443" s="14">
        <v>870</v>
      </c>
      <c r="W443" s="14">
        <v>720</v>
      </c>
      <c r="X443" s="14">
        <v>1590</v>
      </c>
      <c r="Y443" s="24" t="e">
        <f>knicks_players_all_stats[[#This Row],[REB]]/knicks_players_all_stats[[#This Row],[GP]]</f>
        <v>#DIV/0!</v>
      </c>
      <c r="AC443" s="14">
        <v>720</v>
      </c>
      <c r="AE443" s="14">
        <v>110</v>
      </c>
      <c r="AH443" s="14">
        <v>1030</v>
      </c>
      <c r="AI443" s="19" t="e">
        <f>knicks_players_all_stats[[#This Row],[BLKPG]]+knicks_players_all_stats[[#This Row],[STLPG]]+knicks_players_all_stats[[#This Row],[REBPG]]</f>
        <v>#DIV/0!</v>
      </c>
    </row>
    <row r="444" spans="1:41" s="14" customFormat="1" x14ac:dyDescent="0.3">
      <c r="A444" s="13"/>
      <c r="B444" s="13"/>
      <c r="C444" s="13"/>
      <c r="D444" s="13"/>
      <c r="E444" s="14">
        <v>250</v>
      </c>
      <c r="L444" s="15"/>
      <c r="O444" s="15"/>
      <c r="R444" s="16"/>
      <c r="V444" s="14">
        <v>930</v>
      </c>
      <c r="W444" s="14">
        <v>1130</v>
      </c>
      <c r="X444" s="14">
        <v>2060</v>
      </c>
      <c r="Y444" s="24" t="e">
        <f>knicks_players_all_stats[[#This Row],[REB]]/knicks_players_all_stats[[#This Row],[GP]]</f>
        <v>#DIV/0!</v>
      </c>
      <c r="AC444" s="14">
        <v>1110</v>
      </c>
      <c r="AE444" s="14">
        <v>230</v>
      </c>
      <c r="AH444" s="14">
        <v>1530</v>
      </c>
      <c r="AI444" s="19" t="e">
        <f>knicks_players_all_stats[[#This Row],[BLKPG]]+knicks_players_all_stats[[#This Row],[STLPG]]+knicks_players_all_stats[[#This Row],[REBPG]]</f>
        <v>#DIV/0!</v>
      </c>
    </row>
    <row r="445" spans="1:41" s="14" customFormat="1" x14ac:dyDescent="0.3">
      <c r="A445" s="13"/>
      <c r="B445" s="13"/>
      <c r="C445" s="13"/>
      <c r="D445" s="13"/>
      <c r="E445" s="14">
        <v>260</v>
      </c>
      <c r="L445" s="15"/>
      <c r="O445" s="15"/>
      <c r="R445" s="16"/>
      <c r="V445" s="14">
        <v>600</v>
      </c>
      <c r="W445" s="14">
        <v>1310</v>
      </c>
      <c r="X445" s="14">
        <v>1910</v>
      </c>
      <c r="Y445" s="24" t="e">
        <f>knicks_players_all_stats[[#This Row],[REB]]/knicks_players_all_stats[[#This Row],[GP]]</f>
        <v>#DIV/0!</v>
      </c>
      <c r="AC445" s="14">
        <v>950</v>
      </c>
      <c r="AE445" s="14">
        <v>220</v>
      </c>
      <c r="AH445" s="14">
        <v>1430</v>
      </c>
      <c r="AI445" s="19" t="e">
        <f>knicks_players_all_stats[[#This Row],[BLKPG]]+knicks_players_all_stats[[#This Row],[STLPG]]+knicks_players_all_stats[[#This Row],[REBPG]]</f>
        <v>#DIV/0!</v>
      </c>
    </row>
    <row r="446" spans="1:41" s="17" customFormat="1" x14ac:dyDescent="0.3">
      <c r="A446" s="13"/>
      <c r="B446" s="13"/>
      <c r="C446" s="13"/>
      <c r="D446" s="13"/>
      <c r="E446" s="14">
        <v>330</v>
      </c>
      <c r="F446" s="14"/>
      <c r="G446" s="14"/>
      <c r="H446" s="14"/>
      <c r="I446" s="14"/>
      <c r="J446" s="14"/>
      <c r="K446" s="14"/>
      <c r="L446" s="15"/>
      <c r="M446" s="14"/>
      <c r="N446" s="14"/>
      <c r="O446" s="15"/>
      <c r="P446" s="14"/>
      <c r="Q446" s="14"/>
      <c r="R446" s="16"/>
      <c r="S446" s="14"/>
      <c r="T446" s="14"/>
      <c r="U446" s="14"/>
      <c r="V446" s="14">
        <v>360</v>
      </c>
      <c r="W446" s="14">
        <v>550</v>
      </c>
      <c r="X446" s="14">
        <v>910</v>
      </c>
      <c r="Y446" s="24" t="e">
        <f>knicks_players_all_stats[[#This Row],[REB]]/knicks_players_all_stats[[#This Row],[GP]]</f>
        <v>#DIV/0!</v>
      </c>
      <c r="Z446" s="14"/>
      <c r="AA446" s="14"/>
      <c r="AB446" s="14"/>
      <c r="AC446" s="14">
        <v>330</v>
      </c>
      <c r="AD446" s="14"/>
      <c r="AE446" s="14">
        <v>30</v>
      </c>
      <c r="AF446" s="14"/>
      <c r="AG446" s="14"/>
      <c r="AH446" s="14">
        <v>1040</v>
      </c>
      <c r="AI446" s="19" t="e">
        <f>knicks_players_all_stats[[#This Row],[BLKPG]]+knicks_players_all_stats[[#This Row],[STLPG]]+knicks_players_all_stats[[#This Row],[REBPG]]</f>
        <v>#DIV/0!</v>
      </c>
      <c r="AJ446" s="14"/>
      <c r="AK446" s="14"/>
      <c r="AL446" s="14"/>
      <c r="AM446" s="14"/>
      <c r="AN446" s="14"/>
      <c r="AO446" s="14"/>
    </row>
    <row r="447" spans="1:41" s="17" customFormat="1" x14ac:dyDescent="0.3">
      <c r="A447" s="13"/>
      <c r="B447" s="13"/>
      <c r="C447" s="13"/>
      <c r="D447" s="13"/>
      <c r="E447" s="14">
        <v>240</v>
      </c>
      <c r="F447" s="14"/>
      <c r="G447" s="14"/>
      <c r="H447" s="14"/>
      <c r="I447" s="14"/>
      <c r="J447" s="14"/>
      <c r="K447" s="14"/>
      <c r="L447" s="15"/>
      <c r="M447" s="14"/>
      <c r="N447" s="14"/>
      <c r="O447" s="15"/>
      <c r="P447" s="14"/>
      <c r="Q447" s="14"/>
      <c r="R447" s="16"/>
      <c r="S447" s="14"/>
      <c r="T447" s="14"/>
      <c r="U447" s="14"/>
      <c r="V447" s="14"/>
      <c r="W447" s="14"/>
      <c r="X447" s="14">
        <v>420</v>
      </c>
      <c r="Y447" s="24" t="e">
        <f>knicks_players_all_stats[[#This Row],[REB]]/knicks_players_all_stats[[#This Row],[GP]]</f>
        <v>#DIV/0!</v>
      </c>
      <c r="Z447" s="14"/>
      <c r="AA447" s="14"/>
      <c r="AB447" s="14"/>
      <c r="AC447" s="14"/>
      <c r="AD447" s="14"/>
      <c r="AE447" s="14"/>
      <c r="AF447" s="14"/>
      <c r="AG447" s="14"/>
      <c r="AH447" s="14"/>
      <c r="AI447" s="19" t="e">
        <f>knicks_players_all_stats[[#This Row],[BLKPG]]+knicks_players_all_stats[[#This Row],[STLPG]]+knicks_players_all_stats[[#This Row],[REBPG]]</f>
        <v>#DIV/0!</v>
      </c>
      <c r="AJ447" s="14"/>
      <c r="AK447" s="14"/>
      <c r="AL447" s="14"/>
      <c r="AM447" s="14"/>
      <c r="AN447" s="14"/>
      <c r="AO447" s="14"/>
    </row>
    <row r="448" spans="1:41" s="17" customFormat="1" x14ac:dyDescent="0.3">
      <c r="A448" s="13"/>
      <c r="B448" s="13"/>
      <c r="C448" s="13"/>
      <c r="D448" s="13"/>
      <c r="E448" s="14">
        <v>220</v>
      </c>
      <c r="F448" s="14"/>
      <c r="G448" s="14"/>
      <c r="H448" s="14"/>
      <c r="I448" s="14"/>
      <c r="J448" s="14"/>
      <c r="K448" s="14"/>
      <c r="L448" s="15"/>
      <c r="M448" s="14"/>
      <c r="N448" s="14"/>
      <c r="O448" s="15"/>
      <c r="P448" s="14"/>
      <c r="Q448" s="14"/>
      <c r="R448" s="16"/>
      <c r="S448" s="14"/>
      <c r="T448" s="14"/>
      <c r="U448" s="14"/>
      <c r="V448" s="14"/>
      <c r="W448" s="14"/>
      <c r="X448" s="14">
        <v>6170</v>
      </c>
      <c r="Y448" s="24" t="e">
        <f>knicks_players_all_stats[[#This Row],[REB]]/knicks_players_all_stats[[#This Row],[GP]]</f>
        <v>#DIV/0!</v>
      </c>
      <c r="Z448" s="14"/>
      <c r="AA448" s="14"/>
      <c r="AB448" s="14"/>
      <c r="AC448" s="14"/>
      <c r="AD448" s="14"/>
      <c r="AE448" s="14"/>
      <c r="AF448" s="14"/>
      <c r="AG448" s="14"/>
      <c r="AH448" s="14"/>
      <c r="AI448" s="19" t="e">
        <f>knicks_players_all_stats[[#This Row],[BLKPG]]+knicks_players_all_stats[[#This Row],[STLPG]]+knicks_players_all_stats[[#This Row],[REBPG]]</f>
        <v>#DIV/0!</v>
      </c>
      <c r="AJ448" s="14"/>
      <c r="AK448" s="14"/>
      <c r="AL448" s="14"/>
      <c r="AM448" s="14"/>
      <c r="AN448" s="14"/>
      <c r="AO448" s="14"/>
    </row>
    <row r="449" spans="1:41" s="17" customFormat="1" x14ac:dyDescent="0.3">
      <c r="A449" s="13"/>
      <c r="B449" s="13"/>
      <c r="C449" s="13"/>
      <c r="D449" s="13"/>
      <c r="E449" s="14">
        <v>230</v>
      </c>
      <c r="F449" s="14"/>
      <c r="G449" s="14"/>
      <c r="H449" s="14"/>
      <c r="I449" s="14"/>
      <c r="J449" s="14"/>
      <c r="K449" s="14"/>
      <c r="L449" s="15"/>
      <c r="M449" s="14"/>
      <c r="N449" s="14"/>
      <c r="O449" s="15"/>
      <c r="P449" s="14"/>
      <c r="Q449" s="14"/>
      <c r="R449" s="16"/>
      <c r="S449" s="14"/>
      <c r="T449" s="14"/>
      <c r="U449" s="14"/>
      <c r="V449" s="14"/>
      <c r="W449" s="14"/>
      <c r="X449" s="14">
        <v>7990</v>
      </c>
      <c r="Y449" s="24" t="e">
        <f>knicks_players_all_stats[[#This Row],[REB]]/knicks_players_all_stats[[#This Row],[GP]]</f>
        <v>#DIV/0!</v>
      </c>
      <c r="Z449" s="14"/>
      <c r="AA449" s="14"/>
      <c r="AB449" s="14"/>
      <c r="AC449" s="14"/>
      <c r="AD449" s="14"/>
      <c r="AE449" s="14"/>
      <c r="AF449" s="14"/>
      <c r="AG449" s="14"/>
      <c r="AH449" s="14"/>
      <c r="AI449" s="19" t="e">
        <f>knicks_players_all_stats[[#This Row],[BLKPG]]+knicks_players_all_stats[[#This Row],[STLPG]]+knicks_players_all_stats[[#This Row],[REBPG]]</f>
        <v>#DIV/0!</v>
      </c>
      <c r="AJ449" s="14"/>
      <c r="AK449" s="14"/>
      <c r="AL449" s="14"/>
      <c r="AM449" s="14"/>
      <c r="AN449" s="14"/>
      <c r="AO449" s="14"/>
    </row>
    <row r="450" spans="1:41" s="14" customFormat="1" x14ac:dyDescent="0.3">
      <c r="A450" s="13"/>
      <c r="B450" s="13"/>
      <c r="C450" s="13"/>
      <c r="D450" s="13"/>
      <c r="E450" s="14">
        <v>240</v>
      </c>
      <c r="L450" s="15"/>
      <c r="O450" s="15"/>
      <c r="R450" s="16"/>
      <c r="X450" s="14">
        <v>7230</v>
      </c>
      <c r="Y450" s="24" t="e">
        <f>knicks_players_all_stats[[#This Row],[REB]]/knicks_players_all_stats[[#This Row],[GP]]</f>
        <v>#DIV/0!</v>
      </c>
      <c r="AI450" s="19" t="e">
        <f>knicks_players_all_stats[[#This Row],[BLKPG]]+knicks_players_all_stats[[#This Row],[STLPG]]+knicks_players_all_stats[[#This Row],[REBPG]]</f>
        <v>#DIV/0!</v>
      </c>
    </row>
    <row r="451" spans="1:41" s="14" customFormat="1" x14ac:dyDescent="0.3">
      <c r="A451" s="13"/>
      <c r="B451" s="13"/>
      <c r="C451" s="13"/>
      <c r="D451" s="13"/>
      <c r="E451" s="14">
        <v>250</v>
      </c>
      <c r="L451" s="15"/>
      <c r="O451" s="15"/>
      <c r="R451" s="16"/>
      <c r="X451" s="14">
        <v>9210</v>
      </c>
      <c r="Y451" s="24" t="e">
        <f>knicks_players_all_stats[[#This Row],[REB]]/knicks_players_all_stats[[#This Row],[GP]]</f>
        <v>#DIV/0!</v>
      </c>
      <c r="AI451" s="19" t="e">
        <f>knicks_players_all_stats[[#This Row],[BLKPG]]+knicks_players_all_stats[[#This Row],[STLPG]]+knicks_players_all_stats[[#This Row],[REBPG]]</f>
        <v>#DIV/0!</v>
      </c>
    </row>
    <row r="452" spans="1:41" s="17" customFormat="1" x14ac:dyDescent="0.3">
      <c r="A452" s="13"/>
      <c r="B452" s="13"/>
      <c r="C452" s="13"/>
      <c r="D452" s="13"/>
      <c r="E452" s="14">
        <v>260</v>
      </c>
      <c r="F452" s="14"/>
      <c r="G452" s="14"/>
      <c r="H452" s="14"/>
      <c r="I452" s="14"/>
      <c r="J452" s="14"/>
      <c r="K452" s="14"/>
      <c r="L452" s="15"/>
      <c r="M452" s="14"/>
      <c r="N452" s="14"/>
      <c r="O452" s="15"/>
      <c r="P452" s="14"/>
      <c r="Q452" s="14"/>
      <c r="R452" s="16"/>
      <c r="S452" s="14"/>
      <c r="T452" s="14"/>
      <c r="U452" s="14"/>
      <c r="V452" s="14"/>
      <c r="W452" s="14"/>
      <c r="X452" s="14">
        <v>10550</v>
      </c>
      <c r="Y452" s="24" t="e">
        <f>knicks_players_all_stats[[#This Row],[REB]]/knicks_players_all_stats[[#This Row],[GP]]</f>
        <v>#DIV/0!</v>
      </c>
      <c r="Z452" s="14"/>
      <c r="AA452" s="14"/>
      <c r="AB452" s="14"/>
      <c r="AC452" s="14"/>
      <c r="AD452" s="14"/>
      <c r="AE452" s="14"/>
      <c r="AF452" s="14"/>
      <c r="AG452" s="14"/>
      <c r="AH452" s="14"/>
      <c r="AI452" s="19" t="e">
        <f>knicks_players_all_stats[[#This Row],[BLKPG]]+knicks_players_all_stats[[#This Row],[STLPG]]+knicks_players_all_stats[[#This Row],[REBPG]]</f>
        <v>#DIV/0!</v>
      </c>
      <c r="AJ452" s="14"/>
      <c r="AK452" s="14"/>
      <c r="AL452" s="14"/>
      <c r="AM452" s="14"/>
      <c r="AN452" s="14"/>
      <c r="AO452" s="14"/>
    </row>
    <row r="453" spans="1:41" s="17" customFormat="1" x14ac:dyDescent="0.3">
      <c r="A453" s="13"/>
      <c r="B453" s="13"/>
      <c r="C453" s="13"/>
      <c r="D453" s="13"/>
      <c r="E453" s="14">
        <v>270</v>
      </c>
      <c r="F453" s="14"/>
      <c r="G453" s="14"/>
      <c r="H453" s="14"/>
      <c r="I453" s="14"/>
      <c r="J453" s="14"/>
      <c r="K453" s="14"/>
      <c r="L453" s="15"/>
      <c r="M453" s="14"/>
      <c r="N453" s="14"/>
      <c r="O453" s="15"/>
      <c r="P453" s="14"/>
      <c r="Q453" s="14"/>
      <c r="R453" s="16"/>
      <c r="S453" s="14"/>
      <c r="T453" s="14"/>
      <c r="U453" s="14"/>
      <c r="V453" s="14"/>
      <c r="W453" s="14"/>
      <c r="X453" s="14">
        <v>8670</v>
      </c>
      <c r="Y453" s="24" t="e">
        <f>knicks_players_all_stats[[#This Row],[REB]]/knicks_players_all_stats[[#This Row],[GP]]</f>
        <v>#DIV/0!</v>
      </c>
      <c r="Z453" s="14"/>
      <c r="AA453" s="14"/>
      <c r="AB453" s="14"/>
      <c r="AC453" s="14"/>
      <c r="AD453" s="14"/>
      <c r="AE453" s="14"/>
      <c r="AF453" s="14"/>
      <c r="AG453" s="14"/>
      <c r="AH453" s="14"/>
      <c r="AI453" s="19" t="e">
        <f>knicks_players_all_stats[[#This Row],[BLKPG]]+knicks_players_all_stats[[#This Row],[STLPG]]+knicks_players_all_stats[[#This Row],[REBPG]]</f>
        <v>#DIV/0!</v>
      </c>
      <c r="AJ453" s="14"/>
      <c r="AK453" s="14"/>
      <c r="AL453" s="14"/>
      <c r="AM453" s="14"/>
      <c r="AN453" s="14"/>
      <c r="AO453" s="14"/>
    </row>
    <row r="454" spans="1:41" s="17" customFormat="1" x14ac:dyDescent="0.3">
      <c r="A454" s="13"/>
      <c r="B454" s="13"/>
      <c r="C454" s="13"/>
      <c r="D454" s="13"/>
      <c r="E454" s="14">
        <v>250</v>
      </c>
      <c r="F454" s="14"/>
      <c r="G454" s="14"/>
      <c r="H454" s="14"/>
      <c r="I454" s="14"/>
      <c r="J454" s="14"/>
      <c r="K454" s="14"/>
      <c r="L454" s="15"/>
      <c r="M454" s="14"/>
      <c r="N454" s="14"/>
      <c r="O454" s="15"/>
      <c r="P454" s="14"/>
      <c r="Q454" s="14"/>
      <c r="R454" s="16"/>
      <c r="S454" s="14"/>
      <c r="T454" s="14"/>
      <c r="U454" s="14"/>
      <c r="V454" s="14">
        <v>120</v>
      </c>
      <c r="W454" s="14">
        <v>110</v>
      </c>
      <c r="X454" s="14">
        <v>230</v>
      </c>
      <c r="Y454" s="24" t="e">
        <f>knicks_players_all_stats[[#This Row],[REB]]/knicks_players_all_stats[[#This Row],[GP]]</f>
        <v>#DIV/0!</v>
      </c>
      <c r="Z454" s="14"/>
      <c r="AA454" s="14"/>
      <c r="AB454" s="14"/>
      <c r="AC454" s="14">
        <v>170</v>
      </c>
      <c r="AD454" s="14"/>
      <c r="AE454" s="14">
        <v>20</v>
      </c>
      <c r="AF454" s="14"/>
      <c r="AG454" s="14"/>
      <c r="AH454" s="14">
        <v>190</v>
      </c>
      <c r="AI454" s="19" t="e">
        <f>knicks_players_all_stats[[#This Row],[BLKPG]]+knicks_players_all_stats[[#This Row],[STLPG]]+knicks_players_all_stats[[#This Row],[REBPG]]</f>
        <v>#DIV/0!</v>
      </c>
      <c r="AJ454" s="14"/>
      <c r="AK454" s="14"/>
      <c r="AL454" s="14"/>
      <c r="AM454" s="14"/>
      <c r="AN454" s="14"/>
      <c r="AO454" s="14"/>
    </row>
    <row r="455" spans="1:41" s="17" customFormat="1" x14ac:dyDescent="0.3">
      <c r="A455" s="13"/>
      <c r="B455" s="13"/>
      <c r="C455" s="13"/>
      <c r="D455" s="13"/>
      <c r="E455" s="14">
        <v>260</v>
      </c>
      <c r="F455" s="14"/>
      <c r="G455" s="14"/>
      <c r="H455" s="14"/>
      <c r="I455" s="14"/>
      <c r="J455" s="14"/>
      <c r="K455" s="14"/>
      <c r="L455" s="15"/>
      <c r="M455" s="14"/>
      <c r="N455" s="14"/>
      <c r="O455" s="15"/>
      <c r="P455" s="14"/>
      <c r="Q455" s="14"/>
      <c r="R455" s="16"/>
      <c r="S455" s="14"/>
      <c r="T455" s="14"/>
      <c r="U455" s="14"/>
      <c r="V455" s="14">
        <v>100</v>
      </c>
      <c r="W455" s="14">
        <v>180</v>
      </c>
      <c r="X455" s="14">
        <v>280</v>
      </c>
      <c r="Y455" s="24" t="e">
        <f>knicks_players_all_stats[[#This Row],[REB]]/knicks_players_all_stats[[#This Row],[GP]]</f>
        <v>#DIV/0!</v>
      </c>
      <c r="Z455" s="14"/>
      <c r="AA455" s="14"/>
      <c r="AB455" s="14"/>
      <c r="AC455" s="14">
        <v>150</v>
      </c>
      <c r="AD455" s="14"/>
      <c r="AE455" s="14">
        <v>20</v>
      </c>
      <c r="AF455" s="14"/>
      <c r="AG455" s="14"/>
      <c r="AH455" s="14">
        <v>180</v>
      </c>
      <c r="AI455" s="19" t="e">
        <f>knicks_players_all_stats[[#This Row],[BLKPG]]+knicks_players_all_stats[[#This Row],[STLPG]]+knicks_players_all_stats[[#This Row],[REBPG]]</f>
        <v>#DIV/0!</v>
      </c>
      <c r="AJ455" s="14"/>
      <c r="AK455" s="14"/>
      <c r="AL455" s="14"/>
      <c r="AM455" s="14"/>
      <c r="AN455" s="14"/>
      <c r="AO455" s="14"/>
    </row>
    <row r="456" spans="1:41" s="17" customFormat="1" x14ac:dyDescent="0.3">
      <c r="A456" s="13"/>
      <c r="B456" s="13"/>
      <c r="C456" s="13"/>
      <c r="D456" s="13"/>
      <c r="E456" s="14">
        <v>340</v>
      </c>
      <c r="F456" s="14"/>
      <c r="G456" s="14"/>
      <c r="H456" s="14"/>
      <c r="I456" s="14"/>
      <c r="J456" s="14"/>
      <c r="K456" s="14"/>
      <c r="L456" s="15"/>
      <c r="M456" s="14"/>
      <c r="N456" s="14"/>
      <c r="O456" s="15"/>
      <c r="P456" s="14"/>
      <c r="Q456" s="14"/>
      <c r="R456" s="16"/>
      <c r="S456" s="14"/>
      <c r="T456" s="14"/>
      <c r="U456" s="14"/>
      <c r="V456" s="14">
        <v>50</v>
      </c>
      <c r="W456" s="14">
        <v>50</v>
      </c>
      <c r="X456" s="14">
        <v>100</v>
      </c>
      <c r="Y456" s="24" t="e">
        <f>knicks_players_all_stats[[#This Row],[REB]]/knicks_players_all_stats[[#This Row],[GP]]</f>
        <v>#DIV/0!</v>
      </c>
      <c r="Z456" s="14"/>
      <c r="AA456" s="14"/>
      <c r="AB456" s="14"/>
      <c r="AC456" s="14">
        <v>40</v>
      </c>
      <c r="AD456" s="14"/>
      <c r="AE456" s="14">
        <v>0</v>
      </c>
      <c r="AF456" s="14"/>
      <c r="AG456" s="14"/>
      <c r="AH456" s="14">
        <v>40</v>
      </c>
      <c r="AI456" s="19" t="e">
        <f>knicks_players_all_stats[[#This Row],[BLKPG]]+knicks_players_all_stats[[#This Row],[STLPG]]+knicks_players_all_stats[[#This Row],[REBPG]]</f>
        <v>#DIV/0!</v>
      </c>
      <c r="AJ456" s="14"/>
      <c r="AK456" s="14"/>
      <c r="AL456" s="14"/>
      <c r="AM456" s="14"/>
      <c r="AN456" s="14"/>
      <c r="AO456" s="14"/>
    </row>
    <row r="457" spans="1:41" s="17" customFormat="1" x14ac:dyDescent="0.3">
      <c r="A457" s="13"/>
      <c r="B457" s="13"/>
      <c r="C457" s="13"/>
      <c r="D457" s="13"/>
      <c r="E457" s="14">
        <v>330</v>
      </c>
      <c r="F457" s="14"/>
      <c r="G457" s="14"/>
      <c r="H457" s="14"/>
      <c r="I457" s="14"/>
      <c r="J457" s="14"/>
      <c r="K457" s="14"/>
      <c r="L457" s="15"/>
      <c r="M457" s="14"/>
      <c r="N457" s="14"/>
      <c r="O457" s="15"/>
      <c r="P457" s="14"/>
      <c r="Q457" s="14"/>
      <c r="R457" s="16"/>
      <c r="S457" s="14"/>
      <c r="T457" s="14"/>
      <c r="U457" s="14"/>
      <c r="V457" s="14">
        <v>530</v>
      </c>
      <c r="W457" s="14">
        <v>1020</v>
      </c>
      <c r="X457" s="14">
        <v>1550</v>
      </c>
      <c r="Y457" s="24" t="e">
        <f>knicks_players_all_stats[[#This Row],[REB]]/knicks_players_all_stats[[#This Row],[GP]]</f>
        <v>#DIV/0!</v>
      </c>
      <c r="Z457" s="14"/>
      <c r="AA457" s="14"/>
      <c r="AB457" s="14"/>
      <c r="AC457" s="14">
        <v>910</v>
      </c>
      <c r="AD457" s="14"/>
      <c r="AE457" s="14">
        <v>10</v>
      </c>
      <c r="AF457" s="14"/>
      <c r="AG457" s="14"/>
      <c r="AH457" s="14">
        <v>1240</v>
      </c>
      <c r="AI457" s="19" t="e">
        <f>knicks_players_all_stats[[#This Row],[BLKPG]]+knicks_players_all_stats[[#This Row],[STLPG]]+knicks_players_all_stats[[#This Row],[REBPG]]</f>
        <v>#DIV/0!</v>
      </c>
      <c r="AJ457" s="14"/>
      <c r="AK457" s="14"/>
      <c r="AL457" s="14"/>
      <c r="AM457" s="14"/>
      <c r="AN457" s="14"/>
      <c r="AO457" s="14"/>
    </row>
    <row r="458" spans="1:41" s="17" customFormat="1" x14ac:dyDescent="0.3">
      <c r="A458" s="13"/>
      <c r="B458" s="13"/>
      <c r="C458" s="13"/>
      <c r="D458" s="13"/>
      <c r="E458" s="14">
        <v>210</v>
      </c>
      <c r="F458" s="14"/>
      <c r="G458" s="14"/>
      <c r="H458" s="14"/>
      <c r="I458" s="14"/>
      <c r="J458" s="14"/>
      <c r="K458" s="14"/>
      <c r="L458" s="15"/>
      <c r="M458" s="14"/>
      <c r="N458" s="14"/>
      <c r="O458" s="15"/>
      <c r="P458" s="14"/>
      <c r="Q458" s="14"/>
      <c r="R458" s="16"/>
      <c r="S458" s="14"/>
      <c r="T458" s="14"/>
      <c r="U458" s="14"/>
      <c r="V458" s="14">
        <v>510</v>
      </c>
      <c r="W458" s="14">
        <v>1180</v>
      </c>
      <c r="X458" s="14">
        <v>1690</v>
      </c>
      <c r="Y458" s="24" t="e">
        <f>knicks_players_all_stats[[#This Row],[REB]]/knicks_players_all_stats[[#This Row],[GP]]</f>
        <v>#DIV/0!</v>
      </c>
      <c r="Z458" s="14"/>
      <c r="AA458" s="14"/>
      <c r="AB458" s="14"/>
      <c r="AC458" s="14">
        <v>150</v>
      </c>
      <c r="AD458" s="14"/>
      <c r="AE458" s="14">
        <v>140</v>
      </c>
      <c r="AF458" s="14"/>
      <c r="AG458" s="14"/>
      <c r="AH458" s="14">
        <v>610</v>
      </c>
      <c r="AI458" s="19" t="e">
        <f>knicks_players_all_stats[[#This Row],[BLKPG]]+knicks_players_all_stats[[#This Row],[STLPG]]+knicks_players_all_stats[[#This Row],[REBPG]]</f>
        <v>#DIV/0!</v>
      </c>
      <c r="AJ458" s="14"/>
      <c r="AK458" s="14"/>
      <c r="AL458" s="14"/>
      <c r="AM458" s="14"/>
      <c r="AN458" s="14"/>
      <c r="AO458" s="14"/>
    </row>
    <row r="459" spans="1:41" s="17" customFormat="1" x14ac:dyDescent="0.3">
      <c r="A459" s="13"/>
      <c r="B459" s="13"/>
      <c r="C459" s="13"/>
      <c r="D459" s="13"/>
      <c r="E459" s="14">
        <v>220</v>
      </c>
      <c r="F459" s="14"/>
      <c r="G459" s="14"/>
      <c r="H459" s="14"/>
      <c r="I459" s="14"/>
      <c r="J459" s="14"/>
      <c r="K459" s="14"/>
      <c r="L459" s="15"/>
      <c r="M459" s="14"/>
      <c r="N459" s="14"/>
      <c r="O459" s="15"/>
      <c r="P459" s="14"/>
      <c r="Q459" s="14"/>
      <c r="R459" s="16"/>
      <c r="S459" s="14"/>
      <c r="T459" s="14"/>
      <c r="U459" s="14"/>
      <c r="V459" s="14"/>
      <c r="W459" s="14"/>
      <c r="X459" s="14">
        <v>0</v>
      </c>
      <c r="Y459" s="24" t="e">
        <f>knicks_players_all_stats[[#This Row],[REB]]/knicks_players_all_stats[[#This Row],[GP]]</f>
        <v>#DIV/0!</v>
      </c>
      <c r="Z459" s="14"/>
      <c r="AA459" s="14"/>
      <c r="AB459" s="14"/>
      <c r="AC459" s="14"/>
      <c r="AD459" s="14"/>
      <c r="AE459" s="14"/>
      <c r="AF459" s="14"/>
      <c r="AG459" s="14"/>
      <c r="AH459" s="14"/>
      <c r="AI459" s="19" t="e">
        <f>knicks_players_all_stats[[#This Row],[BLKPG]]+knicks_players_all_stats[[#This Row],[STLPG]]+knicks_players_all_stats[[#This Row],[REBPG]]</f>
        <v>#DIV/0!</v>
      </c>
      <c r="AJ459" s="14"/>
      <c r="AK459" s="14"/>
      <c r="AL459" s="14"/>
      <c r="AM459" s="14"/>
      <c r="AN459" s="14"/>
      <c r="AO459" s="14"/>
    </row>
    <row r="460" spans="1:41" s="17" customFormat="1" x14ac:dyDescent="0.3">
      <c r="A460" s="13"/>
      <c r="B460" s="13"/>
      <c r="C460" s="13"/>
      <c r="D460" s="13"/>
      <c r="E460" s="14">
        <v>260</v>
      </c>
      <c r="F460" s="14"/>
      <c r="G460" s="14"/>
      <c r="H460" s="14"/>
      <c r="I460" s="14"/>
      <c r="J460" s="14"/>
      <c r="K460" s="14"/>
      <c r="L460" s="15"/>
      <c r="M460" s="14"/>
      <c r="N460" s="14"/>
      <c r="O460" s="15"/>
      <c r="P460" s="14"/>
      <c r="Q460" s="14"/>
      <c r="R460" s="16"/>
      <c r="S460" s="14"/>
      <c r="T460" s="14"/>
      <c r="U460" s="14"/>
      <c r="V460" s="14"/>
      <c r="W460" s="14"/>
      <c r="X460" s="14">
        <v>0</v>
      </c>
      <c r="Y460" s="24" t="e">
        <f>knicks_players_all_stats[[#This Row],[REB]]/knicks_players_all_stats[[#This Row],[GP]]</f>
        <v>#DIV/0!</v>
      </c>
      <c r="Z460" s="14"/>
      <c r="AA460" s="14"/>
      <c r="AB460" s="14"/>
      <c r="AC460" s="14"/>
      <c r="AD460" s="14"/>
      <c r="AE460" s="14"/>
      <c r="AF460" s="14"/>
      <c r="AG460" s="14"/>
      <c r="AH460" s="14"/>
      <c r="AI460" s="19" t="e">
        <f>knicks_players_all_stats[[#This Row],[BLKPG]]+knicks_players_all_stats[[#This Row],[STLPG]]+knicks_players_all_stats[[#This Row],[REBPG]]</f>
        <v>#DIV/0!</v>
      </c>
      <c r="AJ460" s="14"/>
      <c r="AK460" s="14"/>
      <c r="AL460" s="14"/>
      <c r="AM460" s="14"/>
      <c r="AN460" s="14"/>
      <c r="AO460" s="14"/>
    </row>
    <row r="461" spans="1:41" s="17" customFormat="1" x14ac:dyDescent="0.3">
      <c r="A461" s="13"/>
      <c r="B461" s="13"/>
      <c r="C461" s="13"/>
      <c r="D461" s="13"/>
      <c r="E461" s="14">
        <v>240</v>
      </c>
      <c r="F461" s="14"/>
      <c r="G461" s="14"/>
      <c r="H461" s="14"/>
      <c r="I461" s="14"/>
      <c r="J461" s="14"/>
      <c r="K461" s="14"/>
      <c r="L461" s="15"/>
      <c r="M461" s="14"/>
      <c r="N461" s="14"/>
      <c r="O461" s="15"/>
      <c r="P461" s="14"/>
      <c r="Q461" s="14"/>
      <c r="R461" s="16"/>
      <c r="S461" s="14"/>
      <c r="T461" s="14"/>
      <c r="U461" s="14"/>
      <c r="V461" s="14"/>
      <c r="W461" s="14"/>
      <c r="X461" s="14">
        <v>0</v>
      </c>
      <c r="Y461" s="24" t="e">
        <f>knicks_players_all_stats[[#This Row],[REB]]/knicks_players_all_stats[[#This Row],[GP]]</f>
        <v>#DIV/0!</v>
      </c>
      <c r="Z461" s="14"/>
      <c r="AA461" s="14"/>
      <c r="AB461" s="14"/>
      <c r="AC461" s="14"/>
      <c r="AD461" s="14"/>
      <c r="AE461" s="14"/>
      <c r="AF461" s="14"/>
      <c r="AG461" s="14"/>
      <c r="AH461" s="14"/>
      <c r="AI461" s="19" t="e">
        <f>knicks_players_all_stats[[#This Row],[BLKPG]]+knicks_players_all_stats[[#This Row],[STLPG]]+knicks_players_all_stats[[#This Row],[REBPG]]</f>
        <v>#DIV/0!</v>
      </c>
      <c r="AJ461" s="14"/>
      <c r="AK461" s="14"/>
      <c r="AL461" s="14"/>
      <c r="AM461" s="14"/>
      <c r="AN461" s="14"/>
      <c r="AO461" s="14"/>
    </row>
    <row r="462" spans="1:41" s="17" customFormat="1" x14ac:dyDescent="0.3">
      <c r="A462" s="13"/>
      <c r="B462" s="13"/>
      <c r="C462" s="13"/>
      <c r="D462" s="13"/>
      <c r="E462" s="14">
        <v>280</v>
      </c>
      <c r="F462" s="14"/>
      <c r="G462" s="14"/>
      <c r="H462" s="14"/>
      <c r="I462" s="14"/>
      <c r="J462" s="14"/>
      <c r="K462" s="14"/>
      <c r="L462" s="15"/>
      <c r="M462" s="14"/>
      <c r="N462" s="14"/>
      <c r="O462" s="15"/>
      <c r="P462" s="14"/>
      <c r="Q462" s="14"/>
      <c r="R462" s="16"/>
      <c r="S462" s="14"/>
      <c r="T462" s="14"/>
      <c r="U462" s="14"/>
      <c r="V462" s="14"/>
      <c r="W462" s="14"/>
      <c r="X462" s="14">
        <v>2670</v>
      </c>
      <c r="Y462" s="24" t="e">
        <f>knicks_players_all_stats[[#This Row],[REB]]/knicks_players_all_stats[[#This Row],[GP]]</f>
        <v>#DIV/0!</v>
      </c>
      <c r="Z462" s="14"/>
      <c r="AA462" s="14"/>
      <c r="AB462" s="14"/>
      <c r="AC462" s="14"/>
      <c r="AD462" s="14"/>
      <c r="AE462" s="14"/>
      <c r="AF462" s="14"/>
      <c r="AG462" s="14"/>
      <c r="AH462" s="14"/>
      <c r="AI462" s="19" t="e">
        <f>knicks_players_all_stats[[#This Row],[BLKPG]]+knicks_players_all_stats[[#This Row],[STLPG]]+knicks_players_all_stats[[#This Row],[REBPG]]</f>
        <v>#DIV/0!</v>
      </c>
      <c r="AJ462" s="14"/>
      <c r="AK462" s="14"/>
      <c r="AL462" s="14"/>
      <c r="AM462" s="14"/>
      <c r="AN462" s="14"/>
      <c r="AO462" s="14"/>
    </row>
    <row r="463" spans="1:41" s="17" customFormat="1" x14ac:dyDescent="0.3">
      <c r="A463" s="18"/>
      <c r="B463" s="18"/>
      <c r="C463" s="18"/>
      <c r="D463" s="18"/>
      <c r="E463" s="14">
        <v>220</v>
      </c>
      <c r="I463" s="19"/>
      <c r="L463" s="20"/>
      <c r="O463" s="20"/>
      <c r="R463" s="21"/>
      <c r="V463" s="14">
        <v>1860</v>
      </c>
      <c r="W463" s="14">
        <v>2420</v>
      </c>
      <c r="X463" s="14">
        <v>4280</v>
      </c>
      <c r="Y463" s="24" t="e">
        <f>knicks_players_all_stats[[#This Row],[REB]]/knicks_players_all_stats[[#This Row],[GP]]</f>
        <v>#DIV/0!</v>
      </c>
      <c r="AC463" s="17">
        <v>520</v>
      </c>
      <c r="AE463" s="14">
        <v>1190</v>
      </c>
      <c r="AH463" s="14">
        <v>370</v>
      </c>
      <c r="AI463" s="19" t="e">
        <f>knicks_players_all_stats[[#This Row],[BLKPG]]+knicks_players_all_stats[[#This Row],[STLPG]]+knicks_players_all_stats[[#This Row],[REBPG]]</f>
        <v>#DIV/0!</v>
      </c>
    </row>
    <row r="464" spans="1:41" s="14" customFormat="1" x14ac:dyDescent="0.3">
      <c r="A464" s="13"/>
      <c r="B464" s="13"/>
      <c r="C464" s="13"/>
      <c r="D464" s="13"/>
      <c r="E464" s="14">
        <v>270</v>
      </c>
      <c r="L464" s="15"/>
      <c r="O464" s="15"/>
      <c r="R464" s="16"/>
      <c r="X464" s="14">
        <v>920</v>
      </c>
      <c r="Y464" s="24" t="e">
        <f>knicks_players_all_stats[[#This Row],[REB]]/knicks_players_all_stats[[#This Row],[GP]]</f>
        <v>#DIV/0!</v>
      </c>
      <c r="AI464" s="19" t="e">
        <f>knicks_players_all_stats[[#This Row],[BLKPG]]+knicks_players_all_stats[[#This Row],[STLPG]]+knicks_players_all_stats[[#This Row],[REBPG]]</f>
        <v>#DIV/0!</v>
      </c>
    </row>
    <row r="465" spans="1:41" s="14" customFormat="1" x14ac:dyDescent="0.3">
      <c r="A465" s="13"/>
      <c r="B465" s="13"/>
      <c r="C465" s="13"/>
      <c r="D465" s="13"/>
      <c r="E465" s="14">
        <v>280</v>
      </c>
      <c r="L465" s="15"/>
      <c r="O465" s="15"/>
      <c r="R465" s="16"/>
      <c r="X465" s="14">
        <v>2450</v>
      </c>
      <c r="Y465" s="24" t="e">
        <f>knicks_players_all_stats[[#This Row],[REB]]/knicks_players_all_stats[[#This Row],[GP]]</f>
        <v>#DIV/0!</v>
      </c>
      <c r="AI465" s="19" t="e">
        <f>knicks_players_all_stats[[#This Row],[BLKPG]]+knicks_players_all_stats[[#This Row],[STLPG]]+knicks_players_all_stats[[#This Row],[REBPG]]</f>
        <v>#DIV/0!</v>
      </c>
    </row>
    <row r="466" spans="1:41" s="14" customFormat="1" x14ac:dyDescent="0.3">
      <c r="A466" s="13"/>
      <c r="B466" s="13"/>
      <c r="C466" s="13"/>
      <c r="D466" s="13"/>
      <c r="E466" s="14">
        <v>290</v>
      </c>
      <c r="L466" s="15"/>
      <c r="O466" s="15"/>
      <c r="R466" s="16"/>
      <c r="V466" s="14">
        <v>220</v>
      </c>
      <c r="W466" s="14">
        <v>990</v>
      </c>
      <c r="X466" s="14">
        <v>1210</v>
      </c>
      <c r="Y466" s="24" t="e">
        <f>knicks_players_all_stats[[#This Row],[REB]]/knicks_players_all_stats[[#This Row],[GP]]</f>
        <v>#DIV/0!</v>
      </c>
      <c r="AC466" s="14">
        <v>340</v>
      </c>
      <c r="AE466" s="14">
        <v>190</v>
      </c>
      <c r="AI466" s="19" t="e">
        <f>knicks_players_all_stats[[#This Row],[BLKPG]]+knicks_players_all_stats[[#This Row],[STLPG]]+knicks_players_all_stats[[#This Row],[REBPG]]</f>
        <v>#DIV/0!</v>
      </c>
    </row>
    <row r="467" spans="1:41" s="14" customFormat="1" x14ac:dyDescent="0.3">
      <c r="A467" s="13"/>
      <c r="B467" s="13"/>
      <c r="C467" s="13"/>
      <c r="D467" s="13"/>
      <c r="E467" s="14">
        <v>300</v>
      </c>
      <c r="L467" s="15"/>
      <c r="O467" s="15"/>
      <c r="R467" s="16"/>
      <c r="V467" s="14">
        <v>560</v>
      </c>
      <c r="W467" s="14">
        <v>2710</v>
      </c>
      <c r="X467" s="14">
        <v>3270</v>
      </c>
      <c r="Y467" s="24" t="e">
        <f>knicks_players_all_stats[[#This Row],[REB]]/knicks_players_all_stats[[#This Row],[GP]]</f>
        <v>#DIV/0!</v>
      </c>
      <c r="AC467" s="14">
        <v>1080</v>
      </c>
      <c r="AE467" s="14">
        <v>290</v>
      </c>
      <c r="AI467" s="19" t="e">
        <f>knicks_players_all_stats[[#This Row],[BLKPG]]+knicks_players_all_stats[[#This Row],[STLPG]]+knicks_players_all_stats[[#This Row],[REBPG]]</f>
        <v>#DIV/0!</v>
      </c>
    </row>
    <row r="468" spans="1:41" s="14" customFormat="1" x14ac:dyDescent="0.3">
      <c r="A468" s="13"/>
      <c r="B468" s="13"/>
      <c r="C468" s="13"/>
      <c r="D468" s="13"/>
      <c r="E468" s="14">
        <v>310</v>
      </c>
      <c r="L468" s="15"/>
      <c r="O468" s="15"/>
      <c r="R468" s="16"/>
      <c r="V468" s="14">
        <v>480</v>
      </c>
      <c r="W468" s="14">
        <v>2250</v>
      </c>
      <c r="X468" s="14">
        <v>2730</v>
      </c>
      <c r="Y468" s="24" t="e">
        <f>knicks_players_all_stats[[#This Row],[REB]]/knicks_players_all_stats[[#This Row],[GP]]</f>
        <v>#DIV/0!</v>
      </c>
      <c r="AC468" s="14">
        <v>1110</v>
      </c>
      <c r="AE468" s="14">
        <v>220</v>
      </c>
      <c r="AI468" s="19" t="e">
        <f>knicks_players_all_stats[[#This Row],[BLKPG]]+knicks_players_all_stats[[#This Row],[STLPG]]+knicks_players_all_stats[[#This Row],[REBPG]]</f>
        <v>#DIV/0!</v>
      </c>
    </row>
    <row r="469" spans="1:41" s="14" customFormat="1" x14ac:dyDescent="0.3">
      <c r="A469" s="13"/>
      <c r="B469" s="13"/>
      <c r="C469" s="13"/>
      <c r="D469" s="13"/>
      <c r="E469" s="14">
        <v>320</v>
      </c>
      <c r="L469" s="15"/>
      <c r="O469" s="15"/>
      <c r="R469" s="16"/>
      <c r="V469" s="14">
        <v>450</v>
      </c>
      <c r="W469" s="14">
        <v>1780</v>
      </c>
      <c r="X469" s="14">
        <v>2230</v>
      </c>
      <c r="Y469" s="24" t="e">
        <f>knicks_players_all_stats[[#This Row],[REB]]/knicks_players_all_stats[[#This Row],[GP]]</f>
        <v>#DIV/0!</v>
      </c>
      <c r="AC469" s="14">
        <v>910</v>
      </c>
      <c r="AE469" s="14">
        <v>230</v>
      </c>
      <c r="AI469" s="19" t="e">
        <f>knicks_players_all_stats[[#This Row],[BLKPG]]+knicks_players_all_stats[[#This Row],[STLPG]]+knicks_players_all_stats[[#This Row],[REBPG]]</f>
        <v>#DIV/0!</v>
      </c>
    </row>
    <row r="470" spans="1:41" s="14" customFormat="1" x14ac:dyDescent="0.3">
      <c r="A470" s="13"/>
      <c r="B470" s="13"/>
      <c r="C470" s="13"/>
      <c r="D470" s="13"/>
      <c r="E470" s="14">
        <v>330</v>
      </c>
      <c r="L470" s="15"/>
      <c r="O470" s="15"/>
      <c r="R470" s="16"/>
      <c r="V470" s="14">
        <v>470</v>
      </c>
      <c r="W470" s="14">
        <v>1350</v>
      </c>
      <c r="X470" s="14">
        <v>1820</v>
      </c>
      <c r="Y470" s="24" t="e">
        <f>knicks_players_all_stats[[#This Row],[REB]]/knicks_players_all_stats[[#This Row],[GP]]</f>
        <v>#DIV/0!</v>
      </c>
      <c r="AC470" s="14">
        <v>600</v>
      </c>
      <c r="AE470" s="14">
        <v>190</v>
      </c>
      <c r="AH470" s="14">
        <v>1790</v>
      </c>
      <c r="AI470" s="19" t="e">
        <f>knicks_players_all_stats[[#This Row],[BLKPG]]+knicks_players_all_stats[[#This Row],[STLPG]]+knicks_players_all_stats[[#This Row],[REBPG]]</f>
        <v>#DIV/0!</v>
      </c>
    </row>
    <row r="471" spans="1:41" s="17" customFormat="1" x14ac:dyDescent="0.3">
      <c r="A471" s="13"/>
      <c r="B471" s="13"/>
      <c r="C471" s="13"/>
      <c r="D471" s="13"/>
      <c r="E471" s="14">
        <v>340</v>
      </c>
      <c r="F471" s="14"/>
      <c r="G471" s="14"/>
      <c r="H471" s="14"/>
      <c r="I471" s="14"/>
      <c r="J471" s="14"/>
      <c r="K471" s="14"/>
      <c r="L471" s="15"/>
      <c r="M471" s="14"/>
      <c r="N471" s="14"/>
      <c r="O471" s="15"/>
      <c r="P471" s="14"/>
      <c r="Q471" s="14"/>
      <c r="R471" s="16"/>
      <c r="S471" s="14"/>
      <c r="T471" s="14"/>
      <c r="U471" s="14"/>
      <c r="V471" s="14">
        <v>260</v>
      </c>
      <c r="W471" s="14">
        <v>480</v>
      </c>
      <c r="X471" s="14">
        <v>740</v>
      </c>
      <c r="Y471" s="24" t="e">
        <f>knicks_players_all_stats[[#This Row],[REB]]/knicks_players_all_stats[[#This Row],[GP]]</f>
        <v>#DIV/0!</v>
      </c>
      <c r="Z471" s="14"/>
      <c r="AA471" s="14"/>
      <c r="AB471" s="14"/>
      <c r="AC471" s="14">
        <v>480</v>
      </c>
      <c r="AD471" s="14"/>
      <c r="AE471" s="14">
        <v>60</v>
      </c>
      <c r="AF471" s="14"/>
      <c r="AG471" s="14"/>
      <c r="AH471" s="14">
        <v>980</v>
      </c>
      <c r="AI471" s="19" t="e">
        <f>knicks_players_all_stats[[#This Row],[BLKPG]]+knicks_players_all_stats[[#This Row],[STLPG]]+knicks_players_all_stats[[#This Row],[REBPG]]</f>
        <v>#DIV/0!</v>
      </c>
      <c r="AJ471" s="14"/>
      <c r="AK471" s="14"/>
      <c r="AL471" s="14"/>
      <c r="AM471" s="14"/>
      <c r="AN471" s="14"/>
      <c r="AO471" s="14"/>
    </row>
    <row r="472" spans="1:41" s="14" customFormat="1" x14ac:dyDescent="0.3">
      <c r="A472" s="13"/>
      <c r="B472" s="13"/>
      <c r="C472" s="13"/>
      <c r="D472" s="13"/>
      <c r="E472" s="14">
        <v>350</v>
      </c>
      <c r="L472" s="15"/>
      <c r="O472" s="15"/>
      <c r="R472" s="16"/>
      <c r="V472" s="14">
        <v>160</v>
      </c>
      <c r="W472" s="14">
        <v>200</v>
      </c>
      <c r="X472" s="14">
        <v>360</v>
      </c>
      <c r="Y472" s="24" t="e">
        <f>knicks_players_all_stats[[#This Row],[REB]]/knicks_players_all_stats[[#This Row],[GP]]</f>
        <v>#DIV/0!</v>
      </c>
      <c r="AC472" s="14">
        <v>210</v>
      </c>
      <c r="AE472" s="14">
        <v>30</v>
      </c>
      <c r="AH472" s="14">
        <v>280</v>
      </c>
      <c r="AI472" s="19" t="e">
        <f>knicks_players_all_stats[[#This Row],[BLKPG]]+knicks_players_all_stats[[#This Row],[STLPG]]+knicks_players_all_stats[[#This Row],[REBPG]]</f>
        <v>#DIV/0!</v>
      </c>
    </row>
    <row r="473" spans="1:41" s="14" customFormat="1" x14ac:dyDescent="0.3">
      <c r="A473" s="13"/>
      <c r="B473" s="13"/>
      <c r="C473" s="13"/>
      <c r="D473" s="13"/>
      <c r="E473" s="14">
        <v>240</v>
      </c>
      <c r="L473" s="15"/>
      <c r="O473" s="15"/>
      <c r="R473" s="16"/>
      <c r="X473" s="14">
        <v>220</v>
      </c>
      <c r="Y473" s="24" t="e">
        <f>knicks_players_all_stats[[#This Row],[REB]]/knicks_players_all_stats[[#This Row],[GP]]</f>
        <v>#DIV/0!</v>
      </c>
      <c r="AI473" s="19" t="e">
        <f>knicks_players_all_stats[[#This Row],[BLKPG]]+knicks_players_all_stats[[#This Row],[STLPG]]+knicks_players_all_stats[[#This Row],[REBPG]]</f>
        <v>#DIV/0!</v>
      </c>
    </row>
    <row r="474" spans="1:41" s="14" customFormat="1" x14ac:dyDescent="0.3">
      <c r="A474" s="13"/>
      <c r="B474" s="13"/>
      <c r="C474" s="13"/>
      <c r="D474" s="13"/>
      <c r="E474" s="14">
        <v>240</v>
      </c>
      <c r="L474" s="15"/>
      <c r="O474" s="15"/>
      <c r="R474" s="16"/>
      <c r="X474" s="14">
        <v>20</v>
      </c>
      <c r="Y474" s="24" t="e">
        <f>knicks_players_all_stats[[#This Row],[REB]]/knicks_players_all_stats[[#This Row],[GP]]</f>
        <v>#DIV/0!</v>
      </c>
      <c r="AI474" s="19" t="e">
        <f>knicks_players_all_stats[[#This Row],[BLKPG]]+knicks_players_all_stats[[#This Row],[STLPG]]+knicks_players_all_stats[[#This Row],[REBPG]]</f>
        <v>#DIV/0!</v>
      </c>
    </row>
    <row r="475" spans="1:41" s="14" customFormat="1" x14ac:dyDescent="0.3">
      <c r="A475" s="18"/>
      <c r="B475" s="18"/>
      <c r="C475" s="18"/>
      <c r="D475" s="18"/>
      <c r="E475" s="14">
        <v>300</v>
      </c>
      <c r="F475" s="17"/>
      <c r="G475" s="17"/>
      <c r="H475" s="17"/>
      <c r="I475" s="19"/>
      <c r="J475" s="17"/>
      <c r="K475" s="17"/>
      <c r="L475" s="20"/>
      <c r="M475" s="17"/>
      <c r="N475" s="17"/>
      <c r="O475" s="20"/>
      <c r="P475" s="17"/>
      <c r="Q475" s="17"/>
      <c r="R475" s="21"/>
      <c r="S475" s="17"/>
      <c r="T475" s="17"/>
      <c r="U475" s="17"/>
      <c r="V475" s="14">
        <v>480</v>
      </c>
      <c r="W475" s="14">
        <v>1850</v>
      </c>
      <c r="X475" s="14">
        <v>2330</v>
      </c>
      <c r="Y475" s="24" t="e">
        <f>knicks_players_all_stats[[#This Row],[REB]]/knicks_players_all_stats[[#This Row],[GP]]</f>
        <v>#DIV/0!</v>
      </c>
      <c r="Z475" s="17"/>
      <c r="AA475" s="17"/>
      <c r="AB475" s="17"/>
      <c r="AC475" s="17">
        <v>340</v>
      </c>
      <c r="AD475" s="17"/>
      <c r="AE475" s="14">
        <v>170</v>
      </c>
      <c r="AF475" s="17"/>
      <c r="AG475" s="17"/>
      <c r="AH475" s="14">
        <v>730</v>
      </c>
      <c r="AI475" s="19" t="e">
        <f>knicks_players_all_stats[[#This Row],[BLKPG]]+knicks_players_all_stats[[#This Row],[STLPG]]+knicks_players_all_stats[[#This Row],[REBPG]]</f>
        <v>#DIV/0!</v>
      </c>
      <c r="AJ475" s="17"/>
      <c r="AK475" s="17"/>
      <c r="AL475" s="17"/>
      <c r="AM475" s="17"/>
      <c r="AN475" s="17"/>
      <c r="AO475" s="17"/>
    </row>
    <row r="476" spans="1:41" s="14" customFormat="1" x14ac:dyDescent="0.3">
      <c r="A476" s="13"/>
      <c r="B476" s="13"/>
      <c r="C476" s="13"/>
      <c r="D476" s="13"/>
      <c r="E476" s="14">
        <v>230</v>
      </c>
      <c r="L476" s="15"/>
      <c r="O476" s="15"/>
      <c r="R476" s="16"/>
      <c r="V476" s="14">
        <v>690</v>
      </c>
      <c r="W476" s="14">
        <v>980</v>
      </c>
      <c r="X476" s="14">
        <v>1670</v>
      </c>
      <c r="Y476" s="24" t="e">
        <f>knicks_players_all_stats[[#This Row],[REB]]/knicks_players_all_stats[[#This Row],[GP]]</f>
        <v>#DIV/0!</v>
      </c>
      <c r="AC476" s="14">
        <v>170</v>
      </c>
      <c r="AE476" s="14">
        <v>80</v>
      </c>
      <c r="AH476" s="14">
        <v>590</v>
      </c>
      <c r="AI476" s="19" t="e">
        <f>knicks_players_all_stats[[#This Row],[BLKPG]]+knicks_players_all_stats[[#This Row],[STLPG]]+knicks_players_all_stats[[#This Row],[REBPG]]</f>
        <v>#DIV/0!</v>
      </c>
    </row>
    <row r="477" spans="1:41" s="17" customFormat="1" x14ac:dyDescent="0.3">
      <c r="A477" s="13"/>
      <c r="B477" s="13"/>
      <c r="C477" s="13"/>
      <c r="D477" s="13"/>
      <c r="E477" s="14">
        <v>240</v>
      </c>
      <c r="F477" s="14"/>
      <c r="G477" s="14"/>
      <c r="H477" s="14"/>
      <c r="I477" s="14"/>
      <c r="J477" s="14"/>
      <c r="K477" s="14"/>
      <c r="L477" s="15"/>
      <c r="M477" s="14"/>
      <c r="N477" s="14"/>
      <c r="O477" s="15"/>
      <c r="P477" s="14"/>
      <c r="Q477" s="14"/>
      <c r="R477" s="16"/>
      <c r="S477" s="14"/>
      <c r="T477" s="14"/>
      <c r="U477" s="14"/>
      <c r="V477" s="14"/>
      <c r="W477" s="14"/>
      <c r="X477" s="14"/>
      <c r="Y477" s="24" t="e">
        <f>knicks_players_all_stats[[#This Row],[REB]]/knicks_players_all_stats[[#This Row],[GP]]</f>
        <v>#DIV/0!</v>
      </c>
      <c r="Z477" s="14"/>
      <c r="AA477" s="14"/>
      <c r="AB477" s="14"/>
      <c r="AC477" s="14"/>
      <c r="AD477" s="14"/>
      <c r="AE477" s="14"/>
      <c r="AF477" s="14"/>
      <c r="AG477" s="14"/>
      <c r="AH477" s="14"/>
      <c r="AI477" s="19" t="e">
        <f>knicks_players_all_stats[[#This Row],[BLKPG]]+knicks_players_all_stats[[#This Row],[STLPG]]+knicks_players_all_stats[[#This Row],[REBPG]]</f>
        <v>#DIV/0!</v>
      </c>
      <c r="AJ477" s="14"/>
      <c r="AK477" s="14"/>
      <c r="AL477" s="14"/>
      <c r="AM477" s="14"/>
      <c r="AN477" s="14"/>
      <c r="AO477" s="14"/>
    </row>
    <row r="478" spans="1:41" s="17" customFormat="1" x14ac:dyDescent="0.3">
      <c r="A478" s="13"/>
      <c r="B478" s="13"/>
      <c r="C478" s="13"/>
      <c r="D478" s="13"/>
      <c r="E478" s="14">
        <v>280</v>
      </c>
      <c r="F478" s="14"/>
      <c r="G478" s="14"/>
      <c r="H478" s="14"/>
      <c r="I478" s="14"/>
      <c r="J478" s="14"/>
      <c r="K478" s="14"/>
      <c r="L478" s="15"/>
      <c r="M478" s="14"/>
      <c r="N478" s="14"/>
      <c r="O478" s="15"/>
      <c r="P478" s="14"/>
      <c r="Q478" s="14"/>
      <c r="R478" s="16"/>
      <c r="S478" s="14"/>
      <c r="T478" s="14"/>
      <c r="U478" s="14"/>
      <c r="V478" s="14"/>
      <c r="W478" s="14"/>
      <c r="X478" s="14"/>
      <c r="Y478" s="24" t="e">
        <f>knicks_players_all_stats[[#This Row],[REB]]/knicks_players_all_stats[[#This Row],[GP]]</f>
        <v>#DIV/0!</v>
      </c>
      <c r="Z478" s="14"/>
      <c r="AA478" s="14"/>
      <c r="AB478" s="14"/>
      <c r="AC478" s="14"/>
      <c r="AD478" s="14"/>
      <c r="AE478" s="14"/>
      <c r="AF478" s="14"/>
      <c r="AG478" s="14"/>
      <c r="AH478" s="14"/>
      <c r="AI478" s="19" t="e">
        <f>knicks_players_all_stats[[#This Row],[BLKPG]]+knicks_players_all_stats[[#This Row],[STLPG]]+knicks_players_all_stats[[#This Row],[REBPG]]</f>
        <v>#DIV/0!</v>
      </c>
      <c r="AJ478" s="14"/>
      <c r="AK478" s="14"/>
      <c r="AL478" s="14"/>
      <c r="AM478" s="14"/>
      <c r="AN478" s="14"/>
      <c r="AO478" s="14"/>
    </row>
    <row r="479" spans="1:41" s="17" customFormat="1" x14ac:dyDescent="0.3">
      <c r="A479" s="13"/>
      <c r="B479" s="13"/>
      <c r="C479" s="13"/>
      <c r="D479" s="13"/>
      <c r="E479" s="14">
        <v>340</v>
      </c>
      <c r="F479" s="14"/>
      <c r="G479" s="14"/>
      <c r="H479" s="14"/>
      <c r="I479" s="14"/>
      <c r="J479" s="14"/>
      <c r="K479" s="14"/>
      <c r="L479" s="15"/>
      <c r="M479" s="14"/>
      <c r="N479" s="14"/>
      <c r="O479" s="15"/>
      <c r="P479" s="14"/>
      <c r="Q479" s="14"/>
      <c r="R479" s="16"/>
      <c r="S479" s="14"/>
      <c r="T479" s="14"/>
      <c r="U479" s="14"/>
      <c r="V479" s="14">
        <v>230</v>
      </c>
      <c r="W479" s="14">
        <v>790</v>
      </c>
      <c r="X479" s="14">
        <v>1020</v>
      </c>
      <c r="Y479" s="24" t="e">
        <f>knicks_players_all_stats[[#This Row],[REB]]/knicks_players_all_stats[[#This Row],[GP]]</f>
        <v>#DIV/0!</v>
      </c>
      <c r="Z479" s="14"/>
      <c r="AA479" s="14"/>
      <c r="AB479" s="14"/>
      <c r="AC479" s="14">
        <v>220</v>
      </c>
      <c r="AD479" s="14"/>
      <c r="AE479" s="14">
        <v>100</v>
      </c>
      <c r="AF479" s="14"/>
      <c r="AG479" s="14"/>
      <c r="AH479" s="14">
        <v>650</v>
      </c>
      <c r="AI479" s="19" t="e">
        <f>knicks_players_all_stats[[#This Row],[BLKPG]]+knicks_players_all_stats[[#This Row],[STLPG]]+knicks_players_all_stats[[#This Row],[REBPG]]</f>
        <v>#DIV/0!</v>
      </c>
      <c r="AJ479" s="14"/>
      <c r="AK479" s="14"/>
      <c r="AL479" s="14"/>
      <c r="AM479" s="14"/>
      <c r="AN479" s="14"/>
      <c r="AO479" s="14"/>
    </row>
    <row r="480" spans="1:41" s="17" customFormat="1" x14ac:dyDescent="0.3">
      <c r="A480" s="13"/>
      <c r="B480" s="13"/>
      <c r="C480" s="13"/>
      <c r="D480" s="13"/>
      <c r="E480" s="14">
        <v>350</v>
      </c>
      <c r="F480" s="14"/>
      <c r="G480" s="14"/>
      <c r="H480" s="14"/>
      <c r="I480" s="14"/>
      <c r="J480" s="14"/>
      <c r="K480" s="14"/>
      <c r="L480" s="15"/>
      <c r="M480" s="14"/>
      <c r="N480" s="14"/>
      <c r="O480" s="15"/>
      <c r="P480" s="14"/>
      <c r="Q480" s="14"/>
      <c r="R480" s="16"/>
      <c r="S480" s="14"/>
      <c r="T480" s="14"/>
      <c r="U480" s="14"/>
      <c r="V480" s="14">
        <v>230</v>
      </c>
      <c r="W480" s="14">
        <v>700</v>
      </c>
      <c r="X480" s="14">
        <v>930</v>
      </c>
      <c r="Y480" s="24" t="e">
        <f>knicks_players_all_stats[[#This Row],[REB]]/knicks_players_all_stats[[#This Row],[GP]]</f>
        <v>#DIV/0!</v>
      </c>
      <c r="Z480" s="14"/>
      <c r="AA480" s="14"/>
      <c r="AB480" s="14"/>
      <c r="AC480" s="14">
        <v>250</v>
      </c>
      <c r="AD480" s="14"/>
      <c r="AE480" s="14">
        <v>60</v>
      </c>
      <c r="AF480" s="14"/>
      <c r="AG480" s="14"/>
      <c r="AH480" s="14">
        <v>440</v>
      </c>
      <c r="AI480" s="19" t="e">
        <f>knicks_players_all_stats[[#This Row],[BLKPG]]+knicks_players_all_stats[[#This Row],[STLPG]]+knicks_players_all_stats[[#This Row],[REBPG]]</f>
        <v>#DIV/0!</v>
      </c>
      <c r="AJ480" s="14"/>
      <c r="AK480" s="14"/>
      <c r="AL480" s="14"/>
      <c r="AM480" s="14"/>
      <c r="AN480" s="14"/>
      <c r="AO480" s="14"/>
    </row>
    <row r="481" spans="1:41" s="17" customFormat="1" x14ac:dyDescent="0.3">
      <c r="A481" s="13"/>
      <c r="B481" s="13"/>
      <c r="C481" s="13"/>
      <c r="D481" s="13"/>
      <c r="E481" s="14">
        <v>280</v>
      </c>
      <c r="F481" s="14"/>
      <c r="G481" s="14"/>
      <c r="H481" s="14"/>
      <c r="I481" s="14"/>
      <c r="J481" s="14"/>
      <c r="K481" s="14"/>
      <c r="L481" s="15"/>
      <c r="M481" s="14"/>
      <c r="N481" s="14"/>
      <c r="O481" s="15"/>
      <c r="P481" s="14"/>
      <c r="Q481" s="14"/>
      <c r="R481" s="16"/>
      <c r="S481" s="14"/>
      <c r="T481" s="14"/>
      <c r="U481" s="14"/>
      <c r="V481" s="14">
        <v>1200</v>
      </c>
      <c r="W481" s="14">
        <v>2880</v>
      </c>
      <c r="X481" s="14">
        <v>4080</v>
      </c>
      <c r="Y481" s="24" t="e">
        <f>knicks_players_all_stats[[#This Row],[REB]]/knicks_players_all_stats[[#This Row],[GP]]</f>
        <v>#DIV/0!</v>
      </c>
      <c r="Z481" s="14"/>
      <c r="AA481" s="14"/>
      <c r="AB481" s="14"/>
      <c r="AC481" s="14">
        <v>450</v>
      </c>
      <c r="AD481" s="14"/>
      <c r="AE481" s="14">
        <v>300</v>
      </c>
      <c r="AF481" s="14"/>
      <c r="AG481" s="14"/>
      <c r="AH481" s="14">
        <v>1070</v>
      </c>
      <c r="AI481" s="19" t="e">
        <f>knicks_players_all_stats[[#This Row],[BLKPG]]+knicks_players_all_stats[[#This Row],[STLPG]]+knicks_players_all_stats[[#This Row],[REBPG]]</f>
        <v>#DIV/0!</v>
      </c>
      <c r="AJ481" s="14"/>
      <c r="AK481" s="14"/>
      <c r="AL481" s="14"/>
      <c r="AM481" s="14"/>
      <c r="AN481" s="14"/>
      <c r="AO481" s="14"/>
    </row>
    <row r="482" spans="1:41" s="17" customFormat="1" x14ac:dyDescent="0.3">
      <c r="A482" s="18"/>
      <c r="B482" s="18"/>
      <c r="C482" s="18"/>
      <c r="D482" s="18"/>
      <c r="E482" s="14">
        <v>260</v>
      </c>
      <c r="I482" s="19"/>
      <c r="L482" s="20"/>
      <c r="O482" s="20"/>
      <c r="R482" s="21"/>
      <c r="V482" s="14">
        <v>520</v>
      </c>
      <c r="W482" s="14">
        <v>1600</v>
      </c>
      <c r="X482" s="14">
        <v>2120</v>
      </c>
      <c r="Y482" s="24" t="e">
        <f>knicks_players_all_stats[[#This Row],[REB]]/knicks_players_all_stats[[#This Row],[GP]]</f>
        <v>#DIV/0!</v>
      </c>
      <c r="AC482" s="17">
        <v>700</v>
      </c>
      <c r="AE482" s="14">
        <v>170</v>
      </c>
      <c r="AH482" s="14">
        <v>960</v>
      </c>
      <c r="AI482" s="19" t="e">
        <f>knicks_players_all_stats[[#This Row],[BLKPG]]+knicks_players_all_stats[[#This Row],[STLPG]]+knicks_players_all_stats[[#This Row],[REBPG]]</f>
        <v>#DIV/0!</v>
      </c>
    </row>
    <row r="483" spans="1:41" s="14" customFormat="1" x14ac:dyDescent="0.3">
      <c r="A483" s="13"/>
      <c r="B483" s="13"/>
      <c r="C483" s="13"/>
      <c r="D483" s="13"/>
      <c r="E483" s="14">
        <v>240</v>
      </c>
      <c r="L483" s="15"/>
      <c r="O483" s="15"/>
      <c r="R483" s="16"/>
      <c r="X483" s="14">
        <v>0</v>
      </c>
      <c r="Y483" s="24" t="e">
        <f>knicks_players_all_stats[[#This Row],[REB]]/knicks_players_all_stats[[#This Row],[GP]]</f>
        <v>#DIV/0!</v>
      </c>
      <c r="AI483" s="19" t="e">
        <f>knicks_players_all_stats[[#This Row],[BLKPG]]+knicks_players_all_stats[[#This Row],[STLPG]]+knicks_players_all_stats[[#This Row],[REBPG]]</f>
        <v>#DIV/0!</v>
      </c>
    </row>
    <row r="484" spans="1:41" s="14" customFormat="1" x14ac:dyDescent="0.3">
      <c r="A484" s="13"/>
      <c r="B484" s="13"/>
      <c r="C484" s="13"/>
      <c r="D484" s="13"/>
      <c r="E484" s="14">
        <v>250</v>
      </c>
      <c r="L484" s="15"/>
      <c r="O484" s="15"/>
      <c r="R484" s="16"/>
      <c r="Y484" s="24" t="e">
        <f>knicks_players_all_stats[[#This Row],[REB]]/knicks_players_all_stats[[#This Row],[GP]]</f>
        <v>#DIV/0!</v>
      </c>
      <c r="AI484" s="19" t="e">
        <f>knicks_players_all_stats[[#This Row],[BLKPG]]+knicks_players_all_stats[[#This Row],[STLPG]]+knicks_players_all_stats[[#This Row],[REBPG]]</f>
        <v>#DIV/0!</v>
      </c>
    </row>
    <row r="485" spans="1:41" s="14" customFormat="1" x14ac:dyDescent="0.3">
      <c r="A485" s="13"/>
      <c r="B485" s="13"/>
      <c r="C485" s="13"/>
      <c r="D485" s="13"/>
      <c r="E485" s="14">
        <v>260</v>
      </c>
      <c r="L485" s="15"/>
      <c r="O485" s="15"/>
      <c r="R485" s="16"/>
      <c r="Y485" s="24" t="e">
        <f>knicks_players_all_stats[[#This Row],[REB]]/knicks_players_all_stats[[#This Row],[GP]]</f>
        <v>#DIV/0!</v>
      </c>
      <c r="AI485" s="19" t="e">
        <f>knicks_players_all_stats[[#This Row],[BLKPG]]+knicks_players_all_stats[[#This Row],[STLPG]]+knicks_players_all_stats[[#This Row],[REBPG]]</f>
        <v>#DIV/0!</v>
      </c>
    </row>
    <row r="486" spans="1:41" s="17" customFormat="1" x14ac:dyDescent="0.3">
      <c r="A486" s="13"/>
      <c r="B486" s="13"/>
      <c r="C486" s="13"/>
      <c r="D486" s="13"/>
      <c r="E486" s="14">
        <v>270</v>
      </c>
      <c r="F486" s="14"/>
      <c r="G486" s="14"/>
      <c r="H486" s="14"/>
      <c r="I486" s="14"/>
      <c r="J486" s="14"/>
      <c r="K486" s="14"/>
      <c r="L486" s="15"/>
      <c r="M486" s="14"/>
      <c r="N486" s="14"/>
      <c r="O486" s="15"/>
      <c r="P486" s="14"/>
      <c r="Q486" s="14"/>
      <c r="R486" s="16"/>
      <c r="S486" s="14"/>
      <c r="T486" s="14"/>
      <c r="U486" s="14"/>
      <c r="V486" s="14"/>
      <c r="W486" s="14"/>
      <c r="X486" s="14">
        <v>650</v>
      </c>
      <c r="Y486" s="24" t="e">
        <f>knicks_players_all_stats[[#This Row],[REB]]/knicks_players_all_stats[[#This Row],[GP]]</f>
        <v>#DIV/0!</v>
      </c>
      <c r="Z486" s="14"/>
      <c r="AA486" s="14"/>
      <c r="AB486" s="14"/>
      <c r="AC486" s="14"/>
      <c r="AD486" s="14"/>
      <c r="AE486" s="14"/>
      <c r="AF486" s="14"/>
      <c r="AG486" s="14"/>
      <c r="AH486" s="14"/>
      <c r="AI486" s="19" t="e">
        <f>knicks_players_all_stats[[#This Row],[BLKPG]]+knicks_players_all_stats[[#This Row],[STLPG]]+knicks_players_all_stats[[#This Row],[REBPG]]</f>
        <v>#DIV/0!</v>
      </c>
      <c r="AJ486" s="14"/>
      <c r="AK486" s="14"/>
      <c r="AL486" s="14"/>
      <c r="AM486" s="14"/>
      <c r="AN486" s="14"/>
      <c r="AO486" s="14"/>
    </row>
    <row r="487" spans="1:41" s="17" customFormat="1" x14ac:dyDescent="0.3">
      <c r="A487" s="13"/>
      <c r="B487" s="13"/>
      <c r="C487" s="13"/>
      <c r="D487" s="13"/>
      <c r="E487" s="14">
        <v>270</v>
      </c>
      <c r="F487" s="14"/>
      <c r="G487" s="14"/>
      <c r="H487" s="14"/>
      <c r="I487" s="14"/>
      <c r="J487" s="14"/>
      <c r="K487" s="14"/>
      <c r="L487" s="15"/>
      <c r="M487" s="14"/>
      <c r="N487" s="14"/>
      <c r="O487" s="15"/>
      <c r="P487" s="14"/>
      <c r="Q487" s="14"/>
      <c r="R487" s="16"/>
      <c r="S487" s="14"/>
      <c r="T487" s="14"/>
      <c r="U487" s="14"/>
      <c r="V487" s="14"/>
      <c r="W487" s="14"/>
      <c r="X487" s="14"/>
      <c r="Y487" s="24" t="e">
        <f>knicks_players_all_stats[[#This Row],[REB]]/knicks_players_all_stats[[#This Row],[GP]]</f>
        <v>#DIV/0!</v>
      </c>
      <c r="Z487" s="14"/>
      <c r="AA487" s="14"/>
      <c r="AB487" s="14"/>
      <c r="AC487" s="14"/>
      <c r="AD487" s="14"/>
      <c r="AE487" s="14"/>
      <c r="AF487" s="14"/>
      <c r="AG487" s="14"/>
      <c r="AH487" s="14"/>
      <c r="AI487" s="19" t="e">
        <f>knicks_players_all_stats[[#This Row],[BLKPG]]+knicks_players_all_stats[[#This Row],[STLPG]]+knicks_players_all_stats[[#This Row],[REBPG]]</f>
        <v>#DIV/0!</v>
      </c>
      <c r="AJ487" s="14"/>
      <c r="AK487" s="14"/>
      <c r="AL487" s="14"/>
      <c r="AM487" s="14"/>
      <c r="AN487" s="14"/>
      <c r="AO487" s="14"/>
    </row>
    <row r="488" spans="1:41" s="17" customFormat="1" x14ac:dyDescent="0.3">
      <c r="A488" s="13"/>
      <c r="B488" s="13"/>
      <c r="C488" s="13"/>
      <c r="D488" s="13"/>
      <c r="E488" s="14">
        <v>270</v>
      </c>
      <c r="F488" s="14"/>
      <c r="G488" s="14"/>
      <c r="H488" s="14"/>
      <c r="I488" s="14"/>
      <c r="J488" s="14"/>
      <c r="K488" s="14"/>
      <c r="L488" s="15"/>
      <c r="M488" s="14"/>
      <c r="N488" s="14"/>
      <c r="O488" s="15"/>
      <c r="P488" s="14"/>
      <c r="Q488" s="14"/>
      <c r="R488" s="16"/>
      <c r="S488" s="14"/>
      <c r="T488" s="14"/>
      <c r="U488" s="14"/>
      <c r="V488" s="14"/>
      <c r="W488" s="14"/>
      <c r="X488" s="14">
        <v>0</v>
      </c>
      <c r="Y488" s="24" t="e">
        <f>knicks_players_all_stats[[#This Row],[REB]]/knicks_players_all_stats[[#This Row],[GP]]</f>
        <v>#DIV/0!</v>
      </c>
      <c r="Z488" s="14"/>
      <c r="AA488" s="14"/>
      <c r="AB488" s="14"/>
      <c r="AC488" s="14"/>
      <c r="AD488" s="14"/>
      <c r="AE488" s="14"/>
      <c r="AF488" s="14"/>
      <c r="AG488" s="14"/>
      <c r="AH488" s="14"/>
      <c r="AI488" s="19" t="e">
        <f>knicks_players_all_stats[[#This Row],[BLKPG]]+knicks_players_all_stats[[#This Row],[STLPG]]+knicks_players_all_stats[[#This Row],[REBPG]]</f>
        <v>#DIV/0!</v>
      </c>
      <c r="AJ488" s="14"/>
      <c r="AK488" s="14"/>
      <c r="AL488" s="14"/>
      <c r="AM488" s="14"/>
      <c r="AN488" s="14"/>
      <c r="AO488" s="14"/>
    </row>
    <row r="489" spans="1:41" s="17" customFormat="1" x14ac:dyDescent="0.3">
      <c r="A489" s="13"/>
      <c r="B489" s="13"/>
      <c r="C489" s="13"/>
      <c r="D489" s="13"/>
      <c r="E489" s="14">
        <v>310</v>
      </c>
      <c r="F489" s="14"/>
      <c r="G489" s="14"/>
      <c r="H489" s="14"/>
      <c r="I489" s="14"/>
      <c r="J489" s="14"/>
      <c r="K489" s="14"/>
      <c r="L489" s="15"/>
      <c r="M489" s="14"/>
      <c r="N489" s="14"/>
      <c r="O489" s="15"/>
      <c r="P489" s="14"/>
      <c r="Q489" s="14"/>
      <c r="R489" s="16"/>
      <c r="S489" s="14"/>
      <c r="T489" s="14"/>
      <c r="U489" s="14"/>
      <c r="V489" s="14"/>
      <c r="W489" s="14"/>
      <c r="X489" s="14">
        <v>160</v>
      </c>
      <c r="Y489" s="24" t="e">
        <f>knicks_players_all_stats[[#This Row],[REB]]/knicks_players_all_stats[[#This Row],[GP]]</f>
        <v>#DIV/0!</v>
      </c>
      <c r="Z489" s="14"/>
      <c r="AA489" s="14"/>
      <c r="AB489" s="14"/>
      <c r="AC489" s="14"/>
      <c r="AD489" s="14"/>
      <c r="AE489" s="14"/>
      <c r="AF489" s="14"/>
      <c r="AG489" s="14"/>
      <c r="AH489" s="14"/>
      <c r="AI489" s="19" t="e">
        <f>knicks_players_all_stats[[#This Row],[BLKPG]]+knicks_players_all_stats[[#This Row],[STLPG]]+knicks_players_all_stats[[#This Row],[REBPG]]</f>
        <v>#DIV/0!</v>
      </c>
      <c r="AJ489" s="14"/>
      <c r="AK489" s="14"/>
      <c r="AL489" s="14"/>
      <c r="AM489" s="14"/>
      <c r="AN489" s="14"/>
      <c r="AO489" s="14"/>
    </row>
    <row r="490" spans="1:41" s="17" customFormat="1" x14ac:dyDescent="0.3">
      <c r="A490" s="13"/>
      <c r="B490" s="13"/>
      <c r="C490" s="13"/>
      <c r="D490" s="13"/>
      <c r="E490" s="14">
        <v>250</v>
      </c>
      <c r="F490" s="14"/>
      <c r="G490" s="14"/>
      <c r="H490" s="14"/>
      <c r="I490" s="14"/>
      <c r="J490" s="14"/>
      <c r="K490" s="14"/>
      <c r="L490" s="15"/>
      <c r="M490" s="14"/>
      <c r="N490" s="14"/>
      <c r="O490" s="15"/>
      <c r="P490" s="14"/>
      <c r="Q490" s="14"/>
      <c r="R490" s="16"/>
      <c r="S490" s="14"/>
      <c r="T490" s="14"/>
      <c r="U490" s="14"/>
      <c r="V490" s="14">
        <v>810</v>
      </c>
      <c r="W490" s="14">
        <v>1440</v>
      </c>
      <c r="X490" s="14">
        <v>2250</v>
      </c>
      <c r="Y490" s="24" t="e">
        <f>knicks_players_all_stats[[#This Row],[REB]]/knicks_players_all_stats[[#This Row],[GP]]</f>
        <v>#DIV/0!</v>
      </c>
      <c r="Z490" s="14"/>
      <c r="AA490" s="14"/>
      <c r="AB490" s="14"/>
      <c r="AC490" s="14">
        <v>230</v>
      </c>
      <c r="AD490" s="14"/>
      <c r="AE490" s="14">
        <v>530</v>
      </c>
      <c r="AF490" s="14"/>
      <c r="AG490" s="14"/>
      <c r="AH490" s="14">
        <v>850</v>
      </c>
      <c r="AI490" s="19" t="e">
        <f>knicks_players_all_stats[[#This Row],[BLKPG]]+knicks_players_all_stats[[#This Row],[STLPG]]+knicks_players_all_stats[[#This Row],[REBPG]]</f>
        <v>#DIV/0!</v>
      </c>
      <c r="AJ490" s="14"/>
      <c r="AK490" s="14"/>
      <c r="AL490" s="14"/>
      <c r="AM490" s="14"/>
      <c r="AN490" s="14"/>
      <c r="AO490" s="14"/>
    </row>
    <row r="491" spans="1:41" s="14" customFormat="1" x14ac:dyDescent="0.3">
      <c r="A491" s="13"/>
      <c r="B491" s="13"/>
      <c r="C491" s="13"/>
      <c r="D491" s="13"/>
      <c r="E491" s="14">
        <v>260</v>
      </c>
      <c r="L491" s="15"/>
      <c r="O491" s="15"/>
      <c r="R491" s="16"/>
      <c r="V491" s="14">
        <v>1220</v>
      </c>
      <c r="W491" s="14">
        <v>2280</v>
      </c>
      <c r="X491" s="14">
        <v>3500</v>
      </c>
      <c r="Y491" s="24" t="e">
        <f>knicks_players_all_stats[[#This Row],[REB]]/knicks_players_all_stats[[#This Row],[GP]]</f>
        <v>#DIV/0!</v>
      </c>
      <c r="AC491" s="14">
        <v>370</v>
      </c>
      <c r="AE491" s="14">
        <v>1200</v>
      </c>
      <c r="AH491" s="14">
        <v>1120</v>
      </c>
      <c r="AI491" s="19" t="e">
        <f>knicks_players_all_stats[[#This Row],[BLKPG]]+knicks_players_all_stats[[#This Row],[STLPG]]+knicks_players_all_stats[[#This Row],[REBPG]]</f>
        <v>#DIV/0!</v>
      </c>
    </row>
    <row r="492" spans="1:41" s="14" customFormat="1" x14ac:dyDescent="0.3">
      <c r="A492" s="13"/>
      <c r="B492" s="13"/>
      <c r="C492" s="13"/>
      <c r="D492" s="13"/>
      <c r="E492" s="14">
        <v>270</v>
      </c>
      <c r="L492" s="15"/>
      <c r="O492" s="15"/>
      <c r="R492" s="16"/>
      <c r="X492" s="14">
        <v>970</v>
      </c>
      <c r="Y492" s="24" t="e">
        <f>knicks_players_all_stats[[#This Row],[REB]]/knicks_players_all_stats[[#This Row],[GP]]</f>
        <v>#DIV/0!</v>
      </c>
      <c r="AI492" s="19" t="e">
        <f>knicks_players_all_stats[[#This Row],[BLKPG]]+knicks_players_all_stats[[#This Row],[STLPG]]+knicks_players_all_stats[[#This Row],[REBPG]]</f>
        <v>#DIV/0!</v>
      </c>
    </row>
    <row r="493" spans="1:41" s="14" customFormat="1" x14ac:dyDescent="0.3">
      <c r="A493" s="13"/>
      <c r="B493" s="13"/>
      <c r="C493" s="13"/>
      <c r="D493" s="13"/>
      <c r="E493" s="14">
        <v>240</v>
      </c>
      <c r="L493" s="15"/>
      <c r="O493" s="15"/>
      <c r="R493" s="16"/>
      <c r="X493" s="14">
        <v>1850</v>
      </c>
      <c r="Y493" s="24" t="e">
        <f>knicks_players_all_stats[[#This Row],[REB]]/knicks_players_all_stats[[#This Row],[GP]]</f>
        <v>#DIV/0!</v>
      </c>
      <c r="AI493" s="19" t="e">
        <f>knicks_players_all_stats[[#This Row],[BLKPG]]+knicks_players_all_stats[[#This Row],[STLPG]]+knicks_players_all_stats[[#This Row],[REBPG]]</f>
        <v>#DIV/0!</v>
      </c>
    </row>
    <row r="494" spans="1:41" s="14" customFormat="1" x14ac:dyDescent="0.3">
      <c r="A494" s="13"/>
      <c r="B494" s="13"/>
      <c r="C494" s="13"/>
      <c r="D494" s="13"/>
      <c r="E494" s="14">
        <v>250</v>
      </c>
      <c r="L494" s="15"/>
      <c r="O494" s="15"/>
      <c r="R494" s="16"/>
      <c r="X494" s="14">
        <v>2290</v>
      </c>
      <c r="Y494" s="24" t="e">
        <f>knicks_players_all_stats[[#This Row],[REB]]/knicks_players_all_stats[[#This Row],[GP]]</f>
        <v>#DIV/0!</v>
      </c>
      <c r="AI494" s="19" t="e">
        <f>knicks_players_all_stats[[#This Row],[BLKPG]]+knicks_players_all_stats[[#This Row],[STLPG]]+knicks_players_all_stats[[#This Row],[REBPG]]</f>
        <v>#DIV/0!</v>
      </c>
    </row>
    <row r="495" spans="1:41" s="14" customFormat="1" x14ac:dyDescent="0.3">
      <c r="A495" s="13"/>
      <c r="B495" s="13"/>
      <c r="C495" s="13"/>
      <c r="D495" s="13"/>
      <c r="E495" s="14">
        <v>260</v>
      </c>
      <c r="L495" s="15"/>
      <c r="O495" s="15"/>
      <c r="R495" s="16"/>
      <c r="V495" s="14">
        <v>1250</v>
      </c>
      <c r="W495" s="14">
        <v>1560</v>
      </c>
      <c r="X495" s="14">
        <v>2810</v>
      </c>
      <c r="Y495" s="24" t="e">
        <f>knicks_players_all_stats[[#This Row],[REB]]/knicks_players_all_stats[[#This Row],[GP]]</f>
        <v>#DIV/0!</v>
      </c>
      <c r="AC495" s="14">
        <v>620</v>
      </c>
      <c r="AE495" s="14">
        <v>80</v>
      </c>
      <c r="AI495" s="19" t="e">
        <f>knicks_players_all_stats[[#This Row],[BLKPG]]+knicks_players_all_stats[[#This Row],[STLPG]]+knicks_players_all_stats[[#This Row],[REBPG]]</f>
        <v>#DIV/0!</v>
      </c>
    </row>
    <row r="496" spans="1:41" s="14" customFormat="1" x14ac:dyDescent="0.3">
      <c r="A496" s="13"/>
      <c r="B496" s="13"/>
      <c r="C496" s="13"/>
      <c r="D496" s="13"/>
      <c r="E496" s="14">
        <v>290</v>
      </c>
      <c r="L496" s="15"/>
      <c r="O496" s="15"/>
      <c r="R496" s="16"/>
      <c r="V496" s="14">
        <v>120</v>
      </c>
      <c r="W496" s="14">
        <v>140</v>
      </c>
      <c r="X496" s="14">
        <v>260</v>
      </c>
      <c r="Y496" s="24" t="e">
        <f>knicks_players_all_stats[[#This Row],[REB]]/knicks_players_all_stats[[#This Row],[GP]]</f>
        <v>#DIV/0!</v>
      </c>
      <c r="AC496" s="14">
        <v>80</v>
      </c>
      <c r="AE496" s="14">
        <v>10</v>
      </c>
      <c r="AI496" s="19" t="e">
        <f>knicks_players_all_stats[[#This Row],[BLKPG]]+knicks_players_all_stats[[#This Row],[STLPG]]+knicks_players_all_stats[[#This Row],[REBPG]]</f>
        <v>#DIV/0!</v>
      </c>
    </row>
    <row r="497" spans="1:41" s="14" customFormat="1" x14ac:dyDescent="0.3">
      <c r="A497" s="13"/>
      <c r="B497" s="13"/>
      <c r="C497" s="13"/>
      <c r="D497" s="13"/>
      <c r="E497" s="14">
        <v>220</v>
      </c>
      <c r="L497" s="15"/>
      <c r="O497" s="15"/>
      <c r="R497" s="16"/>
      <c r="X497" s="14">
        <v>1230</v>
      </c>
      <c r="Y497" s="24" t="e">
        <f>knicks_players_all_stats[[#This Row],[REB]]/knicks_players_all_stats[[#This Row],[GP]]</f>
        <v>#DIV/0!</v>
      </c>
      <c r="AI497" s="19" t="e">
        <f>knicks_players_all_stats[[#This Row],[BLKPG]]+knicks_players_all_stats[[#This Row],[STLPG]]+knicks_players_all_stats[[#This Row],[REBPG]]</f>
        <v>#DIV/0!</v>
      </c>
    </row>
    <row r="498" spans="1:41" s="14" customFormat="1" x14ac:dyDescent="0.3">
      <c r="A498" s="13"/>
      <c r="B498" s="13"/>
      <c r="C498" s="13"/>
      <c r="D498" s="13"/>
      <c r="E498" s="14">
        <v>250</v>
      </c>
      <c r="L498" s="15"/>
      <c r="O498" s="15"/>
      <c r="R498" s="16"/>
      <c r="Y498" s="24" t="e">
        <f>knicks_players_all_stats[[#This Row],[REB]]/knicks_players_all_stats[[#This Row],[GP]]</f>
        <v>#DIV/0!</v>
      </c>
      <c r="AI498" s="19" t="e">
        <f>knicks_players_all_stats[[#This Row],[BLKPG]]+knicks_players_all_stats[[#This Row],[STLPG]]+knicks_players_all_stats[[#This Row],[REBPG]]</f>
        <v>#DIV/0!</v>
      </c>
    </row>
    <row r="499" spans="1:41" s="17" customFormat="1" x14ac:dyDescent="0.3">
      <c r="A499" s="13"/>
      <c r="B499" s="13"/>
      <c r="C499" s="13"/>
      <c r="D499" s="13"/>
      <c r="E499" s="14">
        <v>260</v>
      </c>
      <c r="F499" s="14"/>
      <c r="G499" s="14"/>
      <c r="H499" s="14"/>
      <c r="I499" s="14"/>
      <c r="J499" s="14"/>
      <c r="K499" s="14"/>
      <c r="L499" s="15"/>
      <c r="M499" s="14"/>
      <c r="N499" s="14"/>
      <c r="O499" s="15"/>
      <c r="P499" s="14"/>
      <c r="Q499" s="14"/>
      <c r="R499" s="16"/>
      <c r="S499" s="14"/>
      <c r="T499" s="14"/>
      <c r="U499" s="14"/>
      <c r="V499" s="14"/>
      <c r="W499" s="14"/>
      <c r="X499" s="14">
        <v>4260</v>
      </c>
      <c r="Y499" s="24" t="e">
        <f>knicks_players_all_stats[[#This Row],[REB]]/knicks_players_all_stats[[#This Row],[GP]]</f>
        <v>#DIV/0!</v>
      </c>
      <c r="Z499" s="14"/>
      <c r="AA499" s="14"/>
      <c r="AB499" s="14"/>
      <c r="AC499" s="14"/>
      <c r="AD499" s="14"/>
      <c r="AE499" s="14"/>
      <c r="AF499" s="14"/>
      <c r="AG499" s="14"/>
      <c r="AH499" s="14"/>
      <c r="AI499" s="19" t="e">
        <f>knicks_players_all_stats[[#This Row],[BLKPG]]+knicks_players_all_stats[[#This Row],[STLPG]]+knicks_players_all_stats[[#This Row],[REBPG]]</f>
        <v>#DIV/0!</v>
      </c>
      <c r="AJ499" s="14"/>
      <c r="AK499" s="14"/>
      <c r="AL499" s="14"/>
      <c r="AM499" s="14"/>
      <c r="AN499" s="14"/>
      <c r="AO499" s="14"/>
    </row>
    <row r="500" spans="1:41" s="17" customFormat="1" x14ac:dyDescent="0.3">
      <c r="A500" s="13"/>
      <c r="B500" s="13"/>
      <c r="C500" s="13"/>
      <c r="D500" s="13"/>
      <c r="E500" s="14">
        <v>270</v>
      </c>
      <c r="F500" s="14"/>
      <c r="G500" s="14"/>
      <c r="H500" s="14"/>
      <c r="I500" s="14"/>
      <c r="J500" s="14"/>
      <c r="K500" s="14"/>
      <c r="L500" s="15"/>
      <c r="M500" s="14"/>
      <c r="N500" s="14"/>
      <c r="O500" s="15"/>
      <c r="P500" s="14"/>
      <c r="Q500" s="14"/>
      <c r="R500" s="16"/>
      <c r="S500" s="14"/>
      <c r="T500" s="14"/>
      <c r="U500" s="14"/>
      <c r="V500" s="14"/>
      <c r="W500" s="14"/>
      <c r="X500" s="14">
        <v>4710</v>
      </c>
      <c r="Y500" s="24" t="e">
        <f>knicks_players_all_stats[[#This Row],[REB]]/knicks_players_all_stats[[#This Row],[GP]]</f>
        <v>#DIV/0!</v>
      </c>
      <c r="Z500" s="14"/>
      <c r="AA500" s="14"/>
      <c r="AB500" s="14"/>
      <c r="AC500" s="14"/>
      <c r="AD500" s="14"/>
      <c r="AE500" s="14"/>
      <c r="AF500" s="14"/>
      <c r="AG500" s="14"/>
      <c r="AH500" s="14"/>
      <c r="AI500" s="19" t="e">
        <f>knicks_players_all_stats[[#This Row],[BLKPG]]+knicks_players_all_stats[[#This Row],[STLPG]]+knicks_players_all_stats[[#This Row],[REBPG]]</f>
        <v>#DIV/0!</v>
      </c>
      <c r="AJ500" s="14"/>
      <c r="AK500" s="14"/>
      <c r="AL500" s="14"/>
      <c r="AM500" s="14"/>
      <c r="AN500" s="14"/>
      <c r="AO500" s="14"/>
    </row>
    <row r="501" spans="1:41" s="17" customFormat="1" x14ac:dyDescent="0.3">
      <c r="A501" s="13"/>
      <c r="B501" s="13"/>
      <c r="C501" s="13"/>
      <c r="D501" s="13"/>
      <c r="E501" s="14">
        <v>280</v>
      </c>
      <c r="F501" s="14"/>
      <c r="G501" s="14"/>
      <c r="H501" s="14"/>
      <c r="I501" s="14"/>
      <c r="J501" s="14"/>
      <c r="K501" s="14"/>
      <c r="L501" s="15"/>
      <c r="M501" s="14"/>
      <c r="N501" s="14"/>
      <c r="O501" s="15"/>
      <c r="P501" s="14"/>
      <c r="Q501" s="14"/>
      <c r="R501" s="16"/>
      <c r="S501" s="14"/>
      <c r="T501" s="14"/>
      <c r="U501" s="14"/>
      <c r="V501" s="14"/>
      <c r="W501" s="14"/>
      <c r="X501" s="14">
        <v>4580</v>
      </c>
      <c r="Y501" s="24" t="e">
        <f>knicks_players_all_stats[[#This Row],[REB]]/knicks_players_all_stats[[#This Row],[GP]]</f>
        <v>#DIV/0!</v>
      </c>
      <c r="Z501" s="14"/>
      <c r="AA501" s="14"/>
      <c r="AB501" s="14"/>
      <c r="AC501" s="14"/>
      <c r="AD501" s="14"/>
      <c r="AE501" s="14"/>
      <c r="AF501" s="14"/>
      <c r="AG501" s="14"/>
      <c r="AH501" s="14"/>
      <c r="AI501" s="19" t="e">
        <f>knicks_players_all_stats[[#This Row],[BLKPG]]+knicks_players_all_stats[[#This Row],[STLPG]]+knicks_players_all_stats[[#This Row],[REBPG]]</f>
        <v>#DIV/0!</v>
      </c>
      <c r="AJ501" s="14"/>
      <c r="AK501" s="14"/>
      <c r="AL501" s="14"/>
      <c r="AM501" s="14"/>
      <c r="AN501" s="14"/>
      <c r="AO501" s="14"/>
    </row>
    <row r="502" spans="1:41" s="17" customFormat="1" x14ac:dyDescent="0.3">
      <c r="A502" s="13"/>
      <c r="B502" s="13"/>
      <c r="C502" s="13"/>
      <c r="D502" s="13"/>
      <c r="E502" s="14">
        <v>290</v>
      </c>
      <c r="F502" s="14"/>
      <c r="G502" s="14"/>
      <c r="H502" s="14"/>
      <c r="I502" s="14"/>
      <c r="J502" s="14"/>
      <c r="K502" s="14"/>
      <c r="L502" s="15"/>
      <c r="M502" s="14"/>
      <c r="N502" s="14"/>
      <c r="O502" s="15"/>
      <c r="P502" s="14"/>
      <c r="Q502" s="14"/>
      <c r="R502" s="16"/>
      <c r="S502" s="14"/>
      <c r="T502" s="14"/>
      <c r="U502" s="14"/>
      <c r="V502" s="14"/>
      <c r="W502" s="14"/>
      <c r="X502" s="14">
        <v>4840</v>
      </c>
      <c r="Y502" s="24" t="e">
        <f>knicks_players_all_stats[[#This Row],[REB]]/knicks_players_all_stats[[#This Row],[GP]]</f>
        <v>#DIV/0!</v>
      </c>
      <c r="Z502" s="14"/>
      <c r="AA502" s="14"/>
      <c r="AB502" s="14"/>
      <c r="AC502" s="14"/>
      <c r="AD502" s="14"/>
      <c r="AE502" s="14"/>
      <c r="AF502" s="14"/>
      <c r="AG502" s="14"/>
      <c r="AH502" s="14"/>
      <c r="AI502" s="19" t="e">
        <f>knicks_players_all_stats[[#This Row],[BLKPG]]+knicks_players_all_stats[[#This Row],[STLPG]]+knicks_players_all_stats[[#This Row],[REBPG]]</f>
        <v>#DIV/0!</v>
      </c>
      <c r="AJ502" s="14"/>
      <c r="AK502" s="14"/>
      <c r="AL502" s="14"/>
      <c r="AM502" s="14"/>
      <c r="AN502" s="14"/>
      <c r="AO502" s="14"/>
    </row>
    <row r="503" spans="1:41" s="17" customFormat="1" x14ac:dyDescent="0.3">
      <c r="A503" s="13"/>
      <c r="B503" s="13"/>
      <c r="C503" s="13"/>
      <c r="D503" s="13"/>
      <c r="E503" s="14">
        <v>240</v>
      </c>
      <c r="F503" s="14"/>
      <c r="G503" s="14"/>
      <c r="H503" s="14"/>
      <c r="I503" s="14"/>
      <c r="J503" s="14"/>
      <c r="K503" s="14"/>
      <c r="L503" s="15"/>
      <c r="M503" s="14"/>
      <c r="N503" s="14"/>
      <c r="O503" s="15"/>
      <c r="P503" s="14"/>
      <c r="Q503" s="14"/>
      <c r="R503" s="16"/>
      <c r="S503" s="14"/>
      <c r="T503" s="14"/>
      <c r="U503" s="14"/>
      <c r="V503" s="14">
        <v>620</v>
      </c>
      <c r="W503" s="14">
        <v>1410</v>
      </c>
      <c r="X503" s="14">
        <v>2030</v>
      </c>
      <c r="Y503" s="24" t="e">
        <f>knicks_players_all_stats[[#This Row],[REB]]/knicks_players_all_stats[[#This Row],[GP]]</f>
        <v>#DIV/0!</v>
      </c>
      <c r="Z503" s="14"/>
      <c r="AA503" s="14"/>
      <c r="AB503" s="14"/>
      <c r="AC503" s="14">
        <v>380</v>
      </c>
      <c r="AD503" s="14"/>
      <c r="AE503" s="14">
        <v>120</v>
      </c>
      <c r="AF503" s="14"/>
      <c r="AG503" s="14"/>
      <c r="AH503" s="14">
        <v>350</v>
      </c>
      <c r="AI503" s="19" t="e">
        <f>knicks_players_all_stats[[#This Row],[BLKPG]]+knicks_players_all_stats[[#This Row],[STLPG]]+knicks_players_all_stats[[#This Row],[REBPG]]</f>
        <v>#DIV/0!</v>
      </c>
      <c r="AJ503" s="14"/>
      <c r="AK503" s="14"/>
      <c r="AL503" s="14"/>
      <c r="AM503" s="14"/>
      <c r="AN503" s="14"/>
      <c r="AO503" s="14"/>
    </row>
    <row r="504" spans="1:41" s="17" customFormat="1" x14ac:dyDescent="0.3">
      <c r="A504" s="13"/>
      <c r="B504" s="13"/>
      <c r="C504" s="13"/>
      <c r="D504" s="13"/>
      <c r="E504" s="14">
        <v>250</v>
      </c>
      <c r="F504" s="14"/>
      <c r="G504" s="14"/>
      <c r="H504" s="14"/>
      <c r="I504" s="14"/>
      <c r="J504" s="14"/>
      <c r="K504" s="14"/>
      <c r="L504" s="15"/>
      <c r="M504" s="14"/>
      <c r="N504" s="14"/>
      <c r="O504" s="15"/>
      <c r="P504" s="14"/>
      <c r="Q504" s="14"/>
      <c r="R504" s="16"/>
      <c r="S504" s="14"/>
      <c r="T504" s="14"/>
      <c r="U504" s="14"/>
      <c r="V504" s="14">
        <v>740</v>
      </c>
      <c r="W504" s="14">
        <v>1530</v>
      </c>
      <c r="X504" s="14">
        <v>2270</v>
      </c>
      <c r="Y504" s="24" t="e">
        <f>knicks_players_all_stats[[#This Row],[REB]]/knicks_players_all_stats[[#This Row],[GP]]</f>
        <v>#DIV/0!</v>
      </c>
      <c r="Z504" s="14"/>
      <c r="AA504" s="14"/>
      <c r="AB504" s="14"/>
      <c r="AC504" s="14">
        <v>360</v>
      </c>
      <c r="AD504" s="14"/>
      <c r="AE504" s="14">
        <v>160</v>
      </c>
      <c r="AF504" s="14"/>
      <c r="AG504" s="14"/>
      <c r="AH504" s="14">
        <v>640</v>
      </c>
      <c r="AI504" s="19" t="e">
        <f>knicks_players_all_stats[[#This Row],[BLKPG]]+knicks_players_all_stats[[#This Row],[STLPG]]+knicks_players_all_stats[[#This Row],[REBPG]]</f>
        <v>#DIV/0!</v>
      </c>
      <c r="AJ504" s="14"/>
      <c r="AK504" s="14"/>
      <c r="AL504" s="14"/>
      <c r="AM504" s="14"/>
      <c r="AN504" s="14"/>
      <c r="AO504" s="14"/>
    </row>
    <row r="505" spans="1:41" s="17" customFormat="1" x14ac:dyDescent="0.3">
      <c r="A505" s="13"/>
      <c r="B505" s="13"/>
      <c r="C505" s="13"/>
      <c r="D505" s="13"/>
      <c r="E505" s="14">
        <v>260</v>
      </c>
      <c r="F505" s="14"/>
      <c r="G505" s="14"/>
      <c r="H505" s="14"/>
      <c r="I505" s="14"/>
      <c r="J505" s="14"/>
      <c r="K505" s="14"/>
      <c r="L505" s="15"/>
      <c r="M505" s="14"/>
      <c r="N505" s="14"/>
      <c r="O505" s="15"/>
      <c r="P505" s="14"/>
      <c r="Q505" s="14"/>
      <c r="R505" s="16"/>
      <c r="S505" s="14"/>
      <c r="T505" s="14"/>
      <c r="U505" s="14"/>
      <c r="V505" s="14">
        <v>240</v>
      </c>
      <c r="W505" s="14">
        <v>400</v>
      </c>
      <c r="X505" s="14">
        <v>640</v>
      </c>
      <c r="Y505" s="24" t="e">
        <f>knicks_players_all_stats[[#This Row],[REB]]/knicks_players_all_stats[[#This Row],[GP]]</f>
        <v>#DIV/0!</v>
      </c>
      <c r="Z505" s="14"/>
      <c r="AA505" s="14"/>
      <c r="AB505" s="14"/>
      <c r="AC505" s="14">
        <v>160</v>
      </c>
      <c r="AD505" s="14"/>
      <c r="AE505" s="14">
        <v>20</v>
      </c>
      <c r="AF505" s="14"/>
      <c r="AG505" s="14"/>
      <c r="AH505" s="14">
        <v>170</v>
      </c>
      <c r="AI505" s="19" t="e">
        <f>knicks_players_all_stats[[#This Row],[BLKPG]]+knicks_players_all_stats[[#This Row],[STLPG]]+knicks_players_all_stats[[#This Row],[REBPG]]</f>
        <v>#DIV/0!</v>
      </c>
      <c r="AJ505" s="14"/>
      <c r="AK505" s="14"/>
      <c r="AL505" s="14"/>
      <c r="AM505" s="14"/>
      <c r="AN505" s="14"/>
      <c r="AO505" s="14"/>
    </row>
    <row r="506" spans="1:41" s="17" customFormat="1" x14ac:dyDescent="0.3">
      <c r="A506" s="13"/>
      <c r="B506" s="13"/>
      <c r="C506" s="13"/>
      <c r="D506" s="13"/>
      <c r="E506" s="14">
        <v>290</v>
      </c>
      <c r="F506" s="14"/>
      <c r="G506" s="14"/>
      <c r="H506" s="14"/>
      <c r="I506" s="14"/>
      <c r="J506" s="14"/>
      <c r="K506" s="14"/>
      <c r="L506" s="15"/>
      <c r="M506" s="14"/>
      <c r="N506" s="14"/>
      <c r="O506" s="15"/>
      <c r="P506" s="14"/>
      <c r="Q506" s="14"/>
      <c r="R506" s="16"/>
      <c r="S506" s="14"/>
      <c r="T506" s="14"/>
      <c r="U506" s="14"/>
      <c r="V506" s="14">
        <v>660</v>
      </c>
      <c r="W506" s="14">
        <v>2410</v>
      </c>
      <c r="X506" s="14">
        <v>3070</v>
      </c>
      <c r="Y506" s="24" t="e">
        <f>knicks_players_all_stats[[#This Row],[REB]]/knicks_players_all_stats[[#This Row],[GP]]</f>
        <v>#DIV/0!</v>
      </c>
      <c r="Z506" s="14"/>
      <c r="AA506" s="14"/>
      <c r="AB506" s="14"/>
      <c r="AC506" s="14">
        <v>630</v>
      </c>
      <c r="AD506" s="14"/>
      <c r="AE506" s="14">
        <v>50</v>
      </c>
      <c r="AF506" s="14"/>
      <c r="AG506" s="14"/>
      <c r="AH506" s="14"/>
      <c r="AI506" s="19" t="e">
        <f>knicks_players_all_stats[[#This Row],[BLKPG]]+knicks_players_all_stats[[#This Row],[STLPG]]+knicks_players_all_stats[[#This Row],[REBPG]]</f>
        <v>#DIV/0!</v>
      </c>
      <c r="AJ506" s="14"/>
      <c r="AK506" s="14"/>
      <c r="AL506" s="14"/>
      <c r="AM506" s="14"/>
      <c r="AN506" s="14"/>
      <c r="AO506" s="14"/>
    </row>
    <row r="507" spans="1:41" s="14" customFormat="1" x14ac:dyDescent="0.3">
      <c r="A507" s="13"/>
      <c r="B507" s="13"/>
      <c r="C507" s="13"/>
      <c r="D507" s="13"/>
      <c r="E507" s="14">
        <v>300</v>
      </c>
      <c r="L507" s="15"/>
      <c r="O507" s="15"/>
      <c r="R507" s="16"/>
      <c r="V507" s="14">
        <v>800</v>
      </c>
      <c r="W507" s="14">
        <v>2090</v>
      </c>
      <c r="X507" s="14">
        <v>2890</v>
      </c>
      <c r="Y507" s="24" t="e">
        <f>knicks_players_all_stats[[#This Row],[REB]]/knicks_players_all_stats[[#This Row],[GP]]</f>
        <v>#DIV/0!</v>
      </c>
      <c r="AC507" s="14">
        <v>760</v>
      </c>
      <c r="AE507" s="14">
        <v>170</v>
      </c>
      <c r="AH507" s="14">
        <v>1040</v>
      </c>
      <c r="AI507" s="19" t="e">
        <f>knicks_players_all_stats[[#This Row],[BLKPG]]+knicks_players_all_stats[[#This Row],[STLPG]]+knicks_players_all_stats[[#This Row],[REBPG]]</f>
        <v>#DIV/0!</v>
      </c>
    </row>
    <row r="508" spans="1:41" s="14" customFormat="1" x14ac:dyDescent="0.3">
      <c r="A508" s="13"/>
      <c r="B508" s="13"/>
      <c r="C508" s="13"/>
      <c r="D508" s="13"/>
      <c r="E508" s="14">
        <v>280</v>
      </c>
      <c r="L508" s="15"/>
      <c r="O508" s="15"/>
      <c r="R508" s="16"/>
      <c r="V508" s="14">
        <v>20</v>
      </c>
      <c r="W508" s="14">
        <v>90</v>
      </c>
      <c r="X508" s="14">
        <v>110</v>
      </c>
      <c r="Y508" s="24" t="e">
        <f>knicks_players_all_stats[[#This Row],[REB]]/knicks_players_all_stats[[#This Row],[GP]]</f>
        <v>#DIV/0!</v>
      </c>
      <c r="AC508" s="14">
        <v>20</v>
      </c>
      <c r="AE508" s="14">
        <v>0</v>
      </c>
      <c r="AH508" s="14">
        <v>40</v>
      </c>
      <c r="AI508" s="19" t="e">
        <f>knicks_players_all_stats[[#This Row],[BLKPG]]+knicks_players_all_stats[[#This Row],[STLPG]]+knicks_players_all_stats[[#This Row],[REBPG]]</f>
        <v>#DIV/0!</v>
      </c>
    </row>
    <row r="509" spans="1:41" s="14" customFormat="1" x14ac:dyDescent="0.3">
      <c r="A509" s="13"/>
      <c r="B509" s="13"/>
      <c r="C509" s="13"/>
      <c r="D509" s="13"/>
      <c r="E509" s="14">
        <v>220</v>
      </c>
      <c r="L509" s="15"/>
      <c r="O509" s="15"/>
      <c r="R509" s="16"/>
      <c r="X509" s="14">
        <v>6160</v>
      </c>
      <c r="Y509" s="24" t="e">
        <f>knicks_players_all_stats[[#This Row],[REB]]/knicks_players_all_stats[[#This Row],[GP]]</f>
        <v>#DIV/0!</v>
      </c>
      <c r="AI509" s="19" t="e">
        <f>knicks_players_all_stats[[#This Row],[BLKPG]]+knicks_players_all_stats[[#This Row],[STLPG]]+knicks_players_all_stats[[#This Row],[REBPG]]</f>
        <v>#DIV/0!</v>
      </c>
    </row>
    <row r="510" spans="1:41" s="14" customFormat="1" x14ac:dyDescent="0.3">
      <c r="A510" s="13"/>
      <c r="B510" s="13"/>
      <c r="C510" s="13"/>
      <c r="D510" s="13"/>
      <c r="E510" s="14">
        <v>230</v>
      </c>
      <c r="L510" s="15"/>
      <c r="O510" s="15"/>
      <c r="R510" s="16"/>
      <c r="X510" s="14">
        <v>6140</v>
      </c>
      <c r="Y510" s="24" t="e">
        <f>knicks_players_all_stats[[#This Row],[REB]]/knicks_players_all_stats[[#This Row],[GP]]</f>
        <v>#DIV/0!</v>
      </c>
      <c r="AI510" s="19" t="e">
        <f>knicks_players_all_stats[[#This Row],[BLKPG]]+knicks_players_all_stats[[#This Row],[STLPG]]+knicks_players_all_stats[[#This Row],[REBPG]]</f>
        <v>#DIV/0!</v>
      </c>
    </row>
    <row r="511" spans="1:41" s="17" customFormat="1" x14ac:dyDescent="0.3">
      <c r="A511" s="13"/>
      <c r="B511" s="13"/>
      <c r="C511" s="13"/>
      <c r="D511" s="13"/>
      <c r="E511" s="14">
        <v>240</v>
      </c>
      <c r="F511" s="14"/>
      <c r="G511" s="14"/>
      <c r="H511" s="14"/>
      <c r="I511" s="14"/>
      <c r="J511" s="14"/>
      <c r="K511" s="14"/>
      <c r="L511" s="15"/>
      <c r="M511" s="14"/>
      <c r="N511" s="14"/>
      <c r="O511" s="15"/>
      <c r="P511" s="14"/>
      <c r="Q511" s="14"/>
      <c r="R511" s="16"/>
      <c r="S511" s="14"/>
      <c r="T511" s="14"/>
      <c r="U511" s="14"/>
      <c r="V511" s="14"/>
      <c r="W511" s="14"/>
      <c r="X511" s="14">
        <v>7850</v>
      </c>
      <c r="Y511" s="24" t="e">
        <f>knicks_players_all_stats[[#This Row],[REB]]/knicks_players_all_stats[[#This Row],[GP]]</f>
        <v>#DIV/0!</v>
      </c>
      <c r="Z511" s="14"/>
      <c r="AA511" s="14"/>
      <c r="AB511" s="14"/>
      <c r="AC511" s="14"/>
      <c r="AD511" s="14"/>
      <c r="AE511" s="14"/>
      <c r="AF511" s="14"/>
      <c r="AG511" s="14"/>
      <c r="AH511" s="14"/>
      <c r="AI511" s="19" t="e">
        <f>knicks_players_all_stats[[#This Row],[BLKPG]]+knicks_players_all_stats[[#This Row],[STLPG]]+knicks_players_all_stats[[#This Row],[REBPG]]</f>
        <v>#DIV/0!</v>
      </c>
      <c r="AJ511" s="14"/>
      <c r="AK511" s="14"/>
      <c r="AL511" s="14"/>
      <c r="AM511" s="14"/>
      <c r="AN511" s="14"/>
      <c r="AO511" s="14"/>
    </row>
    <row r="512" spans="1:41" s="17" customFormat="1" x14ac:dyDescent="0.3">
      <c r="A512" s="13"/>
      <c r="B512" s="13"/>
      <c r="C512" s="13"/>
      <c r="D512" s="13"/>
      <c r="E512" s="14">
        <v>250</v>
      </c>
      <c r="F512" s="14"/>
      <c r="G512" s="14"/>
      <c r="H512" s="14"/>
      <c r="I512" s="14"/>
      <c r="J512" s="14"/>
      <c r="K512" s="14"/>
      <c r="L512" s="15"/>
      <c r="M512" s="14"/>
      <c r="N512" s="14"/>
      <c r="O512" s="15"/>
      <c r="P512" s="14"/>
      <c r="Q512" s="14"/>
      <c r="R512" s="16"/>
      <c r="S512" s="14"/>
      <c r="T512" s="14"/>
      <c r="U512" s="14"/>
      <c r="V512" s="14"/>
      <c r="W512" s="14"/>
      <c r="X512" s="14">
        <v>6580</v>
      </c>
      <c r="Y512" s="24" t="e">
        <f>knicks_players_all_stats[[#This Row],[REB]]/knicks_players_all_stats[[#This Row],[GP]]</f>
        <v>#DIV/0!</v>
      </c>
      <c r="Z512" s="14"/>
      <c r="AA512" s="14"/>
      <c r="AB512" s="14"/>
      <c r="AC512" s="14"/>
      <c r="AD512" s="14"/>
      <c r="AE512" s="14"/>
      <c r="AF512" s="14"/>
      <c r="AG512" s="14"/>
      <c r="AH512" s="14"/>
      <c r="AI512" s="19" t="e">
        <f>knicks_players_all_stats[[#This Row],[BLKPG]]+knicks_players_all_stats[[#This Row],[STLPG]]+knicks_players_all_stats[[#This Row],[REBPG]]</f>
        <v>#DIV/0!</v>
      </c>
      <c r="AJ512" s="14"/>
      <c r="AK512" s="14"/>
      <c r="AL512" s="14"/>
      <c r="AM512" s="14"/>
      <c r="AN512" s="14"/>
      <c r="AO512" s="14"/>
    </row>
    <row r="513" spans="1:41" s="17" customFormat="1" x14ac:dyDescent="0.3">
      <c r="A513" s="13"/>
      <c r="B513" s="13"/>
      <c r="C513" s="13"/>
      <c r="D513" s="13"/>
      <c r="E513" s="14">
        <v>260</v>
      </c>
      <c r="F513" s="14"/>
      <c r="G513" s="14"/>
      <c r="H513" s="14"/>
      <c r="I513" s="14"/>
      <c r="J513" s="14"/>
      <c r="K513" s="14"/>
      <c r="L513" s="15"/>
      <c r="M513" s="14"/>
      <c r="N513" s="14"/>
      <c r="O513" s="15"/>
      <c r="P513" s="14"/>
      <c r="Q513" s="14"/>
      <c r="R513" s="16"/>
      <c r="S513" s="14"/>
      <c r="T513" s="14"/>
      <c r="U513" s="14"/>
      <c r="V513" s="14"/>
      <c r="W513" s="14"/>
      <c r="X513" s="14">
        <v>8760</v>
      </c>
      <c r="Y513" s="24" t="e">
        <f>knicks_players_all_stats[[#This Row],[REB]]/knicks_players_all_stats[[#This Row],[GP]]</f>
        <v>#DIV/0!</v>
      </c>
      <c r="Z513" s="14"/>
      <c r="AA513" s="14"/>
      <c r="AB513" s="14"/>
      <c r="AC513" s="14"/>
      <c r="AD513" s="14"/>
      <c r="AE513" s="14"/>
      <c r="AF513" s="14"/>
      <c r="AG513" s="14"/>
      <c r="AH513" s="14"/>
      <c r="AI513" s="19" t="e">
        <f>knicks_players_all_stats[[#This Row],[BLKPG]]+knicks_players_all_stats[[#This Row],[STLPG]]+knicks_players_all_stats[[#This Row],[REBPG]]</f>
        <v>#DIV/0!</v>
      </c>
      <c r="AJ513" s="14"/>
      <c r="AK513" s="14"/>
      <c r="AL513" s="14"/>
      <c r="AM513" s="14"/>
      <c r="AN513" s="14"/>
      <c r="AO513" s="14"/>
    </row>
    <row r="514" spans="1:41" s="17" customFormat="1" x14ac:dyDescent="0.3">
      <c r="A514" s="13"/>
      <c r="B514" s="13"/>
      <c r="C514" s="13"/>
      <c r="D514" s="13"/>
      <c r="E514" s="14">
        <v>270</v>
      </c>
      <c r="F514" s="14"/>
      <c r="G514" s="14"/>
      <c r="H514" s="14"/>
      <c r="I514" s="14"/>
      <c r="J514" s="14"/>
      <c r="K514" s="14"/>
      <c r="L514" s="15"/>
      <c r="M514" s="14"/>
      <c r="N514" s="14"/>
      <c r="O514" s="15"/>
      <c r="P514" s="14"/>
      <c r="Q514" s="14"/>
      <c r="R514" s="16"/>
      <c r="S514" s="14"/>
      <c r="T514" s="14"/>
      <c r="U514" s="14"/>
      <c r="V514" s="14"/>
      <c r="W514" s="14"/>
      <c r="X514" s="14">
        <v>2930</v>
      </c>
      <c r="Y514" s="24" t="e">
        <f>knicks_players_all_stats[[#This Row],[REB]]/knicks_players_all_stats[[#This Row],[GP]]</f>
        <v>#DIV/0!</v>
      </c>
      <c r="Z514" s="14"/>
      <c r="AA514" s="14"/>
      <c r="AB514" s="14"/>
      <c r="AC514" s="14"/>
      <c r="AD514" s="14"/>
      <c r="AE514" s="14"/>
      <c r="AF514" s="14"/>
      <c r="AG514" s="14"/>
      <c r="AH514" s="14"/>
      <c r="AI514" s="19" t="e">
        <f>knicks_players_all_stats[[#This Row],[BLKPG]]+knicks_players_all_stats[[#This Row],[STLPG]]+knicks_players_all_stats[[#This Row],[REBPG]]</f>
        <v>#DIV/0!</v>
      </c>
      <c r="AJ514" s="14"/>
      <c r="AK514" s="14"/>
      <c r="AL514" s="14"/>
      <c r="AM514" s="14"/>
      <c r="AN514" s="14"/>
      <c r="AO514" s="14"/>
    </row>
    <row r="515" spans="1:41" s="17" customFormat="1" x14ac:dyDescent="0.3">
      <c r="A515" s="13"/>
      <c r="B515" s="13"/>
      <c r="C515" s="13"/>
      <c r="D515" s="13"/>
      <c r="E515" s="14">
        <v>300</v>
      </c>
      <c r="F515" s="14"/>
      <c r="G515" s="14"/>
      <c r="H515" s="14"/>
      <c r="I515" s="14"/>
      <c r="J515" s="14"/>
      <c r="K515" s="14"/>
      <c r="L515" s="15"/>
      <c r="M515" s="14"/>
      <c r="N515" s="14"/>
      <c r="O515" s="15"/>
      <c r="P515" s="14"/>
      <c r="Q515" s="14"/>
      <c r="R515" s="16"/>
      <c r="S515" s="14"/>
      <c r="T515" s="14"/>
      <c r="U515" s="14"/>
      <c r="V515" s="14">
        <v>150</v>
      </c>
      <c r="W515" s="14">
        <v>360</v>
      </c>
      <c r="X515" s="14">
        <v>510</v>
      </c>
      <c r="Y515" s="24" t="e">
        <f>knicks_players_all_stats[[#This Row],[REB]]/knicks_players_all_stats[[#This Row],[GP]]</f>
        <v>#DIV/0!</v>
      </c>
      <c r="Z515" s="14"/>
      <c r="AA515" s="14"/>
      <c r="AB515" s="14"/>
      <c r="AC515" s="14">
        <v>120</v>
      </c>
      <c r="AD515" s="14"/>
      <c r="AE515" s="14">
        <v>0</v>
      </c>
      <c r="AF515" s="14"/>
      <c r="AG515" s="14"/>
      <c r="AH515" s="14"/>
      <c r="AI515" s="19" t="e">
        <f>knicks_players_all_stats[[#This Row],[BLKPG]]+knicks_players_all_stats[[#This Row],[STLPG]]+knicks_players_all_stats[[#This Row],[REBPG]]</f>
        <v>#DIV/0!</v>
      </c>
      <c r="AJ515" s="14"/>
      <c r="AK515" s="14"/>
      <c r="AL515" s="14"/>
      <c r="AM515" s="14"/>
      <c r="AN515" s="14"/>
      <c r="AO515" s="14"/>
    </row>
    <row r="516" spans="1:41" s="14" customFormat="1" x14ac:dyDescent="0.3">
      <c r="A516" s="13"/>
      <c r="B516" s="13"/>
      <c r="C516" s="13"/>
      <c r="D516" s="13"/>
      <c r="E516" s="14">
        <v>310</v>
      </c>
      <c r="L516" s="15"/>
      <c r="O516" s="15"/>
      <c r="R516" s="16"/>
      <c r="V516" s="14">
        <v>480</v>
      </c>
      <c r="W516" s="14">
        <v>400</v>
      </c>
      <c r="X516" s="14">
        <v>880</v>
      </c>
      <c r="Y516" s="24" t="e">
        <f>knicks_players_all_stats[[#This Row],[REB]]/knicks_players_all_stats[[#This Row],[GP]]</f>
        <v>#DIV/0!</v>
      </c>
      <c r="AC516" s="14">
        <v>240</v>
      </c>
      <c r="AE516" s="14">
        <v>30</v>
      </c>
      <c r="AI516" s="19" t="e">
        <f>knicks_players_all_stats[[#This Row],[BLKPG]]+knicks_players_all_stats[[#This Row],[STLPG]]+knicks_players_all_stats[[#This Row],[REBPG]]</f>
        <v>#DIV/0!</v>
      </c>
    </row>
    <row r="517" spans="1:41" s="14" customFormat="1" x14ac:dyDescent="0.3">
      <c r="A517" s="13"/>
      <c r="B517" s="13"/>
      <c r="C517" s="13"/>
      <c r="D517" s="13"/>
      <c r="E517" s="14">
        <v>250</v>
      </c>
      <c r="L517" s="15"/>
      <c r="O517" s="15"/>
      <c r="R517" s="16"/>
      <c r="V517" s="14">
        <v>850</v>
      </c>
      <c r="W517" s="14">
        <v>2320</v>
      </c>
      <c r="X517" s="14">
        <v>3170</v>
      </c>
      <c r="Y517" s="24" t="e">
        <f>knicks_players_all_stats[[#This Row],[REB]]/knicks_players_all_stats[[#This Row],[GP]]</f>
        <v>#DIV/0!</v>
      </c>
      <c r="AC517" s="14">
        <v>100</v>
      </c>
      <c r="AE517" s="14">
        <v>40</v>
      </c>
      <c r="AI517" s="19" t="e">
        <f>knicks_players_all_stats[[#This Row],[BLKPG]]+knicks_players_all_stats[[#This Row],[STLPG]]+knicks_players_all_stats[[#This Row],[REBPG]]</f>
        <v>#DIV/0!</v>
      </c>
    </row>
    <row r="518" spans="1:41" s="17" customFormat="1" x14ac:dyDescent="0.3">
      <c r="A518" s="13"/>
      <c r="B518" s="13"/>
      <c r="C518" s="13"/>
      <c r="D518" s="13"/>
      <c r="E518" s="14">
        <v>270</v>
      </c>
      <c r="F518" s="14"/>
      <c r="G518" s="14"/>
      <c r="H518" s="14"/>
      <c r="I518" s="14"/>
      <c r="J518" s="14"/>
      <c r="K518" s="14"/>
      <c r="L518" s="15"/>
      <c r="M518" s="14"/>
      <c r="N518" s="14"/>
      <c r="O518" s="15"/>
      <c r="P518" s="14"/>
      <c r="Q518" s="14"/>
      <c r="R518" s="16"/>
      <c r="S518" s="14"/>
      <c r="T518" s="14"/>
      <c r="U518" s="14"/>
      <c r="V518" s="14">
        <v>0</v>
      </c>
      <c r="W518" s="14">
        <v>10</v>
      </c>
      <c r="X518" s="14">
        <v>10</v>
      </c>
      <c r="Y518" s="24" t="e">
        <f>knicks_players_all_stats[[#This Row],[REB]]/knicks_players_all_stats[[#This Row],[GP]]</f>
        <v>#DIV/0!</v>
      </c>
      <c r="Z518" s="14"/>
      <c r="AA518" s="14"/>
      <c r="AB518" s="14"/>
      <c r="AC518" s="14">
        <v>0</v>
      </c>
      <c r="AD518" s="14"/>
      <c r="AE518" s="14">
        <v>0</v>
      </c>
      <c r="AF518" s="14"/>
      <c r="AG518" s="14"/>
      <c r="AH518" s="14">
        <v>0</v>
      </c>
      <c r="AI518" s="19" t="e">
        <f>knicks_players_all_stats[[#This Row],[BLKPG]]+knicks_players_all_stats[[#This Row],[STLPG]]+knicks_players_all_stats[[#This Row],[REBPG]]</f>
        <v>#DIV/0!</v>
      </c>
      <c r="AJ518" s="14"/>
      <c r="AK518" s="14"/>
      <c r="AL518" s="14"/>
      <c r="AM518" s="14"/>
      <c r="AN518" s="14"/>
      <c r="AO518" s="14"/>
    </row>
    <row r="519" spans="1:41" s="17" customFormat="1" x14ac:dyDescent="0.3">
      <c r="A519" s="13"/>
      <c r="B519" s="13"/>
      <c r="C519" s="13"/>
      <c r="D519" s="13"/>
      <c r="E519" s="14">
        <v>230</v>
      </c>
      <c r="F519" s="14"/>
      <c r="G519" s="14"/>
      <c r="H519" s="14"/>
      <c r="I519" s="14"/>
      <c r="J519" s="14"/>
      <c r="K519" s="14"/>
      <c r="L519" s="15"/>
      <c r="M519" s="14"/>
      <c r="N519" s="14"/>
      <c r="O519" s="15"/>
      <c r="P519" s="14"/>
      <c r="Q519" s="14"/>
      <c r="R519" s="16"/>
      <c r="S519" s="14"/>
      <c r="T519" s="14"/>
      <c r="U519" s="14"/>
      <c r="V519" s="14"/>
      <c r="W519" s="14"/>
      <c r="X519" s="14">
        <v>160</v>
      </c>
      <c r="Y519" s="24" t="e">
        <f>knicks_players_all_stats[[#This Row],[REB]]/knicks_players_all_stats[[#This Row],[GP]]</f>
        <v>#DIV/0!</v>
      </c>
      <c r="Z519" s="14"/>
      <c r="AA519" s="14"/>
      <c r="AB519" s="14"/>
      <c r="AC519" s="14"/>
      <c r="AD519" s="14"/>
      <c r="AE519" s="14"/>
      <c r="AF519" s="14"/>
      <c r="AG519" s="14"/>
      <c r="AH519" s="14"/>
      <c r="AI519" s="19" t="e">
        <f>knicks_players_all_stats[[#This Row],[BLKPG]]+knicks_players_all_stats[[#This Row],[STLPG]]+knicks_players_all_stats[[#This Row],[REBPG]]</f>
        <v>#DIV/0!</v>
      </c>
      <c r="AJ519" s="14"/>
      <c r="AK519" s="14"/>
      <c r="AL519" s="14"/>
      <c r="AM519" s="14"/>
      <c r="AN519" s="14"/>
      <c r="AO519" s="14"/>
    </row>
    <row r="520" spans="1:41" s="14" customFormat="1" x14ac:dyDescent="0.3">
      <c r="A520" s="13"/>
      <c r="B520" s="13"/>
      <c r="C520" s="13"/>
      <c r="D520" s="13"/>
      <c r="E520" s="14">
        <v>240</v>
      </c>
      <c r="L520" s="15"/>
      <c r="O520" s="15"/>
      <c r="R520" s="16"/>
      <c r="V520" s="14">
        <v>90</v>
      </c>
      <c r="W520" s="14">
        <v>60</v>
      </c>
      <c r="X520" s="14">
        <v>150</v>
      </c>
      <c r="Y520" s="24" t="e">
        <f>knicks_players_all_stats[[#This Row],[REB]]/knicks_players_all_stats[[#This Row],[GP]]</f>
        <v>#DIV/0!</v>
      </c>
      <c r="AC520" s="14">
        <v>0</v>
      </c>
      <c r="AE520" s="14">
        <v>0</v>
      </c>
      <c r="AI520" s="19" t="e">
        <f>knicks_players_all_stats[[#This Row],[BLKPG]]+knicks_players_all_stats[[#This Row],[STLPG]]+knicks_players_all_stats[[#This Row],[REBPG]]</f>
        <v>#DIV/0!</v>
      </c>
    </row>
    <row r="521" spans="1:41" s="17" customFormat="1" x14ac:dyDescent="0.3">
      <c r="A521" s="13"/>
      <c r="B521" s="13"/>
      <c r="C521" s="13"/>
      <c r="D521" s="13"/>
      <c r="E521" s="14">
        <v>250</v>
      </c>
      <c r="F521" s="14"/>
      <c r="G521" s="14"/>
      <c r="H521" s="14"/>
      <c r="I521" s="14"/>
      <c r="J521" s="14"/>
      <c r="K521" s="14"/>
      <c r="L521" s="15"/>
      <c r="M521" s="14"/>
      <c r="N521" s="14"/>
      <c r="O521" s="15"/>
      <c r="P521" s="14"/>
      <c r="Q521" s="14"/>
      <c r="R521" s="16"/>
      <c r="S521" s="14"/>
      <c r="T521" s="14"/>
      <c r="U521" s="14"/>
      <c r="V521" s="14">
        <v>400</v>
      </c>
      <c r="W521" s="14">
        <v>670</v>
      </c>
      <c r="X521" s="14">
        <v>1070</v>
      </c>
      <c r="Y521" s="24" t="e">
        <f>knicks_players_all_stats[[#This Row],[REB]]/knicks_players_all_stats[[#This Row],[GP]]</f>
        <v>#DIV/0!</v>
      </c>
      <c r="Z521" s="14"/>
      <c r="AA521" s="14"/>
      <c r="AB521" s="14"/>
      <c r="AC521" s="14">
        <v>150</v>
      </c>
      <c r="AD521" s="14"/>
      <c r="AE521" s="14">
        <v>50</v>
      </c>
      <c r="AF521" s="14"/>
      <c r="AG521" s="14"/>
      <c r="AH521" s="14"/>
      <c r="AI521" s="19" t="e">
        <f>knicks_players_all_stats[[#This Row],[BLKPG]]+knicks_players_all_stats[[#This Row],[STLPG]]+knicks_players_all_stats[[#This Row],[REBPG]]</f>
        <v>#DIV/0!</v>
      </c>
      <c r="AJ521" s="14"/>
      <c r="AK521" s="14"/>
      <c r="AL521" s="14"/>
      <c r="AM521" s="14"/>
      <c r="AN521" s="14"/>
      <c r="AO521" s="14"/>
    </row>
    <row r="522" spans="1:41" s="17" customFormat="1" x14ac:dyDescent="0.3">
      <c r="A522" s="13"/>
      <c r="B522" s="13"/>
      <c r="C522" s="13"/>
      <c r="D522" s="13"/>
      <c r="E522" s="14">
        <v>240</v>
      </c>
      <c r="F522" s="14"/>
      <c r="G522" s="14"/>
      <c r="H522" s="14"/>
      <c r="I522" s="14"/>
      <c r="J522" s="14"/>
      <c r="K522" s="14"/>
      <c r="L522" s="15"/>
      <c r="M522" s="14"/>
      <c r="N522" s="14"/>
      <c r="O522" s="15"/>
      <c r="P522" s="14"/>
      <c r="Q522" s="14"/>
      <c r="R522" s="16"/>
      <c r="S522" s="14"/>
      <c r="T522" s="14"/>
      <c r="U522" s="14"/>
      <c r="V522" s="14"/>
      <c r="W522" s="14"/>
      <c r="X522" s="14"/>
      <c r="Y522" s="24" t="e">
        <f>knicks_players_all_stats[[#This Row],[REB]]/knicks_players_all_stats[[#This Row],[GP]]</f>
        <v>#DIV/0!</v>
      </c>
      <c r="Z522" s="14"/>
      <c r="AA522" s="14"/>
      <c r="AB522" s="14"/>
      <c r="AC522" s="14"/>
      <c r="AD522" s="14"/>
      <c r="AE522" s="14"/>
      <c r="AF522" s="14"/>
      <c r="AG522" s="14"/>
      <c r="AH522" s="14"/>
      <c r="AI522" s="19" t="e">
        <f>knicks_players_all_stats[[#This Row],[BLKPG]]+knicks_players_all_stats[[#This Row],[STLPG]]+knicks_players_all_stats[[#This Row],[REBPG]]</f>
        <v>#DIV/0!</v>
      </c>
      <c r="AJ522" s="14"/>
      <c r="AK522" s="14"/>
      <c r="AL522" s="14"/>
      <c r="AM522" s="14"/>
      <c r="AN522" s="14"/>
      <c r="AO522" s="14"/>
    </row>
    <row r="523" spans="1:41" s="14" customFormat="1" x14ac:dyDescent="0.3">
      <c r="A523" s="13"/>
      <c r="B523" s="13"/>
      <c r="C523" s="13"/>
      <c r="D523" s="13"/>
      <c r="E523" s="14">
        <v>250</v>
      </c>
      <c r="L523" s="15"/>
      <c r="O523" s="15"/>
      <c r="R523" s="16"/>
      <c r="X523" s="14">
        <v>3340</v>
      </c>
      <c r="Y523" s="24" t="e">
        <f>knicks_players_all_stats[[#This Row],[REB]]/knicks_players_all_stats[[#This Row],[GP]]</f>
        <v>#DIV/0!</v>
      </c>
      <c r="AI523" s="19" t="e">
        <f>knicks_players_all_stats[[#This Row],[BLKPG]]+knicks_players_all_stats[[#This Row],[STLPG]]+knicks_players_all_stats[[#This Row],[REBPG]]</f>
        <v>#DIV/0!</v>
      </c>
    </row>
    <row r="524" spans="1:41" s="17" customFormat="1" x14ac:dyDescent="0.3">
      <c r="A524" s="13"/>
      <c r="B524" s="13"/>
      <c r="C524" s="13"/>
      <c r="D524" s="13"/>
      <c r="E524" s="14">
        <v>260</v>
      </c>
      <c r="F524" s="14"/>
      <c r="G524" s="14"/>
      <c r="H524" s="14"/>
      <c r="I524" s="14"/>
      <c r="J524" s="14"/>
      <c r="K524" s="14"/>
      <c r="L524" s="15"/>
      <c r="M524" s="14"/>
      <c r="N524" s="14"/>
      <c r="O524" s="15"/>
      <c r="P524" s="14"/>
      <c r="Q524" s="14"/>
      <c r="R524" s="16"/>
      <c r="S524" s="14"/>
      <c r="T524" s="14"/>
      <c r="U524" s="14"/>
      <c r="V524" s="14"/>
      <c r="W524" s="14"/>
      <c r="X524" s="14">
        <v>3320</v>
      </c>
      <c r="Y524" s="24" t="e">
        <f>knicks_players_all_stats[[#This Row],[REB]]/knicks_players_all_stats[[#This Row],[GP]]</f>
        <v>#DIV/0!</v>
      </c>
      <c r="Z524" s="14"/>
      <c r="AA524" s="14"/>
      <c r="AB524" s="14"/>
      <c r="AC524" s="14"/>
      <c r="AD524" s="14"/>
      <c r="AE524" s="14"/>
      <c r="AF524" s="14"/>
      <c r="AG524" s="14"/>
      <c r="AH524" s="14"/>
      <c r="AI524" s="19" t="e">
        <f>knicks_players_all_stats[[#This Row],[BLKPG]]+knicks_players_all_stats[[#This Row],[STLPG]]+knicks_players_all_stats[[#This Row],[REBPG]]</f>
        <v>#DIV/0!</v>
      </c>
      <c r="AJ524" s="14"/>
      <c r="AK524" s="14"/>
      <c r="AL524" s="14"/>
      <c r="AM524" s="14"/>
      <c r="AN524" s="14"/>
      <c r="AO524" s="14"/>
    </row>
    <row r="525" spans="1:41" s="17" customFormat="1" x14ac:dyDescent="0.3">
      <c r="A525" s="13"/>
      <c r="B525" s="13"/>
      <c r="C525" s="13"/>
      <c r="D525" s="13"/>
      <c r="E525" s="14">
        <v>270</v>
      </c>
      <c r="F525" s="14"/>
      <c r="G525" s="14"/>
      <c r="H525" s="14"/>
      <c r="I525" s="14"/>
      <c r="J525" s="14"/>
      <c r="K525" s="14"/>
      <c r="L525" s="15"/>
      <c r="M525" s="14"/>
      <c r="N525" s="14"/>
      <c r="O525" s="15"/>
      <c r="P525" s="14"/>
      <c r="Q525" s="14"/>
      <c r="R525" s="16"/>
      <c r="S525" s="14"/>
      <c r="T525" s="14"/>
      <c r="U525" s="14"/>
      <c r="V525" s="14"/>
      <c r="W525" s="14"/>
      <c r="X525" s="14">
        <v>2800</v>
      </c>
      <c r="Y525" s="24" t="e">
        <f>knicks_players_all_stats[[#This Row],[REB]]/knicks_players_all_stats[[#This Row],[GP]]</f>
        <v>#DIV/0!</v>
      </c>
      <c r="Z525" s="14"/>
      <c r="AA525" s="14"/>
      <c r="AB525" s="14"/>
      <c r="AC525" s="14"/>
      <c r="AD525" s="14"/>
      <c r="AE525" s="14"/>
      <c r="AF525" s="14"/>
      <c r="AG525" s="14"/>
      <c r="AH525" s="14"/>
      <c r="AI525" s="19" t="e">
        <f>knicks_players_all_stats[[#This Row],[BLKPG]]+knicks_players_all_stats[[#This Row],[STLPG]]+knicks_players_all_stats[[#This Row],[REBPG]]</f>
        <v>#DIV/0!</v>
      </c>
      <c r="AJ525" s="14"/>
      <c r="AK525" s="14"/>
      <c r="AL525" s="14"/>
      <c r="AM525" s="14"/>
      <c r="AN525" s="14"/>
      <c r="AO525" s="14"/>
    </row>
    <row r="526" spans="1:41" s="17" customFormat="1" x14ac:dyDescent="0.3">
      <c r="A526" s="13"/>
      <c r="B526" s="13"/>
      <c r="C526" s="13"/>
      <c r="D526" s="13"/>
      <c r="E526" s="14">
        <v>280</v>
      </c>
      <c r="F526" s="14"/>
      <c r="G526" s="14"/>
      <c r="H526" s="14"/>
      <c r="I526" s="14"/>
      <c r="J526" s="14"/>
      <c r="K526" s="14"/>
      <c r="L526" s="15"/>
      <c r="M526" s="14"/>
      <c r="N526" s="14"/>
      <c r="O526" s="15"/>
      <c r="P526" s="14"/>
      <c r="Q526" s="14"/>
      <c r="R526" s="16"/>
      <c r="S526" s="14"/>
      <c r="T526" s="14"/>
      <c r="U526" s="14"/>
      <c r="V526" s="14"/>
      <c r="W526" s="14"/>
      <c r="X526" s="14">
        <v>3100</v>
      </c>
      <c r="Y526" s="24" t="e">
        <f>knicks_players_all_stats[[#This Row],[REB]]/knicks_players_all_stats[[#This Row],[GP]]</f>
        <v>#DIV/0!</v>
      </c>
      <c r="Z526" s="14"/>
      <c r="AA526" s="14"/>
      <c r="AB526" s="14"/>
      <c r="AC526" s="14"/>
      <c r="AD526" s="14"/>
      <c r="AE526" s="14"/>
      <c r="AF526" s="14"/>
      <c r="AG526" s="14"/>
      <c r="AH526" s="14"/>
      <c r="AI526" s="19" t="e">
        <f>knicks_players_all_stats[[#This Row],[BLKPG]]+knicks_players_all_stats[[#This Row],[STLPG]]+knicks_players_all_stats[[#This Row],[REBPG]]</f>
        <v>#DIV/0!</v>
      </c>
      <c r="AJ526" s="14"/>
      <c r="AK526" s="14"/>
      <c r="AL526" s="14"/>
      <c r="AM526" s="14"/>
      <c r="AN526" s="14"/>
      <c r="AO526" s="14"/>
    </row>
    <row r="527" spans="1:41" s="17" customFormat="1" x14ac:dyDescent="0.3">
      <c r="A527" s="13"/>
      <c r="B527" s="13"/>
      <c r="C527" s="13"/>
      <c r="D527" s="13"/>
      <c r="E527" s="14">
        <v>290</v>
      </c>
      <c r="F527" s="14"/>
      <c r="G527" s="14"/>
      <c r="H527" s="14"/>
      <c r="I527" s="14"/>
      <c r="J527" s="14"/>
      <c r="K527" s="14"/>
      <c r="L527" s="15"/>
      <c r="M527" s="14"/>
      <c r="N527" s="14"/>
      <c r="O527" s="15"/>
      <c r="P527" s="14"/>
      <c r="Q527" s="14"/>
      <c r="R527" s="16"/>
      <c r="S527" s="14"/>
      <c r="T527" s="14"/>
      <c r="U527" s="14"/>
      <c r="V527" s="14"/>
      <c r="W527" s="14"/>
      <c r="X527" s="14">
        <v>3220</v>
      </c>
      <c r="Y527" s="24" t="e">
        <f>knicks_players_all_stats[[#This Row],[REB]]/knicks_players_all_stats[[#This Row],[GP]]</f>
        <v>#DIV/0!</v>
      </c>
      <c r="Z527" s="14"/>
      <c r="AA527" s="14"/>
      <c r="AB527" s="14"/>
      <c r="AC527" s="14"/>
      <c r="AD527" s="14"/>
      <c r="AE527" s="14"/>
      <c r="AF527" s="14"/>
      <c r="AG527" s="14"/>
      <c r="AH527" s="14"/>
      <c r="AI527" s="19" t="e">
        <f>knicks_players_all_stats[[#This Row],[BLKPG]]+knicks_players_all_stats[[#This Row],[STLPG]]+knicks_players_all_stats[[#This Row],[REBPG]]</f>
        <v>#DIV/0!</v>
      </c>
      <c r="AJ527" s="14"/>
      <c r="AK527" s="14"/>
      <c r="AL527" s="14"/>
      <c r="AM527" s="14"/>
      <c r="AN527" s="14"/>
      <c r="AO527" s="14"/>
    </row>
    <row r="528" spans="1:41" s="17" customFormat="1" x14ac:dyDescent="0.3">
      <c r="A528" s="13"/>
      <c r="B528" s="13"/>
      <c r="C528" s="13"/>
      <c r="D528" s="13"/>
      <c r="E528" s="14">
        <v>300</v>
      </c>
      <c r="F528" s="14"/>
      <c r="G528" s="14"/>
      <c r="H528" s="14"/>
      <c r="I528" s="14"/>
      <c r="J528" s="14"/>
      <c r="K528" s="14"/>
      <c r="L528" s="15"/>
      <c r="M528" s="14"/>
      <c r="N528" s="14"/>
      <c r="O528" s="15"/>
      <c r="P528" s="14"/>
      <c r="Q528" s="14"/>
      <c r="R528" s="16"/>
      <c r="S528" s="14"/>
      <c r="T528" s="14"/>
      <c r="U528" s="14"/>
      <c r="V528" s="14"/>
      <c r="W528" s="14"/>
      <c r="X528" s="14">
        <v>2200</v>
      </c>
      <c r="Y528" s="24" t="e">
        <f>knicks_players_all_stats[[#This Row],[REB]]/knicks_players_all_stats[[#This Row],[GP]]</f>
        <v>#DIV/0!</v>
      </c>
      <c r="Z528" s="14"/>
      <c r="AA528" s="14"/>
      <c r="AB528" s="14"/>
      <c r="AC528" s="14"/>
      <c r="AD528" s="14"/>
      <c r="AE528" s="14"/>
      <c r="AF528" s="14"/>
      <c r="AG528" s="14"/>
      <c r="AH528" s="14"/>
      <c r="AI528" s="19" t="e">
        <f>knicks_players_all_stats[[#This Row],[BLKPG]]+knicks_players_all_stats[[#This Row],[STLPG]]+knicks_players_all_stats[[#This Row],[REBPG]]</f>
        <v>#DIV/0!</v>
      </c>
      <c r="AJ528" s="14"/>
      <c r="AK528" s="14"/>
      <c r="AL528" s="14"/>
      <c r="AM528" s="14"/>
      <c r="AN528" s="14"/>
      <c r="AO528" s="14"/>
    </row>
    <row r="529" spans="1:41" s="17" customFormat="1" x14ac:dyDescent="0.3">
      <c r="A529" s="13"/>
      <c r="B529" s="13"/>
      <c r="C529" s="13"/>
      <c r="D529" s="13"/>
      <c r="E529" s="14">
        <v>310</v>
      </c>
      <c r="F529" s="14"/>
      <c r="G529" s="14"/>
      <c r="H529" s="14"/>
      <c r="I529" s="14"/>
      <c r="J529" s="14"/>
      <c r="K529" s="14"/>
      <c r="L529" s="15"/>
      <c r="M529" s="14"/>
      <c r="N529" s="14"/>
      <c r="O529" s="15"/>
      <c r="P529" s="14"/>
      <c r="Q529" s="14"/>
      <c r="R529" s="16"/>
      <c r="S529" s="14"/>
      <c r="T529" s="14"/>
      <c r="U529" s="14"/>
      <c r="V529" s="14"/>
      <c r="W529" s="14"/>
      <c r="X529" s="14">
        <v>1460</v>
      </c>
      <c r="Y529" s="24" t="e">
        <f>knicks_players_all_stats[[#This Row],[REB]]/knicks_players_all_stats[[#This Row],[GP]]</f>
        <v>#DIV/0!</v>
      </c>
      <c r="Z529" s="14"/>
      <c r="AA529" s="14"/>
      <c r="AB529" s="14"/>
      <c r="AC529" s="14"/>
      <c r="AD529" s="14"/>
      <c r="AE529" s="14"/>
      <c r="AF529" s="14"/>
      <c r="AG529" s="14"/>
      <c r="AH529" s="14"/>
      <c r="AI529" s="19" t="e">
        <f>knicks_players_all_stats[[#This Row],[BLKPG]]+knicks_players_all_stats[[#This Row],[STLPG]]+knicks_players_all_stats[[#This Row],[REBPG]]</f>
        <v>#DIV/0!</v>
      </c>
      <c r="AJ529" s="14"/>
      <c r="AK529" s="14"/>
      <c r="AL529" s="14"/>
      <c r="AM529" s="14"/>
      <c r="AN529" s="14"/>
      <c r="AO529" s="14"/>
    </row>
    <row r="530" spans="1:41" s="14" customFormat="1" x14ac:dyDescent="0.3">
      <c r="A530" s="13"/>
      <c r="B530" s="13"/>
      <c r="C530" s="13"/>
      <c r="D530" s="13"/>
      <c r="E530" s="14">
        <v>250</v>
      </c>
      <c r="L530" s="15"/>
      <c r="O530" s="15"/>
      <c r="R530" s="16"/>
      <c r="V530" s="14">
        <v>1080</v>
      </c>
      <c r="W530" s="14">
        <v>2220</v>
      </c>
      <c r="X530" s="14">
        <v>3300</v>
      </c>
      <c r="Y530" s="24" t="e">
        <f>knicks_players_all_stats[[#This Row],[REB]]/knicks_players_all_stats[[#This Row],[GP]]</f>
        <v>#DIV/0!</v>
      </c>
      <c r="AC530" s="14">
        <v>380</v>
      </c>
      <c r="AE530" s="14">
        <v>400</v>
      </c>
      <c r="AH530" s="14">
        <v>1410</v>
      </c>
      <c r="AI530" s="19" t="e">
        <f>knicks_players_all_stats[[#This Row],[BLKPG]]+knicks_players_all_stats[[#This Row],[STLPG]]+knicks_players_all_stats[[#This Row],[REBPG]]</f>
        <v>#DIV/0!</v>
      </c>
    </row>
    <row r="531" spans="1:41" s="14" customFormat="1" x14ac:dyDescent="0.3">
      <c r="A531" s="13"/>
      <c r="B531" s="13"/>
      <c r="C531" s="13"/>
      <c r="D531" s="13"/>
      <c r="E531" s="14">
        <v>260</v>
      </c>
      <c r="L531" s="15"/>
      <c r="O531" s="15"/>
      <c r="R531" s="16"/>
      <c r="V531" s="14">
        <v>890</v>
      </c>
      <c r="W531" s="14">
        <v>2330</v>
      </c>
      <c r="X531" s="14">
        <v>3220</v>
      </c>
      <c r="Y531" s="24" t="e">
        <f>knicks_players_all_stats[[#This Row],[REB]]/knicks_players_all_stats[[#This Row],[GP]]</f>
        <v>#DIV/0!</v>
      </c>
      <c r="AC531" s="14">
        <v>420</v>
      </c>
      <c r="AE531" s="14">
        <v>240</v>
      </c>
      <c r="AH531" s="14">
        <v>1290</v>
      </c>
      <c r="AI531" s="19" t="e">
        <f>knicks_players_all_stats[[#This Row],[BLKPG]]+knicks_players_all_stats[[#This Row],[STLPG]]+knicks_players_all_stats[[#This Row],[REBPG]]</f>
        <v>#DIV/0!</v>
      </c>
    </row>
    <row r="532" spans="1:41" s="14" customFormat="1" x14ac:dyDescent="0.3">
      <c r="A532" s="13"/>
      <c r="B532" s="13"/>
      <c r="C532" s="13"/>
      <c r="D532" s="13"/>
      <c r="E532" s="14">
        <v>220</v>
      </c>
      <c r="L532" s="15"/>
      <c r="O532" s="15"/>
      <c r="R532" s="16"/>
      <c r="V532" s="14">
        <v>0</v>
      </c>
      <c r="W532" s="14">
        <v>20</v>
      </c>
      <c r="X532" s="14">
        <v>20</v>
      </c>
      <c r="Y532" s="24" t="e">
        <f>knicks_players_all_stats[[#This Row],[REB]]/knicks_players_all_stats[[#This Row],[GP]]</f>
        <v>#DIV/0!</v>
      </c>
      <c r="AC532" s="14">
        <v>0</v>
      </c>
      <c r="AE532" s="14">
        <v>0</v>
      </c>
      <c r="AI532" s="19" t="e">
        <f>knicks_players_all_stats[[#This Row],[BLKPG]]+knicks_players_all_stats[[#This Row],[STLPG]]+knicks_players_all_stats[[#This Row],[REBPG]]</f>
        <v>#DIV/0!</v>
      </c>
    </row>
    <row r="533" spans="1:41" s="14" customFormat="1" x14ac:dyDescent="0.3">
      <c r="A533" s="13"/>
      <c r="B533" s="13"/>
      <c r="C533" s="13"/>
      <c r="D533" s="13"/>
      <c r="E533" s="14">
        <v>260</v>
      </c>
      <c r="L533" s="15"/>
      <c r="O533" s="15"/>
      <c r="R533" s="16"/>
      <c r="X533" s="14">
        <v>1830</v>
      </c>
      <c r="Y533" s="24" t="e">
        <f>knicks_players_all_stats[[#This Row],[REB]]/knicks_players_all_stats[[#This Row],[GP]]</f>
        <v>#DIV/0!</v>
      </c>
      <c r="AI533" s="19" t="e">
        <f>knicks_players_all_stats[[#This Row],[BLKPG]]+knicks_players_all_stats[[#This Row],[STLPG]]+knicks_players_all_stats[[#This Row],[REBPG]]</f>
        <v>#DIV/0!</v>
      </c>
    </row>
    <row r="534" spans="1:41" s="14" customFormat="1" x14ac:dyDescent="0.3">
      <c r="A534" s="13"/>
      <c r="B534" s="13"/>
      <c r="C534" s="13"/>
      <c r="D534" s="13"/>
      <c r="E534" s="14">
        <v>270</v>
      </c>
      <c r="L534" s="15"/>
      <c r="O534" s="15"/>
      <c r="R534" s="16"/>
      <c r="X534" s="14">
        <v>3070</v>
      </c>
      <c r="Y534" s="24" t="e">
        <f>knicks_players_all_stats[[#This Row],[REB]]/knicks_players_all_stats[[#This Row],[GP]]</f>
        <v>#DIV/0!</v>
      </c>
      <c r="AI534" s="19" t="e">
        <f>knicks_players_all_stats[[#This Row],[BLKPG]]+knicks_players_all_stats[[#This Row],[STLPG]]+knicks_players_all_stats[[#This Row],[REBPG]]</f>
        <v>#DIV/0!</v>
      </c>
    </row>
    <row r="535" spans="1:41" s="14" customFormat="1" x14ac:dyDescent="0.3">
      <c r="A535" s="13"/>
      <c r="B535" s="13"/>
      <c r="C535" s="13"/>
      <c r="D535" s="13"/>
      <c r="E535" s="14">
        <v>280</v>
      </c>
      <c r="L535" s="15"/>
      <c r="O535" s="15"/>
      <c r="R535" s="16"/>
      <c r="X535" s="14">
        <v>2200</v>
      </c>
      <c r="Y535" s="24" t="e">
        <f>knicks_players_all_stats[[#This Row],[REB]]/knicks_players_all_stats[[#This Row],[GP]]</f>
        <v>#DIV/0!</v>
      </c>
      <c r="AI535" s="19" t="e">
        <f>knicks_players_all_stats[[#This Row],[BLKPG]]+knicks_players_all_stats[[#This Row],[STLPG]]+knicks_players_all_stats[[#This Row],[REBPG]]</f>
        <v>#DIV/0!</v>
      </c>
    </row>
    <row r="536" spans="1:41" s="14" customFormat="1" x14ac:dyDescent="0.3">
      <c r="A536" s="13"/>
      <c r="B536" s="13"/>
      <c r="C536" s="13"/>
      <c r="D536" s="13"/>
      <c r="E536" s="14">
        <v>290</v>
      </c>
      <c r="L536" s="15"/>
      <c r="O536" s="15"/>
      <c r="R536" s="16"/>
      <c r="X536" s="14">
        <v>800</v>
      </c>
      <c r="Y536" s="24" t="e">
        <f>knicks_players_all_stats[[#This Row],[REB]]/knicks_players_all_stats[[#This Row],[GP]]</f>
        <v>#DIV/0!</v>
      </c>
      <c r="AI536" s="19" t="e">
        <f>knicks_players_all_stats[[#This Row],[BLKPG]]+knicks_players_all_stats[[#This Row],[STLPG]]+knicks_players_all_stats[[#This Row],[REBPG]]</f>
        <v>#DIV/0!</v>
      </c>
    </row>
    <row r="537" spans="1:41" s="17" customFormat="1" x14ac:dyDescent="0.3">
      <c r="A537" s="13"/>
      <c r="B537" s="13"/>
      <c r="C537" s="13"/>
      <c r="D537" s="13"/>
      <c r="E537" s="14">
        <v>230</v>
      </c>
      <c r="F537" s="14"/>
      <c r="G537" s="14"/>
      <c r="H537" s="14"/>
      <c r="I537" s="14"/>
      <c r="J537" s="14"/>
      <c r="K537" s="14"/>
      <c r="L537" s="15"/>
      <c r="M537" s="14"/>
      <c r="N537" s="14"/>
      <c r="O537" s="15"/>
      <c r="P537" s="14"/>
      <c r="Q537" s="14"/>
      <c r="R537" s="16"/>
      <c r="S537" s="14"/>
      <c r="T537" s="14"/>
      <c r="U537" s="14"/>
      <c r="V537" s="14"/>
      <c r="W537" s="14"/>
      <c r="X537" s="14">
        <v>1210</v>
      </c>
      <c r="Y537" s="24" t="e">
        <f>knicks_players_all_stats[[#This Row],[REB]]/knicks_players_all_stats[[#This Row],[GP]]</f>
        <v>#DIV/0!</v>
      </c>
      <c r="Z537" s="14"/>
      <c r="AA537" s="14"/>
      <c r="AB537" s="14"/>
      <c r="AC537" s="14"/>
      <c r="AD537" s="14"/>
      <c r="AE537" s="14"/>
      <c r="AF537" s="14"/>
      <c r="AG537" s="14"/>
      <c r="AH537" s="14"/>
      <c r="AI537" s="19" t="e">
        <f>knicks_players_all_stats[[#This Row],[BLKPG]]+knicks_players_all_stats[[#This Row],[STLPG]]+knicks_players_all_stats[[#This Row],[REBPG]]</f>
        <v>#DIV/0!</v>
      </c>
      <c r="AJ537" s="14"/>
      <c r="AK537" s="14"/>
      <c r="AL537" s="14"/>
      <c r="AM537" s="14"/>
      <c r="AN537" s="14"/>
      <c r="AO537" s="14"/>
    </row>
    <row r="538" spans="1:41" s="17" customFormat="1" x14ac:dyDescent="0.3">
      <c r="A538" s="13"/>
      <c r="B538" s="13"/>
      <c r="C538" s="13"/>
      <c r="D538" s="13"/>
      <c r="E538" s="14">
        <v>240</v>
      </c>
      <c r="F538" s="14"/>
      <c r="G538" s="14"/>
      <c r="H538" s="14"/>
      <c r="I538" s="14"/>
      <c r="J538" s="14"/>
      <c r="K538" s="14"/>
      <c r="L538" s="15"/>
      <c r="M538" s="14"/>
      <c r="N538" s="14"/>
      <c r="O538" s="15"/>
      <c r="P538" s="14"/>
      <c r="Q538" s="14"/>
      <c r="R538" s="16"/>
      <c r="S538" s="14"/>
      <c r="T538" s="14"/>
      <c r="U538" s="14"/>
      <c r="V538" s="14"/>
      <c r="W538" s="14"/>
      <c r="X538" s="14">
        <v>1670</v>
      </c>
      <c r="Y538" s="24" t="e">
        <f>knicks_players_all_stats[[#This Row],[REB]]/knicks_players_all_stats[[#This Row],[GP]]</f>
        <v>#DIV/0!</v>
      </c>
      <c r="Z538" s="14"/>
      <c r="AA538" s="14"/>
      <c r="AB538" s="14"/>
      <c r="AC538" s="14"/>
      <c r="AD538" s="14"/>
      <c r="AE538" s="14"/>
      <c r="AF538" s="14"/>
      <c r="AG538" s="14"/>
      <c r="AH538" s="14"/>
      <c r="AI538" s="19" t="e">
        <f>knicks_players_all_stats[[#This Row],[BLKPG]]+knicks_players_all_stats[[#This Row],[STLPG]]+knicks_players_all_stats[[#This Row],[REBPG]]</f>
        <v>#DIV/0!</v>
      </c>
      <c r="AJ538" s="14"/>
      <c r="AK538" s="14"/>
      <c r="AL538" s="14"/>
      <c r="AM538" s="14"/>
      <c r="AN538" s="14"/>
      <c r="AO538" s="14"/>
    </row>
    <row r="539" spans="1:41" s="17" customFormat="1" x14ac:dyDescent="0.3">
      <c r="A539" s="13"/>
      <c r="B539" s="13"/>
      <c r="C539" s="13"/>
      <c r="D539" s="13"/>
      <c r="E539" s="14">
        <v>250</v>
      </c>
      <c r="F539" s="14"/>
      <c r="G539" s="14"/>
      <c r="H539" s="14"/>
      <c r="I539" s="14"/>
      <c r="J539" s="14"/>
      <c r="K539" s="14"/>
      <c r="L539" s="15"/>
      <c r="M539" s="14"/>
      <c r="N539" s="14"/>
      <c r="O539" s="15"/>
      <c r="P539" s="14"/>
      <c r="Q539" s="14"/>
      <c r="R539" s="16"/>
      <c r="S539" s="14"/>
      <c r="T539" s="14"/>
      <c r="U539" s="14"/>
      <c r="V539" s="14"/>
      <c r="W539" s="14"/>
      <c r="X539" s="14">
        <v>1210</v>
      </c>
      <c r="Y539" s="24" t="e">
        <f>knicks_players_all_stats[[#This Row],[REB]]/knicks_players_all_stats[[#This Row],[GP]]</f>
        <v>#DIV/0!</v>
      </c>
      <c r="Z539" s="14"/>
      <c r="AA539" s="14"/>
      <c r="AB539" s="14"/>
      <c r="AC539" s="14"/>
      <c r="AD539" s="14"/>
      <c r="AE539" s="14"/>
      <c r="AF539" s="14"/>
      <c r="AG539" s="14"/>
      <c r="AH539" s="14"/>
      <c r="AI539" s="19" t="e">
        <f>knicks_players_all_stats[[#This Row],[BLKPG]]+knicks_players_all_stats[[#This Row],[STLPG]]+knicks_players_all_stats[[#This Row],[REBPG]]</f>
        <v>#DIV/0!</v>
      </c>
      <c r="AJ539" s="14"/>
      <c r="AK539" s="14"/>
      <c r="AL539" s="14"/>
      <c r="AM539" s="14"/>
      <c r="AN539" s="14"/>
      <c r="AO539" s="14"/>
    </row>
    <row r="540" spans="1:41" s="14" customFormat="1" x14ac:dyDescent="0.3">
      <c r="A540" s="13"/>
      <c r="B540" s="13"/>
      <c r="C540" s="13"/>
      <c r="D540" s="13"/>
      <c r="E540" s="14">
        <v>290</v>
      </c>
      <c r="L540" s="15"/>
      <c r="O540" s="15"/>
      <c r="R540" s="16"/>
      <c r="X540" s="14">
        <v>3100</v>
      </c>
      <c r="Y540" s="24" t="e">
        <f>knicks_players_all_stats[[#This Row],[REB]]/knicks_players_all_stats[[#This Row],[GP]]</f>
        <v>#DIV/0!</v>
      </c>
      <c r="AI540" s="19" t="e">
        <f>knicks_players_all_stats[[#This Row],[BLKPG]]+knicks_players_all_stats[[#This Row],[STLPG]]+knicks_players_all_stats[[#This Row],[REBPG]]</f>
        <v>#DIV/0!</v>
      </c>
    </row>
    <row r="541" spans="1:41" s="14" customFormat="1" x14ac:dyDescent="0.3">
      <c r="A541" s="13"/>
      <c r="B541" s="13"/>
      <c r="C541" s="13"/>
      <c r="D541" s="13"/>
      <c r="E541" s="14">
        <v>300</v>
      </c>
      <c r="L541" s="15"/>
      <c r="O541" s="15"/>
      <c r="R541" s="16"/>
      <c r="X541" s="14">
        <v>2260</v>
      </c>
      <c r="Y541" s="24" t="e">
        <f>knicks_players_all_stats[[#This Row],[REB]]/knicks_players_all_stats[[#This Row],[GP]]</f>
        <v>#DIV/0!</v>
      </c>
      <c r="AI541" s="19" t="e">
        <f>knicks_players_all_stats[[#This Row],[BLKPG]]+knicks_players_all_stats[[#This Row],[STLPG]]+knicks_players_all_stats[[#This Row],[REBPG]]</f>
        <v>#DIV/0!</v>
      </c>
    </row>
    <row r="542" spans="1:41" s="14" customFormat="1" x14ac:dyDescent="0.3">
      <c r="A542" s="13"/>
      <c r="B542" s="13"/>
      <c r="C542" s="13"/>
      <c r="D542" s="13"/>
      <c r="E542" s="14">
        <v>310</v>
      </c>
      <c r="L542" s="15"/>
      <c r="O542" s="15"/>
      <c r="R542" s="16"/>
      <c r="X542" s="14">
        <v>2380</v>
      </c>
      <c r="Y542" s="24" t="e">
        <f>knicks_players_all_stats[[#This Row],[REB]]/knicks_players_all_stats[[#This Row],[GP]]</f>
        <v>#DIV/0!</v>
      </c>
      <c r="AI542" s="19" t="e">
        <f>knicks_players_all_stats[[#This Row],[BLKPG]]+knicks_players_all_stats[[#This Row],[STLPG]]+knicks_players_all_stats[[#This Row],[REBPG]]</f>
        <v>#DIV/0!</v>
      </c>
    </row>
    <row r="543" spans="1:41" s="14" customFormat="1" x14ac:dyDescent="0.3">
      <c r="A543" s="13"/>
      <c r="B543" s="13"/>
      <c r="C543" s="13"/>
      <c r="D543" s="13"/>
      <c r="E543" s="14">
        <v>320</v>
      </c>
      <c r="L543" s="15"/>
      <c r="O543" s="15"/>
      <c r="R543" s="16"/>
      <c r="X543" s="14">
        <v>2510</v>
      </c>
      <c r="Y543" s="24" t="e">
        <f>knicks_players_all_stats[[#This Row],[REB]]/knicks_players_all_stats[[#This Row],[GP]]</f>
        <v>#DIV/0!</v>
      </c>
      <c r="AI543" s="19" t="e">
        <f>knicks_players_all_stats[[#This Row],[BLKPG]]+knicks_players_all_stats[[#This Row],[STLPG]]+knicks_players_all_stats[[#This Row],[REBPG]]</f>
        <v>#DIV/0!</v>
      </c>
    </row>
    <row r="544" spans="1:41" s="14" customFormat="1" x14ac:dyDescent="0.3">
      <c r="A544" s="13"/>
      <c r="B544" s="13"/>
      <c r="C544" s="13"/>
      <c r="D544" s="13"/>
      <c r="E544" s="14">
        <v>330</v>
      </c>
      <c r="L544" s="15"/>
      <c r="O544" s="15"/>
      <c r="R544" s="16"/>
      <c r="X544" s="14">
        <v>2210</v>
      </c>
      <c r="Y544" s="24" t="e">
        <f>knicks_players_all_stats[[#This Row],[REB]]/knicks_players_all_stats[[#This Row],[GP]]</f>
        <v>#DIV/0!</v>
      </c>
      <c r="AI544" s="19" t="e">
        <f>knicks_players_all_stats[[#This Row],[BLKPG]]+knicks_players_all_stats[[#This Row],[STLPG]]+knicks_players_all_stats[[#This Row],[REBPG]]</f>
        <v>#DIV/0!</v>
      </c>
    </row>
    <row r="545" spans="1:41" s="14" customFormat="1" x14ac:dyDescent="0.3">
      <c r="A545" s="13"/>
      <c r="B545" s="13"/>
      <c r="C545" s="13"/>
      <c r="D545" s="13"/>
      <c r="E545" s="14">
        <v>340</v>
      </c>
      <c r="L545" s="15"/>
      <c r="O545" s="15"/>
      <c r="R545" s="16"/>
      <c r="X545" s="14">
        <v>2380</v>
      </c>
      <c r="Y545" s="24" t="e">
        <f>knicks_players_all_stats[[#This Row],[REB]]/knicks_players_all_stats[[#This Row],[GP]]</f>
        <v>#DIV/0!</v>
      </c>
      <c r="AI545" s="19" t="e">
        <f>knicks_players_all_stats[[#This Row],[BLKPG]]+knicks_players_all_stats[[#This Row],[STLPG]]+knicks_players_all_stats[[#This Row],[REBPG]]</f>
        <v>#DIV/0!</v>
      </c>
    </row>
    <row r="546" spans="1:41" s="14" customFormat="1" x14ac:dyDescent="0.3">
      <c r="A546" s="13"/>
      <c r="B546" s="13"/>
      <c r="C546" s="13"/>
      <c r="D546" s="13"/>
      <c r="E546" s="14">
        <v>350</v>
      </c>
      <c r="L546" s="15"/>
      <c r="O546" s="15"/>
      <c r="R546" s="16"/>
      <c r="X546" s="14">
        <v>1530</v>
      </c>
      <c r="Y546" s="24" t="e">
        <f>knicks_players_all_stats[[#This Row],[REB]]/knicks_players_all_stats[[#This Row],[GP]]</f>
        <v>#DIV/0!</v>
      </c>
      <c r="AI546" s="19" t="e">
        <f>knicks_players_all_stats[[#This Row],[BLKPG]]+knicks_players_all_stats[[#This Row],[STLPG]]+knicks_players_all_stats[[#This Row],[REBPG]]</f>
        <v>#DIV/0!</v>
      </c>
    </row>
    <row r="547" spans="1:41" s="17" customFormat="1" x14ac:dyDescent="0.3">
      <c r="A547" s="13"/>
      <c r="B547" s="13"/>
      <c r="C547" s="13"/>
      <c r="D547" s="13"/>
      <c r="E547" s="14">
        <v>360</v>
      </c>
      <c r="F547" s="14"/>
      <c r="G547" s="14"/>
      <c r="H547" s="14"/>
      <c r="I547" s="14"/>
      <c r="J547" s="14"/>
      <c r="K547" s="14"/>
      <c r="L547" s="15"/>
      <c r="M547" s="14"/>
      <c r="N547" s="14"/>
      <c r="O547" s="15"/>
      <c r="P547" s="14"/>
      <c r="Q547" s="14"/>
      <c r="R547" s="16"/>
      <c r="S547" s="14"/>
      <c r="T547" s="14"/>
      <c r="U547" s="14"/>
      <c r="V547" s="14"/>
      <c r="W547" s="14"/>
      <c r="X547" s="14">
        <v>410</v>
      </c>
      <c r="Y547" s="24" t="e">
        <f>knicks_players_all_stats[[#This Row],[REB]]/knicks_players_all_stats[[#This Row],[GP]]</f>
        <v>#DIV/0!</v>
      </c>
      <c r="Z547" s="14"/>
      <c r="AA547" s="14"/>
      <c r="AB547" s="14"/>
      <c r="AC547" s="14"/>
      <c r="AD547" s="14"/>
      <c r="AE547" s="14"/>
      <c r="AF547" s="14"/>
      <c r="AG547" s="14"/>
      <c r="AH547" s="14"/>
      <c r="AI547" s="19" t="e">
        <f>knicks_players_all_stats[[#This Row],[BLKPG]]+knicks_players_all_stats[[#This Row],[STLPG]]+knicks_players_all_stats[[#This Row],[REBPG]]</f>
        <v>#DIV/0!</v>
      </c>
      <c r="AJ547" s="14"/>
      <c r="AK547" s="14"/>
      <c r="AL547" s="14"/>
      <c r="AM547" s="14"/>
      <c r="AN547" s="14"/>
      <c r="AO547" s="14"/>
    </row>
    <row r="548" spans="1:41" s="17" customFormat="1" x14ac:dyDescent="0.3">
      <c r="A548" s="13"/>
      <c r="B548" s="13"/>
      <c r="C548" s="13"/>
      <c r="D548" s="13"/>
      <c r="E548" s="14">
        <v>370</v>
      </c>
      <c r="F548" s="14"/>
      <c r="G548" s="14"/>
      <c r="H548" s="14"/>
      <c r="I548" s="14"/>
      <c r="J548" s="14"/>
      <c r="K548" s="14"/>
      <c r="L548" s="15"/>
      <c r="M548" s="14"/>
      <c r="N548" s="14"/>
      <c r="O548" s="15"/>
      <c r="P548" s="14"/>
      <c r="Q548" s="14"/>
      <c r="R548" s="16"/>
      <c r="S548" s="14"/>
      <c r="T548" s="14"/>
      <c r="U548" s="14"/>
      <c r="V548" s="14">
        <v>10</v>
      </c>
      <c r="W548" s="14">
        <v>30</v>
      </c>
      <c r="X548" s="14">
        <v>40</v>
      </c>
      <c r="Y548" s="24" t="e">
        <f>knicks_players_all_stats[[#This Row],[REB]]/knicks_players_all_stats[[#This Row],[GP]]</f>
        <v>#DIV/0!</v>
      </c>
      <c r="Z548" s="14"/>
      <c r="AA548" s="14"/>
      <c r="AB548" s="14"/>
      <c r="AC548" s="14">
        <v>10</v>
      </c>
      <c r="AD548" s="14"/>
      <c r="AE548" s="14">
        <v>0</v>
      </c>
      <c r="AF548" s="14"/>
      <c r="AG548" s="14"/>
      <c r="AH548" s="14"/>
      <c r="AI548" s="19" t="e">
        <f>knicks_players_all_stats[[#This Row],[BLKPG]]+knicks_players_all_stats[[#This Row],[STLPG]]+knicks_players_all_stats[[#This Row],[REBPG]]</f>
        <v>#DIV/0!</v>
      </c>
      <c r="AJ548" s="14"/>
      <c r="AK548" s="14"/>
      <c r="AL548" s="14"/>
      <c r="AM548" s="14"/>
      <c r="AN548" s="14"/>
      <c r="AO548" s="14"/>
    </row>
    <row r="549" spans="1:41" s="17" customFormat="1" x14ac:dyDescent="0.3">
      <c r="A549" s="13"/>
      <c r="B549" s="13"/>
      <c r="C549" s="13"/>
      <c r="D549" s="13"/>
      <c r="E549" s="14">
        <v>240</v>
      </c>
      <c r="F549" s="14"/>
      <c r="G549" s="14"/>
      <c r="H549" s="14"/>
      <c r="I549" s="14"/>
      <c r="J549" s="14"/>
      <c r="K549" s="14"/>
      <c r="L549" s="15"/>
      <c r="M549" s="14"/>
      <c r="N549" s="14"/>
      <c r="O549" s="15"/>
      <c r="P549" s="14"/>
      <c r="Q549" s="14"/>
      <c r="R549" s="16"/>
      <c r="S549" s="14"/>
      <c r="T549" s="14"/>
      <c r="U549" s="14"/>
      <c r="V549" s="14"/>
      <c r="W549" s="14"/>
      <c r="X549" s="14">
        <v>4140</v>
      </c>
      <c r="Y549" s="24" t="e">
        <f>knicks_players_all_stats[[#This Row],[REB]]/knicks_players_all_stats[[#This Row],[GP]]</f>
        <v>#DIV/0!</v>
      </c>
      <c r="Z549" s="14"/>
      <c r="AA549" s="14"/>
      <c r="AB549" s="14"/>
      <c r="AC549" s="14"/>
      <c r="AD549" s="14"/>
      <c r="AE549" s="14"/>
      <c r="AF549" s="14"/>
      <c r="AG549" s="14"/>
      <c r="AH549" s="14"/>
      <c r="AI549" s="19" t="e">
        <f>knicks_players_all_stats[[#This Row],[BLKPG]]+knicks_players_all_stats[[#This Row],[STLPG]]+knicks_players_all_stats[[#This Row],[REBPG]]</f>
        <v>#DIV/0!</v>
      </c>
      <c r="AJ549" s="14"/>
      <c r="AK549" s="14"/>
      <c r="AL549" s="14"/>
      <c r="AM549" s="14"/>
      <c r="AN549" s="14"/>
      <c r="AO549" s="14"/>
    </row>
    <row r="550" spans="1:41" s="17" customFormat="1" x14ac:dyDescent="0.3">
      <c r="A550" s="13"/>
      <c r="B550" s="13"/>
      <c r="C550" s="13"/>
      <c r="D550" s="13"/>
      <c r="E550" s="14">
        <v>240</v>
      </c>
      <c r="F550" s="14"/>
      <c r="G550" s="14"/>
      <c r="H550" s="14"/>
      <c r="I550" s="14"/>
      <c r="J550" s="14"/>
      <c r="K550" s="14"/>
      <c r="L550" s="15"/>
      <c r="M550" s="14"/>
      <c r="N550" s="14"/>
      <c r="O550" s="15"/>
      <c r="P550" s="14"/>
      <c r="Q550" s="14"/>
      <c r="R550" s="16"/>
      <c r="S550" s="14"/>
      <c r="T550" s="14"/>
      <c r="U550" s="14"/>
      <c r="V550" s="14">
        <v>310</v>
      </c>
      <c r="W550" s="14">
        <v>520</v>
      </c>
      <c r="X550" s="14">
        <v>830</v>
      </c>
      <c r="Y550" s="24" t="e">
        <f>knicks_players_all_stats[[#This Row],[REB]]/knicks_players_all_stats[[#This Row],[GP]]</f>
        <v>#DIV/0!</v>
      </c>
      <c r="Z550" s="14"/>
      <c r="AA550" s="14"/>
      <c r="AB550" s="14"/>
      <c r="AC550" s="14">
        <v>60</v>
      </c>
      <c r="AD550" s="14"/>
      <c r="AE550" s="14">
        <v>70</v>
      </c>
      <c r="AF550" s="14"/>
      <c r="AG550" s="14"/>
      <c r="AH550" s="14">
        <v>200</v>
      </c>
      <c r="AI550" s="19" t="e">
        <f>knicks_players_all_stats[[#This Row],[BLKPG]]+knicks_players_all_stats[[#This Row],[STLPG]]+knicks_players_all_stats[[#This Row],[REBPG]]</f>
        <v>#DIV/0!</v>
      </c>
      <c r="AJ550" s="14"/>
      <c r="AK550" s="14"/>
      <c r="AL550" s="14"/>
      <c r="AM550" s="14"/>
      <c r="AN550" s="14"/>
      <c r="AO550" s="14"/>
    </row>
    <row r="551" spans="1:41" s="14" customFormat="1" x14ac:dyDescent="0.3">
      <c r="A551" s="13"/>
      <c r="B551" s="13"/>
      <c r="C551" s="13"/>
      <c r="D551" s="13"/>
      <c r="E551" s="14">
        <v>220</v>
      </c>
      <c r="L551" s="15"/>
      <c r="O551" s="15"/>
      <c r="R551" s="16"/>
      <c r="Y551" s="24" t="e">
        <f>knicks_players_all_stats[[#This Row],[REB]]/knicks_players_all_stats[[#This Row],[GP]]</f>
        <v>#DIV/0!</v>
      </c>
      <c r="AI551" s="19" t="e">
        <f>knicks_players_all_stats[[#This Row],[BLKPG]]+knicks_players_all_stats[[#This Row],[STLPG]]+knicks_players_all_stats[[#This Row],[REBPG]]</f>
        <v>#DIV/0!</v>
      </c>
    </row>
    <row r="552" spans="1:41" s="14" customFormat="1" x14ac:dyDescent="0.3">
      <c r="A552" s="18"/>
      <c r="B552" s="18"/>
      <c r="C552" s="18"/>
      <c r="D552" s="18"/>
      <c r="E552" s="14">
        <v>270</v>
      </c>
      <c r="F552" s="17"/>
      <c r="G552" s="17"/>
      <c r="H552" s="17"/>
      <c r="I552" s="19"/>
      <c r="J552" s="17"/>
      <c r="K552" s="17"/>
      <c r="L552" s="20"/>
      <c r="M552" s="17"/>
      <c r="N552" s="17"/>
      <c r="O552" s="20"/>
      <c r="P552" s="17"/>
      <c r="Q552" s="17"/>
      <c r="R552" s="21"/>
      <c r="S552" s="17"/>
      <c r="T552" s="17"/>
      <c r="U552" s="17"/>
      <c r="V552" s="14">
        <v>260</v>
      </c>
      <c r="W552" s="14">
        <v>1350</v>
      </c>
      <c r="X552" s="14">
        <v>1610</v>
      </c>
      <c r="Y552" s="24" t="e">
        <f>knicks_players_all_stats[[#This Row],[REB]]/knicks_players_all_stats[[#This Row],[GP]]</f>
        <v>#DIV/0!</v>
      </c>
      <c r="Z552" s="17"/>
      <c r="AA552" s="17"/>
      <c r="AB552" s="17"/>
      <c r="AC552" s="17">
        <v>420</v>
      </c>
      <c r="AD552" s="17"/>
      <c r="AE552" s="14">
        <v>60</v>
      </c>
      <c r="AF552" s="17"/>
      <c r="AG552" s="17"/>
      <c r="AH552" s="14">
        <v>810</v>
      </c>
      <c r="AI552" s="19" t="e">
        <f>knicks_players_all_stats[[#This Row],[BLKPG]]+knicks_players_all_stats[[#This Row],[STLPG]]+knicks_players_all_stats[[#This Row],[REBPG]]</f>
        <v>#DIV/0!</v>
      </c>
      <c r="AJ552" s="17"/>
      <c r="AK552" s="17"/>
      <c r="AL552" s="17"/>
      <c r="AM552" s="17"/>
      <c r="AN552" s="17"/>
      <c r="AO552" s="17"/>
    </row>
    <row r="553" spans="1:41" s="14" customFormat="1" x14ac:dyDescent="0.3">
      <c r="A553" s="13"/>
      <c r="B553" s="13"/>
      <c r="C553" s="13"/>
      <c r="D553" s="13"/>
      <c r="E553" s="14">
        <v>210</v>
      </c>
      <c r="L553" s="15"/>
      <c r="O553" s="15"/>
      <c r="R553" s="16"/>
      <c r="X553" s="14">
        <v>30</v>
      </c>
      <c r="Y553" s="24" t="e">
        <f>knicks_players_all_stats[[#This Row],[REB]]/knicks_players_all_stats[[#This Row],[GP]]</f>
        <v>#DIV/0!</v>
      </c>
      <c r="AI553" s="19" t="e">
        <f>knicks_players_all_stats[[#This Row],[BLKPG]]+knicks_players_all_stats[[#This Row],[STLPG]]+knicks_players_all_stats[[#This Row],[REBPG]]</f>
        <v>#DIV/0!</v>
      </c>
    </row>
    <row r="554" spans="1:41" s="14" customFormat="1" x14ac:dyDescent="0.3">
      <c r="A554" s="13"/>
      <c r="B554" s="13"/>
      <c r="C554" s="13"/>
      <c r="D554" s="13"/>
      <c r="E554" s="14">
        <v>300</v>
      </c>
      <c r="L554" s="15"/>
      <c r="O554" s="15"/>
      <c r="R554" s="16"/>
      <c r="V554" s="14">
        <v>30</v>
      </c>
      <c r="W554" s="14">
        <v>170</v>
      </c>
      <c r="X554" s="14">
        <v>200</v>
      </c>
      <c r="Y554" s="24" t="e">
        <f>knicks_players_all_stats[[#This Row],[REB]]/knicks_players_all_stats[[#This Row],[GP]]</f>
        <v>#DIV/0!</v>
      </c>
      <c r="AC554" s="14">
        <v>30</v>
      </c>
      <c r="AE554" s="14">
        <v>10</v>
      </c>
      <c r="AH554" s="14">
        <v>50</v>
      </c>
      <c r="AI554" s="19" t="e">
        <f>knicks_players_all_stats[[#This Row],[BLKPG]]+knicks_players_all_stats[[#This Row],[STLPG]]+knicks_players_all_stats[[#This Row],[REBPG]]</f>
        <v>#DIV/0!</v>
      </c>
    </row>
    <row r="555" spans="1:41" s="17" customFormat="1" x14ac:dyDescent="0.3">
      <c r="A555" s="13"/>
      <c r="B555" s="13"/>
      <c r="C555" s="13"/>
      <c r="D555" s="13"/>
      <c r="E555" s="14">
        <v>290</v>
      </c>
      <c r="F555" s="14"/>
      <c r="G555" s="14"/>
      <c r="H555" s="14"/>
      <c r="I555" s="14"/>
      <c r="J555" s="14"/>
      <c r="K555" s="14"/>
      <c r="L555" s="15"/>
      <c r="M555" s="14"/>
      <c r="N555" s="14"/>
      <c r="O555" s="15"/>
      <c r="P555" s="14"/>
      <c r="Q555" s="14"/>
      <c r="R555" s="16"/>
      <c r="S555" s="14"/>
      <c r="T555" s="14"/>
      <c r="U555" s="14"/>
      <c r="V555" s="14">
        <v>1760</v>
      </c>
      <c r="W555" s="14">
        <v>2840</v>
      </c>
      <c r="X555" s="14">
        <v>4600</v>
      </c>
      <c r="Y555" s="24" t="e">
        <f>knicks_players_all_stats[[#This Row],[REB]]/knicks_players_all_stats[[#This Row],[GP]]</f>
        <v>#DIV/0!</v>
      </c>
      <c r="Z555" s="14"/>
      <c r="AA555" s="14"/>
      <c r="AB555" s="14"/>
      <c r="AC555" s="14">
        <v>570</v>
      </c>
      <c r="AD555" s="14"/>
      <c r="AE555" s="14">
        <v>240</v>
      </c>
      <c r="AF555" s="14"/>
      <c r="AG555" s="14"/>
      <c r="AH555" s="14">
        <v>1470</v>
      </c>
      <c r="AI555" s="19" t="e">
        <f>knicks_players_all_stats[[#This Row],[BLKPG]]+knicks_players_all_stats[[#This Row],[STLPG]]+knicks_players_all_stats[[#This Row],[REBPG]]</f>
        <v>#DIV/0!</v>
      </c>
      <c r="AJ555" s="14"/>
      <c r="AK555" s="14"/>
      <c r="AL555" s="14"/>
      <c r="AM555" s="14"/>
      <c r="AN555" s="14"/>
      <c r="AO555" s="14"/>
    </row>
    <row r="556" spans="1:41" s="14" customFormat="1" x14ac:dyDescent="0.3">
      <c r="A556" s="13"/>
      <c r="B556" s="13"/>
      <c r="C556" s="13"/>
      <c r="D556" s="13"/>
      <c r="E556" s="14">
        <v>220</v>
      </c>
      <c r="L556" s="15"/>
      <c r="O556" s="15"/>
      <c r="R556" s="16"/>
      <c r="X556" s="14">
        <v>690</v>
      </c>
      <c r="Y556" s="24" t="e">
        <f>knicks_players_all_stats[[#This Row],[REB]]/knicks_players_all_stats[[#This Row],[GP]]</f>
        <v>#DIV/0!</v>
      </c>
      <c r="AI556" s="19" t="e">
        <f>knicks_players_all_stats[[#This Row],[BLKPG]]+knicks_players_all_stats[[#This Row],[STLPG]]+knicks_players_all_stats[[#This Row],[REBPG]]</f>
        <v>#DIV/0!</v>
      </c>
    </row>
    <row r="557" spans="1:41" s="14" customFormat="1" x14ac:dyDescent="0.3">
      <c r="A557" s="13"/>
      <c r="B557" s="13"/>
      <c r="C557" s="13"/>
      <c r="D557" s="13"/>
      <c r="E557" s="14">
        <v>300</v>
      </c>
      <c r="L557" s="15"/>
      <c r="O557" s="15"/>
      <c r="R557" s="16"/>
      <c r="V557" s="14">
        <v>140</v>
      </c>
      <c r="W557" s="14">
        <v>200</v>
      </c>
      <c r="X557" s="14">
        <v>340</v>
      </c>
      <c r="Y557" s="24" t="e">
        <f>knicks_players_all_stats[[#This Row],[REB]]/knicks_players_all_stats[[#This Row],[GP]]</f>
        <v>#DIV/0!</v>
      </c>
      <c r="AC557" s="14">
        <v>20</v>
      </c>
      <c r="AE557" s="14">
        <v>0</v>
      </c>
      <c r="AH557" s="14">
        <v>80</v>
      </c>
      <c r="AI557" s="19" t="e">
        <f>knicks_players_all_stats[[#This Row],[BLKPG]]+knicks_players_all_stats[[#This Row],[STLPG]]+knicks_players_all_stats[[#This Row],[REBPG]]</f>
        <v>#DIV/0!</v>
      </c>
    </row>
    <row r="558" spans="1:41" s="14" customFormat="1" x14ac:dyDescent="0.3">
      <c r="A558" s="13"/>
      <c r="B558" s="13"/>
      <c r="C558" s="13"/>
      <c r="D558" s="13"/>
      <c r="E558" s="14">
        <v>230</v>
      </c>
      <c r="L558" s="15"/>
      <c r="O558" s="15"/>
      <c r="R558" s="16"/>
      <c r="V558" s="14">
        <v>80</v>
      </c>
      <c r="W558" s="14">
        <v>150</v>
      </c>
      <c r="X558" s="14">
        <v>230</v>
      </c>
      <c r="Y558" s="24" t="e">
        <f>knicks_players_all_stats[[#This Row],[REB]]/knicks_players_all_stats[[#This Row],[GP]]</f>
        <v>#DIV/0!</v>
      </c>
      <c r="AC558" s="14">
        <v>70</v>
      </c>
      <c r="AE558" s="14">
        <v>90</v>
      </c>
      <c r="AH558" s="14">
        <v>170</v>
      </c>
      <c r="AI558" s="19" t="e">
        <f>knicks_players_all_stats[[#This Row],[BLKPG]]+knicks_players_all_stats[[#This Row],[STLPG]]+knicks_players_all_stats[[#This Row],[REBPG]]</f>
        <v>#DIV/0!</v>
      </c>
    </row>
    <row r="559" spans="1:41" s="17" customFormat="1" x14ac:dyDescent="0.3">
      <c r="A559" s="13"/>
      <c r="B559" s="13"/>
      <c r="C559" s="13"/>
      <c r="D559" s="13"/>
      <c r="E559" s="14">
        <v>220</v>
      </c>
      <c r="F559" s="14"/>
      <c r="G559" s="14"/>
      <c r="H559" s="14"/>
      <c r="I559" s="14"/>
      <c r="J559" s="14"/>
      <c r="K559" s="14"/>
      <c r="L559" s="15"/>
      <c r="M559" s="14"/>
      <c r="N559" s="14"/>
      <c r="O559" s="15"/>
      <c r="P559" s="14"/>
      <c r="Q559" s="14"/>
      <c r="R559" s="16"/>
      <c r="S559" s="14"/>
      <c r="T559" s="14"/>
      <c r="U559" s="14"/>
      <c r="V559" s="14"/>
      <c r="W559" s="14"/>
      <c r="X559" s="14">
        <v>450</v>
      </c>
      <c r="Y559" s="24" t="e">
        <f>knicks_players_all_stats[[#This Row],[REB]]/knicks_players_all_stats[[#This Row],[GP]]</f>
        <v>#DIV/0!</v>
      </c>
      <c r="Z559" s="14"/>
      <c r="AA559" s="14"/>
      <c r="AB559" s="14"/>
      <c r="AC559" s="14"/>
      <c r="AD559" s="14"/>
      <c r="AE559" s="14"/>
      <c r="AF559" s="14"/>
      <c r="AG559" s="14"/>
      <c r="AH559" s="14"/>
      <c r="AI559" s="19" t="e">
        <f>knicks_players_all_stats[[#This Row],[BLKPG]]+knicks_players_all_stats[[#This Row],[STLPG]]+knicks_players_all_stats[[#This Row],[REBPG]]</f>
        <v>#DIV/0!</v>
      </c>
      <c r="AJ559" s="14"/>
      <c r="AK559" s="14"/>
      <c r="AL559" s="14"/>
      <c r="AM559" s="14"/>
      <c r="AN559" s="14"/>
      <c r="AO559" s="14"/>
    </row>
    <row r="560" spans="1:41" s="17" customFormat="1" x14ac:dyDescent="0.3">
      <c r="A560" s="13"/>
      <c r="B560" s="13"/>
      <c r="C560" s="13"/>
      <c r="D560" s="13"/>
      <c r="E560" s="14">
        <v>230</v>
      </c>
      <c r="F560" s="14"/>
      <c r="G560" s="14"/>
      <c r="H560" s="14"/>
      <c r="I560" s="14"/>
      <c r="J560" s="14"/>
      <c r="K560" s="14"/>
      <c r="L560" s="15"/>
      <c r="M560" s="14"/>
      <c r="N560" s="14"/>
      <c r="O560" s="15"/>
      <c r="P560" s="14"/>
      <c r="Q560" s="14"/>
      <c r="R560" s="16"/>
      <c r="S560" s="14"/>
      <c r="T560" s="14"/>
      <c r="U560" s="14"/>
      <c r="V560" s="14"/>
      <c r="W560" s="14"/>
      <c r="X560" s="14">
        <v>10</v>
      </c>
      <c r="Y560" s="24" t="e">
        <f>knicks_players_all_stats[[#This Row],[REB]]/knicks_players_all_stats[[#This Row],[GP]]</f>
        <v>#DIV/0!</v>
      </c>
      <c r="Z560" s="14"/>
      <c r="AA560" s="14"/>
      <c r="AB560" s="14"/>
      <c r="AC560" s="14"/>
      <c r="AD560" s="14"/>
      <c r="AE560" s="14"/>
      <c r="AF560" s="14"/>
      <c r="AG560" s="14"/>
      <c r="AH560" s="14"/>
      <c r="AI560" s="19" t="e">
        <f>knicks_players_all_stats[[#This Row],[BLKPG]]+knicks_players_all_stats[[#This Row],[STLPG]]+knicks_players_all_stats[[#This Row],[REBPG]]</f>
        <v>#DIV/0!</v>
      </c>
      <c r="AJ560" s="14"/>
      <c r="AK560" s="14"/>
      <c r="AL560" s="14"/>
      <c r="AM560" s="14"/>
      <c r="AN560" s="14"/>
      <c r="AO560" s="14"/>
    </row>
    <row r="561" spans="1:41" s="17" customFormat="1" x14ac:dyDescent="0.3">
      <c r="A561" s="13"/>
      <c r="B561" s="13"/>
      <c r="C561" s="13"/>
      <c r="D561" s="13"/>
      <c r="E561" s="14">
        <v>240</v>
      </c>
      <c r="F561" s="14"/>
      <c r="G561" s="14"/>
      <c r="H561" s="14"/>
      <c r="I561" s="14"/>
      <c r="J561" s="14"/>
      <c r="K561" s="14"/>
      <c r="L561" s="15"/>
      <c r="M561" s="14"/>
      <c r="N561" s="14"/>
      <c r="O561" s="15"/>
      <c r="P561" s="14"/>
      <c r="Q561" s="14"/>
      <c r="R561" s="16"/>
      <c r="S561" s="14"/>
      <c r="T561" s="14"/>
      <c r="U561" s="14"/>
      <c r="V561" s="14"/>
      <c r="W561" s="14"/>
      <c r="X561" s="14">
        <v>40</v>
      </c>
      <c r="Y561" s="24" t="e">
        <f>knicks_players_all_stats[[#This Row],[REB]]/knicks_players_all_stats[[#This Row],[GP]]</f>
        <v>#DIV/0!</v>
      </c>
      <c r="Z561" s="14"/>
      <c r="AA561" s="14"/>
      <c r="AB561" s="14"/>
      <c r="AC561" s="14"/>
      <c r="AD561" s="14"/>
      <c r="AE561" s="14"/>
      <c r="AF561" s="14"/>
      <c r="AG561" s="14"/>
      <c r="AH561" s="14"/>
      <c r="AI561" s="19" t="e">
        <f>knicks_players_all_stats[[#This Row],[BLKPG]]+knicks_players_all_stats[[#This Row],[STLPG]]+knicks_players_all_stats[[#This Row],[REBPG]]</f>
        <v>#DIV/0!</v>
      </c>
      <c r="AJ561" s="14"/>
      <c r="AK561" s="14"/>
      <c r="AL561" s="14"/>
      <c r="AM561" s="14"/>
      <c r="AN561" s="14"/>
      <c r="AO561" s="14"/>
    </row>
    <row r="562" spans="1:41" s="17" customFormat="1" x14ac:dyDescent="0.3">
      <c r="A562" s="13"/>
      <c r="B562" s="13"/>
      <c r="C562" s="13"/>
      <c r="D562" s="13"/>
      <c r="E562" s="14">
        <v>240</v>
      </c>
      <c r="F562" s="14"/>
      <c r="G562" s="14"/>
      <c r="H562" s="14"/>
      <c r="I562" s="14"/>
      <c r="J562" s="14"/>
      <c r="K562" s="14"/>
      <c r="L562" s="15"/>
      <c r="M562" s="14"/>
      <c r="N562" s="14"/>
      <c r="O562" s="15"/>
      <c r="P562" s="14"/>
      <c r="Q562" s="14"/>
      <c r="R562" s="16"/>
      <c r="S562" s="14"/>
      <c r="T562" s="14"/>
      <c r="U562" s="14"/>
      <c r="V562" s="14">
        <v>90</v>
      </c>
      <c r="W562" s="14">
        <v>190</v>
      </c>
      <c r="X562" s="14">
        <v>280</v>
      </c>
      <c r="Y562" s="24" t="e">
        <f>knicks_players_all_stats[[#This Row],[REB]]/knicks_players_all_stats[[#This Row],[GP]]</f>
        <v>#DIV/0!</v>
      </c>
      <c r="Z562" s="14"/>
      <c r="AA562" s="14"/>
      <c r="AB562" s="14"/>
      <c r="AC562" s="14">
        <v>30</v>
      </c>
      <c r="AD562" s="14"/>
      <c r="AE562" s="14">
        <v>40</v>
      </c>
      <c r="AF562" s="14"/>
      <c r="AG562" s="14"/>
      <c r="AH562" s="14">
        <v>40</v>
      </c>
      <c r="AI562" s="19" t="e">
        <f>knicks_players_all_stats[[#This Row],[BLKPG]]+knicks_players_all_stats[[#This Row],[STLPG]]+knicks_players_all_stats[[#This Row],[REBPG]]</f>
        <v>#DIV/0!</v>
      </c>
      <c r="AJ562" s="14"/>
      <c r="AK562" s="14"/>
      <c r="AL562" s="14"/>
      <c r="AM562" s="14"/>
      <c r="AN562" s="14"/>
      <c r="AO562" s="14"/>
    </row>
    <row r="563" spans="1:41" s="17" customFormat="1" x14ac:dyDescent="0.3">
      <c r="A563" s="13"/>
      <c r="B563" s="13"/>
      <c r="C563" s="13"/>
      <c r="D563" s="13"/>
      <c r="E563" s="14">
        <v>250</v>
      </c>
      <c r="F563" s="14"/>
      <c r="G563" s="14"/>
      <c r="H563" s="14"/>
      <c r="I563" s="14"/>
      <c r="J563" s="14"/>
      <c r="K563" s="14"/>
      <c r="L563" s="15"/>
      <c r="M563" s="14"/>
      <c r="N563" s="14"/>
      <c r="O563" s="15"/>
      <c r="P563" s="14"/>
      <c r="Q563" s="14"/>
      <c r="R563" s="16"/>
      <c r="S563" s="14"/>
      <c r="T563" s="14"/>
      <c r="U563" s="14"/>
      <c r="V563" s="14">
        <v>650</v>
      </c>
      <c r="W563" s="14">
        <v>800</v>
      </c>
      <c r="X563" s="14">
        <v>1450</v>
      </c>
      <c r="Y563" s="24" t="e">
        <f>knicks_players_all_stats[[#This Row],[REB]]/knicks_players_all_stats[[#This Row],[GP]]</f>
        <v>#DIV/0!</v>
      </c>
      <c r="Z563" s="14"/>
      <c r="AA563" s="14"/>
      <c r="AB563" s="14"/>
      <c r="AC563" s="14">
        <v>220</v>
      </c>
      <c r="AD563" s="14"/>
      <c r="AE563" s="14">
        <v>130</v>
      </c>
      <c r="AF563" s="14"/>
      <c r="AG563" s="14"/>
      <c r="AH563" s="14">
        <v>520</v>
      </c>
      <c r="AI563" s="19" t="e">
        <f>knicks_players_all_stats[[#This Row],[BLKPG]]+knicks_players_all_stats[[#This Row],[STLPG]]+knicks_players_all_stats[[#This Row],[REBPG]]</f>
        <v>#DIV/0!</v>
      </c>
      <c r="AJ563" s="14"/>
      <c r="AK563" s="14"/>
      <c r="AL563" s="14"/>
      <c r="AM563" s="14"/>
      <c r="AN563" s="14"/>
      <c r="AO563" s="14"/>
    </row>
    <row r="564" spans="1:41" s="17" customFormat="1" x14ac:dyDescent="0.3">
      <c r="A564" s="13"/>
      <c r="B564" s="13"/>
      <c r="C564" s="13"/>
      <c r="D564" s="13"/>
      <c r="E564" s="14">
        <v>260</v>
      </c>
      <c r="F564" s="14"/>
      <c r="G564" s="14"/>
      <c r="H564" s="14"/>
      <c r="I564" s="14"/>
      <c r="J564" s="14"/>
      <c r="K564" s="14"/>
      <c r="L564" s="15"/>
      <c r="M564" s="14"/>
      <c r="N564" s="14"/>
      <c r="O564" s="15"/>
      <c r="P564" s="14"/>
      <c r="Q564" s="14"/>
      <c r="R564" s="16"/>
      <c r="S564" s="14"/>
      <c r="T564" s="14"/>
      <c r="U564" s="14"/>
      <c r="V564" s="14">
        <v>90</v>
      </c>
      <c r="W564" s="14">
        <v>150</v>
      </c>
      <c r="X564" s="14">
        <v>240</v>
      </c>
      <c r="Y564" s="24" t="e">
        <f>knicks_players_all_stats[[#This Row],[REB]]/knicks_players_all_stats[[#This Row],[GP]]</f>
        <v>#DIV/0!</v>
      </c>
      <c r="Z564" s="14"/>
      <c r="AA564" s="14"/>
      <c r="AB564" s="14"/>
      <c r="AC564" s="14">
        <v>70</v>
      </c>
      <c r="AD564" s="14"/>
      <c r="AE564" s="14">
        <v>60</v>
      </c>
      <c r="AF564" s="14"/>
      <c r="AG564" s="14"/>
      <c r="AH564" s="14">
        <v>80</v>
      </c>
      <c r="AI564" s="19" t="e">
        <f>knicks_players_all_stats[[#This Row],[BLKPG]]+knicks_players_all_stats[[#This Row],[STLPG]]+knicks_players_all_stats[[#This Row],[REBPG]]</f>
        <v>#DIV/0!</v>
      </c>
      <c r="AJ564" s="14"/>
      <c r="AK564" s="14"/>
      <c r="AL564" s="14"/>
      <c r="AM564" s="14"/>
      <c r="AN564" s="14"/>
      <c r="AO564" s="14"/>
    </row>
    <row r="565" spans="1:41" s="14" customFormat="1" x14ac:dyDescent="0.3">
      <c r="A565" s="13"/>
      <c r="B565" s="13"/>
      <c r="C565" s="13"/>
      <c r="D565" s="13"/>
      <c r="E565" s="14">
        <v>230</v>
      </c>
      <c r="L565" s="15"/>
      <c r="O565" s="15"/>
      <c r="R565" s="16"/>
      <c r="X565" s="14">
        <v>160</v>
      </c>
      <c r="Y565" s="24" t="e">
        <f>knicks_players_all_stats[[#This Row],[REB]]/knicks_players_all_stats[[#This Row],[GP]]</f>
        <v>#DIV/0!</v>
      </c>
      <c r="AI565" s="19" t="e">
        <f>knicks_players_all_stats[[#This Row],[BLKPG]]+knicks_players_all_stats[[#This Row],[STLPG]]+knicks_players_all_stats[[#This Row],[REBPG]]</f>
        <v>#DIV/0!</v>
      </c>
    </row>
    <row r="566" spans="1:41" s="14" customFormat="1" x14ac:dyDescent="0.3">
      <c r="A566" s="13"/>
      <c r="B566" s="13"/>
      <c r="C566" s="13"/>
      <c r="D566" s="13"/>
      <c r="E566" s="14">
        <v>290</v>
      </c>
      <c r="L566" s="15"/>
      <c r="O566" s="15"/>
      <c r="R566" s="16"/>
      <c r="V566" s="14">
        <v>1090</v>
      </c>
      <c r="W566" s="14">
        <v>2440</v>
      </c>
      <c r="X566" s="14">
        <v>3530</v>
      </c>
      <c r="Y566" s="24" t="e">
        <f>knicks_players_all_stats[[#This Row],[REB]]/knicks_players_all_stats[[#This Row],[GP]]</f>
        <v>#DIV/0!</v>
      </c>
      <c r="AC566" s="14">
        <v>990</v>
      </c>
      <c r="AE566" s="14">
        <v>80</v>
      </c>
      <c r="AH566" s="14">
        <v>2120</v>
      </c>
      <c r="AI566" s="19" t="e">
        <f>knicks_players_all_stats[[#This Row],[BLKPG]]+knicks_players_all_stats[[#This Row],[STLPG]]+knicks_players_all_stats[[#This Row],[REBPG]]</f>
        <v>#DIV/0!</v>
      </c>
    </row>
    <row r="567" spans="1:41" s="17" customFormat="1" x14ac:dyDescent="0.3">
      <c r="A567" s="13"/>
      <c r="B567" s="13"/>
      <c r="C567" s="13"/>
      <c r="D567" s="13"/>
      <c r="E567" s="14">
        <v>300</v>
      </c>
      <c r="F567" s="14"/>
      <c r="G567" s="14"/>
      <c r="H567" s="14"/>
      <c r="I567" s="14"/>
      <c r="J567" s="14"/>
      <c r="K567" s="14"/>
      <c r="L567" s="15"/>
      <c r="M567" s="14"/>
      <c r="N567" s="14"/>
      <c r="O567" s="15"/>
      <c r="P567" s="14"/>
      <c r="Q567" s="14"/>
      <c r="R567" s="16"/>
      <c r="S567" s="14"/>
      <c r="T567" s="14"/>
      <c r="U567" s="14"/>
      <c r="V567" s="14">
        <v>860</v>
      </c>
      <c r="W567" s="14">
        <v>1500</v>
      </c>
      <c r="X567" s="14">
        <v>2360</v>
      </c>
      <c r="Y567" s="24" t="e">
        <f>knicks_players_all_stats[[#This Row],[REB]]/knicks_players_all_stats[[#This Row],[GP]]</f>
        <v>#DIV/0!</v>
      </c>
      <c r="Z567" s="14"/>
      <c r="AA567" s="14"/>
      <c r="AB567" s="14"/>
      <c r="AC567" s="14">
        <v>770</v>
      </c>
      <c r="AD567" s="14"/>
      <c r="AE567" s="14">
        <v>120</v>
      </c>
      <c r="AF567" s="14"/>
      <c r="AG567" s="14"/>
      <c r="AH567" s="14">
        <v>1950</v>
      </c>
      <c r="AI567" s="19" t="e">
        <f>knicks_players_all_stats[[#This Row],[BLKPG]]+knicks_players_all_stats[[#This Row],[STLPG]]+knicks_players_all_stats[[#This Row],[REBPG]]</f>
        <v>#DIV/0!</v>
      </c>
      <c r="AJ567" s="14"/>
      <c r="AK567" s="14"/>
      <c r="AL567" s="14"/>
      <c r="AM567" s="14"/>
      <c r="AN567" s="14"/>
      <c r="AO567" s="14"/>
    </row>
    <row r="568" spans="1:41" s="17" customFormat="1" x14ac:dyDescent="0.3">
      <c r="A568" s="13"/>
      <c r="B568" s="13"/>
      <c r="C568" s="13"/>
      <c r="D568" s="13"/>
      <c r="E568" s="14">
        <v>250</v>
      </c>
      <c r="F568" s="14"/>
      <c r="G568" s="14"/>
      <c r="H568" s="14"/>
      <c r="I568" s="14"/>
      <c r="J568" s="14"/>
      <c r="K568" s="14"/>
      <c r="L568" s="15"/>
      <c r="M568" s="14"/>
      <c r="N568" s="14"/>
      <c r="O568" s="15"/>
      <c r="P568" s="14"/>
      <c r="Q568" s="14"/>
      <c r="R568" s="16"/>
      <c r="S568" s="14"/>
      <c r="T568" s="14"/>
      <c r="U568" s="14"/>
      <c r="V568" s="14">
        <v>1330</v>
      </c>
      <c r="W568" s="14">
        <v>5290</v>
      </c>
      <c r="X568" s="14">
        <v>6620</v>
      </c>
      <c r="Y568" s="24" t="e">
        <f>knicks_players_all_stats[[#This Row],[REB]]/knicks_players_all_stats[[#This Row],[GP]]</f>
        <v>#DIV/0!</v>
      </c>
      <c r="Z568" s="14"/>
      <c r="AA568" s="14"/>
      <c r="AB568" s="14"/>
      <c r="AC568" s="14">
        <v>610</v>
      </c>
      <c r="AD568" s="14"/>
      <c r="AE568" s="14">
        <v>650</v>
      </c>
      <c r="AF568" s="14"/>
      <c r="AG568" s="14"/>
      <c r="AH568" s="14"/>
      <c r="AI568" s="19" t="e">
        <f>knicks_players_all_stats[[#This Row],[BLKPG]]+knicks_players_all_stats[[#This Row],[STLPG]]+knicks_players_all_stats[[#This Row],[REBPG]]</f>
        <v>#DIV/0!</v>
      </c>
      <c r="AJ568" s="14"/>
      <c r="AK568" s="14"/>
      <c r="AL568" s="14"/>
      <c r="AM568" s="14"/>
      <c r="AN568" s="14"/>
      <c r="AO568" s="14"/>
    </row>
    <row r="569" spans="1:41" s="17" customFormat="1" x14ac:dyDescent="0.3">
      <c r="A569" s="13"/>
      <c r="B569" s="13"/>
      <c r="C569" s="13"/>
      <c r="D569" s="13"/>
      <c r="E569" s="14">
        <v>260</v>
      </c>
      <c r="F569" s="14"/>
      <c r="G569" s="14"/>
      <c r="H569" s="14"/>
      <c r="I569" s="14"/>
      <c r="J569" s="14"/>
      <c r="K569" s="14"/>
      <c r="L569" s="15"/>
      <c r="M569" s="14"/>
      <c r="N569" s="14"/>
      <c r="O569" s="15"/>
      <c r="P569" s="14"/>
      <c r="Q569" s="14"/>
      <c r="R569" s="16"/>
      <c r="S569" s="14"/>
      <c r="T569" s="14"/>
      <c r="U569" s="14"/>
      <c r="V569" s="14">
        <v>2360</v>
      </c>
      <c r="W569" s="14">
        <v>7740</v>
      </c>
      <c r="X569" s="14">
        <v>10100</v>
      </c>
      <c r="Y569" s="24" t="e">
        <f>knicks_players_all_stats[[#This Row],[REB]]/knicks_players_all_stats[[#This Row],[GP]]</f>
        <v>#DIV/0!</v>
      </c>
      <c r="Z569" s="14"/>
      <c r="AA569" s="14"/>
      <c r="AB569" s="14"/>
      <c r="AC569" s="14">
        <v>1050</v>
      </c>
      <c r="AD569" s="14"/>
      <c r="AE569" s="14">
        <v>1260</v>
      </c>
      <c r="AF569" s="14"/>
      <c r="AG569" s="14"/>
      <c r="AH569" s="14">
        <v>3460</v>
      </c>
      <c r="AI569" s="19" t="e">
        <f>knicks_players_all_stats[[#This Row],[BLKPG]]+knicks_players_all_stats[[#This Row],[STLPG]]+knicks_players_all_stats[[#This Row],[REBPG]]</f>
        <v>#DIV/0!</v>
      </c>
      <c r="AJ569" s="14"/>
      <c r="AK569" s="14"/>
      <c r="AL569" s="14"/>
      <c r="AM569" s="14"/>
      <c r="AN569" s="14"/>
      <c r="AO569" s="14"/>
    </row>
    <row r="570" spans="1:41" s="17" customFormat="1" x14ac:dyDescent="0.3">
      <c r="A570" s="13"/>
      <c r="B570" s="13"/>
      <c r="C570" s="13"/>
      <c r="D570" s="13"/>
      <c r="E570" s="14">
        <v>270</v>
      </c>
      <c r="F570" s="14"/>
      <c r="G570" s="14"/>
      <c r="H570" s="14"/>
      <c r="I570" s="14"/>
      <c r="J570" s="14"/>
      <c r="K570" s="14"/>
      <c r="L570" s="15"/>
      <c r="M570" s="14"/>
      <c r="N570" s="14"/>
      <c r="O570" s="15"/>
      <c r="P570" s="14"/>
      <c r="Q570" s="14"/>
      <c r="R570" s="16"/>
      <c r="S570" s="14"/>
      <c r="T570" s="14"/>
      <c r="U570" s="14"/>
      <c r="V570" s="14">
        <v>940</v>
      </c>
      <c r="W570" s="14">
        <v>2850</v>
      </c>
      <c r="X570" s="14">
        <v>3790</v>
      </c>
      <c r="Y570" s="24" t="e">
        <f>knicks_players_all_stats[[#This Row],[REB]]/knicks_players_all_stats[[#This Row],[GP]]</f>
        <v>#DIV/0!</v>
      </c>
      <c r="Z570" s="14"/>
      <c r="AA570" s="14"/>
      <c r="AB570" s="14"/>
      <c r="AC570" s="14">
        <v>620</v>
      </c>
      <c r="AD570" s="14"/>
      <c r="AE570" s="14">
        <v>470</v>
      </c>
      <c r="AF570" s="14"/>
      <c r="AG570" s="14"/>
      <c r="AH570" s="14">
        <v>1530</v>
      </c>
      <c r="AI570" s="19" t="e">
        <f>knicks_players_all_stats[[#This Row],[BLKPG]]+knicks_players_all_stats[[#This Row],[STLPG]]+knicks_players_all_stats[[#This Row],[REBPG]]</f>
        <v>#DIV/0!</v>
      </c>
      <c r="AJ570" s="14"/>
      <c r="AK570" s="14"/>
      <c r="AL570" s="14"/>
      <c r="AM570" s="14"/>
      <c r="AN570" s="14"/>
      <c r="AO570" s="14"/>
    </row>
    <row r="571" spans="1:41" s="14" customFormat="1" x14ac:dyDescent="0.3">
      <c r="A571" s="13"/>
      <c r="B571" s="13"/>
      <c r="C571" s="13"/>
      <c r="D571" s="13"/>
      <c r="E571" s="14">
        <v>290</v>
      </c>
      <c r="L571" s="15"/>
      <c r="O571" s="15"/>
      <c r="R571" s="16"/>
      <c r="X571" s="14">
        <v>860</v>
      </c>
      <c r="Y571" s="24" t="e">
        <f>knicks_players_all_stats[[#This Row],[REB]]/knicks_players_all_stats[[#This Row],[GP]]</f>
        <v>#DIV/0!</v>
      </c>
      <c r="AI571" s="19" t="e">
        <f>knicks_players_all_stats[[#This Row],[BLKPG]]+knicks_players_all_stats[[#This Row],[STLPG]]+knicks_players_all_stats[[#This Row],[REBPG]]</f>
        <v>#DIV/0!</v>
      </c>
    </row>
    <row r="572" spans="1:41" s="17" customFormat="1" x14ac:dyDescent="0.3">
      <c r="A572" s="13"/>
      <c r="B572" s="13"/>
      <c r="C572" s="13"/>
      <c r="D572" s="13"/>
      <c r="E572" s="14">
        <v>230</v>
      </c>
      <c r="F572" s="14"/>
      <c r="G572" s="14"/>
      <c r="H572" s="14"/>
      <c r="I572" s="14"/>
      <c r="J572" s="14"/>
      <c r="K572" s="14"/>
      <c r="L572" s="15"/>
      <c r="M572" s="14"/>
      <c r="N572" s="14"/>
      <c r="O572" s="15"/>
      <c r="P572" s="14"/>
      <c r="Q572" s="14"/>
      <c r="R572" s="16"/>
      <c r="S572" s="14"/>
      <c r="T572" s="14"/>
      <c r="U572" s="14"/>
      <c r="V572" s="14"/>
      <c r="W572" s="14"/>
      <c r="X572" s="14">
        <v>3130</v>
      </c>
      <c r="Y572" s="24" t="e">
        <f>knicks_players_all_stats[[#This Row],[REB]]/knicks_players_all_stats[[#This Row],[GP]]</f>
        <v>#DIV/0!</v>
      </c>
      <c r="Z572" s="14"/>
      <c r="AA572" s="14"/>
      <c r="AB572" s="14"/>
      <c r="AC572" s="14"/>
      <c r="AD572" s="14"/>
      <c r="AE572" s="14"/>
      <c r="AF572" s="14"/>
      <c r="AG572" s="14"/>
      <c r="AH572" s="14"/>
      <c r="AI572" s="19" t="e">
        <f>knicks_players_all_stats[[#This Row],[BLKPG]]+knicks_players_all_stats[[#This Row],[STLPG]]+knicks_players_all_stats[[#This Row],[REBPG]]</f>
        <v>#DIV/0!</v>
      </c>
      <c r="AJ572" s="14"/>
      <c r="AK572" s="14"/>
      <c r="AL572" s="14"/>
      <c r="AM572" s="14"/>
      <c r="AN572" s="14"/>
      <c r="AO572" s="14"/>
    </row>
    <row r="573" spans="1:41" s="17" customFormat="1" x14ac:dyDescent="0.3">
      <c r="A573" s="13"/>
      <c r="B573" s="13"/>
      <c r="C573" s="13"/>
      <c r="D573" s="13"/>
      <c r="E573" s="14">
        <v>240</v>
      </c>
      <c r="F573" s="14"/>
      <c r="G573" s="14"/>
      <c r="H573" s="14"/>
      <c r="I573" s="14"/>
      <c r="J573" s="14"/>
      <c r="K573" s="14"/>
      <c r="L573" s="15"/>
      <c r="M573" s="14"/>
      <c r="N573" s="14"/>
      <c r="O573" s="15"/>
      <c r="P573" s="14"/>
      <c r="Q573" s="14"/>
      <c r="R573" s="16"/>
      <c r="S573" s="14"/>
      <c r="T573" s="14"/>
      <c r="U573" s="14"/>
      <c r="V573" s="14"/>
      <c r="W573" s="14"/>
      <c r="X573" s="14">
        <v>4990</v>
      </c>
      <c r="Y573" s="24" t="e">
        <f>knicks_players_all_stats[[#This Row],[REB]]/knicks_players_all_stats[[#This Row],[GP]]</f>
        <v>#DIV/0!</v>
      </c>
      <c r="Z573" s="14"/>
      <c r="AA573" s="14"/>
      <c r="AB573" s="14"/>
      <c r="AC573" s="14"/>
      <c r="AD573" s="14"/>
      <c r="AE573" s="14"/>
      <c r="AF573" s="14"/>
      <c r="AG573" s="14"/>
      <c r="AH573" s="14"/>
      <c r="AI573" s="19" t="e">
        <f>knicks_players_all_stats[[#This Row],[BLKPG]]+knicks_players_all_stats[[#This Row],[STLPG]]+knicks_players_all_stats[[#This Row],[REBPG]]</f>
        <v>#DIV/0!</v>
      </c>
      <c r="AJ573" s="14"/>
      <c r="AK573" s="14"/>
      <c r="AL573" s="14"/>
      <c r="AM573" s="14"/>
      <c r="AN573" s="14"/>
      <c r="AO573" s="14"/>
    </row>
    <row r="574" spans="1:41" s="14" customFormat="1" x14ac:dyDescent="0.3">
      <c r="A574" s="13"/>
      <c r="B574" s="13"/>
      <c r="C574" s="13"/>
      <c r="D574" s="13"/>
      <c r="E574" s="14">
        <v>250</v>
      </c>
      <c r="L574" s="15"/>
      <c r="O574" s="15"/>
      <c r="R574" s="16"/>
      <c r="X574" s="14">
        <v>4650</v>
      </c>
      <c r="Y574" s="24" t="e">
        <f>knicks_players_all_stats[[#This Row],[REB]]/knicks_players_all_stats[[#This Row],[GP]]</f>
        <v>#DIV/0!</v>
      </c>
      <c r="AI574" s="19" t="e">
        <f>knicks_players_all_stats[[#This Row],[BLKPG]]+knicks_players_all_stats[[#This Row],[STLPG]]+knicks_players_all_stats[[#This Row],[REBPG]]</f>
        <v>#DIV/0!</v>
      </c>
    </row>
    <row r="575" spans="1:41" s="14" customFormat="1" x14ac:dyDescent="0.3">
      <c r="A575" s="13"/>
      <c r="B575" s="13"/>
      <c r="C575" s="13"/>
      <c r="D575" s="13"/>
      <c r="E575" s="14">
        <v>260</v>
      </c>
      <c r="L575" s="15"/>
      <c r="O575" s="15"/>
      <c r="R575" s="16"/>
      <c r="X575" s="14">
        <v>5440</v>
      </c>
      <c r="Y575" s="24" t="e">
        <f>knicks_players_all_stats[[#This Row],[REB]]/knicks_players_all_stats[[#This Row],[GP]]</f>
        <v>#DIV/0!</v>
      </c>
      <c r="AI575" s="19" t="e">
        <f>knicks_players_all_stats[[#This Row],[BLKPG]]+knicks_players_all_stats[[#This Row],[STLPG]]+knicks_players_all_stats[[#This Row],[REBPG]]</f>
        <v>#DIV/0!</v>
      </c>
    </row>
    <row r="576" spans="1:41" s="14" customFormat="1" x14ac:dyDescent="0.3">
      <c r="A576" s="13"/>
      <c r="B576" s="13"/>
      <c r="C576" s="13"/>
      <c r="D576" s="13"/>
      <c r="E576" s="14">
        <v>270</v>
      </c>
      <c r="L576" s="15"/>
      <c r="O576" s="15"/>
      <c r="R576" s="16"/>
      <c r="X576" s="14">
        <v>5130</v>
      </c>
      <c r="Y576" s="24" t="e">
        <f>knicks_players_all_stats[[#This Row],[REB]]/knicks_players_all_stats[[#This Row],[GP]]</f>
        <v>#DIV/0!</v>
      </c>
      <c r="AI576" s="19" t="e">
        <f>knicks_players_all_stats[[#This Row],[BLKPG]]+knicks_players_all_stats[[#This Row],[STLPG]]+knicks_players_all_stats[[#This Row],[REBPG]]</f>
        <v>#DIV/0!</v>
      </c>
    </row>
    <row r="577" spans="1:41" s="14" customFormat="1" x14ac:dyDescent="0.3">
      <c r="A577" s="13"/>
      <c r="B577" s="13"/>
      <c r="C577" s="13"/>
      <c r="D577" s="13"/>
      <c r="E577" s="14">
        <v>280</v>
      </c>
      <c r="L577" s="15"/>
      <c r="O577" s="15"/>
      <c r="R577" s="16"/>
      <c r="X577" s="14">
        <v>5700</v>
      </c>
      <c r="Y577" s="24" t="e">
        <f>knicks_players_all_stats[[#This Row],[REB]]/knicks_players_all_stats[[#This Row],[GP]]</f>
        <v>#DIV/0!</v>
      </c>
      <c r="AI577" s="19" t="e">
        <f>knicks_players_all_stats[[#This Row],[BLKPG]]+knicks_players_all_stats[[#This Row],[STLPG]]+knicks_players_all_stats[[#This Row],[REBPG]]</f>
        <v>#DIV/0!</v>
      </c>
    </row>
    <row r="578" spans="1:41" s="17" customFormat="1" x14ac:dyDescent="0.3">
      <c r="A578" s="13"/>
      <c r="B578" s="13"/>
      <c r="C578" s="13"/>
      <c r="D578" s="13"/>
      <c r="E578" s="14">
        <v>290</v>
      </c>
      <c r="F578" s="14"/>
      <c r="G578" s="14"/>
      <c r="H578" s="14"/>
      <c r="I578" s="14"/>
      <c r="J578" s="14"/>
      <c r="K578" s="14"/>
      <c r="L578" s="15"/>
      <c r="M578" s="14"/>
      <c r="N578" s="14"/>
      <c r="O578" s="15"/>
      <c r="P578" s="14"/>
      <c r="Q578" s="14"/>
      <c r="R578" s="16"/>
      <c r="S578" s="14"/>
      <c r="T578" s="14"/>
      <c r="U578" s="14"/>
      <c r="V578" s="14">
        <v>1200</v>
      </c>
      <c r="W578" s="14">
        <v>4160</v>
      </c>
      <c r="X578" s="14">
        <v>5360</v>
      </c>
      <c r="Y578" s="24" t="e">
        <f>knicks_players_all_stats[[#This Row],[REB]]/knicks_players_all_stats[[#This Row],[GP]]</f>
        <v>#DIV/0!</v>
      </c>
      <c r="Z578" s="14"/>
      <c r="AA578" s="14"/>
      <c r="AB578" s="14"/>
      <c r="AC578" s="14">
        <v>1610</v>
      </c>
      <c r="AD578" s="14"/>
      <c r="AE578" s="14">
        <v>150</v>
      </c>
      <c r="AF578" s="14"/>
      <c r="AG578" s="14"/>
      <c r="AH578" s="14"/>
      <c r="AI578" s="19" t="e">
        <f>knicks_players_all_stats[[#This Row],[BLKPG]]+knicks_players_all_stats[[#This Row],[STLPG]]+knicks_players_all_stats[[#This Row],[REBPG]]</f>
        <v>#DIV/0!</v>
      </c>
      <c r="AJ578" s="14"/>
      <c r="AK578" s="14"/>
      <c r="AL578" s="14"/>
      <c r="AM578" s="14"/>
      <c r="AN578" s="14"/>
      <c r="AO578" s="14"/>
    </row>
    <row r="579" spans="1:41" s="17" customFormat="1" x14ac:dyDescent="0.3">
      <c r="A579" s="13"/>
      <c r="B579" s="13"/>
      <c r="C579" s="13"/>
      <c r="D579" s="13"/>
      <c r="E579" s="14">
        <v>300</v>
      </c>
      <c r="F579" s="14"/>
      <c r="G579" s="14"/>
      <c r="H579" s="14"/>
      <c r="I579" s="14"/>
      <c r="J579" s="14"/>
      <c r="K579" s="14"/>
      <c r="L579" s="15"/>
      <c r="M579" s="14"/>
      <c r="N579" s="14"/>
      <c r="O579" s="15"/>
      <c r="P579" s="14"/>
      <c r="Q579" s="14"/>
      <c r="R579" s="16"/>
      <c r="S579" s="14"/>
      <c r="T579" s="14"/>
      <c r="U579" s="14"/>
      <c r="V579" s="14">
        <v>900</v>
      </c>
      <c r="W579" s="14">
        <v>3750</v>
      </c>
      <c r="X579" s="14">
        <v>4650</v>
      </c>
      <c r="Y579" s="24" t="e">
        <f>knicks_players_all_stats[[#This Row],[REB]]/knicks_players_all_stats[[#This Row],[GP]]</f>
        <v>#DIV/0!</v>
      </c>
      <c r="Z579" s="14"/>
      <c r="AA579" s="14"/>
      <c r="AB579" s="14"/>
      <c r="AC579" s="14">
        <v>1900</v>
      </c>
      <c r="AD579" s="14"/>
      <c r="AE579" s="14">
        <v>140</v>
      </c>
      <c r="AF579" s="14"/>
      <c r="AG579" s="14"/>
      <c r="AH579" s="14"/>
      <c r="AI579" s="19" t="e">
        <f>knicks_players_all_stats[[#This Row],[BLKPG]]+knicks_players_all_stats[[#This Row],[STLPG]]+knicks_players_all_stats[[#This Row],[REBPG]]</f>
        <v>#DIV/0!</v>
      </c>
      <c r="AJ579" s="14"/>
      <c r="AK579" s="14"/>
      <c r="AL579" s="14"/>
      <c r="AM579" s="14"/>
      <c r="AN579" s="14"/>
      <c r="AO579" s="14"/>
    </row>
    <row r="580" spans="1:41" s="17" customFormat="1" x14ac:dyDescent="0.3">
      <c r="A580" s="13"/>
      <c r="B580" s="13"/>
      <c r="C580" s="13"/>
      <c r="D580" s="13"/>
      <c r="E580" s="14">
        <v>310</v>
      </c>
      <c r="F580" s="14"/>
      <c r="G580" s="14"/>
      <c r="H580" s="14"/>
      <c r="I580" s="14"/>
      <c r="J580" s="14"/>
      <c r="K580" s="14"/>
      <c r="L580" s="15"/>
      <c r="M580" s="14"/>
      <c r="N580" s="14"/>
      <c r="O580" s="15"/>
      <c r="P580" s="14"/>
      <c r="Q580" s="14"/>
      <c r="R580" s="16"/>
      <c r="S580" s="14"/>
      <c r="T580" s="14"/>
      <c r="U580" s="14"/>
      <c r="V580" s="14">
        <v>790</v>
      </c>
      <c r="W580" s="14">
        <v>3210</v>
      </c>
      <c r="X580" s="14">
        <v>4000</v>
      </c>
      <c r="Y580" s="24" t="e">
        <f>knicks_players_all_stats[[#This Row],[REB]]/knicks_players_all_stats[[#This Row],[GP]]</f>
        <v>#DIV/0!</v>
      </c>
      <c r="Z580" s="14"/>
      <c r="AA580" s="14"/>
      <c r="AB580" s="14"/>
      <c r="AC580" s="14">
        <v>1060</v>
      </c>
      <c r="AD580" s="14"/>
      <c r="AE580" s="14">
        <v>90</v>
      </c>
      <c r="AF580" s="14"/>
      <c r="AG580" s="14"/>
      <c r="AH580" s="14"/>
      <c r="AI580" s="19" t="e">
        <f>knicks_players_all_stats[[#This Row],[BLKPG]]+knicks_players_all_stats[[#This Row],[STLPG]]+knicks_players_all_stats[[#This Row],[REBPG]]</f>
        <v>#DIV/0!</v>
      </c>
      <c r="AJ580" s="14"/>
      <c r="AK580" s="14"/>
      <c r="AL580" s="14"/>
      <c r="AM580" s="14"/>
      <c r="AN580" s="14"/>
      <c r="AO580" s="14"/>
    </row>
    <row r="581" spans="1:41" s="17" customFormat="1" x14ac:dyDescent="0.3">
      <c r="A581" s="13"/>
      <c r="B581" s="13"/>
      <c r="C581" s="13"/>
      <c r="D581" s="13"/>
      <c r="E581" s="14">
        <v>320</v>
      </c>
      <c r="F581" s="14"/>
      <c r="G581" s="14"/>
      <c r="H581" s="14"/>
      <c r="I581" s="14"/>
      <c r="J581" s="14"/>
      <c r="K581" s="14"/>
      <c r="L581" s="15"/>
      <c r="M581" s="14"/>
      <c r="N581" s="14"/>
      <c r="O581" s="15"/>
      <c r="P581" s="14"/>
      <c r="Q581" s="14"/>
      <c r="R581" s="16"/>
      <c r="S581" s="14"/>
      <c r="T581" s="14"/>
      <c r="U581" s="14"/>
      <c r="V581" s="14">
        <v>520</v>
      </c>
      <c r="W581" s="14">
        <v>2410</v>
      </c>
      <c r="X581" s="14">
        <v>2930</v>
      </c>
      <c r="Y581" s="24" t="e">
        <f>knicks_players_all_stats[[#This Row],[REB]]/knicks_players_all_stats[[#This Row],[GP]]</f>
        <v>#DIV/0!</v>
      </c>
      <c r="Z581" s="14"/>
      <c r="AA581" s="14"/>
      <c r="AB581" s="14"/>
      <c r="AC581" s="14">
        <v>1320</v>
      </c>
      <c r="AD581" s="14"/>
      <c r="AE581" s="14">
        <v>90</v>
      </c>
      <c r="AF581" s="14"/>
      <c r="AG581" s="14"/>
      <c r="AH581" s="14"/>
      <c r="AI581" s="19" t="e">
        <f>knicks_players_all_stats[[#This Row],[BLKPG]]+knicks_players_all_stats[[#This Row],[STLPG]]+knicks_players_all_stats[[#This Row],[REBPG]]</f>
        <v>#DIV/0!</v>
      </c>
      <c r="AJ581" s="14"/>
      <c r="AK581" s="14"/>
      <c r="AL581" s="14"/>
      <c r="AM581" s="14"/>
      <c r="AN581" s="14"/>
      <c r="AO581" s="14"/>
    </row>
    <row r="582" spans="1:41" s="17" customFormat="1" x14ac:dyDescent="0.3">
      <c r="A582" s="18"/>
      <c r="B582" s="18"/>
      <c r="C582" s="18"/>
      <c r="D582" s="18"/>
      <c r="E582" s="14">
        <v>210</v>
      </c>
      <c r="I582" s="19"/>
      <c r="L582" s="20"/>
      <c r="O582" s="20"/>
      <c r="R582" s="21"/>
      <c r="V582" s="14">
        <v>1770</v>
      </c>
      <c r="W582" s="14">
        <v>2460</v>
      </c>
      <c r="X582" s="14">
        <v>4230</v>
      </c>
      <c r="Y582" s="24" t="e">
        <f>knicks_players_all_stats[[#This Row],[REB]]/knicks_players_all_stats[[#This Row],[GP]]</f>
        <v>#DIV/0!</v>
      </c>
      <c r="AC582" s="17">
        <v>520</v>
      </c>
      <c r="AE582" s="14">
        <v>1610</v>
      </c>
      <c r="AH582" s="14">
        <v>350</v>
      </c>
      <c r="AI582" s="19" t="e">
        <f>knicks_players_all_stats[[#This Row],[BLKPG]]+knicks_players_all_stats[[#This Row],[STLPG]]+knicks_players_all_stats[[#This Row],[REBPG]]</f>
        <v>#DIV/0!</v>
      </c>
    </row>
    <row r="583" spans="1:41" s="14" customFormat="1" x14ac:dyDescent="0.3">
      <c r="A583" s="18"/>
      <c r="B583" s="18"/>
      <c r="C583" s="18"/>
      <c r="D583" s="18"/>
      <c r="E583" s="14">
        <v>230</v>
      </c>
      <c r="F583" s="17"/>
      <c r="G583" s="17"/>
      <c r="H583" s="17"/>
      <c r="I583" s="19"/>
      <c r="J583" s="17"/>
      <c r="K583" s="17"/>
      <c r="L583" s="17"/>
      <c r="M583" s="17"/>
      <c r="N583" s="17"/>
      <c r="O583" s="20"/>
      <c r="P583" s="17"/>
      <c r="Q583" s="17"/>
      <c r="R583" s="21"/>
      <c r="S583" s="17"/>
      <c r="T583" s="17"/>
      <c r="U583" s="17"/>
      <c r="V583" s="14">
        <v>1130</v>
      </c>
      <c r="W583" s="14">
        <v>4150</v>
      </c>
      <c r="X583" s="14">
        <v>5280</v>
      </c>
      <c r="Y583" s="24" t="e">
        <f>knicks_players_all_stats[[#This Row],[REB]]/knicks_players_all_stats[[#This Row],[GP]]</f>
        <v>#DIV/0!</v>
      </c>
      <c r="Z583" s="17"/>
      <c r="AA583" s="17"/>
      <c r="AB583" s="17"/>
      <c r="AC583" s="17">
        <v>460</v>
      </c>
      <c r="AD583" s="17"/>
      <c r="AE583" s="14">
        <v>510</v>
      </c>
      <c r="AF583" s="17"/>
      <c r="AG583" s="17"/>
      <c r="AH583" s="14">
        <v>880</v>
      </c>
      <c r="AI583" s="19" t="e">
        <f>knicks_players_all_stats[[#This Row],[BLKPG]]+knicks_players_all_stats[[#This Row],[STLPG]]+knicks_players_all_stats[[#This Row],[REBPG]]</f>
        <v>#DIV/0!</v>
      </c>
      <c r="AJ583" s="17"/>
      <c r="AK583" s="17"/>
      <c r="AL583" s="17"/>
      <c r="AM583" s="17"/>
      <c r="AN583" s="17"/>
      <c r="AO583" s="17"/>
    </row>
    <row r="584" spans="1:41" s="14" customFormat="1" x14ac:dyDescent="0.3">
      <c r="A584" s="18"/>
      <c r="B584" s="18"/>
      <c r="C584" s="18"/>
      <c r="D584" s="18"/>
      <c r="E584" s="14">
        <v>230</v>
      </c>
      <c r="F584" s="17"/>
      <c r="G584" s="17"/>
      <c r="H584" s="17"/>
      <c r="I584" s="19"/>
      <c r="J584" s="17"/>
      <c r="K584" s="17"/>
      <c r="L584" s="20"/>
      <c r="M584" s="17"/>
      <c r="N584" s="17"/>
      <c r="O584" s="20"/>
      <c r="P584" s="17"/>
      <c r="Q584" s="17"/>
      <c r="R584" s="21"/>
      <c r="S584" s="17"/>
      <c r="T584" s="17"/>
      <c r="U584" s="17"/>
      <c r="V584" s="14">
        <v>330</v>
      </c>
      <c r="W584" s="14">
        <v>1630</v>
      </c>
      <c r="X584" s="14">
        <v>1960</v>
      </c>
      <c r="Y584" s="24" t="e">
        <f>knicks_players_all_stats[[#This Row],[REB]]/knicks_players_all_stats[[#This Row],[GP]]</f>
        <v>#DIV/0!</v>
      </c>
      <c r="Z584" s="17"/>
      <c r="AA584" s="17"/>
      <c r="AB584" s="17"/>
      <c r="AC584" s="17">
        <v>430</v>
      </c>
      <c r="AD584" s="17"/>
      <c r="AE584" s="14">
        <v>190</v>
      </c>
      <c r="AF584" s="17"/>
      <c r="AG584" s="17"/>
      <c r="AH584" s="14">
        <v>1400</v>
      </c>
      <c r="AI584" s="19" t="e">
        <f>knicks_players_all_stats[[#This Row],[BLKPG]]+knicks_players_all_stats[[#This Row],[STLPG]]+knicks_players_all_stats[[#This Row],[REBPG]]</f>
        <v>#DIV/0!</v>
      </c>
      <c r="AJ584" s="17"/>
      <c r="AK584" s="17"/>
      <c r="AL584" s="17"/>
      <c r="AM584" s="17"/>
      <c r="AN584" s="17"/>
      <c r="AO584" s="17"/>
    </row>
    <row r="585" spans="1:41" s="14" customFormat="1" x14ac:dyDescent="0.3">
      <c r="A585" s="13"/>
      <c r="B585" s="13"/>
      <c r="C585" s="13"/>
      <c r="D585" s="13"/>
      <c r="E585" s="14">
        <v>280</v>
      </c>
      <c r="L585" s="15"/>
      <c r="O585" s="15"/>
      <c r="R585" s="16"/>
      <c r="V585" s="14">
        <v>10</v>
      </c>
      <c r="W585" s="14">
        <v>70</v>
      </c>
      <c r="X585" s="14">
        <v>80</v>
      </c>
      <c r="Y585" s="24" t="e">
        <f>knicks_players_all_stats[[#This Row],[REB]]/knicks_players_all_stats[[#This Row],[GP]]</f>
        <v>#DIV/0!</v>
      </c>
      <c r="AC585" s="14">
        <v>0</v>
      </c>
      <c r="AE585" s="14">
        <v>0</v>
      </c>
      <c r="AI585" s="19" t="e">
        <f>knicks_players_all_stats[[#This Row],[BLKPG]]+knicks_players_all_stats[[#This Row],[STLPG]]+knicks_players_all_stats[[#This Row],[REBPG]]</f>
        <v>#DIV/0!</v>
      </c>
    </row>
    <row r="586" spans="1:41" s="14" customFormat="1" x14ac:dyDescent="0.3">
      <c r="A586" s="13"/>
      <c r="B586" s="13"/>
      <c r="C586" s="13"/>
      <c r="D586" s="13"/>
      <c r="E586" s="14">
        <v>220</v>
      </c>
      <c r="L586" s="15"/>
      <c r="O586" s="15"/>
      <c r="R586" s="16"/>
      <c r="V586" s="14">
        <v>140</v>
      </c>
      <c r="W586" s="14">
        <v>440</v>
      </c>
      <c r="X586" s="14">
        <v>580</v>
      </c>
      <c r="Y586" s="24" t="e">
        <f>knicks_players_all_stats[[#This Row],[REB]]/knicks_players_all_stats[[#This Row],[GP]]</f>
        <v>#DIV/0!</v>
      </c>
      <c r="AC586" s="14">
        <v>390</v>
      </c>
      <c r="AE586" s="14">
        <v>50</v>
      </c>
      <c r="AH586" s="14">
        <v>730</v>
      </c>
      <c r="AI586" s="19" t="e">
        <f>knicks_players_all_stats[[#This Row],[BLKPG]]+knicks_players_all_stats[[#This Row],[STLPG]]+knicks_players_all_stats[[#This Row],[REBPG]]</f>
        <v>#DIV/0!</v>
      </c>
    </row>
    <row r="587" spans="1:41" s="14" customFormat="1" x14ac:dyDescent="0.3">
      <c r="A587" s="13"/>
      <c r="B587" s="13"/>
      <c r="C587" s="13"/>
      <c r="D587" s="13"/>
      <c r="E587" s="14">
        <v>230</v>
      </c>
      <c r="L587" s="15"/>
      <c r="O587" s="15"/>
      <c r="R587" s="16"/>
      <c r="X587" s="14">
        <v>2510</v>
      </c>
      <c r="Y587" s="24" t="e">
        <f>knicks_players_all_stats[[#This Row],[REB]]/knicks_players_all_stats[[#This Row],[GP]]</f>
        <v>#DIV/0!</v>
      </c>
      <c r="AI587" s="19" t="e">
        <f>knicks_players_all_stats[[#This Row],[BLKPG]]+knicks_players_all_stats[[#This Row],[STLPG]]+knicks_players_all_stats[[#This Row],[REBPG]]</f>
        <v>#DIV/0!</v>
      </c>
    </row>
    <row r="588" spans="1:41" s="17" customFormat="1" x14ac:dyDescent="0.3">
      <c r="A588" s="13"/>
      <c r="B588" s="13"/>
      <c r="C588" s="13"/>
      <c r="D588" s="13"/>
      <c r="E588" s="14">
        <v>240</v>
      </c>
      <c r="F588" s="14"/>
      <c r="G588" s="14"/>
      <c r="H588" s="14"/>
      <c r="I588" s="14"/>
      <c r="J588" s="14"/>
      <c r="K588" s="14"/>
      <c r="L588" s="15"/>
      <c r="M588" s="14"/>
      <c r="N588" s="14"/>
      <c r="O588" s="15"/>
      <c r="P588" s="14"/>
      <c r="Q588" s="14"/>
      <c r="R588" s="16"/>
      <c r="S588" s="14"/>
      <c r="T588" s="14"/>
      <c r="U588" s="14"/>
      <c r="V588" s="14"/>
      <c r="W588" s="14"/>
      <c r="X588" s="14">
        <v>3740</v>
      </c>
      <c r="Y588" s="24" t="e">
        <f>knicks_players_all_stats[[#This Row],[REB]]/knicks_players_all_stats[[#This Row],[GP]]</f>
        <v>#DIV/0!</v>
      </c>
      <c r="Z588" s="14"/>
      <c r="AA588" s="14"/>
      <c r="AB588" s="14"/>
      <c r="AC588" s="14"/>
      <c r="AD588" s="14"/>
      <c r="AE588" s="14"/>
      <c r="AF588" s="14"/>
      <c r="AG588" s="14"/>
      <c r="AH588" s="14"/>
      <c r="AI588" s="19" t="e">
        <f>knicks_players_all_stats[[#This Row],[BLKPG]]+knicks_players_all_stats[[#This Row],[STLPG]]+knicks_players_all_stats[[#This Row],[REBPG]]</f>
        <v>#DIV/0!</v>
      </c>
      <c r="AJ588" s="14"/>
      <c r="AK588" s="14"/>
      <c r="AL588" s="14"/>
      <c r="AM588" s="14"/>
      <c r="AN588" s="14"/>
      <c r="AO588" s="14"/>
    </row>
    <row r="589" spans="1:41" s="14" customFormat="1" x14ac:dyDescent="0.3">
      <c r="A589" s="13"/>
      <c r="B589" s="13"/>
      <c r="C589" s="13"/>
      <c r="D589" s="13"/>
      <c r="E589" s="14">
        <v>250</v>
      </c>
      <c r="L589" s="15"/>
      <c r="O589" s="15"/>
      <c r="R589" s="16"/>
      <c r="X589" s="14">
        <v>2090</v>
      </c>
      <c r="Y589" s="24" t="e">
        <f>knicks_players_all_stats[[#This Row],[REB]]/knicks_players_all_stats[[#This Row],[GP]]</f>
        <v>#DIV/0!</v>
      </c>
      <c r="AI589" s="19" t="e">
        <f>knicks_players_all_stats[[#This Row],[BLKPG]]+knicks_players_all_stats[[#This Row],[STLPG]]+knicks_players_all_stats[[#This Row],[REBPG]]</f>
        <v>#DIV/0!</v>
      </c>
    </row>
    <row r="590" spans="1:41" s="14" customFormat="1" x14ac:dyDescent="0.3">
      <c r="A590" s="13"/>
      <c r="B590" s="13"/>
      <c r="C590" s="13"/>
      <c r="D590" s="13"/>
      <c r="E590" s="14">
        <v>260</v>
      </c>
      <c r="L590" s="15"/>
      <c r="O590" s="15"/>
      <c r="R590" s="16"/>
      <c r="X590" s="14">
        <v>2360</v>
      </c>
      <c r="Y590" s="24" t="e">
        <f>knicks_players_all_stats[[#This Row],[REB]]/knicks_players_all_stats[[#This Row],[GP]]</f>
        <v>#DIV/0!</v>
      </c>
      <c r="AI590" s="19" t="e">
        <f>knicks_players_all_stats[[#This Row],[BLKPG]]+knicks_players_all_stats[[#This Row],[STLPG]]+knicks_players_all_stats[[#This Row],[REBPG]]</f>
        <v>#DIV/0!</v>
      </c>
    </row>
    <row r="591" spans="1:41" s="14" customFormat="1" x14ac:dyDescent="0.3">
      <c r="A591" s="13"/>
      <c r="B591" s="13"/>
      <c r="C591" s="13"/>
      <c r="D591" s="13"/>
      <c r="E591" s="14">
        <v>270</v>
      </c>
      <c r="L591" s="15"/>
      <c r="O591" s="15"/>
      <c r="R591" s="16"/>
      <c r="X591" s="14">
        <v>1920</v>
      </c>
      <c r="Y591" s="24" t="e">
        <f>knicks_players_all_stats[[#This Row],[REB]]/knicks_players_all_stats[[#This Row],[GP]]</f>
        <v>#DIV/0!</v>
      </c>
      <c r="AI591" s="19" t="e">
        <f>knicks_players_all_stats[[#This Row],[BLKPG]]+knicks_players_all_stats[[#This Row],[STLPG]]+knicks_players_all_stats[[#This Row],[REBPG]]</f>
        <v>#DIV/0!</v>
      </c>
    </row>
    <row r="592" spans="1:41" s="14" customFormat="1" x14ac:dyDescent="0.3">
      <c r="A592" s="13"/>
      <c r="B592" s="13"/>
      <c r="C592" s="13"/>
      <c r="D592" s="13"/>
      <c r="E592" s="14">
        <v>230</v>
      </c>
      <c r="L592" s="15"/>
      <c r="O592" s="15"/>
      <c r="R592" s="16"/>
      <c r="X592" s="14">
        <v>1140</v>
      </c>
      <c r="Y592" s="24" t="e">
        <f>knicks_players_all_stats[[#This Row],[REB]]/knicks_players_all_stats[[#This Row],[GP]]</f>
        <v>#DIV/0!</v>
      </c>
      <c r="AI592" s="19" t="e">
        <f>knicks_players_all_stats[[#This Row],[BLKPG]]+knicks_players_all_stats[[#This Row],[STLPG]]+knicks_players_all_stats[[#This Row],[REBPG]]</f>
        <v>#DIV/0!</v>
      </c>
    </row>
    <row r="593" spans="1:41" s="14" customFormat="1" x14ac:dyDescent="0.3">
      <c r="A593" s="13"/>
      <c r="B593" s="13"/>
      <c r="C593" s="13"/>
      <c r="D593" s="13"/>
      <c r="E593" s="14">
        <v>240</v>
      </c>
      <c r="L593" s="15"/>
      <c r="O593" s="15"/>
      <c r="R593" s="16"/>
      <c r="X593" s="14">
        <v>520</v>
      </c>
      <c r="Y593" s="24" t="e">
        <f>knicks_players_all_stats[[#This Row],[REB]]/knicks_players_all_stats[[#This Row],[GP]]</f>
        <v>#DIV/0!</v>
      </c>
      <c r="AI593" s="19" t="e">
        <f>knicks_players_all_stats[[#This Row],[BLKPG]]+knicks_players_all_stats[[#This Row],[STLPG]]+knicks_players_all_stats[[#This Row],[REBPG]]</f>
        <v>#DIV/0!</v>
      </c>
    </row>
    <row r="594" spans="1:41" s="14" customFormat="1" x14ac:dyDescent="0.3">
      <c r="A594" s="13"/>
      <c r="B594" s="13"/>
      <c r="C594" s="13"/>
      <c r="D594" s="13"/>
      <c r="E594" s="14">
        <v>260</v>
      </c>
      <c r="L594" s="15"/>
      <c r="O594" s="15"/>
      <c r="R594" s="16"/>
      <c r="V594" s="14">
        <v>530</v>
      </c>
      <c r="W594" s="14">
        <v>1130</v>
      </c>
      <c r="X594" s="14">
        <v>1660</v>
      </c>
      <c r="Y594" s="24" t="e">
        <f>knicks_players_all_stats[[#This Row],[REB]]/knicks_players_all_stats[[#This Row],[GP]]</f>
        <v>#DIV/0!</v>
      </c>
      <c r="AC594" s="14">
        <v>120</v>
      </c>
      <c r="AE594" s="14">
        <v>420</v>
      </c>
      <c r="AH594" s="14">
        <v>450</v>
      </c>
      <c r="AI594" s="19" t="e">
        <f>knicks_players_all_stats[[#This Row],[BLKPG]]+knicks_players_all_stats[[#This Row],[STLPG]]+knicks_players_all_stats[[#This Row],[REBPG]]</f>
        <v>#DIV/0!</v>
      </c>
    </row>
    <row r="595" spans="1:41" s="14" customFormat="1" x14ac:dyDescent="0.3">
      <c r="A595" s="13"/>
      <c r="B595" s="13"/>
      <c r="C595" s="13"/>
      <c r="D595" s="13"/>
      <c r="E595" s="14">
        <v>240</v>
      </c>
      <c r="L595" s="15"/>
      <c r="O595" s="15"/>
      <c r="R595" s="16"/>
      <c r="X595" s="14">
        <v>160</v>
      </c>
      <c r="Y595" s="24" t="e">
        <f>knicks_players_all_stats[[#This Row],[REB]]/knicks_players_all_stats[[#This Row],[GP]]</f>
        <v>#DIV/0!</v>
      </c>
      <c r="AI595" s="19" t="e">
        <f>knicks_players_all_stats[[#This Row],[BLKPG]]+knicks_players_all_stats[[#This Row],[STLPG]]+knicks_players_all_stats[[#This Row],[REBPG]]</f>
        <v>#DIV/0!</v>
      </c>
    </row>
    <row r="596" spans="1:41" s="17" customFormat="1" x14ac:dyDescent="0.3">
      <c r="A596" s="18"/>
      <c r="B596" s="18"/>
      <c r="C596" s="18"/>
      <c r="D596" s="18"/>
      <c r="E596" s="14">
        <v>210</v>
      </c>
      <c r="I596" s="19"/>
      <c r="L596" s="20"/>
      <c r="O596" s="20"/>
      <c r="R596" s="21"/>
      <c r="V596" s="14">
        <v>140</v>
      </c>
      <c r="W596" s="14">
        <v>440</v>
      </c>
      <c r="X596" s="14">
        <v>580</v>
      </c>
      <c r="Y596" s="24" t="e">
        <f>knicks_players_all_stats[[#This Row],[REB]]/knicks_players_all_stats[[#This Row],[GP]]</f>
        <v>#DIV/0!</v>
      </c>
      <c r="AC596" s="17">
        <v>270</v>
      </c>
      <c r="AE596" s="14">
        <v>90</v>
      </c>
      <c r="AH596" s="14">
        <v>540</v>
      </c>
      <c r="AI596" s="19" t="e">
        <f>knicks_players_all_stats[[#This Row],[BLKPG]]+knicks_players_all_stats[[#This Row],[STLPG]]+knicks_players_all_stats[[#This Row],[REBPG]]</f>
        <v>#DIV/0!</v>
      </c>
    </row>
    <row r="597" spans="1:41" s="17" customFormat="1" x14ac:dyDescent="0.3">
      <c r="A597" s="13"/>
      <c r="B597" s="13"/>
      <c r="C597" s="13"/>
      <c r="D597" s="13"/>
      <c r="E597" s="14">
        <v>220</v>
      </c>
      <c r="F597" s="14"/>
      <c r="G597" s="14"/>
      <c r="H597" s="14"/>
      <c r="I597" s="14"/>
      <c r="J597" s="14"/>
      <c r="K597" s="14"/>
      <c r="L597" s="15"/>
      <c r="M597" s="14"/>
      <c r="N597" s="14"/>
      <c r="O597" s="15"/>
      <c r="P597" s="14"/>
      <c r="Q597" s="14"/>
      <c r="R597" s="16"/>
      <c r="S597" s="14"/>
      <c r="T597" s="14"/>
      <c r="U597" s="14"/>
      <c r="V597" s="14"/>
      <c r="W597" s="14"/>
      <c r="X597" s="14">
        <v>560</v>
      </c>
      <c r="Y597" s="24" t="e">
        <f>knicks_players_all_stats[[#This Row],[REB]]/knicks_players_all_stats[[#This Row],[GP]]</f>
        <v>#DIV/0!</v>
      </c>
      <c r="Z597" s="14"/>
      <c r="AA597" s="14"/>
      <c r="AB597" s="14"/>
      <c r="AC597" s="14"/>
      <c r="AD597" s="14"/>
      <c r="AE597" s="14"/>
      <c r="AF597" s="14"/>
      <c r="AG597" s="14"/>
      <c r="AH597" s="14"/>
      <c r="AI597" s="19" t="e">
        <f>knicks_players_all_stats[[#This Row],[BLKPG]]+knicks_players_all_stats[[#This Row],[STLPG]]+knicks_players_all_stats[[#This Row],[REBPG]]</f>
        <v>#DIV/0!</v>
      </c>
      <c r="AJ597" s="14"/>
      <c r="AK597" s="14"/>
      <c r="AL597" s="14"/>
      <c r="AM597" s="14"/>
      <c r="AN597" s="14"/>
      <c r="AO597" s="14"/>
    </row>
    <row r="598" spans="1:41" s="17" customFormat="1" x14ac:dyDescent="0.3">
      <c r="A598" s="13"/>
      <c r="B598" s="13"/>
      <c r="C598" s="13"/>
      <c r="D598" s="13"/>
      <c r="E598" s="14">
        <v>230</v>
      </c>
      <c r="F598" s="14"/>
      <c r="G598" s="14"/>
      <c r="H598" s="14"/>
      <c r="I598" s="14"/>
      <c r="J598" s="14"/>
      <c r="K598" s="14"/>
      <c r="L598" s="15"/>
      <c r="M598" s="14"/>
      <c r="N598" s="14"/>
      <c r="O598" s="15"/>
      <c r="P598" s="14"/>
      <c r="Q598" s="14"/>
      <c r="R598" s="16"/>
      <c r="S598" s="14"/>
      <c r="T598" s="14"/>
      <c r="U598" s="14"/>
      <c r="V598" s="14"/>
      <c r="W598" s="14"/>
      <c r="X598" s="14">
        <v>730</v>
      </c>
      <c r="Y598" s="24" t="e">
        <f>knicks_players_all_stats[[#This Row],[REB]]/knicks_players_all_stats[[#This Row],[GP]]</f>
        <v>#DIV/0!</v>
      </c>
      <c r="Z598" s="14"/>
      <c r="AA598" s="14"/>
      <c r="AB598" s="14"/>
      <c r="AC598" s="14"/>
      <c r="AD598" s="14"/>
      <c r="AE598" s="14"/>
      <c r="AF598" s="14"/>
      <c r="AG598" s="14"/>
      <c r="AH598" s="14"/>
      <c r="AI598" s="19" t="e">
        <f>knicks_players_all_stats[[#This Row],[BLKPG]]+knicks_players_all_stats[[#This Row],[STLPG]]+knicks_players_all_stats[[#This Row],[REBPG]]</f>
        <v>#DIV/0!</v>
      </c>
      <c r="AJ598" s="14"/>
      <c r="AK598" s="14"/>
      <c r="AL598" s="14"/>
      <c r="AM598" s="14"/>
      <c r="AN598" s="14"/>
      <c r="AO598" s="14"/>
    </row>
    <row r="599" spans="1:41" s="17" customFormat="1" x14ac:dyDescent="0.3">
      <c r="A599" s="13"/>
      <c r="B599" s="13"/>
      <c r="C599" s="13"/>
      <c r="D599" s="13"/>
      <c r="E599" s="14">
        <v>260</v>
      </c>
      <c r="F599" s="14"/>
      <c r="G599" s="14"/>
      <c r="H599" s="14"/>
      <c r="I599" s="14"/>
      <c r="J599" s="14"/>
      <c r="K599" s="14"/>
      <c r="L599" s="15"/>
      <c r="M599" s="14"/>
      <c r="N599" s="14"/>
      <c r="O599" s="15"/>
      <c r="P599" s="14"/>
      <c r="Q599" s="14"/>
      <c r="R599" s="16"/>
      <c r="S599" s="14"/>
      <c r="T599" s="14"/>
      <c r="U599" s="14"/>
      <c r="V599" s="14">
        <v>430</v>
      </c>
      <c r="W599" s="14">
        <v>1970</v>
      </c>
      <c r="X599" s="14">
        <v>2400</v>
      </c>
      <c r="Y599" s="24" t="e">
        <f>knicks_players_all_stats[[#This Row],[REB]]/knicks_players_all_stats[[#This Row],[GP]]</f>
        <v>#DIV/0!</v>
      </c>
      <c r="Z599" s="14"/>
      <c r="AA599" s="14"/>
      <c r="AB599" s="14"/>
      <c r="AC599" s="14">
        <v>410</v>
      </c>
      <c r="AD599" s="14"/>
      <c r="AE599" s="14">
        <v>180</v>
      </c>
      <c r="AF599" s="14"/>
      <c r="AG599" s="14"/>
      <c r="AH599" s="14">
        <v>1670</v>
      </c>
      <c r="AI599" s="19" t="e">
        <f>knicks_players_all_stats[[#This Row],[BLKPG]]+knicks_players_all_stats[[#This Row],[STLPG]]+knicks_players_all_stats[[#This Row],[REBPG]]</f>
        <v>#DIV/0!</v>
      </c>
      <c r="AJ599" s="14"/>
      <c r="AK599" s="14"/>
      <c r="AL599" s="14"/>
      <c r="AM599" s="14"/>
      <c r="AN599" s="14"/>
      <c r="AO599" s="14"/>
    </row>
    <row r="600" spans="1:41" s="14" customFormat="1" x14ac:dyDescent="0.3">
      <c r="A600" s="13"/>
      <c r="B600" s="13"/>
      <c r="C600" s="13"/>
      <c r="D600" s="13"/>
      <c r="E600" s="14">
        <v>270</v>
      </c>
      <c r="L600" s="15"/>
      <c r="O600" s="15"/>
      <c r="R600" s="16"/>
      <c r="V600" s="14">
        <v>430</v>
      </c>
      <c r="W600" s="14">
        <v>2310</v>
      </c>
      <c r="X600" s="14">
        <v>2740</v>
      </c>
      <c r="Y600" s="24" t="e">
        <f>knicks_players_all_stats[[#This Row],[REB]]/knicks_players_all_stats[[#This Row],[GP]]</f>
        <v>#DIV/0!</v>
      </c>
      <c r="AC600" s="14">
        <v>630</v>
      </c>
      <c r="AE600" s="14">
        <v>240</v>
      </c>
      <c r="AH600" s="14">
        <v>2000</v>
      </c>
      <c r="AI600" s="19" t="e">
        <f>knicks_players_all_stats[[#This Row],[BLKPG]]+knicks_players_all_stats[[#This Row],[STLPG]]+knicks_players_all_stats[[#This Row],[REBPG]]</f>
        <v>#DIV/0!</v>
      </c>
    </row>
    <row r="601" spans="1:41" s="17" customFormat="1" x14ac:dyDescent="0.3">
      <c r="A601" s="13"/>
      <c r="B601" s="13"/>
      <c r="C601" s="13"/>
      <c r="D601" s="13"/>
      <c r="E601" s="14">
        <v>280</v>
      </c>
      <c r="F601" s="14"/>
      <c r="G601" s="14"/>
      <c r="H601" s="14"/>
      <c r="I601" s="14"/>
      <c r="J601" s="14"/>
      <c r="K601" s="14"/>
      <c r="L601" s="15"/>
      <c r="M601" s="14"/>
      <c r="N601" s="14"/>
      <c r="O601" s="15"/>
      <c r="P601" s="14"/>
      <c r="Q601" s="14"/>
      <c r="R601" s="16"/>
      <c r="S601" s="14"/>
      <c r="T601" s="14"/>
      <c r="U601" s="14"/>
      <c r="V601" s="14">
        <v>200</v>
      </c>
      <c r="W601" s="14">
        <v>1320</v>
      </c>
      <c r="X601" s="14">
        <v>1520</v>
      </c>
      <c r="Y601" s="24" t="e">
        <f>knicks_players_all_stats[[#This Row],[REB]]/knicks_players_all_stats[[#This Row],[GP]]</f>
        <v>#DIV/0!</v>
      </c>
      <c r="Z601" s="14"/>
      <c r="AA601" s="14"/>
      <c r="AB601" s="14"/>
      <c r="AC601" s="14">
        <v>350</v>
      </c>
      <c r="AD601" s="14"/>
      <c r="AE601" s="14">
        <v>90</v>
      </c>
      <c r="AF601" s="14"/>
      <c r="AG601" s="14"/>
      <c r="AH601" s="14">
        <v>1300</v>
      </c>
      <c r="AI601" s="19" t="e">
        <f>knicks_players_all_stats[[#This Row],[BLKPG]]+knicks_players_all_stats[[#This Row],[STLPG]]+knicks_players_all_stats[[#This Row],[REBPG]]</f>
        <v>#DIV/0!</v>
      </c>
      <c r="AJ601" s="14"/>
      <c r="AK601" s="14"/>
      <c r="AL601" s="14"/>
      <c r="AM601" s="14"/>
      <c r="AN601" s="14"/>
      <c r="AO601" s="14"/>
    </row>
    <row r="602" spans="1:41" s="14" customFormat="1" x14ac:dyDescent="0.3">
      <c r="A602" s="13"/>
      <c r="B602" s="13"/>
      <c r="C602" s="13"/>
      <c r="D602" s="13"/>
      <c r="E602" s="14">
        <v>290</v>
      </c>
      <c r="L602" s="15"/>
      <c r="O602" s="15"/>
      <c r="R602" s="16"/>
      <c r="V602" s="14">
        <v>380</v>
      </c>
      <c r="W602" s="14">
        <v>2330</v>
      </c>
      <c r="X602" s="14">
        <v>2710</v>
      </c>
      <c r="Y602" s="24" t="e">
        <f>knicks_players_all_stats[[#This Row],[REB]]/knicks_players_all_stats[[#This Row],[GP]]</f>
        <v>#DIV/0!</v>
      </c>
      <c r="AC602" s="14">
        <v>650</v>
      </c>
      <c r="AE602" s="14">
        <v>140</v>
      </c>
      <c r="AH602" s="14">
        <v>1860</v>
      </c>
      <c r="AI602" s="19" t="e">
        <f>knicks_players_all_stats[[#This Row],[BLKPG]]+knicks_players_all_stats[[#This Row],[STLPG]]+knicks_players_all_stats[[#This Row],[REBPG]]</f>
        <v>#DIV/0!</v>
      </c>
    </row>
    <row r="603" spans="1:41" s="17" customFormat="1" x14ac:dyDescent="0.3">
      <c r="A603" s="13"/>
      <c r="B603" s="13"/>
      <c r="C603" s="13"/>
      <c r="D603" s="13"/>
      <c r="E603" s="14">
        <v>230</v>
      </c>
      <c r="F603" s="14"/>
      <c r="G603" s="14"/>
      <c r="H603" s="14"/>
      <c r="I603" s="14"/>
      <c r="J603" s="14"/>
      <c r="K603" s="14"/>
      <c r="L603" s="15"/>
      <c r="M603" s="14"/>
      <c r="N603" s="14"/>
      <c r="O603" s="15"/>
      <c r="P603" s="14"/>
      <c r="Q603" s="14"/>
      <c r="R603" s="16"/>
      <c r="S603" s="14"/>
      <c r="T603" s="14"/>
      <c r="U603" s="14"/>
      <c r="V603" s="14">
        <v>10</v>
      </c>
      <c r="W603" s="14">
        <v>20</v>
      </c>
      <c r="X603" s="14">
        <v>30</v>
      </c>
      <c r="Y603" s="24" t="e">
        <f>knicks_players_all_stats[[#This Row],[REB]]/knicks_players_all_stats[[#This Row],[GP]]</f>
        <v>#DIV/0!</v>
      </c>
      <c r="Z603" s="14"/>
      <c r="AA603" s="14"/>
      <c r="AB603" s="14"/>
      <c r="AC603" s="14">
        <v>10</v>
      </c>
      <c r="AD603" s="14"/>
      <c r="AE603" s="14">
        <v>0</v>
      </c>
      <c r="AF603" s="14"/>
      <c r="AG603" s="14"/>
      <c r="AH603" s="14"/>
      <c r="AI603" s="19" t="e">
        <f>knicks_players_all_stats[[#This Row],[BLKPG]]+knicks_players_all_stats[[#This Row],[STLPG]]+knicks_players_all_stats[[#This Row],[REBPG]]</f>
        <v>#DIV/0!</v>
      </c>
      <c r="AJ603" s="14"/>
      <c r="AK603" s="14"/>
      <c r="AL603" s="14"/>
      <c r="AM603" s="14"/>
      <c r="AN603" s="14"/>
      <c r="AO603" s="14"/>
    </row>
    <row r="604" spans="1:41" s="17" customFormat="1" x14ac:dyDescent="0.3">
      <c r="A604" s="13"/>
      <c r="B604" s="13"/>
      <c r="C604" s="13"/>
      <c r="D604" s="13"/>
      <c r="E604" s="14">
        <v>220</v>
      </c>
      <c r="F604" s="14"/>
      <c r="G604" s="14"/>
      <c r="H604" s="14"/>
      <c r="I604" s="14"/>
      <c r="J604" s="14"/>
      <c r="K604" s="14"/>
      <c r="L604" s="15"/>
      <c r="M604" s="14"/>
      <c r="N604" s="14"/>
      <c r="O604" s="15"/>
      <c r="P604" s="14"/>
      <c r="Q604" s="14"/>
      <c r="R604" s="16"/>
      <c r="S604" s="14"/>
      <c r="T604" s="14"/>
      <c r="U604" s="14"/>
      <c r="V604" s="14">
        <v>1940</v>
      </c>
      <c r="W604" s="14">
        <v>5320</v>
      </c>
      <c r="X604" s="14">
        <v>7260</v>
      </c>
      <c r="Y604" s="24" t="e">
        <f>knicks_players_all_stats[[#This Row],[REB]]/knicks_players_all_stats[[#This Row],[GP]]</f>
        <v>#DIV/0!</v>
      </c>
      <c r="Z604" s="14"/>
      <c r="AA604" s="14"/>
      <c r="AB604" s="14"/>
      <c r="AC604" s="14">
        <v>480</v>
      </c>
      <c r="AD604" s="14"/>
      <c r="AE604" s="14">
        <v>1010</v>
      </c>
      <c r="AF604" s="14"/>
      <c r="AG604" s="14"/>
      <c r="AH604" s="14">
        <v>2220</v>
      </c>
      <c r="AI604" s="19" t="e">
        <f>knicks_players_all_stats[[#This Row],[BLKPG]]+knicks_players_all_stats[[#This Row],[STLPG]]+knicks_players_all_stats[[#This Row],[REBPG]]</f>
        <v>#DIV/0!</v>
      </c>
      <c r="AJ604" s="14"/>
      <c r="AK604" s="14"/>
      <c r="AL604" s="14"/>
      <c r="AM604" s="14"/>
      <c r="AN604" s="14"/>
      <c r="AO604" s="14"/>
    </row>
    <row r="605" spans="1:41" s="17" customFormat="1" x14ac:dyDescent="0.3">
      <c r="A605" s="13"/>
      <c r="B605" s="13"/>
      <c r="C605" s="13"/>
      <c r="D605" s="13"/>
      <c r="E605" s="14">
        <v>230</v>
      </c>
      <c r="F605" s="14"/>
      <c r="G605" s="14"/>
      <c r="H605" s="14"/>
      <c r="I605" s="14"/>
      <c r="J605" s="14"/>
      <c r="K605" s="14"/>
      <c r="L605" s="15"/>
      <c r="M605" s="14"/>
      <c r="N605" s="14"/>
      <c r="O605" s="15"/>
      <c r="P605" s="14"/>
      <c r="Q605" s="14"/>
      <c r="R605" s="16"/>
      <c r="S605" s="14"/>
      <c r="T605" s="14"/>
      <c r="U605" s="14"/>
      <c r="V605" s="14">
        <v>1610</v>
      </c>
      <c r="W605" s="14">
        <v>4520</v>
      </c>
      <c r="X605" s="14">
        <v>6130</v>
      </c>
      <c r="Y605" s="24" t="e">
        <f>knicks_players_all_stats[[#This Row],[REB]]/knicks_players_all_stats[[#This Row],[GP]]</f>
        <v>#DIV/0!</v>
      </c>
      <c r="Z605" s="14"/>
      <c r="AA605" s="14"/>
      <c r="AB605" s="14"/>
      <c r="AC605" s="14">
        <v>480</v>
      </c>
      <c r="AD605" s="14"/>
      <c r="AE605" s="14">
        <v>830</v>
      </c>
      <c r="AF605" s="14"/>
      <c r="AG605" s="14"/>
      <c r="AH605" s="14">
        <v>2000</v>
      </c>
      <c r="AI605" s="19" t="e">
        <f>knicks_players_all_stats[[#This Row],[BLKPG]]+knicks_players_all_stats[[#This Row],[STLPG]]+knicks_players_all_stats[[#This Row],[REBPG]]</f>
        <v>#DIV/0!</v>
      </c>
      <c r="AJ605" s="14"/>
      <c r="AK605" s="14"/>
      <c r="AL605" s="14"/>
      <c r="AM605" s="14"/>
      <c r="AN605" s="14"/>
      <c r="AO605" s="14"/>
    </row>
    <row r="606" spans="1:41" s="17" customFormat="1" x14ac:dyDescent="0.3">
      <c r="A606" s="13"/>
      <c r="B606" s="13"/>
      <c r="C606" s="13"/>
      <c r="D606" s="13"/>
      <c r="E606" s="14">
        <v>240</v>
      </c>
      <c r="F606" s="14"/>
      <c r="G606" s="14"/>
      <c r="H606" s="14"/>
      <c r="I606" s="14"/>
      <c r="J606" s="14"/>
      <c r="K606" s="14"/>
      <c r="L606" s="15"/>
      <c r="M606" s="14"/>
      <c r="N606" s="14"/>
      <c r="O606" s="15"/>
      <c r="P606" s="14"/>
      <c r="Q606" s="14"/>
      <c r="R606" s="16"/>
      <c r="S606" s="14"/>
      <c r="T606" s="14"/>
      <c r="U606" s="14"/>
      <c r="V606" s="14">
        <v>1160</v>
      </c>
      <c r="W606" s="14">
        <v>3050</v>
      </c>
      <c r="X606" s="14">
        <v>4210</v>
      </c>
      <c r="Y606" s="24" t="e">
        <f>knicks_players_all_stats[[#This Row],[REB]]/knicks_players_all_stats[[#This Row],[GP]]</f>
        <v>#DIV/0!</v>
      </c>
      <c r="Z606" s="14"/>
      <c r="AA606" s="14"/>
      <c r="AB606" s="14"/>
      <c r="AC606" s="14">
        <v>480</v>
      </c>
      <c r="AD606" s="14"/>
      <c r="AE606" s="14">
        <v>650</v>
      </c>
      <c r="AF606" s="14"/>
      <c r="AG606" s="14"/>
      <c r="AH606" s="14">
        <v>1660</v>
      </c>
      <c r="AI606" s="19" t="e">
        <f>knicks_players_all_stats[[#This Row],[BLKPG]]+knicks_players_all_stats[[#This Row],[STLPG]]+knicks_players_all_stats[[#This Row],[REBPG]]</f>
        <v>#DIV/0!</v>
      </c>
      <c r="AJ606" s="14"/>
      <c r="AK606" s="14"/>
      <c r="AL606" s="14"/>
      <c r="AM606" s="14"/>
      <c r="AN606" s="14"/>
      <c r="AO606" s="14"/>
    </row>
    <row r="607" spans="1:41" s="17" customFormat="1" x14ac:dyDescent="0.3">
      <c r="A607" s="13"/>
      <c r="B607" s="13"/>
      <c r="C607" s="13"/>
      <c r="D607" s="13"/>
      <c r="E607" s="14">
        <v>250</v>
      </c>
      <c r="F607" s="14"/>
      <c r="G607" s="14"/>
      <c r="H607" s="14"/>
      <c r="I607" s="14"/>
      <c r="J607" s="14"/>
      <c r="K607" s="14"/>
      <c r="L607" s="15"/>
      <c r="M607" s="14"/>
      <c r="N607" s="14"/>
      <c r="O607" s="15"/>
      <c r="P607" s="14"/>
      <c r="Q607" s="14"/>
      <c r="R607" s="16"/>
      <c r="S607" s="14"/>
      <c r="T607" s="14"/>
      <c r="U607" s="14"/>
      <c r="V607" s="14">
        <v>1850</v>
      </c>
      <c r="W607" s="14">
        <v>4050</v>
      </c>
      <c r="X607" s="14">
        <v>5900</v>
      </c>
      <c r="Y607" s="24" t="e">
        <f>knicks_players_all_stats[[#This Row],[REB]]/knicks_players_all_stats[[#This Row],[GP]]</f>
        <v>#DIV/0!</v>
      </c>
      <c r="Z607" s="14"/>
      <c r="AA607" s="14"/>
      <c r="AB607" s="14"/>
      <c r="AC607" s="14">
        <v>410</v>
      </c>
      <c r="AD607" s="14"/>
      <c r="AE607" s="14">
        <v>1270</v>
      </c>
      <c r="AF607" s="14"/>
      <c r="AG607" s="14"/>
      <c r="AH607" s="14">
        <v>2040</v>
      </c>
      <c r="AI607" s="19" t="e">
        <f>knicks_players_all_stats[[#This Row],[BLKPG]]+knicks_players_all_stats[[#This Row],[STLPG]]+knicks_players_all_stats[[#This Row],[REBPG]]</f>
        <v>#DIV/0!</v>
      </c>
      <c r="AJ607" s="14"/>
      <c r="AK607" s="14"/>
      <c r="AL607" s="14"/>
      <c r="AM607" s="14"/>
      <c r="AN607" s="14"/>
      <c r="AO607" s="14"/>
    </row>
    <row r="608" spans="1:41" s="17" customFormat="1" x14ac:dyDescent="0.3">
      <c r="A608" s="13"/>
      <c r="B608" s="13"/>
      <c r="C608" s="13"/>
      <c r="D608" s="13"/>
      <c r="E608" s="14">
        <v>260</v>
      </c>
      <c r="F608" s="14"/>
      <c r="G608" s="14"/>
      <c r="H608" s="14"/>
      <c r="I608" s="14"/>
      <c r="J608" s="14"/>
      <c r="K608" s="14"/>
      <c r="L608" s="15"/>
      <c r="M608" s="14"/>
      <c r="N608" s="14"/>
      <c r="O608" s="15"/>
      <c r="P608" s="14"/>
      <c r="Q608" s="14"/>
      <c r="R608" s="16"/>
      <c r="S608" s="14"/>
      <c r="T608" s="14"/>
      <c r="U608" s="14"/>
      <c r="V608" s="14">
        <v>1950</v>
      </c>
      <c r="W608" s="14">
        <v>4540</v>
      </c>
      <c r="X608" s="14">
        <v>6490</v>
      </c>
      <c r="Y608" s="24" t="e">
        <f>knicks_players_all_stats[[#This Row],[REB]]/knicks_players_all_stats[[#This Row],[GP]]</f>
        <v>#DIV/0!</v>
      </c>
      <c r="Z608" s="14"/>
      <c r="AA608" s="14"/>
      <c r="AB608" s="14"/>
      <c r="AC608" s="14">
        <v>440</v>
      </c>
      <c r="AD608" s="14"/>
      <c r="AE608" s="14">
        <v>970</v>
      </c>
      <c r="AF608" s="14"/>
      <c r="AG608" s="14"/>
      <c r="AH608" s="14">
        <v>2000</v>
      </c>
      <c r="AI608" s="19" t="e">
        <f>knicks_players_all_stats[[#This Row],[BLKPG]]+knicks_players_all_stats[[#This Row],[STLPG]]+knicks_players_all_stats[[#This Row],[REBPG]]</f>
        <v>#DIV/0!</v>
      </c>
      <c r="AJ608" s="14"/>
      <c r="AK608" s="14"/>
      <c r="AL608" s="14"/>
      <c r="AM608" s="14"/>
      <c r="AN608" s="14"/>
      <c r="AO608" s="14"/>
    </row>
    <row r="609" spans="1:41" s="17" customFormat="1" x14ac:dyDescent="0.3">
      <c r="A609" s="13"/>
      <c r="B609" s="13"/>
      <c r="C609" s="13"/>
      <c r="D609" s="13"/>
      <c r="E609" s="14">
        <v>280</v>
      </c>
      <c r="F609" s="14"/>
      <c r="G609" s="14"/>
      <c r="H609" s="14"/>
      <c r="I609" s="14"/>
      <c r="J609" s="14"/>
      <c r="K609" s="14"/>
      <c r="L609" s="15"/>
      <c r="M609" s="14"/>
      <c r="N609" s="14"/>
      <c r="O609" s="15"/>
      <c r="P609" s="14"/>
      <c r="Q609" s="14"/>
      <c r="R609" s="16"/>
      <c r="S609" s="14"/>
      <c r="T609" s="14"/>
      <c r="U609" s="14"/>
      <c r="V609" s="14">
        <v>20</v>
      </c>
      <c r="W609" s="14">
        <v>80</v>
      </c>
      <c r="X609" s="14">
        <v>100</v>
      </c>
      <c r="Y609" s="24" t="e">
        <f>knicks_players_all_stats[[#This Row],[REB]]/knicks_players_all_stats[[#This Row],[GP]]</f>
        <v>#DIV/0!</v>
      </c>
      <c r="Z609" s="14"/>
      <c r="AA609" s="14"/>
      <c r="AB609" s="14"/>
      <c r="AC609" s="14">
        <v>10</v>
      </c>
      <c r="AD609" s="14"/>
      <c r="AE609" s="14">
        <v>10</v>
      </c>
      <c r="AF609" s="14"/>
      <c r="AG609" s="14"/>
      <c r="AH609" s="14">
        <v>60</v>
      </c>
      <c r="AI609" s="19" t="e">
        <f>knicks_players_all_stats[[#This Row],[BLKPG]]+knicks_players_all_stats[[#This Row],[STLPG]]+knicks_players_all_stats[[#This Row],[REBPG]]</f>
        <v>#DIV/0!</v>
      </c>
      <c r="AJ609" s="14"/>
      <c r="AK609" s="14"/>
      <c r="AL609" s="14"/>
      <c r="AM609" s="14"/>
      <c r="AN609" s="14"/>
      <c r="AO609" s="14"/>
    </row>
    <row r="610" spans="1:41" s="17" customFormat="1" x14ac:dyDescent="0.3">
      <c r="A610" s="13"/>
      <c r="B610" s="13"/>
      <c r="C610" s="13"/>
      <c r="D610" s="13"/>
      <c r="E610" s="14">
        <v>290</v>
      </c>
      <c r="F610" s="14"/>
      <c r="G610" s="14"/>
      <c r="H610" s="14"/>
      <c r="I610" s="14"/>
      <c r="J610" s="14"/>
      <c r="K610" s="14"/>
      <c r="L610" s="15"/>
      <c r="M610" s="14"/>
      <c r="N610" s="14"/>
      <c r="O610" s="15"/>
      <c r="P610" s="14"/>
      <c r="Q610" s="14"/>
      <c r="R610" s="16"/>
      <c r="S610" s="14"/>
      <c r="T610" s="14"/>
      <c r="U610" s="14"/>
      <c r="V610" s="14">
        <v>1320</v>
      </c>
      <c r="W610" s="14">
        <v>3130</v>
      </c>
      <c r="X610" s="14">
        <v>4450</v>
      </c>
      <c r="Y610" s="24" t="e">
        <f>knicks_players_all_stats[[#This Row],[REB]]/knicks_players_all_stats[[#This Row],[GP]]</f>
        <v>#DIV/0!</v>
      </c>
      <c r="Z610" s="14"/>
      <c r="AA610" s="14"/>
      <c r="AB610" s="14"/>
      <c r="AC610" s="14">
        <v>400</v>
      </c>
      <c r="AD610" s="14"/>
      <c r="AE610" s="14">
        <v>260</v>
      </c>
      <c r="AF610" s="14"/>
      <c r="AG610" s="14"/>
      <c r="AH610" s="14">
        <v>1280</v>
      </c>
      <c r="AI610" s="19" t="e">
        <f>knicks_players_all_stats[[#This Row],[BLKPG]]+knicks_players_all_stats[[#This Row],[STLPG]]+knicks_players_all_stats[[#This Row],[REBPG]]</f>
        <v>#DIV/0!</v>
      </c>
      <c r="AJ610" s="14"/>
      <c r="AK610" s="14"/>
      <c r="AL610" s="14"/>
      <c r="AM610" s="14"/>
      <c r="AN610" s="14"/>
      <c r="AO610" s="14"/>
    </row>
    <row r="611" spans="1:41" s="17" customFormat="1" x14ac:dyDescent="0.3">
      <c r="A611" s="13"/>
      <c r="B611" s="13"/>
      <c r="C611" s="13"/>
      <c r="D611" s="13"/>
      <c r="E611" s="14">
        <v>300</v>
      </c>
      <c r="F611" s="14"/>
      <c r="G611" s="14"/>
      <c r="H611" s="14"/>
      <c r="I611" s="14"/>
      <c r="J611" s="14"/>
      <c r="K611" s="14"/>
      <c r="L611" s="15"/>
      <c r="M611" s="14"/>
      <c r="N611" s="14"/>
      <c r="O611" s="15"/>
      <c r="P611" s="14"/>
      <c r="Q611" s="14"/>
      <c r="R611" s="16"/>
      <c r="S611" s="14"/>
      <c r="T611" s="14"/>
      <c r="U611" s="14"/>
      <c r="V611" s="14">
        <v>1270</v>
      </c>
      <c r="W611" s="14">
        <v>2570</v>
      </c>
      <c r="X611" s="14">
        <v>3840</v>
      </c>
      <c r="Y611" s="24" t="e">
        <f>knicks_players_all_stats[[#This Row],[REB]]/knicks_players_all_stats[[#This Row],[GP]]</f>
        <v>#DIV/0!</v>
      </c>
      <c r="Z611" s="14"/>
      <c r="AA611" s="14"/>
      <c r="AB611" s="14"/>
      <c r="AC611" s="14">
        <v>430</v>
      </c>
      <c r="AD611" s="14"/>
      <c r="AE611" s="14">
        <v>430</v>
      </c>
      <c r="AF611" s="14"/>
      <c r="AG611" s="14"/>
      <c r="AH611" s="14">
        <v>1350</v>
      </c>
      <c r="AI611" s="19" t="e">
        <f>knicks_players_all_stats[[#This Row],[BLKPG]]+knicks_players_all_stats[[#This Row],[STLPG]]+knicks_players_all_stats[[#This Row],[REBPG]]</f>
        <v>#DIV/0!</v>
      </c>
      <c r="AJ611" s="14"/>
      <c r="AK611" s="14"/>
      <c r="AL611" s="14"/>
      <c r="AM611" s="14"/>
      <c r="AN611" s="14"/>
      <c r="AO611" s="14"/>
    </row>
    <row r="612" spans="1:41" s="14" customFormat="1" x14ac:dyDescent="0.3">
      <c r="A612" s="18"/>
      <c r="B612" s="18"/>
      <c r="C612" s="18"/>
      <c r="D612" s="18"/>
      <c r="E612" s="14">
        <v>250</v>
      </c>
      <c r="F612" s="17"/>
      <c r="G612" s="17"/>
      <c r="H612" s="17"/>
      <c r="I612" s="19"/>
      <c r="J612" s="17"/>
      <c r="K612" s="17"/>
      <c r="L612" s="17"/>
      <c r="M612" s="17"/>
      <c r="N612" s="17"/>
      <c r="O612" s="20"/>
      <c r="P612" s="17"/>
      <c r="Q612" s="17"/>
      <c r="R612" s="21"/>
      <c r="S612" s="17"/>
      <c r="T612" s="17"/>
      <c r="U612" s="17"/>
      <c r="V612" s="14">
        <v>800</v>
      </c>
      <c r="W612" s="14">
        <v>2580</v>
      </c>
      <c r="X612" s="14">
        <v>3380</v>
      </c>
      <c r="Y612" s="24" t="e">
        <f>knicks_players_all_stats[[#This Row],[REB]]/knicks_players_all_stats[[#This Row],[GP]]</f>
        <v>#DIV/0!</v>
      </c>
      <c r="Z612" s="17"/>
      <c r="AA612" s="17"/>
      <c r="AB612" s="17"/>
      <c r="AC612" s="17">
        <v>320</v>
      </c>
      <c r="AD612" s="17"/>
      <c r="AE612" s="14">
        <v>180</v>
      </c>
      <c r="AF612" s="17"/>
      <c r="AG612" s="17"/>
      <c r="AH612" s="14">
        <v>730</v>
      </c>
      <c r="AI612" s="19" t="e">
        <f>knicks_players_all_stats[[#This Row],[BLKPG]]+knicks_players_all_stats[[#This Row],[STLPG]]+knicks_players_all_stats[[#This Row],[REBPG]]</f>
        <v>#DIV/0!</v>
      </c>
      <c r="AJ612" s="17"/>
      <c r="AK612" s="17"/>
      <c r="AL612" s="17"/>
      <c r="AM612" s="17"/>
      <c r="AN612" s="17"/>
      <c r="AO612" s="17"/>
    </row>
    <row r="613" spans="1:41" s="14" customFormat="1" x14ac:dyDescent="0.3">
      <c r="A613" s="13"/>
      <c r="B613" s="13"/>
      <c r="C613" s="13"/>
      <c r="D613" s="13"/>
      <c r="E613" s="14">
        <v>230</v>
      </c>
      <c r="L613" s="15"/>
      <c r="O613" s="15"/>
      <c r="R613" s="16"/>
      <c r="V613" s="14">
        <v>300</v>
      </c>
      <c r="W613" s="14">
        <v>390</v>
      </c>
      <c r="X613" s="14">
        <v>690</v>
      </c>
      <c r="Y613" s="24" t="e">
        <f>knicks_players_all_stats[[#This Row],[REB]]/knicks_players_all_stats[[#This Row],[GP]]</f>
        <v>#DIV/0!</v>
      </c>
      <c r="AC613" s="14">
        <v>220</v>
      </c>
      <c r="AE613" s="14">
        <v>20</v>
      </c>
      <c r="AH613" s="14">
        <v>380</v>
      </c>
      <c r="AI613" s="19" t="e">
        <f>knicks_players_all_stats[[#This Row],[BLKPG]]+knicks_players_all_stats[[#This Row],[STLPG]]+knicks_players_all_stats[[#This Row],[REBPG]]</f>
        <v>#DIV/0!</v>
      </c>
    </row>
    <row r="614" spans="1:41" s="14" customFormat="1" x14ac:dyDescent="0.3">
      <c r="A614" s="13"/>
      <c r="B614" s="13"/>
      <c r="C614" s="13"/>
      <c r="D614" s="13"/>
      <c r="E614" s="14">
        <v>240</v>
      </c>
      <c r="L614" s="15"/>
      <c r="O614" s="15"/>
      <c r="R614" s="16"/>
      <c r="V614" s="14">
        <v>350</v>
      </c>
      <c r="W614" s="14">
        <v>600</v>
      </c>
      <c r="X614" s="14">
        <v>950</v>
      </c>
      <c r="Y614" s="24" t="e">
        <f>knicks_players_all_stats[[#This Row],[REB]]/knicks_players_all_stats[[#This Row],[GP]]</f>
        <v>#DIV/0!</v>
      </c>
      <c r="AC614" s="14">
        <v>360</v>
      </c>
      <c r="AE614" s="14">
        <v>60</v>
      </c>
      <c r="AH614" s="14">
        <v>780</v>
      </c>
      <c r="AI614" s="19" t="e">
        <f>knicks_players_all_stats[[#This Row],[BLKPG]]+knicks_players_all_stats[[#This Row],[STLPG]]+knicks_players_all_stats[[#This Row],[REBPG]]</f>
        <v>#DIV/0!</v>
      </c>
    </row>
    <row r="615" spans="1:41" s="14" customFormat="1" x14ac:dyDescent="0.3">
      <c r="A615" s="13"/>
      <c r="B615" s="13"/>
      <c r="C615" s="13"/>
      <c r="D615" s="13"/>
      <c r="E615" s="14">
        <v>240</v>
      </c>
      <c r="L615" s="15"/>
      <c r="O615" s="15"/>
      <c r="R615" s="16"/>
      <c r="V615" s="14">
        <v>780</v>
      </c>
      <c r="W615" s="14">
        <v>1550</v>
      </c>
      <c r="X615" s="14">
        <v>2330</v>
      </c>
      <c r="Y615" s="24" t="e">
        <f>knicks_players_all_stats[[#This Row],[REB]]/knicks_players_all_stats[[#This Row],[GP]]</f>
        <v>#DIV/0!</v>
      </c>
      <c r="AC615" s="14">
        <v>1000</v>
      </c>
      <c r="AE615" s="14">
        <v>180</v>
      </c>
      <c r="AH615" s="14">
        <v>1410</v>
      </c>
      <c r="AI615" s="19" t="e">
        <f>knicks_players_all_stats[[#This Row],[BLKPG]]+knicks_players_all_stats[[#This Row],[STLPG]]+knicks_players_all_stats[[#This Row],[REBPG]]</f>
        <v>#DIV/0!</v>
      </c>
    </row>
    <row r="616" spans="1:41" s="14" customFormat="1" x14ac:dyDescent="0.3">
      <c r="A616" s="13"/>
      <c r="B616" s="13"/>
      <c r="C616" s="13"/>
      <c r="D616" s="13"/>
      <c r="E616" s="14">
        <v>250</v>
      </c>
      <c r="L616" s="15"/>
      <c r="O616" s="15"/>
      <c r="R616" s="16"/>
      <c r="V616" s="14">
        <v>1510</v>
      </c>
      <c r="W616" s="14">
        <v>3880</v>
      </c>
      <c r="X616" s="14">
        <v>5390</v>
      </c>
      <c r="Y616" s="24" t="e">
        <f>knicks_players_all_stats[[#This Row],[REB]]/knicks_players_all_stats[[#This Row],[GP]]</f>
        <v>#DIV/0!</v>
      </c>
      <c r="AC616" s="14">
        <v>2650</v>
      </c>
      <c r="AE616" s="14">
        <v>350</v>
      </c>
      <c r="AH616" s="14">
        <v>3590</v>
      </c>
      <c r="AI616" s="19" t="e">
        <f>knicks_players_all_stats[[#This Row],[BLKPG]]+knicks_players_all_stats[[#This Row],[STLPG]]+knicks_players_all_stats[[#This Row],[REBPG]]</f>
        <v>#DIV/0!</v>
      </c>
    </row>
    <row r="617" spans="1:41" s="14" customFormat="1" x14ac:dyDescent="0.3">
      <c r="A617" s="13"/>
      <c r="B617" s="13"/>
      <c r="C617" s="13"/>
      <c r="D617" s="13"/>
      <c r="E617" s="14">
        <v>260</v>
      </c>
      <c r="L617" s="15"/>
      <c r="O617" s="15"/>
      <c r="R617" s="16"/>
      <c r="V617" s="14">
        <v>1730</v>
      </c>
      <c r="W617" s="14">
        <v>3720</v>
      </c>
      <c r="X617" s="14">
        <v>5450</v>
      </c>
      <c r="Y617" s="24" t="e">
        <f>knicks_players_all_stats[[#This Row],[REB]]/knicks_players_all_stats[[#This Row],[GP]]</f>
        <v>#DIV/0!</v>
      </c>
      <c r="AC617" s="14">
        <v>2320</v>
      </c>
      <c r="AE617" s="14">
        <v>350</v>
      </c>
      <c r="AH617" s="14">
        <v>3020</v>
      </c>
      <c r="AI617" s="19" t="e">
        <f>knicks_players_all_stats[[#This Row],[BLKPG]]+knicks_players_all_stats[[#This Row],[STLPG]]+knicks_players_all_stats[[#This Row],[REBPG]]</f>
        <v>#DIV/0!</v>
      </c>
    </row>
    <row r="618" spans="1:41" s="14" customFormat="1" x14ac:dyDescent="0.3">
      <c r="A618" s="13"/>
      <c r="B618" s="13"/>
      <c r="C618" s="13"/>
      <c r="D618" s="13"/>
      <c r="E618" s="14">
        <v>270</v>
      </c>
      <c r="L618" s="15"/>
      <c r="O618" s="15"/>
      <c r="R618" s="16"/>
      <c r="V618" s="14">
        <v>1770</v>
      </c>
      <c r="W618" s="14">
        <v>3880</v>
      </c>
      <c r="X618" s="14">
        <v>5650</v>
      </c>
      <c r="Y618" s="24" t="e">
        <f>knicks_players_all_stats[[#This Row],[REB]]/knicks_players_all_stats[[#This Row],[GP]]</f>
        <v>#DIV/0!</v>
      </c>
      <c r="AC618" s="14">
        <v>2130</v>
      </c>
      <c r="AE618" s="14">
        <v>410</v>
      </c>
      <c r="AH618" s="14">
        <v>2910</v>
      </c>
      <c r="AI618" s="19" t="e">
        <f>knicks_players_all_stats[[#This Row],[BLKPG]]+knicks_players_all_stats[[#This Row],[STLPG]]+knicks_players_all_stats[[#This Row],[REBPG]]</f>
        <v>#DIV/0!</v>
      </c>
    </row>
    <row r="619" spans="1:41" s="17" customFormat="1" x14ac:dyDescent="0.3">
      <c r="A619" s="13"/>
      <c r="B619" s="13"/>
      <c r="C619" s="13"/>
      <c r="D619" s="13"/>
      <c r="E619" s="14">
        <v>250</v>
      </c>
      <c r="F619" s="14"/>
      <c r="G619" s="14"/>
      <c r="H619" s="14"/>
      <c r="I619" s="14"/>
      <c r="J619" s="14"/>
      <c r="K619" s="14"/>
      <c r="L619" s="15"/>
      <c r="M619" s="14"/>
      <c r="N619" s="14"/>
      <c r="O619" s="15"/>
      <c r="P619" s="14"/>
      <c r="Q619" s="14"/>
      <c r="R619" s="16"/>
      <c r="S619" s="14"/>
      <c r="T619" s="14"/>
      <c r="U619" s="14"/>
      <c r="V619" s="14">
        <v>2160</v>
      </c>
      <c r="W619" s="14">
        <v>3570</v>
      </c>
      <c r="X619" s="14">
        <v>5730</v>
      </c>
      <c r="Y619" s="24" t="e">
        <f>knicks_players_all_stats[[#This Row],[REB]]/knicks_players_all_stats[[#This Row],[GP]]</f>
        <v>#DIV/0!</v>
      </c>
      <c r="Z619" s="14"/>
      <c r="AA619" s="14"/>
      <c r="AB619" s="14"/>
      <c r="AC619" s="14">
        <v>460</v>
      </c>
      <c r="AD619" s="14"/>
      <c r="AE619" s="14">
        <v>200</v>
      </c>
      <c r="AF619" s="14"/>
      <c r="AG619" s="14"/>
      <c r="AH619" s="14">
        <v>1010</v>
      </c>
      <c r="AI619" s="19" t="e">
        <f>knicks_players_all_stats[[#This Row],[BLKPG]]+knicks_players_all_stats[[#This Row],[STLPG]]+knicks_players_all_stats[[#This Row],[REBPG]]</f>
        <v>#DIV/0!</v>
      </c>
      <c r="AJ619" s="14"/>
      <c r="AK619" s="14"/>
      <c r="AL619" s="14"/>
      <c r="AM619" s="14"/>
      <c r="AN619" s="14"/>
      <c r="AO619" s="14"/>
    </row>
    <row r="620" spans="1:41" s="17" customFormat="1" x14ac:dyDescent="0.3">
      <c r="A620" s="13"/>
      <c r="B620" s="13"/>
      <c r="C620" s="13"/>
      <c r="D620" s="13"/>
      <c r="E620" s="14">
        <v>260</v>
      </c>
      <c r="F620" s="14"/>
      <c r="G620" s="14"/>
      <c r="H620" s="14"/>
      <c r="I620" s="14"/>
      <c r="J620" s="14"/>
      <c r="K620" s="14"/>
      <c r="L620" s="15"/>
      <c r="M620" s="14"/>
      <c r="N620" s="14"/>
      <c r="O620" s="15"/>
      <c r="P620" s="14"/>
      <c r="Q620" s="14"/>
      <c r="R620" s="16"/>
      <c r="S620" s="14"/>
      <c r="T620" s="14"/>
      <c r="U620" s="14"/>
      <c r="V620" s="14">
        <v>2310</v>
      </c>
      <c r="W620" s="14">
        <v>4090</v>
      </c>
      <c r="X620" s="14">
        <v>6400</v>
      </c>
      <c r="Y620" s="24" t="e">
        <f>knicks_players_all_stats[[#This Row],[REB]]/knicks_players_all_stats[[#This Row],[GP]]</f>
        <v>#DIV/0!</v>
      </c>
      <c r="Z620" s="14"/>
      <c r="AA620" s="14"/>
      <c r="AB620" s="14"/>
      <c r="AC620" s="14">
        <v>430</v>
      </c>
      <c r="AD620" s="14"/>
      <c r="AE620" s="14">
        <v>190</v>
      </c>
      <c r="AF620" s="14"/>
      <c r="AG620" s="14"/>
      <c r="AH620" s="14">
        <v>1370</v>
      </c>
      <c r="AI620" s="19" t="e">
        <f>knicks_players_all_stats[[#This Row],[BLKPG]]+knicks_players_all_stats[[#This Row],[STLPG]]+knicks_players_all_stats[[#This Row],[REBPG]]</f>
        <v>#DIV/0!</v>
      </c>
      <c r="AJ620" s="14"/>
      <c r="AK620" s="14"/>
      <c r="AL620" s="14"/>
      <c r="AM620" s="14"/>
      <c r="AN620" s="14"/>
      <c r="AO620" s="14"/>
    </row>
    <row r="621" spans="1:41" s="17" customFormat="1" x14ac:dyDescent="0.3">
      <c r="A621" s="13"/>
      <c r="B621" s="13"/>
      <c r="C621" s="13"/>
      <c r="D621" s="13"/>
      <c r="E621" s="14">
        <v>270</v>
      </c>
      <c r="F621" s="14"/>
      <c r="G621" s="14"/>
      <c r="H621" s="14"/>
      <c r="I621" s="14"/>
      <c r="J621" s="14"/>
      <c r="K621" s="14"/>
      <c r="L621" s="15"/>
      <c r="M621" s="14"/>
      <c r="N621" s="14"/>
      <c r="O621" s="15"/>
      <c r="P621" s="14"/>
      <c r="Q621" s="14"/>
      <c r="R621" s="16"/>
      <c r="S621" s="14"/>
      <c r="T621" s="14"/>
      <c r="U621" s="14"/>
      <c r="V621" s="14">
        <v>1580</v>
      </c>
      <c r="W621" s="14">
        <v>2690</v>
      </c>
      <c r="X621" s="14">
        <v>4270</v>
      </c>
      <c r="Y621" s="24" t="e">
        <f>knicks_players_all_stats[[#This Row],[REB]]/knicks_players_all_stats[[#This Row],[GP]]</f>
        <v>#DIV/0!</v>
      </c>
      <c r="Z621" s="14"/>
      <c r="AA621" s="14"/>
      <c r="AB621" s="14"/>
      <c r="AC621" s="14">
        <v>310</v>
      </c>
      <c r="AD621" s="14"/>
      <c r="AE621" s="14">
        <v>90</v>
      </c>
      <c r="AF621" s="14"/>
      <c r="AG621" s="14"/>
      <c r="AH621" s="14">
        <v>1070</v>
      </c>
      <c r="AI621" s="19" t="e">
        <f>knicks_players_all_stats[[#This Row],[BLKPG]]+knicks_players_all_stats[[#This Row],[STLPG]]+knicks_players_all_stats[[#This Row],[REBPG]]</f>
        <v>#DIV/0!</v>
      </c>
      <c r="AJ621" s="14"/>
      <c r="AK621" s="14"/>
      <c r="AL621" s="14"/>
      <c r="AM621" s="14"/>
      <c r="AN621" s="14"/>
      <c r="AO621" s="14"/>
    </row>
    <row r="622" spans="1:41" s="17" customFormat="1" x14ac:dyDescent="0.3">
      <c r="A622" s="13"/>
      <c r="B622" s="13"/>
      <c r="C622" s="13"/>
      <c r="D622" s="13"/>
      <c r="E622" s="14">
        <v>280</v>
      </c>
      <c r="F622" s="14"/>
      <c r="G622" s="14"/>
      <c r="H622" s="14"/>
      <c r="I622" s="14"/>
      <c r="J622" s="14"/>
      <c r="K622" s="14"/>
      <c r="L622" s="15"/>
      <c r="M622" s="14"/>
      <c r="N622" s="14"/>
      <c r="O622" s="15"/>
      <c r="P622" s="14"/>
      <c r="Q622" s="14"/>
      <c r="R622" s="16"/>
      <c r="S622" s="14"/>
      <c r="T622" s="14"/>
      <c r="U622" s="14"/>
      <c r="V622" s="14">
        <v>1820</v>
      </c>
      <c r="W622" s="14">
        <v>4680</v>
      </c>
      <c r="X622" s="14">
        <v>6500</v>
      </c>
      <c r="Y622" s="24" t="e">
        <f>knicks_players_all_stats[[#This Row],[REB]]/knicks_players_all_stats[[#This Row],[GP]]</f>
        <v>#DIV/0!</v>
      </c>
      <c r="Z622" s="14"/>
      <c r="AA622" s="14"/>
      <c r="AB622" s="14"/>
      <c r="AC622" s="14">
        <v>690</v>
      </c>
      <c r="AD622" s="14"/>
      <c r="AE622" s="14">
        <v>210</v>
      </c>
      <c r="AF622" s="14"/>
      <c r="AG622" s="14"/>
      <c r="AH622" s="14">
        <v>1230</v>
      </c>
      <c r="AI622" s="19" t="e">
        <f>knicks_players_all_stats[[#This Row],[BLKPG]]+knicks_players_all_stats[[#This Row],[STLPG]]+knicks_players_all_stats[[#This Row],[REBPG]]</f>
        <v>#DIV/0!</v>
      </c>
      <c r="AJ622" s="14"/>
      <c r="AK622" s="14"/>
      <c r="AL622" s="14"/>
      <c r="AM622" s="14"/>
      <c r="AN622" s="14"/>
      <c r="AO622" s="14"/>
    </row>
    <row r="623" spans="1:41" s="14" customFormat="1" x14ac:dyDescent="0.3">
      <c r="A623" s="13"/>
      <c r="B623" s="13"/>
      <c r="C623" s="13"/>
      <c r="D623" s="13"/>
      <c r="E623" s="14">
        <v>290</v>
      </c>
      <c r="L623" s="15"/>
      <c r="O623" s="15"/>
      <c r="R623" s="16"/>
      <c r="V623" s="14">
        <v>2200</v>
      </c>
      <c r="W623" s="14">
        <v>5440</v>
      </c>
      <c r="X623" s="14">
        <v>7640</v>
      </c>
      <c r="Y623" s="24" t="e">
        <f>knicks_players_all_stats[[#This Row],[REB]]/knicks_players_all_stats[[#This Row],[GP]]</f>
        <v>#DIV/0!</v>
      </c>
      <c r="AC623" s="14">
        <v>690</v>
      </c>
      <c r="AE623" s="14">
        <v>340</v>
      </c>
      <c r="AH623" s="14">
        <v>2110</v>
      </c>
      <c r="AI623" s="19" t="e">
        <f>knicks_players_all_stats[[#This Row],[BLKPG]]+knicks_players_all_stats[[#This Row],[STLPG]]+knicks_players_all_stats[[#This Row],[REBPG]]</f>
        <v>#DIV/0!</v>
      </c>
    </row>
    <row r="624" spans="1:41" s="14" customFormat="1" x14ac:dyDescent="0.3">
      <c r="A624" s="13"/>
      <c r="B624" s="13"/>
      <c r="C624" s="13"/>
      <c r="D624" s="13"/>
      <c r="E624" s="14">
        <v>240</v>
      </c>
      <c r="L624" s="15"/>
      <c r="O624" s="15"/>
      <c r="R624" s="16"/>
      <c r="X624" s="14">
        <v>0</v>
      </c>
      <c r="Y624" s="24" t="e">
        <f>knicks_players_all_stats[[#This Row],[REB]]/knicks_players_all_stats[[#This Row],[GP]]</f>
        <v>#DIV/0!</v>
      </c>
      <c r="AI624" s="19" t="e">
        <f>knicks_players_all_stats[[#This Row],[BLKPG]]+knicks_players_all_stats[[#This Row],[STLPG]]+knicks_players_all_stats[[#This Row],[REBPG]]</f>
        <v>#DIV/0!</v>
      </c>
    </row>
    <row r="625" spans="1:41" s="14" customFormat="1" x14ac:dyDescent="0.3">
      <c r="A625" s="13"/>
      <c r="B625" s="13"/>
      <c r="C625" s="13"/>
      <c r="D625" s="13"/>
      <c r="E625" s="14">
        <v>270</v>
      </c>
      <c r="L625" s="15"/>
      <c r="O625" s="15"/>
      <c r="R625" s="16"/>
      <c r="V625" s="14">
        <v>360</v>
      </c>
      <c r="W625" s="14">
        <v>590</v>
      </c>
      <c r="X625" s="14">
        <v>950</v>
      </c>
      <c r="Y625" s="24" t="e">
        <f>knicks_players_all_stats[[#This Row],[REB]]/knicks_players_all_stats[[#This Row],[GP]]</f>
        <v>#DIV/0!</v>
      </c>
      <c r="AC625" s="14">
        <v>570</v>
      </c>
      <c r="AE625" s="14">
        <v>50</v>
      </c>
      <c r="AH625" s="14">
        <v>1090</v>
      </c>
      <c r="AI625" s="19" t="e">
        <f>knicks_players_all_stats[[#This Row],[BLKPG]]+knicks_players_all_stats[[#This Row],[STLPG]]+knicks_players_all_stats[[#This Row],[REBPG]]</f>
        <v>#DIV/0!</v>
      </c>
    </row>
    <row r="626" spans="1:41" s="14" customFormat="1" x14ac:dyDescent="0.3">
      <c r="A626" s="13"/>
      <c r="B626" s="13"/>
      <c r="C626" s="13"/>
      <c r="D626" s="13"/>
      <c r="E626" s="14">
        <v>280</v>
      </c>
      <c r="L626" s="15"/>
      <c r="O626" s="15"/>
      <c r="R626" s="16"/>
      <c r="V626" s="14">
        <v>20</v>
      </c>
      <c r="W626" s="14">
        <v>10</v>
      </c>
      <c r="X626" s="14">
        <v>30</v>
      </c>
      <c r="Y626" s="24" t="e">
        <f>knicks_players_all_stats[[#This Row],[REB]]/knicks_players_all_stats[[#This Row],[GP]]</f>
        <v>#DIV/0!</v>
      </c>
      <c r="AC626" s="14">
        <v>10</v>
      </c>
      <c r="AE626" s="14">
        <v>0</v>
      </c>
      <c r="AH626" s="14">
        <v>60</v>
      </c>
      <c r="AI626" s="19" t="e">
        <f>knicks_players_all_stats[[#This Row],[BLKPG]]+knicks_players_all_stats[[#This Row],[STLPG]]+knicks_players_all_stats[[#This Row],[REBPG]]</f>
        <v>#DIV/0!</v>
      </c>
    </row>
    <row r="627" spans="1:41" s="17" customFormat="1" x14ac:dyDescent="0.3">
      <c r="A627" s="13"/>
      <c r="B627" s="13"/>
      <c r="C627" s="13"/>
      <c r="D627" s="13"/>
      <c r="E627" s="14">
        <v>230</v>
      </c>
      <c r="F627" s="14"/>
      <c r="G627" s="14"/>
      <c r="H627" s="14"/>
      <c r="I627" s="14"/>
      <c r="J627" s="14"/>
      <c r="K627" s="14"/>
      <c r="L627" s="15"/>
      <c r="M627" s="14"/>
      <c r="N627" s="14"/>
      <c r="O627" s="15"/>
      <c r="P627" s="14"/>
      <c r="Q627" s="14"/>
      <c r="R627" s="16"/>
      <c r="S627" s="14"/>
      <c r="T627" s="14"/>
      <c r="U627" s="14"/>
      <c r="V627" s="14"/>
      <c r="W627" s="14"/>
      <c r="X627" s="14">
        <v>1580</v>
      </c>
      <c r="Y627" s="24" t="e">
        <f>knicks_players_all_stats[[#This Row],[REB]]/knicks_players_all_stats[[#This Row],[GP]]</f>
        <v>#DIV/0!</v>
      </c>
      <c r="Z627" s="14"/>
      <c r="AA627" s="14"/>
      <c r="AB627" s="14"/>
      <c r="AC627" s="14"/>
      <c r="AD627" s="14"/>
      <c r="AE627" s="14"/>
      <c r="AF627" s="14"/>
      <c r="AG627" s="14"/>
      <c r="AH627" s="14"/>
      <c r="AI627" s="19" t="e">
        <f>knicks_players_all_stats[[#This Row],[BLKPG]]+knicks_players_all_stats[[#This Row],[STLPG]]+knicks_players_all_stats[[#This Row],[REBPG]]</f>
        <v>#DIV/0!</v>
      </c>
      <c r="AJ627" s="14"/>
      <c r="AK627" s="14"/>
      <c r="AL627" s="14"/>
      <c r="AM627" s="14"/>
      <c r="AN627" s="14"/>
      <c r="AO627" s="14"/>
    </row>
    <row r="628" spans="1:41" s="17" customFormat="1" x14ac:dyDescent="0.3">
      <c r="A628" s="13"/>
      <c r="B628" s="13"/>
      <c r="C628" s="13"/>
      <c r="D628" s="13"/>
      <c r="E628" s="14">
        <v>220</v>
      </c>
      <c r="F628" s="14"/>
      <c r="G628" s="14"/>
      <c r="H628" s="14"/>
      <c r="I628" s="14"/>
      <c r="J628" s="14"/>
      <c r="K628" s="14"/>
      <c r="L628" s="15"/>
      <c r="M628" s="14"/>
      <c r="N628" s="14"/>
      <c r="O628" s="15"/>
      <c r="P628" s="14"/>
      <c r="Q628" s="14"/>
      <c r="R628" s="16"/>
      <c r="S628" s="14"/>
      <c r="T628" s="14"/>
      <c r="U628" s="14"/>
      <c r="V628" s="14"/>
      <c r="W628" s="14"/>
      <c r="X628" s="14">
        <v>940</v>
      </c>
      <c r="Y628" s="24" t="e">
        <f>knicks_players_all_stats[[#This Row],[REB]]/knicks_players_all_stats[[#This Row],[GP]]</f>
        <v>#DIV/0!</v>
      </c>
      <c r="Z628" s="14"/>
      <c r="AA628" s="14"/>
      <c r="AB628" s="14"/>
      <c r="AC628" s="14"/>
      <c r="AD628" s="14"/>
      <c r="AE628" s="14"/>
      <c r="AF628" s="14"/>
      <c r="AG628" s="14"/>
      <c r="AH628" s="14"/>
      <c r="AI628" s="19" t="e">
        <f>knicks_players_all_stats[[#This Row],[BLKPG]]+knicks_players_all_stats[[#This Row],[STLPG]]+knicks_players_all_stats[[#This Row],[REBPG]]</f>
        <v>#DIV/0!</v>
      </c>
      <c r="AJ628" s="14"/>
      <c r="AK628" s="14"/>
      <c r="AL628" s="14"/>
      <c r="AM628" s="14"/>
      <c r="AN628" s="14"/>
      <c r="AO628" s="14"/>
    </row>
    <row r="629" spans="1:41" s="17" customFormat="1" x14ac:dyDescent="0.3">
      <c r="A629" s="13"/>
      <c r="B629" s="13"/>
      <c r="C629" s="13"/>
      <c r="D629" s="13"/>
      <c r="E629" s="14">
        <v>230</v>
      </c>
      <c r="F629" s="14"/>
      <c r="G629" s="14"/>
      <c r="H629" s="14"/>
      <c r="I629" s="14"/>
      <c r="J629" s="14"/>
      <c r="K629" s="14"/>
      <c r="L629" s="15"/>
      <c r="M629" s="14"/>
      <c r="N629" s="14"/>
      <c r="O629" s="15"/>
      <c r="P629" s="14"/>
      <c r="Q629" s="14"/>
      <c r="R629" s="16"/>
      <c r="S629" s="14"/>
      <c r="T629" s="14"/>
      <c r="U629" s="14"/>
      <c r="V629" s="14"/>
      <c r="W629" s="14"/>
      <c r="X629" s="14">
        <v>630</v>
      </c>
      <c r="Y629" s="24" t="e">
        <f>knicks_players_all_stats[[#This Row],[REB]]/knicks_players_all_stats[[#This Row],[GP]]</f>
        <v>#DIV/0!</v>
      </c>
      <c r="Z629" s="14"/>
      <c r="AA629" s="14"/>
      <c r="AB629" s="14"/>
      <c r="AC629" s="14"/>
      <c r="AD629" s="14"/>
      <c r="AE629" s="14"/>
      <c r="AF629" s="14"/>
      <c r="AG629" s="14"/>
      <c r="AH629" s="14"/>
      <c r="AI629" s="19" t="e">
        <f>knicks_players_all_stats[[#This Row],[BLKPG]]+knicks_players_all_stats[[#This Row],[STLPG]]+knicks_players_all_stats[[#This Row],[REBPG]]</f>
        <v>#DIV/0!</v>
      </c>
      <c r="AJ629" s="14"/>
      <c r="AK629" s="14"/>
      <c r="AL629" s="14"/>
      <c r="AM629" s="14"/>
      <c r="AN629" s="14"/>
      <c r="AO629" s="14"/>
    </row>
    <row r="630" spans="1:41" s="17" customFormat="1" x14ac:dyDescent="0.3">
      <c r="A630" s="13"/>
      <c r="B630" s="13"/>
      <c r="C630" s="13"/>
      <c r="D630" s="13"/>
      <c r="E630" s="14">
        <v>260</v>
      </c>
      <c r="F630" s="14"/>
      <c r="G630" s="14"/>
      <c r="H630" s="14"/>
      <c r="I630" s="14"/>
      <c r="J630" s="14"/>
      <c r="K630" s="14"/>
      <c r="L630" s="15"/>
      <c r="M630" s="14"/>
      <c r="N630" s="14"/>
      <c r="O630" s="15"/>
      <c r="P630" s="14"/>
      <c r="Q630" s="14"/>
      <c r="R630" s="16"/>
      <c r="S630" s="14"/>
      <c r="T630" s="14"/>
      <c r="U630" s="14"/>
      <c r="V630" s="14">
        <v>30</v>
      </c>
      <c r="W630" s="14">
        <v>0</v>
      </c>
      <c r="X630" s="14">
        <v>30</v>
      </c>
      <c r="Y630" s="24" t="e">
        <f>knicks_players_all_stats[[#This Row],[REB]]/knicks_players_all_stats[[#This Row],[GP]]</f>
        <v>#DIV/0!</v>
      </c>
      <c r="Z630" s="14"/>
      <c r="AA630" s="14"/>
      <c r="AB630" s="14"/>
      <c r="AC630" s="14">
        <v>0</v>
      </c>
      <c r="AD630" s="14"/>
      <c r="AE630" s="14">
        <v>10</v>
      </c>
      <c r="AF630" s="14"/>
      <c r="AG630" s="14"/>
      <c r="AH630" s="14">
        <v>0</v>
      </c>
      <c r="AI630" s="19" t="e">
        <f>knicks_players_all_stats[[#This Row],[BLKPG]]+knicks_players_all_stats[[#This Row],[STLPG]]+knicks_players_all_stats[[#This Row],[REBPG]]</f>
        <v>#DIV/0!</v>
      </c>
      <c r="AJ630" s="14"/>
      <c r="AK630" s="14"/>
      <c r="AL630" s="14"/>
      <c r="AM630" s="14"/>
      <c r="AN630" s="14"/>
      <c r="AO630" s="14"/>
    </row>
    <row r="631" spans="1:41" s="17" customFormat="1" x14ac:dyDescent="0.3">
      <c r="A631" s="13"/>
      <c r="B631" s="13"/>
      <c r="C631" s="13"/>
      <c r="D631" s="13"/>
      <c r="E631" s="14">
        <v>230</v>
      </c>
      <c r="F631" s="14"/>
      <c r="G631" s="14"/>
      <c r="H631" s="14"/>
      <c r="I631" s="14"/>
      <c r="J631" s="14"/>
      <c r="K631" s="14"/>
      <c r="L631" s="15"/>
      <c r="M631" s="14"/>
      <c r="N631" s="14"/>
      <c r="O631" s="15"/>
      <c r="P631" s="14"/>
      <c r="Q631" s="14"/>
      <c r="R631" s="16"/>
      <c r="S631" s="14"/>
      <c r="T631" s="14"/>
      <c r="U631" s="14"/>
      <c r="V631" s="14"/>
      <c r="W631" s="14"/>
      <c r="X631" s="14">
        <v>3310</v>
      </c>
      <c r="Y631" s="24" t="e">
        <f>knicks_players_all_stats[[#This Row],[REB]]/knicks_players_all_stats[[#This Row],[GP]]</f>
        <v>#DIV/0!</v>
      </c>
      <c r="Z631" s="14"/>
      <c r="AA631" s="14"/>
      <c r="AB631" s="14"/>
      <c r="AC631" s="14"/>
      <c r="AD631" s="14"/>
      <c r="AE631" s="14"/>
      <c r="AF631" s="14"/>
      <c r="AG631" s="14"/>
      <c r="AH631" s="14"/>
      <c r="AI631" s="19" t="e">
        <f>knicks_players_all_stats[[#This Row],[BLKPG]]+knicks_players_all_stats[[#This Row],[STLPG]]+knicks_players_all_stats[[#This Row],[REBPG]]</f>
        <v>#DIV/0!</v>
      </c>
      <c r="AJ631" s="14"/>
      <c r="AK631" s="14"/>
      <c r="AL631" s="14"/>
      <c r="AM631" s="14"/>
      <c r="AN631" s="14"/>
      <c r="AO631" s="14"/>
    </row>
    <row r="632" spans="1:41" s="17" customFormat="1" x14ac:dyDescent="0.3">
      <c r="A632" s="13"/>
      <c r="B632" s="13"/>
      <c r="C632" s="13"/>
      <c r="D632" s="13"/>
      <c r="E632" s="14">
        <v>240</v>
      </c>
      <c r="F632" s="14"/>
      <c r="G632" s="14"/>
      <c r="H632" s="14"/>
      <c r="I632" s="14"/>
      <c r="J632" s="14"/>
      <c r="K632" s="14"/>
      <c r="L632" s="15"/>
      <c r="M632" s="14"/>
      <c r="N632" s="14"/>
      <c r="O632" s="15"/>
      <c r="P632" s="14"/>
      <c r="Q632" s="14"/>
      <c r="R632" s="16"/>
      <c r="S632" s="14"/>
      <c r="T632" s="14"/>
      <c r="U632" s="14"/>
      <c r="V632" s="14"/>
      <c r="W632" s="14"/>
      <c r="X632" s="14">
        <v>580</v>
      </c>
      <c r="Y632" s="24" t="e">
        <f>knicks_players_all_stats[[#This Row],[REB]]/knicks_players_all_stats[[#This Row],[GP]]</f>
        <v>#DIV/0!</v>
      </c>
      <c r="Z632" s="14"/>
      <c r="AA632" s="14"/>
      <c r="AB632" s="14"/>
      <c r="AC632" s="14"/>
      <c r="AD632" s="14"/>
      <c r="AE632" s="14"/>
      <c r="AF632" s="14"/>
      <c r="AG632" s="14"/>
      <c r="AH632" s="14"/>
      <c r="AI632" s="19" t="e">
        <f>knicks_players_all_stats[[#This Row],[BLKPG]]+knicks_players_all_stats[[#This Row],[STLPG]]+knicks_players_all_stats[[#This Row],[REBPG]]</f>
        <v>#DIV/0!</v>
      </c>
      <c r="AJ632" s="14"/>
      <c r="AK632" s="14"/>
      <c r="AL632" s="14"/>
      <c r="AM632" s="14"/>
      <c r="AN632" s="14"/>
      <c r="AO632" s="14"/>
    </row>
    <row r="633" spans="1:41" s="14" customFormat="1" x14ac:dyDescent="0.3">
      <c r="A633" s="13"/>
      <c r="B633" s="13"/>
      <c r="C633" s="13"/>
      <c r="D633" s="13"/>
      <c r="E633" s="14">
        <v>240</v>
      </c>
      <c r="L633" s="15"/>
      <c r="O633" s="15"/>
      <c r="R633" s="16"/>
      <c r="X633" s="14">
        <v>930</v>
      </c>
      <c r="Y633" s="24" t="e">
        <f>knicks_players_all_stats[[#This Row],[REB]]/knicks_players_all_stats[[#This Row],[GP]]</f>
        <v>#DIV/0!</v>
      </c>
      <c r="AI633" s="19" t="e">
        <f>knicks_players_all_stats[[#This Row],[BLKPG]]+knicks_players_all_stats[[#This Row],[STLPG]]+knicks_players_all_stats[[#This Row],[REBPG]]</f>
        <v>#DIV/0!</v>
      </c>
    </row>
    <row r="634" spans="1:41" s="14" customFormat="1" x14ac:dyDescent="0.3">
      <c r="A634" s="13"/>
      <c r="B634" s="13"/>
      <c r="C634" s="13"/>
      <c r="D634" s="13"/>
      <c r="E634" s="14">
        <v>250</v>
      </c>
      <c r="L634" s="15"/>
      <c r="O634" s="15"/>
      <c r="R634" s="16"/>
      <c r="X634" s="14">
        <v>150</v>
      </c>
      <c r="Y634" s="24" t="e">
        <f>knicks_players_all_stats[[#This Row],[REB]]/knicks_players_all_stats[[#This Row],[GP]]</f>
        <v>#DIV/0!</v>
      </c>
      <c r="AI634" s="19" t="e">
        <f>knicks_players_all_stats[[#This Row],[BLKPG]]+knicks_players_all_stats[[#This Row],[STLPG]]+knicks_players_all_stats[[#This Row],[REBPG]]</f>
        <v>#DIV/0!</v>
      </c>
    </row>
    <row r="635" spans="1:41" s="14" customFormat="1" x14ac:dyDescent="0.3">
      <c r="A635" s="13"/>
      <c r="B635" s="13"/>
      <c r="C635" s="13"/>
      <c r="D635" s="13"/>
      <c r="E635" s="14">
        <v>280</v>
      </c>
      <c r="L635" s="15"/>
      <c r="O635" s="15"/>
      <c r="R635" s="16"/>
      <c r="V635" s="14">
        <v>60</v>
      </c>
      <c r="W635" s="14">
        <v>70</v>
      </c>
      <c r="X635" s="14">
        <v>130</v>
      </c>
      <c r="Y635" s="24" t="e">
        <f>knicks_players_all_stats[[#This Row],[REB]]/knicks_players_all_stats[[#This Row],[GP]]</f>
        <v>#DIV/0!</v>
      </c>
      <c r="AC635" s="14">
        <v>110</v>
      </c>
      <c r="AE635" s="14">
        <v>40</v>
      </c>
      <c r="AH635" s="14">
        <v>220</v>
      </c>
      <c r="AI635" s="19" t="e">
        <f>knicks_players_all_stats[[#This Row],[BLKPG]]+knicks_players_all_stats[[#This Row],[STLPG]]+knicks_players_all_stats[[#This Row],[REBPG]]</f>
        <v>#DIV/0!</v>
      </c>
    </row>
    <row r="636" spans="1:41" s="17" customFormat="1" x14ac:dyDescent="0.3">
      <c r="A636" s="18"/>
      <c r="B636" s="18"/>
      <c r="C636" s="18"/>
      <c r="D636" s="18"/>
      <c r="E636" s="14">
        <v>260</v>
      </c>
      <c r="I636" s="19"/>
      <c r="L636" s="20"/>
      <c r="O636" s="20"/>
      <c r="R636" s="21"/>
      <c r="V636" s="14">
        <v>80</v>
      </c>
      <c r="W636" s="14">
        <v>430</v>
      </c>
      <c r="X636" s="14">
        <v>510</v>
      </c>
      <c r="Y636" s="24" t="e">
        <f>knicks_players_all_stats[[#This Row],[REB]]/knicks_players_all_stats[[#This Row],[GP]]</f>
        <v>#DIV/0!</v>
      </c>
      <c r="AC636" s="17">
        <v>160</v>
      </c>
      <c r="AE636" s="14">
        <v>40</v>
      </c>
      <c r="AH636" s="14">
        <v>260</v>
      </c>
      <c r="AI636" s="19" t="e">
        <f>knicks_players_all_stats[[#This Row],[BLKPG]]+knicks_players_all_stats[[#This Row],[STLPG]]+knicks_players_all_stats[[#This Row],[REBPG]]</f>
        <v>#DIV/0!</v>
      </c>
    </row>
    <row r="637" spans="1:41" s="14" customFormat="1" x14ac:dyDescent="0.3">
      <c r="A637" s="13"/>
      <c r="B637" s="13"/>
      <c r="C637" s="13"/>
      <c r="D637" s="13"/>
      <c r="E637" s="14">
        <v>240</v>
      </c>
      <c r="L637" s="15"/>
      <c r="O637" s="15"/>
      <c r="R637" s="16"/>
      <c r="V637" s="14">
        <v>20</v>
      </c>
      <c r="W637" s="14">
        <v>50</v>
      </c>
      <c r="X637" s="14">
        <v>70</v>
      </c>
      <c r="Y637" s="24" t="e">
        <f>knicks_players_all_stats[[#This Row],[REB]]/knicks_players_all_stats[[#This Row],[GP]]</f>
        <v>#DIV/0!</v>
      </c>
      <c r="AC637" s="14">
        <v>40</v>
      </c>
      <c r="AE637" s="14">
        <v>20</v>
      </c>
      <c r="AH637" s="14">
        <v>70</v>
      </c>
      <c r="AI637" s="19" t="e">
        <f>knicks_players_all_stats[[#This Row],[BLKPG]]+knicks_players_all_stats[[#This Row],[STLPG]]+knicks_players_all_stats[[#This Row],[REBPG]]</f>
        <v>#DIV/0!</v>
      </c>
    </row>
    <row r="638" spans="1:41" s="14" customFormat="1" x14ac:dyDescent="0.3">
      <c r="A638" s="13"/>
      <c r="B638" s="13"/>
      <c r="C638" s="13"/>
      <c r="D638" s="13"/>
      <c r="E638" s="14">
        <v>260</v>
      </c>
      <c r="L638" s="15"/>
      <c r="O638" s="15"/>
      <c r="R638" s="16"/>
      <c r="Y638" s="24" t="e">
        <f>knicks_players_all_stats[[#This Row],[REB]]/knicks_players_all_stats[[#This Row],[GP]]</f>
        <v>#DIV/0!</v>
      </c>
      <c r="AI638" s="19" t="e">
        <f>knicks_players_all_stats[[#This Row],[BLKPG]]+knicks_players_all_stats[[#This Row],[STLPG]]+knicks_players_all_stats[[#This Row],[REBPG]]</f>
        <v>#DIV/0!</v>
      </c>
    </row>
    <row r="639" spans="1:41" s="14" customFormat="1" x14ac:dyDescent="0.3">
      <c r="A639" s="18"/>
      <c r="B639" s="18"/>
      <c r="C639" s="18"/>
      <c r="D639" s="18"/>
      <c r="E639" s="14">
        <v>200</v>
      </c>
      <c r="F639" s="17"/>
      <c r="G639" s="17"/>
      <c r="H639" s="17"/>
      <c r="I639" s="19"/>
      <c r="J639" s="17"/>
      <c r="K639" s="17"/>
      <c r="L639" s="20"/>
      <c r="M639" s="17"/>
      <c r="N639" s="17"/>
      <c r="O639" s="20"/>
      <c r="P639" s="17"/>
      <c r="Q639" s="17"/>
      <c r="R639" s="21"/>
      <c r="S639" s="17"/>
      <c r="T639" s="17"/>
      <c r="U639" s="17"/>
      <c r="V639" s="14">
        <v>500</v>
      </c>
      <c r="W639" s="14">
        <v>2290</v>
      </c>
      <c r="X639" s="14">
        <v>2790</v>
      </c>
      <c r="Y639" s="24" t="e">
        <f>knicks_players_all_stats[[#This Row],[REB]]/knicks_players_all_stats[[#This Row],[GP]]</f>
        <v>#DIV/0!</v>
      </c>
      <c r="Z639" s="17"/>
      <c r="AA639" s="17"/>
      <c r="AB639" s="17"/>
      <c r="AC639" s="17">
        <v>550</v>
      </c>
      <c r="AD639" s="17"/>
      <c r="AE639" s="14">
        <v>170</v>
      </c>
      <c r="AF639" s="17"/>
      <c r="AG639" s="17"/>
      <c r="AH639" s="14">
        <v>1240</v>
      </c>
      <c r="AI639" s="19" t="e">
        <f>knicks_players_all_stats[[#This Row],[BLKPG]]+knicks_players_all_stats[[#This Row],[STLPG]]+knicks_players_all_stats[[#This Row],[REBPG]]</f>
        <v>#DIV/0!</v>
      </c>
      <c r="AJ639" s="17"/>
      <c r="AK639" s="17"/>
      <c r="AL639" s="17"/>
      <c r="AM639" s="17"/>
      <c r="AN639" s="17"/>
      <c r="AO639" s="17"/>
    </row>
    <row r="640" spans="1:41" s="14" customFormat="1" x14ac:dyDescent="0.3">
      <c r="A640" s="13"/>
      <c r="B640" s="13"/>
      <c r="C640" s="13"/>
      <c r="D640" s="13"/>
      <c r="E640" s="14">
        <v>310</v>
      </c>
      <c r="L640" s="15"/>
      <c r="O640" s="15"/>
      <c r="R640" s="16"/>
      <c r="V640" s="14">
        <v>590</v>
      </c>
      <c r="W640" s="14">
        <v>960</v>
      </c>
      <c r="X640" s="14">
        <v>1550</v>
      </c>
      <c r="Y640" s="24" t="e">
        <f>knicks_players_all_stats[[#This Row],[REB]]/knicks_players_all_stats[[#This Row],[GP]]</f>
        <v>#DIV/0!</v>
      </c>
      <c r="AC640" s="14">
        <v>340</v>
      </c>
      <c r="AE640" s="14">
        <v>50</v>
      </c>
      <c r="AH640" s="14">
        <v>510</v>
      </c>
      <c r="AI640" s="19" t="e">
        <f>knicks_players_all_stats[[#This Row],[BLKPG]]+knicks_players_all_stats[[#This Row],[STLPG]]+knicks_players_all_stats[[#This Row],[REBPG]]</f>
        <v>#DIV/0!</v>
      </c>
    </row>
    <row r="641" spans="1:41" s="14" customFormat="1" x14ac:dyDescent="0.3">
      <c r="A641" s="13"/>
      <c r="B641" s="13"/>
      <c r="C641" s="13"/>
      <c r="D641" s="13"/>
      <c r="E641" s="14">
        <v>320</v>
      </c>
      <c r="L641" s="15"/>
      <c r="O641" s="15"/>
      <c r="R641" s="16"/>
      <c r="V641" s="14">
        <v>280</v>
      </c>
      <c r="W641" s="14">
        <v>320</v>
      </c>
      <c r="X641" s="14">
        <v>600</v>
      </c>
      <c r="Y641" s="24" t="e">
        <f>knicks_players_all_stats[[#This Row],[REB]]/knicks_players_all_stats[[#This Row],[GP]]</f>
        <v>#DIV/0!</v>
      </c>
      <c r="AC641" s="14">
        <v>200</v>
      </c>
      <c r="AE641" s="14">
        <v>10</v>
      </c>
      <c r="AH641" s="14">
        <v>290</v>
      </c>
      <c r="AI641" s="19" t="e">
        <f>knicks_players_all_stats[[#This Row],[BLKPG]]+knicks_players_all_stats[[#This Row],[STLPG]]+knicks_players_all_stats[[#This Row],[REBPG]]</f>
        <v>#DIV/0!</v>
      </c>
    </row>
    <row r="642" spans="1:41" s="14" customFormat="1" x14ac:dyDescent="0.3">
      <c r="A642" s="13"/>
      <c r="B642" s="13"/>
      <c r="C642" s="13"/>
      <c r="D642" s="13"/>
      <c r="E642" s="14">
        <v>260</v>
      </c>
      <c r="L642" s="15"/>
      <c r="O642" s="15"/>
      <c r="R642" s="16"/>
      <c r="X642" s="14">
        <v>490</v>
      </c>
      <c r="Y642" s="24" t="e">
        <f>knicks_players_all_stats[[#This Row],[REB]]/knicks_players_all_stats[[#This Row],[GP]]</f>
        <v>#DIV/0!</v>
      </c>
      <c r="AI642" s="19" t="e">
        <f>knicks_players_all_stats[[#This Row],[BLKPG]]+knicks_players_all_stats[[#This Row],[STLPG]]+knicks_players_all_stats[[#This Row],[REBPG]]</f>
        <v>#DIV/0!</v>
      </c>
    </row>
    <row r="643" spans="1:41" s="14" customFormat="1" x14ac:dyDescent="0.3">
      <c r="A643" s="13"/>
      <c r="B643" s="13"/>
      <c r="C643" s="13"/>
      <c r="D643" s="13"/>
      <c r="E643" s="14">
        <v>300</v>
      </c>
      <c r="L643" s="15"/>
      <c r="O643" s="15"/>
      <c r="R643" s="16"/>
      <c r="V643" s="14">
        <v>290</v>
      </c>
      <c r="W643" s="14">
        <v>570</v>
      </c>
      <c r="X643" s="14">
        <v>860</v>
      </c>
      <c r="Y643" s="24" t="e">
        <f>knicks_players_all_stats[[#This Row],[REB]]/knicks_players_all_stats[[#This Row],[GP]]</f>
        <v>#DIV/0!</v>
      </c>
      <c r="AC643" s="14">
        <v>160</v>
      </c>
      <c r="AE643" s="14">
        <v>80</v>
      </c>
      <c r="AH643" s="14">
        <v>190</v>
      </c>
      <c r="AI643" s="19" t="e">
        <f>knicks_players_all_stats[[#This Row],[BLKPG]]+knicks_players_all_stats[[#This Row],[STLPG]]+knicks_players_all_stats[[#This Row],[REBPG]]</f>
        <v>#DIV/0!</v>
      </c>
    </row>
    <row r="644" spans="1:41" s="14" customFormat="1" x14ac:dyDescent="0.3">
      <c r="A644" s="13"/>
      <c r="B644" s="13"/>
      <c r="C644" s="13"/>
      <c r="D644" s="13"/>
      <c r="E644" s="14">
        <v>250</v>
      </c>
      <c r="L644" s="15"/>
      <c r="O644" s="15"/>
      <c r="R644" s="16"/>
      <c r="V644" s="14">
        <v>1020</v>
      </c>
      <c r="W644" s="14">
        <v>1510</v>
      </c>
      <c r="X644" s="14">
        <v>2530</v>
      </c>
      <c r="Y644" s="24" t="e">
        <f>knicks_players_all_stats[[#This Row],[REB]]/knicks_players_all_stats[[#This Row],[GP]]</f>
        <v>#DIV/0!</v>
      </c>
      <c r="AC644" s="14">
        <v>290</v>
      </c>
      <c r="AE644" s="14">
        <v>740</v>
      </c>
      <c r="AH644" s="14">
        <v>390</v>
      </c>
      <c r="AI644" s="19" t="e">
        <f>knicks_players_all_stats[[#This Row],[BLKPG]]+knicks_players_all_stats[[#This Row],[STLPG]]+knicks_players_all_stats[[#This Row],[REBPG]]</f>
        <v>#DIV/0!</v>
      </c>
    </row>
    <row r="645" spans="1:41" s="14" customFormat="1" x14ac:dyDescent="0.3">
      <c r="A645" s="13"/>
      <c r="B645" s="13"/>
      <c r="C645" s="13"/>
      <c r="D645" s="13"/>
      <c r="E645" s="14">
        <v>260</v>
      </c>
      <c r="L645" s="15"/>
      <c r="O645" s="15"/>
      <c r="R645" s="16"/>
      <c r="V645" s="14">
        <v>1740</v>
      </c>
      <c r="W645" s="14">
        <v>2870</v>
      </c>
      <c r="X645" s="14">
        <v>4610</v>
      </c>
      <c r="Y645" s="24" t="e">
        <f>knicks_players_all_stats[[#This Row],[REB]]/knicks_players_all_stats[[#This Row],[GP]]</f>
        <v>#DIV/0!</v>
      </c>
      <c r="AC645" s="14">
        <v>430</v>
      </c>
      <c r="AE645" s="14">
        <v>1160</v>
      </c>
      <c r="AH645" s="14">
        <v>720</v>
      </c>
      <c r="AI645" s="19" t="e">
        <f>knicks_players_all_stats[[#This Row],[BLKPG]]+knicks_players_all_stats[[#This Row],[STLPG]]+knicks_players_all_stats[[#This Row],[REBPG]]</f>
        <v>#DIV/0!</v>
      </c>
    </row>
    <row r="646" spans="1:41" s="17" customFormat="1" x14ac:dyDescent="0.3">
      <c r="A646" s="13"/>
      <c r="B646" s="13"/>
      <c r="C646" s="13"/>
      <c r="D646" s="13"/>
      <c r="E646" s="14">
        <v>240</v>
      </c>
      <c r="F646" s="14"/>
      <c r="G646" s="14"/>
      <c r="H646" s="14"/>
      <c r="I646" s="14"/>
      <c r="J646" s="14"/>
      <c r="K646" s="14"/>
      <c r="L646" s="15"/>
      <c r="M646" s="14"/>
      <c r="N646" s="14"/>
      <c r="O646" s="15"/>
      <c r="P646" s="14"/>
      <c r="Q646" s="14"/>
      <c r="R646" s="16"/>
      <c r="S646" s="14"/>
      <c r="T646" s="14"/>
      <c r="U646" s="14"/>
      <c r="V646" s="14"/>
      <c r="W646" s="14"/>
      <c r="X646" s="14">
        <v>7290</v>
      </c>
      <c r="Y646" s="24" t="e">
        <f>knicks_players_all_stats[[#This Row],[REB]]/knicks_players_all_stats[[#This Row],[GP]]</f>
        <v>#DIV/0!</v>
      </c>
      <c r="Z646" s="14"/>
      <c r="AA646" s="14"/>
      <c r="AB646" s="14"/>
      <c r="AC646" s="14"/>
      <c r="AD646" s="14"/>
      <c r="AE646" s="14"/>
      <c r="AF646" s="14"/>
      <c r="AG646" s="14"/>
      <c r="AH646" s="14"/>
      <c r="AI646" s="19" t="e">
        <f>knicks_players_all_stats[[#This Row],[BLKPG]]+knicks_players_all_stats[[#This Row],[STLPG]]+knicks_players_all_stats[[#This Row],[REBPG]]</f>
        <v>#DIV/0!</v>
      </c>
      <c r="AJ646" s="14"/>
      <c r="AK646" s="14"/>
      <c r="AL646" s="14"/>
      <c r="AM646" s="14"/>
      <c r="AN646" s="14"/>
      <c r="AO646" s="14"/>
    </row>
    <row r="647" spans="1:41" s="17" customFormat="1" x14ac:dyDescent="0.3">
      <c r="A647" s="13"/>
      <c r="B647" s="13"/>
      <c r="C647" s="13"/>
      <c r="D647" s="13"/>
      <c r="E647" s="14">
        <v>250</v>
      </c>
      <c r="F647" s="14"/>
      <c r="G647" s="14"/>
      <c r="H647" s="14"/>
      <c r="I647" s="14"/>
      <c r="J647" s="14"/>
      <c r="K647" s="14"/>
      <c r="L647" s="15"/>
      <c r="M647" s="14"/>
      <c r="N647" s="14"/>
      <c r="O647" s="15"/>
      <c r="P647" s="14"/>
      <c r="Q647" s="14"/>
      <c r="R647" s="16"/>
      <c r="S647" s="14"/>
      <c r="T647" s="14"/>
      <c r="U647" s="14"/>
      <c r="V647" s="14"/>
      <c r="W647" s="14"/>
      <c r="X647" s="14">
        <v>720</v>
      </c>
      <c r="Y647" s="24" t="e">
        <f>knicks_players_all_stats[[#This Row],[REB]]/knicks_players_all_stats[[#This Row],[GP]]</f>
        <v>#DIV/0!</v>
      </c>
      <c r="Z647" s="14"/>
      <c r="AA647" s="14"/>
      <c r="AB647" s="14"/>
      <c r="AC647" s="14"/>
      <c r="AD647" s="14"/>
      <c r="AE647" s="14"/>
      <c r="AF647" s="14"/>
      <c r="AG647" s="14"/>
      <c r="AH647" s="14"/>
      <c r="AI647" s="19" t="e">
        <f>knicks_players_all_stats[[#This Row],[BLKPG]]+knicks_players_all_stats[[#This Row],[STLPG]]+knicks_players_all_stats[[#This Row],[REBPG]]</f>
        <v>#DIV/0!</v>
      </c>
      <c r="AJ647" s="14"/>
      <c r="AK647" s="14"/>
      <c r="AL647" s="14"/>
      <c r="AM647" s="14"/>
      <c r="AN647" s="14"/>
      <c r="AO647" s="14"/>
    </row>
    <row r="648" spans="1:41" s="17" customFormat="1" x14ac:dyDescent="0.3">
      <c r="A648" s="13"/>
      <c r="B648" s="13"/>
      <c r="C648" s="13"/>
      <c r="D648" s="13"/>
      <c r="E648" s="14">
        <v>210</v>
      </c>
      <c r="F648" s="14"/>
      <c r="G648" s="14"/>
      <c r="H648" s="14"/>
      <c r="I648" s="14"/>
      <c r="J648" s="14"/>
      <c r="K648" s="14"/>
      <c r="L648" s="15"/>
      <c r="M648" s="14"/>
      <c r="N648" s="14"/>
      <c r="O648" s="15"/>
      <c r="P648" s="14"/>
      <c r="Q648" s="14"/>
      <c r="R648" s="16"/>
      <c r="S648" s="14"/>
      <c r="T648" s="14"/>
      <c r="U648" s="14"/>
      <c r="V648" s="14"/>
      <c r="W648" s="14"/>
      <c r="X648" s="14"/>
      <c r="Y648" s="24" t="e">
        <f>knicks_players_all_stats[[#This Row],[REB]]/knicks_players_all_stats[[#This Row],[GP]]</f>
        <v>#DIV/0!</v>
      </c>
      <c r="Z648" s="14"/>
      <c r="AA648" s="14"/>
      <c r="AB648" s="14"/>
      <c r="AC648" s="14"/>
      <c r="AD648" s="14"/>
      <c r="AE648" s="14"/>
      <c r="AF648" s="14"/>
      <c r="AG648" s="14"/>
      <c r="AH648" s="14"/>
      <c r="AI648" s="19" t="e">
        <f>knicks_players_all_stats[[#This Row],[BLKPG]]+knicks_players_all_stats[[#This Row],[STLPG]]+knicks_players_all_stats[[#This Row],[REBPG]]</f>
        <v>#DIV/0!</v>
      </c>
      <c r="AJ648" s="14"/>
      <c r="AK648" s="14"/>
      <c r="AL648" s="14"/>
      <c r="AM648" s="14"/>
      <c r="AN648" s="14"/>
      <c r="AO648" s="14"/>
    </row>
    <row r="649" spans="1:41" s="17" customFormat="1" x14ac:dyDescent="0.3">
      <c r="A649" s="13"/>
      <c r="B649" s="13"/>
      <c r="C649" s="13"/>
      <c r="D649" s="13"/>
      <c r="E649" s="14">
        <v>230</v>
      </c>
      <c r="F649" s="14"/>
      <c r="G649" s="14"/>
      <c r="H649" s="14"/>
      <c r="I649" s="14"/>
      <c r="J649" s="14"/>
      <c r="K649" s="14"/>
      <c r="L649" s="15"/>
      <c r="M649" s="14"/>
      <c r="N649" s="14"/>
      <c r="O649" s="15"/>
      <c r="P649" s="14"/>
      <c r="Q649" s="14"/>
      <c r="R649" s="16"/>
      <c r="S649" s="14"/>
      <c r="T649" s="14"/>
      <c r="U649" s="14"/>
      <c r="V649" s="14"/>
      <c r="W649" s="14"/>
      <c r="X649" s="14">
        <v>4300</v>
      </c>
      <c r="Y649" s="24" t="e">
        <f>knicks_players_all_stats[[#This Row],[REB]]/knicks_players_all_stats[[#This Row],[GP]]</f>
        <v>#DIV/0!</v>
      </c>
      <c r="Z649" s="14"/>
      <c r="AA649" s="14"/>
      <c r="AB649" s="14"/>
      <c r="AC649" s="14"/>
      <c r="AD649" s="14"/>
      <c r="AE649" s="14"/>
      <c r="AF649" s="14"/>
      <c r="AG649" s="14"/>
      <c r="AH649" s="14"/>
      <c r="AI649" s="19" t="e">
        <f>knicks_players_all_stats[[#This Row],[BLKPG]]+knicks_players_all_stats[[#This Row],[STLPG]]+knicks_players_all_stats[[#This Row],[REBPG]]</f>
        <v>#DIV/0!</v>
      </c>
      <c r="AJ649" s="14"/>
      <c r="AK649" s="14"/>
      <c r="AL649" s="14"/>
      <c r="AM649" s="14"/>
      <c r="AN649" s="14"/>
      <c r="AO649" s="14"/>
    </row>
    <row r="650" spans="1:41" s="14" customFormat="1" x14ac:dyDescent="0.3">
      <c r="A650" s="13"/>
      <c r="B650" s="13"/>
      <c r="C650" s="13"/>
      <c r="D650" s="13"/>
      <c r="E650" s="14">
        <v>240</v>
      </c>
      <c r="L650" s="15"/>
      <c r="O650" s="15"/>
      <c r="R650" s="16"/>
      <c r="X650" s="14">
        <v>150</v>
      </c>
      <c r="Y650" s="24" t="e">
        <f>knicks_players_all_stats[[#This Row],[REB]]/knicks_players_all_stats[[#This Row],[GP]]</f>
        <v>#DIV/0!</v>
      </c>
      <c r="AI650" s="19" t="e">
        <f>knicks_players_all_stats[[#This Row],[BLKPG]]+knicks_players_all_stats[[#This Row],[STLPG]]+knicks_players_all_stats[[#This Row],[REBPG]]</f>
        <v>#DIV/0!</v>
      </c>
    </row>
    <row r="651" spans="1:41" s="14" customFormat="1" x14ac:dyDescent="0.3">
      <c r="A651" s="13"/>
      <c r="B651" s="13"/>
      <c r="C651" s="13"/>
      <c r="D651" s="13"/>
      <c r="E651" s="14">
        <v>250</v>
      </c>
      <c r="L651" s="15"/>
      <c r="O651" s="15"/>
      <c r="R651" s="16"/>
      <c r="X651" s="14">
        <v>10</v>
      </c>
      <c r="Y651" s="24" t="e">
        <f>knicks_players_all_stats[[#This Row],[REB]]/knicks_players_all_stats[[#This Row],[GP]]</f>
        <v>#DIV/0!</v>
      </c>
      <c r="AI651" s="19" t="e">
        <f>knicks_players_all_stats[[#This Row],[BLKPG]]+knicks_players_all_stats[[#This Row],[STLPG]]+knicks_players_all_stats[[#This Row],[REBPG]]</f>
        <v>#DIV/0!</v>
      </c>
    </row>
    <row r="652" spans="1:41" s="14" customFormat="1" x14ac:dyDescent="0.3">
      <c r="A652" s="13"/>
      <c r="B652" s="13"/>
      <c r="C652" s="13"/>
      <c r="D652" s="13"/>
      <c r="E652" s="14">
        <v>260</v>
      </c>
      <c r="L652" s="15"/>
      <c r="O652" s="15"/>
      <c r="R652" s="16"/>
      <c r="V652" s="14">
        <v>50</v>
      </c>
      <c r="W652" s="14">
        <v>60</v>
      </c>
      <c r="X652" s="14">
        <v>110</v>
      </c>
      <c r="Y652" s="24" t="e">
        <f>knicks_players_all_stats[[#This Row],[REB]]/knicks_players_all_stats[[#This Row],[GP]]</f>
        <v>#DIV/0!</v>
      </c>
      <c r="AC652" s="14">
        <v>10</v>
      </c>
      <c r="AE652" s="14">
        <v>0</v>
      </c>
      <c r="AH652" s="14">
        <v>60</v>
      </c>
      <c r="AI652" s="19" t="e">
        <f>knicks_players_all_stats[[#This Row],[BLKPG]]+knicks_players_all_stats[[#This Row],[STLPG]]+knicks_players_all_stats[[#This Row],[REBPG]]</f>
        <v>#DIV/0!</v>
      </c>
    </row>
    <row r="653" spans="1:41" s="14" customFormat="1" x14ac:dyDescent="0.3">
      <c r="A653" s="18"/>
      <c r="B653" s="18"/>
      <c r="C653" s="18"/>
      <c r="D653" s="18"/>
      <c r="E653" s="14">
        <v>260</v>
      </c>
      <c r="F653" s="17"/>
      <c r="G653" s="17"/>
      <c r="H653" s="17"/>
      <c r="I653" s="19"/>
      <c r="J653" s="17"/>
      <c r="K653" s="17"/>
      <c r="L653" s="20"/>
      <c r="M653" s="17"/>
      <c r="N653" s="17"/>
      <c r="O653" s="20"/>
      <c r="P653" s="17"/>
      <c r="Q653" s="17"/>
      <c r="R653" s="21"/>
      <c r="S653" s="17"/>
      <c r="T653" s="17"/>
      <c r="U653" s="17"/>
      <c r="V653" s="14">
        <v>150</v>
      </c>
      <c r="W653" s="14">
        <v>470</v>
      </c>
      <c r="X653" s="14">
        <v>620</v>
      </c>
      <c r="Y653" s="24" t="e">
        <f>knicks_players_all_stats[[#This Row],[REB]]/knicks_players_all_stats[[#This Row],[GP]]</f>
        <v>#DIV/0!</v>
      </c>
      <c r="Z653" s="17"/>
      <c r="AA653" s="17"/>
      <c r="AB653" s="17"/>
      <c r="AC653" s="17">
        <v>210</v>
      </c>
      <c r="AD653" s="17"/>
      <c r="AE653" s="14">
        <v>50</v>
      </c>
      <c r="AF653" s="17"/>
      <c r="AG653" s="17"/>
      <c r="AH653" s="14">
        <v>290</v>
      </c>
      <c r="AI653" s="19" t="e">
        <f>knicks_players_all_stats[[#This Row],[BLKPG]]+knicks_players_all_stats[[#This Row],[STLPG]]+knicks_players_all_stats[[#This Row],[REBPG]]</f>
        <v>#DIV/0!</v>
      </c>
      <c r="AJ653" s="17"/>
      <c r="AK653" s="17"/>
      <c r="AL653" s="17"/>
      <c r="AM653" s="17"/>
      <c r="AN653" s="17"/>
      <c r="AO653" s="17"/>
    </row>
    <row r="654" spans="1:41" s="14" customFormat="1" x14ac:dyDescent="0.3">
      <c r="A654" s="13"/>
      <c r="B654" s="13"/>
      <c r="C654" s="13"/>
      <c r="D654" s="13"/>
      <c r="E654" s="14">
        <v>240</v>
      </c>
      <c r="L654" s="15"/>
      <c r="O654" s="15"/>
      <c r="R654" s="16"/>
      <c r="X654" s="14">
        <v>8180</v>
      </c>
      <c r="Y654" s="24" t="e">
        <f>knicks_players_all_stats[[#This Row],[REB]]/knicks_players_all_stats[[#This Row],[GP]]</f>
        <v>#DIV/0!</v>
      </c>
      <c r="AI654" s="19" t="e">
        <f>knicks_players_all_stats[[#This Row],[BLKPG]]+knicks_players_all_stats[[#This Row],[STLPG]]+knicks_players_all_stats[[#This Row],[REBPG]]</f>
        <v>#DIV/0!</v>
      </c>
    </row>
    <row r="655" spans="1:41" s="14" customFormat="1" x14ac:dyDescent="0.3">
      <c r="A655" s="13"/>
      <c r="B655" s="13"/>
      <c r="C655" s="13"/>
      <c r="D655" s="13"/>
      <c r="E655" s="14">
        <v>250</v>
      </c>
      <c r="L655" s="15"/>
      <c r="O655" s="15"/>
      <c r="R655" s="16"/>
      <c r="X655" s="14">
        <v>6230</v>
      </c>
      <c r="Y655" s="24" t="e">
        <f>knicks_players_all_stats[[#This Row],[REB]]/knicks_players_all_stats[[#This Row],[GP]]</f>
        <v>#DIV/0!</v>
      </c>
      <c r="AI655" s="19" t="e">
        <f>knicks_players_all_stats[[#This Row],[BLKPG]]+knicks_players_all_stats[[#This Row],[STLPG]]+knicks_players_all_stats[[#This Row],[REBPG]]</f>
        <v>#DIV/0!</v>
      </c>
    </row>
    <row r="656" spans="1:41" s="14" customFormat="1" x14ac:dyDescent="0.3">
      <c r="A656" s="13"/>
      <c r="B656" s="13"/>
      <c r="C656" s="13"/>
      <c r="D656" s="13"/>
      <c r="E656" s="14">
        <v>260</v>
      </c>
      <c r="L656" s="15"/>
      <c r="O656" s="15"/>
      <c r="R656" s="16"/>
      <c r="X656" s="14">
        <v>5870</v>
      </c>
      <c r="Y656" s="24" t="e">
        <f>knicks_players_all_stats[[#This Row],[REB]]/knicks_players_all_stats[[#This Row],[GP]]</f>
        <v>#DIV/0!</v>
      </c>
      <c r="AI656" s="19" t="e">
        <f>knicks_players_all_stats[[#This Row],[BLKPG]]+knicks_players_all_stats[[#This Row],[STLPG]]+knicks_players_all_stats[[#This Row],[REBPG]]</f>
        <v>#DIV/0!</v>
      </c>
    </row>
    <row r="657" spans="1:41" s="14" customFormat="1" x14ac:dyDescent="0.3">
      <c r="A657" s="13"/>
      <c r="B657" s="13"/>
      <c r="C657" s="13"/>
      <c r="D657" s="13"/>
      <c r="E657" s="14">
        <v>270</v>
      </c>
      <c r="L657" s="15"/>
      <c r="O657" s="15"/>
      <c r="R657" s="16"/>
      <c r="X657" s="14">
        <v>7470</v>
      </c>
      <c r="Y657" s="24" t="e">
        <f>knicks_players_all_stats[[#This Row],[REB]]/knicks_players_all_stats[[#This Row],[GP]]</f>
        <v>#DIV/0!</v>
      </c>
      <c r="AI657" s="19" t="e">
        <f>knicks_players_all_stats[[#This Row],[BLKPG]]+knicks_players_all_stats[[#This Row],[STLPG]]+knicks_players_all_stats[[#This Row],[REBPG]]</f>
        <v>#DIV/0!</v>
      </c>
    </row>
    <row r="658" spans="1:41" s="14" customFormat="1" x14ac:dyDescent="0.3">
      <c r="A658" s="13"/>
      <c r="B658" s="13"/>
      <c r="C658" s="13"/>
      <c r="D658" s="13"/>
      <c r="E658" s="14">
        <v>280</v>
      </c>
      <c r="L658" s="15"/>
      <c r="O658" s="15"/>
      <c r="R658" s="16"/>
      <c r="X658" s="14">
        <v>5690</v>
      </c>
      <c r="Y658" s="24" t="e">
        <f>knicks_players_all_stats[[#This Row],[REB]]/knicks_players_all_stats[[#This Row],[GP]]</f>
        <v>#DIV/0!</v>
      </c>
      <c r="AI658" s="19" t="e">
        <f>knicks_players_all_stats[[#This Row],[BLKPG]]+knicks_players_all_stats[[#This Row],[STLPG]]+knicks_players_all_stats[[#This Row],[REBPG]]</f>
        <v>#DIV/0!</v>
      </c>
    </row>
    <row r="659" spans="1:41" s="14" customFormat="1" x14ac:dyDescent="0.3">
      <c r="A659" s="13"/>
      <c r="B659" s="13"/>
      <c r="C659" s="13"/>
      <c r="D659" s="13"/>
      <c r="E659" s="14">
        <v>250</v>
      </c>
      <c r="L659" s="15"/>
      <c r="O659" s="15"/>
      <c r="R659" s="16"/>
      <c r="X659" s="14">
        <v>0</v>
      </c>
      <c r="Y659" s="24" t="e">
        <f>knicks_players_all_stats[[#This Row],[REB]]/knicks_players_all_stats[[#This Row],[GP]]</f>
        <v>#DIV/0!</v>
      </c>
      <c r="AI659" s="19" t="e">
        <f>knicks_players_all_stats[[#This Row],[BLKPG]]+knicks_players_all_stats[[#This Row],[STLPG]]+knicks_players_all_stats[[#This Row],[REBPG]]</f>
        <v>#DIV/0!</v>
      </c>
    </row>
    <row r="660" spans="1:41" s="14" customFormat="1" x14ac:dyDescent="0.3">
      <c r="A660" s="13"/>
      <c r="B660" s="13"/>
      <c r="C660" s="13"/>
      <c r="D660" s="13"/>
      <c r="E660" s="14">
        <v>260</v>
      </c>
      <c r="L660" s="15"/>
      <c r="O660" s="15"/>
      <c r="R660" s="16"/>
      <c r="Y660" s="24" t="e">
        <f>knicks_players_all_stats[[#This Row],[REB]]/knicks_players_all_stats[[#This Row],[GP]]</f>
        <v>#DIV/0!</v>
      </c>
      <c r="AI660" s="19" t="e">
        <f>knicks_players_all_stats[[#This Row],[BLKPG]]+knicks_players_all_stats[[#This Row],[STLPG]]+knicks_players_all_stats[[#This Row],[REBPG]]</f>
        <v>#DIV/0!</v>
      </c>
    </row>
    <row r="661" spans="1:41" s="14" customFormat="1" x14ac:dyDescent="0.3">
      <c r="A661" s="13"/>
      <c r="B661" s="13"/>
      <c r="C661" s="13"/>
      <c r="D661" s="13"/>
      <c r="E661" s="14">
        <v>270</v>
      </c>
      <c r="L661" s="15"/>
      <c r="O661" s="15"/>
      <c r="R661" s="16"/>
      <c r="X661" s="14">
        <v>1250</v>
      </c>
      <c r="Y661" s="24" t="e">
        <f>knicks_players_all_stats[[#This Row],[REB]]/knicks_players_all_stats[[#This Row],[GP]]</f>
        <v>#DIV/0!</v>
      </c>
      <c r="AI661" s="19" t="e">
        <f>knicks_players_all_stats[[#This Row],[BLKPG]]+knicks_players_all_stats[[#This Row],[STLPG]]+knicks_players_all_stats[[#This Row],[REBPG]]</f>
        <v>#DIV/0!</v>
      </c>
    </row>
    <row r="662" spans="1:41" s="14" customFormat="1" x14ac:dyDescent="0.3">
      <c r="A662" s="13"/>
      <c r="B662" s="13"/>
      <c r="C662" s="13"/>
      <c r="D662" s="13"/>
      <c r="E662" s="14">
        <v>280</v>
      </c>
      <c r="L662" s="15"/>
      <c r="O662" s="15"/>
      <c r="R662" s="16"/>
      <c r="X662" s="14">
        <v>1250</v>
      </c>
      <c r="Y662" s="24" t="e">
        <f>knicks_players_all_stats[[#This Row],[REB]]/knicks_players_all_stats[[#This Row],[GP]]</f>
        <v>#DIV/0!</v>
      </c>
      <c r="AI662" s="19" t="e">
        <f>knicks_players_all_stats[[#This Row],[BLKPG]]+knicks_players_all_stats[[#This Row],[STLPG]]+knicks_players_all_stats[[#This Row],[REBPG]]</f>
        <v>#DIV/0!</v>
      </c>
    </row>
    <row r="663" spans="1:41" s="14" customFormat="1" x14ac:dyDescent="0.3">
      <c r="A663" s="13"/>
      <c r="B663" s="13"/>
      <c r="C663" s="13"/>
      <c r="D663" s="13"/>
      <c r="E663" s="14">
        <v>220</v>
      </c>
      <c r="L663" s="15"/>
      <c r="O663" s="15"/>
      <c r="R663" s="16"/>
      <c r="X663" s="14">
        <v>3150</v>
      </c>
      <c r="Y663" s="24" t="e">
        <f>knicks_players_all_stats[[#This Row],[REB]]/knicks_players_all_stats[[#This Row],[GP]]</f>
        <v>#DIV/0!</v>
      </c>
      <c r="AI663" s="19" t="e">
        <f>knicks_players_all_stats[[#This Row],[BLKPG]]+knicks_players_all_stats[[#This Row],[STLPG]]+knicks_players_all_stats[[#This Row],[REBPG]]</f>
        <v>#DIV/0!</v>
      </c>
    </row>
    <row r="664" spans="1:41" s="14" customFormat="1" x14ac:dyDescent="0.3">
      <c r="A664" s="13"/>
      <c r="B664" s="13"/>
      <c r="C664" s="13"/>
      <c r="D664" s="13"/>
      <c r="E664" s="14">
        <v>230</v>
      </c>
      <c r="L664" s="15"/>
      <c r="O664" s="15"/>
      <c r="R664" s="16"/>
      <c r="X664" s="14">
        <v>3850</v>
      </c>
      <c r="Y664" s="24" t="e">
        <f>knicks_players_all_stats[[#This Row],[REB]]/knicks_players_all_stats[[#This Row],[GP]]</f>
        <v>#DIV/0!</v>
      </c>
      <c r="AI664" s="19" t="e">
        <f>knicks_players_all_stats[[#This Row],[BLKPG]]+knicks_players_all_stats[[#This Row],[STLPG]]+knicks_players_all_stats[[#This Row],[REBPG]]</f>
        <v>#DIV/0!</v>
      </c>
    </row>
    <row r="665" spans="1:41" s="14" customFormat="1" x14ac:dyDescent="0.3">
      <c r="A665" s="13"/>
      <c r="B665" s="13"/>
      <c r="C665" s="13"/>
      <c r="D665" s="13"/>
      <c r="E665" s="14">
        <v>240</v>
      </c>
      <c r="L665" s="15"/>
      <c r="O665" s="15"/>
      <c r="R665" s="16"/>
      <c r="Y665" s="24" t="e">
        <f>knicks_players_all_stats[[#This Row],[REB]]/knicks_players_all_stats[[#This Row],[GP]]</f>
        <v>#DIV/0!</v>
      </c>
      <c r="AI665" s="19" t="e">
        <f>knicks_players_all_stats[[#This Row],[BLKPG]]+knicks_players_all_stats[[#This Row],[STLPG]]+knicks_players_all_stats[[#This Row],[REBPG]]</f>
        <v>#DIV/0!</v>
      </c>
    </row>
    <row r="666" spans="1:41" s="14" customFormat="1" x14ac:dyDescent="0.3">
      <c r="A666" s="13"/>
      <c r="B666" s="13"/>
      <c r="C666" s="13"/>
      <c r="D666" s="13"/>
      <c r="E666" s="14">
        <v>250</v>
      </c>
      <c r="L666" s="15"/>
      <c r="O666" s="15"/>
      <c r="R666" s="16"/>
      <c r="Y666" s="24" t="e">
        <f>knicks_players_all_stats[[#This Row],[REB]]/knicks_players_all_stats[[#This Row],[GP]]</f>
        <v>#DIV/0!</v>
      </c>
      <c r="AI666" s="19" t="e">
        <f>knicks_players_all_stats[[#This Row],[BLKPG]]+knicks_players_all_stats[[#This Row],[STLPG]]+knicks_players_all_stats[[#This Row],[REBPG]]</f>
        <v>#DIV/0!</v>
      </c>
    </row>
    <row r="667" spans="1:41" s="14" customFormat="1" x14ac:dyDescent="0.3">
      <c r="A667" s="13"/>
      <c r="B667" s="13"/>
      <c r="C667" s="13"/>
      <c r="D667" s="13"/>
      <c r="E667" s="14">
        <v>260</v>
      </c>
      <c r="L667" s="15"/>
      <c r="O667" s="15"/>
      <c r="R667" s="16"/>
      <c r="X667" s="14">
        <v>0</v>
      </c>
      <c r="Y667" s="24" t="e">
        <f>knicks_players_all_stats[[#This Row],[REB]]/knicks_players_all_stats[[#This Row],[GP]]</f>
        <v>#DIV/0!</v>
      </c>
      <c r="AI667" s="19" t="e">
        <f>knicks_players_all_stats[[#This Row],[BLKPG]]+knicks_players_all_stats[[#This Row],[STLPG]]+knicks_players_all_stats[[#This Row],[REBPG]]</f>
        <v>#DIV/0!</v>
      </c>
    </row>
    <row r="668" spans="1:41" s="14" customFormat="1" x14ac:dyDescent="0.3">
      <c r="A668" s="13"/>
      <c r="B668" s="13"/>
      <c r="C668" s="13"/>
      <c r="D668" s="13"/>
      <c r="E668" s="14">
        <v>290</v>
      </c>
      <c r="L668" s="15"/>
      <c r="O668" s="15"/>
      <c r="R668" s="16"/>
      <c r="V668" s="14">
        <v>130</v>
      </c>
      <c r="W668" s="14">
        <v>470</v>
      </c>
      <c r="X668" s="14">
        <v>600</v>
      </c>
      <c r="Y668" s="24" t="e">
        <f>knicks_players_all_stats[[#This Row],[REB]]/knicks_players_all_stats[[#This Row],[GP]]</f>
        <v>#DIV/0!</v>
      </c>
      <c r="AC668" s="14">
        <v>170</v>
      </c>
      <c r="AE668" s="14">
        <v>80</v>
      </c>
      <c r="AH668" s="14">
        <v>240</v>
      </c>
      <c r="AI668" s="19" t="e">
        <f>knicks_players_all_stats[[#This Row],[BLKPG]]+knicks_players_all_stats[[#This Row],[STLPG]]+knicks_players_all_stats[[#This Row],[REBPG]]</f>
        <v>#DIV/0!</v>
      </c>
    </row>
    <row r="669" spans="1:41" s="14" customFormat="1" x14ac:dyDescent="0.3">
      <c r="A669" s="13"/>
      <c r="B669" s="13"/>
      <c r="C669" s="13"/>
      <c r="D669" s="13"/>
      <c r="E669" s="14">
        <v>300</v>
      </c>
      <c r="L669" s="15"/>
      <c r="O669" s="15"/>
      <c r="R669" s="16"/>
      <c r="V669" s="14">
        <v>2740</v>
      </c>
      <c r="W669" s="14">
        <v>6290</v>
      </c>
      <c r="X669" s="14">
        <v>9030</v>
      </c>
      <c r="Y669" s="24" t="e">
        <f>knicks_players_all_stats[[#This Row],[REB]]/knicks_players_all_stats[[#This Row],[GP]]</f>
        <v>#DIV/0!</v>
      </c>
      <c r="AC669" s="14">
        <v>680</v>
      </c>
      <c r="AE669" s="14">
        <v>700</v>
      </c>
      <c r="AH669" s="14">
        <v>1730</v>
      </c>
      <c r="AI669" s="19" t="e">
        <f>knicks_players_all_stats[[#This Row],[BLKPG]]+knicks_players_all_stats[[#This Row],[STLPG]]+knicks_players_all_stats[[#This Row],[REBPG]]</f>
        <v>#DIV/0!</v>
      </c>
    </row>
    <row r="670" spans="1:41" s="14" customFormat="1" x14ac:dyDescent="0.3">
      <c r="A670" s="13"/>
      <c r="B670" s="13"/>
      <c r="C670" s="13"/>
      <c r="D670" s="13"/>
      <c r="E670" s="14">
        <v>230</v>
      </c>
      <c r="L670" s="15"/>
      <c r="O670" s="15"/>
      <c r="R670" s="16"/>
      <c r="V670" s="14">
        <v>1240</v>
      </c>
      <c r="W670" s="14">
        <v>3270</v>
      </c>
      <c r="X670" s="14">
        <v>4510</v>
      </c>
      <c r="Y670" s="24" t="e">
        <f>knicks_players_all_stats[[#This Row],[REB]]/knicks_players_all_stats[[#This Row],[GP]]</f>
        <v>#DIV/0!</v>
      </c>
      <c r="AC670" s="14">
        <v>540</v>
      </c>
      <c r="AE670" s="14">
        <v>1030</v>
      </c>
      <c r="AH670" s="14">
        <v>1720</v>
      </c>
      <c r="AI670" s="19" t="e">
        <f>knicks_players_all_stats[[#This Row],[BLKPG]]+knicks_players_all_stats[[#This Row],[STLPG]]+knicks_players_all_stats[[#This Row],[REBPG]]</f>
        <v>#DIV/0!</v>
      </c>
    </row>
    <row r="671" spans="1:41" s="17" customFormat="1" x14ac:dyDescent="0.3">
      <c r="A671" s="13"/>
      <c r="B671" s="13"/>
      <c r="C671" s="13"/>
      <c r="D671" s="13"/>
      <c r="E671" s="14">
        <v>240</v>
      </c>
      <c r="F671" s="14"/>
      <c r="G671" s="14"/>
      <c r="H671" s="14"/>
      <c r="I671" s="14"/>
      <c r="J671" s="14"/>
      <c r="K671" s="14"/>
      <c r="L671" s="15"/>
      <c r="M671" s="14"/>
      <c r="N671" s="14"/>
      <c r="O671" s="15"/>
      <c r="P671" s="14"/>
      <c r="Q671" s="14"/>
      <c r="R671" s="16"/>
      <c r="S671" s="14"/>
      <c r="T671" s="14"/>
      <c r="U671" s="14"/>
      <c r="V671" s="14">
        <v>1570</v>
      </c>
      <c r="W671" s="14">
        <v>3980</v>
      </c>
      <c r="X671" s="14">
        <v>5550</v>
      </c>
      <c r="Y671" s="24" t="e">
        <f>knicks_players_all_stats[[#This Row],[REB]]/knicks_players_all_stats[[#This Row],[GP]]</f>
        <v>#DIV/0!</v>
      </c>
      <c r="Z671" s="14"/>
      <c r="AA671" s="14"/>
      <c r="AB671" s="14"/>
      <c r="AC671" s="14">
        <v>890</v>
      </c>
      <c r="AD671" s="14"/>
      <c r="AE671" s="14">
        <v>1470</v>
      </c>
      <c r="AF671" s="14"/>
      <c r="AG671" s="14"/>
      <c r="AH671" s="14">
        <v>2290</v>
      </c>
      <c r="AI671" s="19" t="e">
        <f>knicks_players_all_stats[[#This Row],[BLKPG]]+knicks_players_all_stats[[#This Row],[STLPG]]+knicks_players_all_stats[[#This Row],[REBPG]]</f>
        <v>#DIV/0!</v>
      </c>
      <c r="AJ671" s="14"/>
      <c r="AK671" s="14"/>
      <c r="AL671" s="14"/>
      <c r="AM671" s="14"/>
      <c r="AN671" s="14"/>
      <c r="AO671" s="14"/>
    </row>
    <row r="672" spans="1:41" s="17" customFormat="1" x14ac:dyDescent="0.3">
      <c r="A672" s="13"/>
      <c r="B672" s="13"/>
      <c r="C672" s="13"/>
      <c r="D672" s="13"/>
      <c r="E672" s="14">
        <v>250</v>
      </c>
      <c r="F672" s="14"/>
      <c r="G672" s="14"/>
      <c r="H672" s="14"/>
      <c r="I672" s="14"/>
      <c r="J672" s="14"/>
      <c r="K672" s="14"/>
      <c r="L672" s="15"/>
      <c r="M672" s="14"/>
      <c r="N672" s="14"/>
      <c r="O672" s="15"/>
      <c r="P672" s="14"/>
      <c r="Q672" s="14"/>
      <c r="R672" s="16"/>
      <c r="S672" s="14"/>
      <c r="T672" s="14"/>
      <c r="U672" s="14"/>
      <c r="V672" s="14">
        <v>2450</v>
      </c>
      <c r="W672" s="14">
        <v>4310</v>
      </c>
      <c r="X672" s="14">
        <v>6760</v>
      </c>
      <c r="Y672" s="24" t="e">
        <f>knicks_players_all_stats[[#This Row],[REB]]/knicks_players_all_stats[[#This Row],[GP]]</f>
        <v>#DIV/0!</v>
      </c>
      <c r="Z672" s="14"/>
      <c r="AA672" s="14"/>
      <c r="AB672" s="14"/>
      <c r="AC672" s="14">
        <v>1040</v>
      </c>
      <c r="AD672" s="14"/>
      <c r="AE672" s="14">
        <v>2450</v>
      </c>
      <c r="AF672" s="14"/>
      <c r="AG672" s="14"/>
      <c r="AH672" s="14">
        <v>2870</v>
      </c>
      <c r="AI672" s="19" t="e">
        <f>knicks_players_all_stats[[#This Row],[BLKPG]]+knicks_players_all_stats[[#This Row],[STLPG]]+knicks_players_all_stats[[#This Row],[REBPG]]</f>
        <v>#DIV/0!</v>
      </c>
      <c r="AJ672" s="14"/>
      <c r="AK672" s="14"/>
      <c r="AL672" s="14"/>
      <c r="AM672" s="14"/>
      <c r="AN672" s="14"/>
      <c r="AO672" s="14"/>
    </row>
    <row r="673" spans="1:41" s="17" customFormat="1" x14ac:dyDescent="0.3">
      <c r="A673" s="13"/>
      <c r="B673" s="13"/>
      <c r="C673" s="13"/>
      <c r="D673" s="13"/>
      <c r="E673" s="14">
        <v>260</v>
      </c>
      <c r="F673" s="14"/>
      <c r="G673" s="14"/>
      <c r="H673" s="14"/>
      <c r="I673" s="14"/>
      <c r="J673" s="14"/>
      <c r="K673" s="14"/>
      <c r="L673" s="15"/>
      <c r="M673" s="14"/>
      <c r="N673" s="14"/>
      <c r="O673" s="15"/>
      <c r="P673" s="14"/>
      <c r="Q673" s="14"/>
      <c r="R673" s="16"/>
      <c r="S673" s="14"/>
      <c r="T673" s="14"/>
      <c r="U673" s="14"/>
      <c r="V673" s="14">
        <v>2130</v>
      </c>
      <c r="W673" s="14">
        <v>5270</v>
      </c>
      <c r="X673" s="14">
        <v>7400</v>
      </c>
      <c r="Y673" s="24" t="e">
        <f>knicks_players_all_stats[[#This Row],[REB]]/knicks_players_all_stats[[#This Row],[GP]]</f>
        <v>#DIV/0!</v>
      </c>
      <c r="Z673" s="14"/>
      <c r="AA673" s="14"/>
      <c r="AB673" s="14"/>
      <c r="AC673" s="14">
        <v>1170</v>
      </c>
      <c r="AD673" s="14"/>
      <c r="AE673" s="14">
        <v>2810</v>
      </c>
      <c r="AF673" s="14"/>
      <c r="AG673" s="14"/>
      <c r="AH673" s="14">
        <v>2660</v>
      </c>
      <c r="AI673" s="19" t="e">
        <f>knicks_players_all_stats[[#This Row],[BLKPG]]+knicks_players_all_stats[[#This Row],[STLPG]]+knicks_players_all_stats[[#This Row],[REBPG]]</f>
        <v>#DIV/0!</v>
      </c>
      <c r="AJ673" s="14"/>
      <c r="AK673" s="14"/>
      <c r="AL673" s="14"/>
      <c r="AM673" s="14"/>
      <c r="AN673" s="14"/>
      <c r="AO673" s="14"/>
    </row>
    <row r="674" spans="1:41" s="14" customFormat="1" x14ac:dyDescent="0.3">
      <c r="A674" s="13"/>
      <c r="B674" s="13"/>
      <c r="C674" s="13"/>
      <c r="D674" s="13"/>
      <c r="E674" s="14">
        <v>270</v>
      </c>
      <c r="L674" s="15"/>
      <c r="O674" s="15"/>
      <c r="R674" s="16"/>
      <c r="V674" s="14">
        <v>2350</v>
      </c>
      <c r="W674" s="14">
        <v>6580</v>
      </c>
      <c r="X674" s="14">
        <v>8930</v>
      </c>
      <c r="Y674" s="24" t="e">
        <f>knicks_players_all_stats[[#This Row],[REB]]/knicks_players_all_stats[[#This Row],[GP]]</f>
        <v>#DIV/0!</v>
      </c>
      <c r="AC674" s="14">
        <v>780</v>
      </c>
      <c r="AE674" s="14">
        <v>3270</v>
      </c>
      <c r="AH674" s="14">
        <v>2780</v>
      </c>
      <c r="AI674" s="19" t="e">
        <f>knicks_players_all_stats[[#This Row],[BLKPG]]+knicks_players_all_stats[[#This Row],[STLPG]]+knicks_players_all_stats[[#This Row],[REBPG]]</f>
        <v>#DIV/0!</v>
      </c>
    </row>
    <row r="675" spans="1:41" s="14" customFormat="1" x14ac:dyDescent="0.3">
      <c r="A675" s="13"/>
      <c r="B675" s="13"/>
      <c r="C675" s="13"/>
      <c r="D675" s="13"/>
      <c r="E675" s="14">
        <v>280</v>
      </c>
      <c r="L675" s="15"/>
      <c r="O675" s="15"/>
      <c r="R675" s="16"/>
      <c r="V675" s="14">
        <v>1940</v>
      </c>
      <c r="W675" s="14">
        <v>7110</v>
      </c>
      <c r="X675" s="14">
        <v>9050</v>
      </c>
      <c r="Y675" s="24" t="e">
        <f>knicks_players_all_stats[[#This Row],[REB]]/knicks_players_all_stats[[#This Row],[GP]]</f>
        <v>#DIV/0!</v>
      </c>
      <c r="AC675" s="14">
        <v>800</v>
      </c>
      <c r="AE675" s="14">
        <v>2580</v>
      </c>
      <c r="AH675" s="14">
        <v>2910</v>
      </c>
      <c r="AI675" s="19" t="e">
        <f>knicks_players_all_stats[[#This Row],[BLKPG]]+knicks_players_all_stats[[#This Row],[STLPG]]+knicks_players_all_stats[[#This Row],[REBPG]]</f>
        <v>#DIV/0!</v>
      </c>
    </row>
    <row r="676" spans="1:41" s="14" customFormat="1" x14ac:dyDescent="0.3">
      <c r="A676" s="13"/>
      <c r="B676" s="13"/>
      <c r="C676" s="13"/>
      <c r="D676" s="13"/>
      <c r="E676" s="14">
        <v>290</v>
      </c>
      <c r="L676" s="15"/>
      <c r="O676" s="15"/>
      <c r="R676" s="16"/>
      <c r="V676" s="14">
        <v>2280</v>
      </c>
      <c r="W676" s="14">
        <v>6930</v>
      </c>
      <c r="X676" s="14">
        <v>9210</v>
      </c>
      <c r="Y676" s="24" t="e">
        <f>knicks_players_all_stats[[#This Row],[REB]]/knicks_players_all_stats[[#This Row],[GP]]</f>
        <v>#DIV/0!</v>
      </c>
      <c r="AC676" s="14">
        <v>880</v>
      </c>
      <c r="AE676" s="14">
        <v>2450</v>
      </c>
      <c r="AH676" s="14">
        <v>2090</v>
      </c>
      <c r="AI676" s="19" t="e">
        <f>knicks_players_all_stats[[#This Row],[BLKPG]]+knicks_players_all_stats[[#This Row],[STLPG]]+knicks_players_all_stats[[#This Row],[REBPG]]</f>
        <v>#DIV/0!</v>
      </c>
    </row>
    <row r="677" spans="1:41" s="14" customFormat="1" x14ac:dyDescent="0.3">
      <c r="A677" s="13"/>
      <c r="B677" s="13"/>
      <c r="C677" s="13"/>
      <c r="D677" s="13"/>
      <c r="E677" s="14">
        <v>300</v>
      </c>
      <c r="L677" s="15"/>
      <c r="O677" s="15"/>
      <c r="R677" s="16"/>
      <c r="V677" s="14">
        <v>1910</v>
      </c>
      <c r="W677" s="14">
        <v>7890</v>
      </c>
      <c r="X677" s="14">
        <v>9800</v>
      </c>
      <c r="Y677" s="24" t="e">
        <f>knicks_players_all_stats[[#This Row],[REB]]/knicks_players_all_stats[[#This Row],[GP]]</f>
        <v>#DIV/0!</v>
      </c>
      <c r="AC677" s="14">
        <v>740</v>
      </c>
      <c r="AE677" s="14">
        <v>1610</v>
      </c>
      <c r="AH677" s="14">
        <v>2650</v>
      </c>
      <c r="AI677" s="19" t="e">
        <f>knicks_players_all_stats[[#This Row],[BLKPG]]+knicks_players_all_stats[[#This Row],[STLPG]]+knicks_players_all_stats[[#This Row],[REBPG]]</f>
        <v>#DIV/0!</v>
      </c>
    </row>
    <row r="678" spans="1:41" s="14" customFormat="1" x14ac:dyDescent="0.3">
      <c r="A678" s="13"/>
      <c r="B678" s="13"/>
      <c r="C678" s="13"/>
      <c r="D678" s="13"/>
      <c r="E678" s="14">
        <v>310</v>
      </c>
      <c r="L678" s="15"/>
      <c r="O678" s="15"/>
      <c r="R678" s="16"/>
      <c r="V678" s="14">
        <v>2190</v>
      </c>
      <c r="W678" s="14">
        <v>6660</v>
      </c>
      <c r="X678" s="14">
        <v>8850</v>
      </c>
      <c r="Y678" s="24" t="e">
        <f>knicks_players_all_stats[[#This Row],[REB]]/knicks_players_all_stats[[#This Row],[GP]]</f>
        <v>#DIV/0!</v>
      </c>
      <c r="AC678" s="14">
        <v>900</v>
      </c>
      <c r="AE678" s="14">
        <v>2170</v>
      </c>
      <c r="AH678" s="14">
        <v>2600</v>
      </c>
      <c r="AI678" s="19" t="e">
        <f>knicks_players_all_stats[[#This Row],[BLKPG]]+knicks_players_all_stats[[#This Row],[STLPG]]+knicks_players_all_stats[[#This Row],[REBPG]]</f>
        <v>#DIV/0!</v>
      </c>
    </row>
    <row r="679" spans="1:41" s="14" customFormat="1" x14ac:dyDescent="0.3">
      <c r="A679" s="13"/>
      <c r="B679" s="13"/>
      <c r="C679" s="13"/>
      <c r="D679" s="13"/>
      <c r="E679" s="14">
        <v>320</v>
      </c>
      <c r="L679" s="15"/>
      <c r="O679" s="15"/>
      <c r="R679" s="16"/>
      <c r="V679" s="14">
        <v>1570</v>
      </c>
      <c r="W679" s="14">
        <v>7100</v>
      </c>
      <c r="X679" s="14">
        <v>8670</v>
      </c>
      <c r="Y679" s="24" t="e">
        <f>knicks_players_all_stats[[#This Row],[REB]]/knicks_players_all_stats[[#This Row],[GP]]</f>
        <v>#DIV/0!</v>
      </c>
      <c r="AC679" s="14">
        <v>680</v>
      </c>
      <c r="AE679" s="14">
        <v>1590</v>
      </c>
      <c r="AH679" s="14">
        <v>2560</v>
      </c>
      <c r="AI679" s="19" t="e">
        <f>knicks_players_all_stats[[#This Row],[BLKPG]]+knicks_players_all_stats[[#This Row],[STLPG]]+knicks_players_all_stats[[#This Row],[REBPG]]</f>
        <v>#DIV/0!</v>
      </c>
    </row>
    <row r="680" spans="1:41" s="17" customFormat="1" x14ac:dyDescent="0.3">
      <c r="A680" s="13"/>
      <c r="B680" s="13"/>
      <c r="C680" s="13"/>
      <c r="D680" s="13"/>
      <c r="E680" s="14">
        <v>330</v>
      </c>
      <c r="F680" s="14"/>
      <c r="G680" s="14"/>
      <c r="H680" s="14"/>
      <c r="I680" s="14"/>
      <c r="J680" s="14"/>
      <c r="K680" s="14"/>
      <c r="L680" s="15"/>
      <c r="M680" s="14"/>
      <c r="N680" s="14"/>
      <c r="O680" s="15"/>
      <c r="P680" s="14"/>
      <c r="Q680" s="14"/>
      <c r="R680" s="16"/>
      <c r="S680" s="14"/>
      <c r="T680" s="14"/>
      <c r="U680" s="14"/>
      <c r="V680" s="14">
        <v>1570</v>
      </c>
      <c r="W680" s="14">
        <v>6490</v>
      </c>
      <c r="X680" s="14">
        <v>8060</v>
      </c>
      <c r="Y680" s="24" t="e">
        <f>knicks_players_all_stats[[#This Row],[REB]]/knicks_players_all_stats[[#This Row],[GP]]</f>
        <v>#DIV/0!</v>
      </c>
      <c r="Z680" s="14"/>
      <c r="AA680" s="14"/>
      <c r="AB680" s="14"/>
      <c r="AC680" s="14">
        <v>680</v>
      </c>
      <c r="AD680" s="14"/>
      <c r="AE680" s="14">
        <v>1840</v>
      </c>
      <c r="AF680" s="14"/>
      <c r="AG680" s="14"/>
      <c r="AH680" s="14">
        <v>2210</v>
      </c>
      <c r="AI680" s="19" t="e">
        <f>knicks_players_all_stats[[#This Row],[BLKPG]]+knicks_players_all_stats[[#This Row],[STLPG]]+knicks_players_all_stats[[#This Row],[REBPG]]</f>
        <v>#DIV/0!</v>
      </c>
      <c r="AJ680" s="14"/>
      <c r="AK680" s="14"/>
      <c r="AL680" s="14"/>
      <c r="AM680" s="14"/>
      <c r="AN680" s="14"/>
      <c r="AO680" s="14"/>
    </row>
    <row r="681" spans="1:41" s="17" customFormat="1" x14ac:dyDescent="0.3">
      <c r="A681" s="13"/>
      <c r="B681" s="13"/>
      <c r="C681" s="13"/>
      <c r="D681" s="13"/>
      <c r="E681" s="14">
        <v>340</v>
      </c>
      <c r="F681" s="14"/>
      <c r="G681" s="14"/>
      <c r="H681" s="14"/>
      <c r="I681" s="14"/>
      <c r="J681" s="14"/>
      <c r="K681" s="14"/>
      <c r="L681" s="15"/>
      <c r="M681" s="14"/>
      <c r="N681" s="14"/>
      <c r="O681" s="15"/>
      <c r="P681" s="14"/>
      <c r="Q681" s="14"/>
      <c r="R681" s="16"/>
      <c r="S681" s="14"/>
      <c r="T681" s="14"/>
      <c r="U681" s="14"/>
      <c r="V681" s="14">
        <v>1750</v>
      </c>
      <c r="W681" s="14">
        <v>6590</v>
      </c>
      <c r="X681" s="14">
        <v>8340</v>
      </c>
      <c r="Y681" s="24" t="e">
        <f>knicks_players_all_stats[[#This Row],[REB]]/knicks_players_all_stats[[#This Row],[GP]]</f>
        <v>#DIV/0!</v>
      </c>
      <c r="Z681" s="14"/>
      <c r="AA681" s="14"/>
      <c r="AB681" s="14"/>
      <c r="AC681" s="14">
        <v>690</v>
      </c>
      <c r="AD681" s="14"/>
      <c r="AE681" s="14">
        <v>1890</v>
      </c>
      <c r="AF681" s="14"/>
      <c r="AG681" s="14"/>
      <c r="AH681" s="14">
        <v>2690</v>
      </c>
      <c r="AI681" s="19" t="e">
        <f>knicks_players_all_stats[[#This Row],[BLKPG]]+knicks_players_all_stats[[#This Row],[STLPG]]+knicks_players_all_stats[[#This Row],[REBPG]]</f>
        <v>#DIV/0!</v>
      </c>
      <c r="AJ681" s="14"/>
      <c r="AK681" s="14"/>
      <c r="AL681" s="14"/>
      <c r="AM681" s="14"/>
      <c r="AN681" s="14"/>
      <c r="AO681" s="14"/>
    </row>
    <row r="682" spans="1:41" s="17" customFormat="1" x14ac:dyDescent="0.3">
      <c r="A682" s="13"/>
      <c r="B682" s="13"/>
      <c r="C682" s="13"/>
      <c r="D682" s="13"/>
      <c r="E682" s="14">
        <v>350</v>
      </c>
      <c r="F682" s="14"/>
      <c r="G682" s="14"/>
      <c r="H682" s="14"/>
      <c r="I682" s="14"/>
      <c r="J682" s="14"/>
      <c r="K682" s="14"/>
      <c r="L682" s="15"/>
      <c r="M682" s="14"/>
      <c r="N682" s="14"/>
      <c r="O682" s="15"/>
      <c r="P682" s="14"/>
      <c r="Q682" s="14"/>
      <c r="R682" s="16"/>
      <c r="S682" s="14"/>
      <c r="T682" s="14"/>
      <c r="U682" s="14"/>
      <c r="V682" s="14">
        <v>590</v>
      </c>
      <c r="W682" s="14">
        <v>2060</v>
      </c>
      <c r="X682" s="14">
        <v>2650</v>
      </c>
      <c r="Y682" s="24" t="e">
        <f>knicks_players_all_stats[[#This Row],[REB]]/knicks_players_all_stats[[#This Row],[GP]]</f>
        <v>#DIV/0!</v>
      </c>
      <c r="Z682" s="14"/>
      <c r="AA682" s="14"/>
      <c r="AB682" s="14"/>
      <c r="AC682" s="14">
        <v>160</v>
      </c>
      <c r="AD682" s="14"/>
      <c r="AE682" s="14">
        <v>580</v>
      </c>
      <c r="AF682" s="14"/>
      <c r="AG682" s="14"/>
      <c r="AH682" s="14">
        <v>770</v>
      </c>
      <c r="AI682" s="19" t="e">
        <f>knicks_players_all_stats[[#This Row],[BLKPG]]+knicks_players_all_stats[[#This Row],[STLPG]]+knicks_players_all_stats[[#This Row],[REBPG]]</f>
        <v>#DIV/0!</v>
      </c>
      <c r="AJ682" s="14"/>
      <c r="AK682" s="14"/>
      <c r="AL682" s="14"/>
      <c r="AM682" s="14"/>
      <c r="AN682" s="14"/>
      <c r="AO682" s="14"/>
    </row>
    <row r="683" spans="1:41" s="17" customFormat="1" x14ac:dyDescent="0.3">
      <c r="A683" s="13"/>
      <c r="B683" s="13"/>
      <c r="C683" s="13"/>
      <c r="D683" s="13"/>
      <c r="E683" s="14">
        <v>360</v>
      </c>
      <c r="F683" s="14"/>
      <c r="G683" s="14"/>
      <c r="H683" s="14"/>
      <c r="I683" s="14"/>
      <c r="J683" s="14"/>
      <c r="K683" s="14"/>
      <c r="L683" s="15"/>
      <c r="M683" s="14"/>
      <c r="N683" s="14"/>
      <c r="O683" s="15"/>
      <c r="P683" s="14"/>
      <c r="Q683" s="14"/>
      <c r="R683" s="16"/>
      <c r="S683" s="14"/>
      <c r="T683" s="14"/>
      <c r="U683" s="14"/>
      <c r="V683" s="14">
        <v>740</v>
      </c>
      <c r="W683" s="14">
        <v>3030</v>
      </c>
      <c r="X683" s="14">
        <v>3770</v>
      </c>
      <c r="Y683" s="24" t="e">
        <f>knicks_players_all_stats[[#This Row],[REB]]/knicks_players_all_stats[[#This Row],[GP]]</f>
        <v>#DIV/0!</v>
      </c>
      <c r="Z683" s="14"/>
      <c r="AA683" s="14"/>
      <c r="AB683" s="14"/>
      <c r="AC683" s="14">
        <v>300</v>
      </c>
      <c r="AD683" s="14"/>
      <c r="AE683" s="14">
        <v>1000</v>
      </c>
      <c r="AF683" s="14"/>
      <c r="AG683" s="14"/>
      <c r="AH683" s="14">
        <v>990</v>
      </c>
      <c r="AI683" s="19" t="e">
        <f>knicks_players_all_stats[[#This Row],[BLKPG]]+knicks_players_all_stats[[#This Row],[STLPG]]+knicks_players_all_stats[[#This Row],[REBPG]]</f>
        <v>#DIV/0!</v>
      </c>
      <c r="AJ683" s="14"/>
      <c r="AK683" s="14"/>
      <c r="AL683" s="14"/>
      <c r="AM683" s="14"/>
      <c r="AN683" s="14"/>
      <c r="AO683" s="14"/>
    </row>
    <row r="684" spans="1:41" s="14" customFormat="1" x14ac:dyDescent="0.3">
      <c r="A684" s="13"/>
      <c r="B684" s="13"/>
      <c r="C684" s="13"/>
      <c r="D684" s="13"/>
      <c r="E684" s="14">
        <v>370</v>
      </c>
      <c r="L684" s="15"/>
      <c r="O684" s="15"/>
      <c r="R684" s="16"/>
      <c r="V684" s="14">
        <v>1400</v>
      </c>
      <c r="W684" s="14">
        <v>4640</v>
      </c>
      <c r="X684" s="14">
        <v>6040</v>
      </c>
      <c r="Y684" s="24" t="e">
        <f>knicks_players_all_stats[[#This Row],[REB]]/knicks_players_all_stats[[#This Row],[GP]]</f>
        <v>#DIV/0!</v>
      </c>
      <c r="AC684" s="14">
        <v>360</v>
      </c>
      <c r="AE684" s="14">
        <v>840</v>
      </c>
      <c r="AH684" s="14">
        <v>1420</v>
      </c>
      <c r="AI684" s="19" t="e">
        <f>knicks_players_all_stats[[#This Row],[BLKPG]]+knicks_players_all_stats[[#This Row],[STLPG]]+knicks_players_all_stats[[#This Row],[REBPG]]</f>
        <v>#DIV/0!</v>
      </c>
    </row>
    <row r="685" spans="1:41" s="14" customFormat="1" x14ac:dyDescent="0.3">
      <c r="A685" s="18"/>
      <c r="B685" s="18"/>
      <c r="C685" s="18"/>
      <c r="D685" s="18"/>
      <c r="E685" s="14">
        <v>250</v>
      </c>
      <c r="F685" s="17"/>
      <c r="G685" s="17"/>
      <c r="H685" s="17"/>
      <c r="I685" s="19"/>
      <c r="J685" s="17"/>
      <c r="K685" s="17"/>
      <c r="L685" s="20"/>
      <c r="M685" s="17"/>
      <c r="N685" s="17"/>
      <c r="O685" s="20"/>
      <c r="P685" s="17"/>
      <c r="Q685" s="17"/>
      <c r="R685" s="21"/>
      <c r="S685" s="17"/>
      <c r="T685" s="17"/>
      <c r="U685" s="17"/>
      <c r="V685" s="14">
        <v>340</v>
      </c>
      <c r="W685" s="14">
        <v>2280</v>
      </c>
      <c r="X685" s="14">
        <v>2620</v>
      </c>
      <c r="Y685" s="24" t="e">
        <f>knicks_players_all_stats[[#This Row],[REB]]/knicks_players_all_stats[[#This Row],[GP]]</f>
        <v>#DIV/0!</v>
      </c>
      <c r="Z685" s="17"/>
      <c r="AA685" s="17"/>
      <c r="AB685" s="17"/>
      <c r="AC685" s="17">
        <v>580</v>
      </c>
      <c r="AD685" s="17"/>
      <c r="AE685" s="14">
        <v>100</v>
      </c>
      <c r="AF685" s="17"/>
      <c r="AG685" s="17"/>
      <c r="AH685" s="14">
        <v>710</v>
      </c>
      <c r="AI685" s="19" t="e">
        <f>knicks_players_all_stats[[#This Row],[BLKPG]]+knicks_players_all_stats[[#This Row],[STLPG]]+knicks_players_all_stats[[#This Row],[REBPG]]</f>
        <v>#DIV/0!</v>
      </c>
      <c r="AJ685" s="17"/>
      <c r="AK685" s="17"/>
      <c r="AL685" s="17"/>
      <c r="AM685" s="17"/>
      <c r="AN685" s="17"/>
      <c r="AO685" s="17"/>
    </row>
    <row r="686" spans="1:41" s="14" customFormat="1" x14ac:dyDescent="0.3">
      <c r="A686" s="13"/>
      <c r="B686" s="13"/>
      <c r="C686" s="13"/>
      <c r="D686" s="13"/>
      <c r="E686" s="14">
        <v>320</v>
      </c>
      <c r="L686" s="15"/>
      <c r="O686" s="15"/>
      <c r="R686" s="16"/>
      <c r="X686" s="14">
        <v>10110</v>
      </c>
      <c r="Y686" s="24" t="e">
        <f>knicks_players_all_stats[[#This Row],[REB]]/knicks_players_all_stats[[#This Row],[GP]]</f>
        <v>#DIV/0!</v>
      </c>
      <c r="AI686" s="19" t="e">
        <f>knicks_players_all_stats[[#This Row],[BLKPG]]+knicks_players_all_stats[[#This Row],[STLPG]]+knicks_players_all_stats[[#This Row],[REBPG]]</f>
        <v>#DIV/0!</v>
      </c>
    </row>
    <row r="687" spans="1:41" s="14" customFormat="1" x14ac:dyDescent="0.3">
      <c r="A687" s="13"/>
      <c r="B687" s="13"/>
      <c r="C687" s="13"/>
      <c r="D687" s="13"/>
      <c r="E687" s="14">
        <v>330</v>
      </c>
      <c r="L687" s="15"/>
      <c r="O687" s="15"/>
      <c r="R687" s="16"/>
      <c r="X687" s="14">
        <v>5100</v>
      </c>
      <c r="Y687" s="24" t="e">
        <f>knicks_players_all_stats[[#This Row],[REB]]/knicks_players_all_stats[[#This Row],[GP]]</f>
        <v>#DIV/0!</v>
      </c>
      <c r="AI687" s="19" t="e">
        <f>knicks_players_all_stats[[#This Row],[BLKPG]]+knicks_players_all_stats[[#This Row],[STLPG]]+knicks_players_all_stats[[#This Row],[REBPG]]</f>
        <v>#DIV/0!</v>
      </c>
    </row>
    <row r="688" spans="1:41" s="14" customFormat="1" x14ac:dyDescent="0.3">
      <c r="A688" s="13"/>
      <c r="B688" s="13"/>
      <c r="C688" s="13"/>
      <c r="D688" s="13"/>
      <c r="E688" s="14">
        <v>340</v>
      </c>
      <c r="L688" s="15"/>
      <c r="O688" s="15"/>
      <c r="R688" s="16"/>
      <c r="V688" s="14">
        <v>620</v>
      </c>
      <c r="W688" s="14">
        <v>3120</v>
      </c>
      <c r="X688" s="14">
        <v>3740</v>
      </c>
      <c r="Y688" s="24" t="e">
        <f>knicks_players_all_stats[[#This Row],[REB]]/knicks_players_all_stats[[#This Row],[GP]]</f>
        <v>#DIV/0!</v>
      </c>
      <c r="AC688" s="14">
        <v>280</v>
      </c>
      <c r="AE688" s="14">
        <v>240</v>
      </c>
      <c r="AI688" s="19" t="e">
        <f>knicks_players_all_stats[[#This Row],[BLKPG]]+knicks_players_all_stats[[#This Row],[STLPG]]+knicks_players_all_stats[[#This Row],[REBPG]]</f>
        <v>#DIV/0!</v>
      </c>
    </row>
    <row r="689" spans="1:41" s="14" customFormat="1" x14ac:dyDescent="0.3">
      <c r="A689" s="13"/>
      <c r="B689" s="13"/>
      <c r="C689" s="13"/>
      <c r="D689" s="13"/>
      <c r="E689" s="14">
        <v>230</v>
      </c>
      <c r="L689" s="15"/>
      <c r="O689" s="15"/>
      <c r="R689" s="16"/>
      <c r="X689" s="14">
        <v>2980</v>
      </c>
      <c r="Y689" s="24" t="e">
        <f>knicks_players_all_stats[[#This Row],[REB]]/knicks_players_all_stats[[#This Row],[GP]]</f>
        <v>#DIV/0!</v>
      </c>
      <c r="AI689" s="19" t="e">
        <f>knicks_players_all_stats[[#This Row],[BLKPG]]+knicks_players_all_stats[[#This Row],[STLPG]]+knicks_players_all_stats[[#This Row],[REBPG]]</f>
        <v>#DIV/0!</v>
      </c>
    </row>
    <row r="690" spans="1:41" s="17" customFormat="1" x14ac:dyDescent="0.3">
      <c r="A690" s="13"/>
      <c r="B690" s="13"/>
      <c r="C690" s="13"/>
      <c r="D690" s="13"/>
      <c r="E690" s="14">
        <v>240</v>
      </c>
      <c r="F690" s="14"/>
      <c r="G690" s="14"/>
      <c r="H690" s="14"/>
      <c r="I690" s="14"/>
      <c r="J690" s="14"/>
      <c r="K690" s="14"/>
      <c r="L690" s="15"/>
      <c r="M690" s="14"/>
      <c r="N690" s="14"/>
      <c r="O690" s="15"/>
      <c r="P690" s="14"/>
      <c r="Q690" s="14"/>
      <c r="R690" s="16"/>
      <c r="S690" s="14"/>
      <c r="T690" s="14"/>
      <c r="U690" s="14"/>
      <c r="V690" s="14"/>
      <c r="W690" s="14"/>
      <c r="X690" s="14">
        <v>990</v>
      </c>
      <c r="Y690" s="24" t="e">
        <f>knicks_players_all_stats[[#This Row],[REB]]/knicks_players_all_stats[[#This Row],[GP]]</f>
        <v>#DIV/0!</v>
      </c>
      <c r="Z690" s="14"/>
      <c r="AA690" s="14"/>
      <c r="AB690" s="14"/>
      <c r="AC690" s="14"/>
      <c r="AD690" s="14"/>
      <c r="AE690" s="14"/>
      <c r="AF690" s="14"/>
      <c r="AG690" s="14"/>
      <c r="AH690" s="14"/>
      <c r="AI690" s="19" t="e">
        <f>knicks_players_all_stats[[#This Row],[BLKPG]]+knicks_players_all_stats[[#This Row],[STLPG]]+knicks_players_all_stats[[#This Row],[REBPG]]</f>
        <v>#DIV/0!</v>
      </c>
      <c r="AJ690" s="14"/>
      <c r="AK690" s="14"/>
      <c r="AL690" s="14"/>
      <c r="AM690" s="14"/>
      <c r="AN690" s="14"/>
      <c r="AO690" s="14"/>
    </row>
    <row r="691" spans="1:41" s="17" customFormat="1" x14ac:dyDescent="0.3">
      <c r="A691" s="13"/>
      <c r="B691" s="13"/>
      <c r="C691" s="13"/>
      <c r="D691" s="13"/>
      <c r="E691" s="14">
        <v>320</v>
      </c>
      <c r="F691" s="14"/>
      <c r="G691" s="14"/>
      <c r="H691" s="14"/>
      <c r="I691" s="14"/>
      <c r="J691" s="14"/>
      <c r="K691" s="14"/>
      <c r="L691" s="15"/>
      <c r="M691" s="14"/>
      <c r="N691" s="14"/>
      <c r="O691" s="15"/>
      <c r="P691" s="14"/>
      <c r="Q691" s="14"/>
      <c r="R691" s="16"/>
      <c r="S691" s="14"/>
      <c r="T691" s="14"/>
      <c r="U691" s="14"/>
      <c r="V691" s="14">
        <v>620</v>
      </c>
      <c r="W691" s="14">
        <v>1030</v>
      </c>
      <c r="X691" s="14">
        <v>1650</v>
      </c>
      <c r="Y691" s="24" t="e">
        <f>knicks_players_all_stats[[#This Row],[REB]]/knicks_players_all_stats[[#This Row],[GP]]</f>
        <v>#DIV/0!</v>
      </c>
      <c r="Z691" s="14"/>
      <c r="AA691" s="14"/>
      <c r="AB691" s="14"/>
      <c r="AC691" s="14">
        <v>290</v>
      </c>
      <c r="AD691" s="14"/>
      <c r="AE691" s="14">
        <v>300</v>
      </c>
      <c r="AF691" s="14"/>
      <c r="AG691" s="14"/>
      <c r="AH691" s="14">
        <v>460</v>
      </c>
      <c r="AI691" s="19" t="e">
        <f>knicks_players_all_stats[[#This Row],[BLKPG]]+knicks_players_all_stats[[#This Row],[STLPG]]+knicks_players_all_stats[[#This Row],[REBPG]]</f>
        <v>#DIV/0!</v>
      </c>
      <c r="AJ691" s="14"/>
      <c r="AK691" s="14"/>
      <c r="AL691" s="14"/>
      <c r="AM691" s="14"/>
      <c r="AN691" s="14"/>
      <c r="AO691" s="14"/>
    </row>
    <row r="692" spans="1:41" s="14" customFormat="1" x14ac:dyDescent="0.3">
      <c r="A692" s="13"/>
      <c r="B692" s="13"/>
      <c r="C692" s="13"/>
      <c r="D692" s="13"/>
      <c r="E692" s="14">
        <v>230</v>
      </c>
      <c r="L692" s="15"/>
      <c r="O692" s="15"/>
      <c r="R692" s="16"/>
      <c r="V692" s="14">
        <v>90</v>
      </c>
      <c r="W692" s="14">
        <v>190</v>
      </c>
      <c r="X692" s="14">
        <v>280</v>
      </c>
      <c r="Y692" s="24" t="e">
        <f>knicks_players_all_stats[[#This Row],[REB]]/knicks_players_all_stats[[#This Row],[GP]]</f>
        <v>#DIV/0!</v>
      </c>
      <c r="AC692" s="14">
        <v>10</v>
      </c>
      <c r="AE692" s="14">
        <v>20</v>
      </c>
      <c r="AH692" s="14">
        <v>170</v>
      </c>
      <c r="AI692" s="19" t="e">
        <f>knicks_players_all_stats[[#This Row],[BLKPG]]+knicks_players_all_stats[[#This Row],[STLPG]]+knicks_players_all_stats[[#This Row],[REBPG]]</f>
        <v>#DIV/0!</v>
      </c>
    </row>
    <row r="693" spans="1:41" s="14" customFormat="1" x14ac:dyDescent="0.3">
      <c r="A693" s="13"/>
      <c r="B693" s="13"/>
      <c r="C693" s="13"/>
      <c r="D693" s="13"/>
      <c r="E693" s="14">
        <v>240</v>
      </c>
      <c r="L693" s="15"/>
      <c r="O693" s="15"/>
      <c r="R693" s="16"/>
      <c r="V693" s="14">
        <v>30</v>
      </c>
      <c r="W693" s="14">
        <v>60</v>
      </c>
      <c r="X693" s="14">
        <v>90</v>
      </c>
      <c r="Y693" s="24" t="e">
        <f>knicks_players_all_stats[[#This Row],[REB]]/knicks_players_all_stats[[#This Row],[GP]]</f>
        <v>#DIV/0!</v>
      </c>
      <c r="AC693" s="14">
        <v>0</v>
      </c>
      <c r="AE693" s="14">
        <v>0</v>
      </c>
      <c r="AH693" s="14">
        <v>30</v>
      </c>
      <c r="AI693" s="19" t="e">
        <f>knicks_players_all_stats[[#This Row],[BLKPG]]+knicks_players_all_stats[[#This Row],[STLPG]]+knicks_players_all_stats[[#This Row],[REBPG]]</f>
        <v>#DIV/0!</v>
      </c>
    </row>
    <row r="694" spans="1:41" s="14" customFormat="1" x14ac:dyDescent="0.3">
      <c r="A694" s="13"/>
      <c r="B694" s="13"/>
      <c r="C694" s="13"/>
      <c r="D694" s="13"/>
      <c r="E694" s="14">
        <v>240</v>
      </c>
      <c r="L694" s="15"/>
      <c r="O694" s="15"/>
      <c r="R694" s="16"/>
      <c r="Y694" s="24" t="e">
        <f>knicks_players_all_stats[[#This Row],[REB]]/knicks_players_all_stats[[#This Row],[GP]]</f>
        <v>#DIV/0!</v>
      </c>
      <c r="AI694" s="19" t="e">
        <f>knicks_players_all_stats[[#This Row],[BLKPG]]+knicks_players_all_stats[[#This Row],[STLPG]]+knicks_players_all_stats[[#This Row],[REBPG]]</f>
        <v>#DIV/0!</v>
      </c>
    </row>
    <row r="695" spans="1:41" s="14" customFormat="1" x14ac:dyDescent="0.3">
      <c r="A695" s="13"/>
      <c r="B695" s="13"/>
      <c r="C695" s="13"/>
      <c r="D695" s="13"/>
      <c r="E695" s="14">
        <v>250</v>
      </c>
      <c r="L695" s="15"/>
      <c r="O695" s="15"/>
      <c r="R695" s="16"/>
      <c r="X695" s="14">
        <v>0</v>
      </c>
      <c r="Y695" s="24" t="e">
        <f>knicks_players_all_stats[[#This Row],[REB]]/knicks_players_all_stats[[#This Row],[GP]]</f>
        <v>#DIV/0!</v>
      </c>
      <c r="AI695" s="19" t="e">
        <f>knicks_players_all_stats[[#This Row],[BLKPG]]+knicks_players_all_stats[[#This Row],[STLPG]]+knicks_players_all_stats[[#This Row],[REBPG]]</f>
        <v>#DIV/0!</v>
      </c>
    </row>
    <row r="696" spans="1:41" s="14" customFormat="1" x14ac:dyDescent="0.3">
      <c r="A696" s="13"/>
      <c r="B696" s="13"/>
      <c r="C696" s="13"/>
      <c r="D696" s="13"/>
      <c r="E696" s="14">
        <v>230</v>
      </c>
      <c r="L696" s="15"/>
      <c r="O696" s="15"/>
      <c r="R696" s="16"/>
      <c r="X696" s="14">
        <v>3370</v>
      </c>
      <c r="Y696" s="24" t="e">
        <f>knicks_players_all_stats[[#This Row],[REB]]/knicks_players_all_stats[[#This Row],[GP]]</f>
        <v>#DIV/0!</v>
      </c>
      <c r="AI696" s="19" t="e">
        <f>knicks_players_all_stats[[#This Row],[BLKPG]]+knicks_players_all_stats[[#This Row],[STLPG]]+knicks_players_all_stats[[#This Row],[REBPG]]</f>
        <v>#DIV/0!</v>
      </c>
    </row>
    <row r="697" spans="1:41" s="14" customFormat="1" x14ac:dyDescent="0.3">
      <c r="A697" s="13"/>
      <c r="B697" s="13"/>
      <c r="C697" s="13"/>
      <c r="D697" s="13"/>
      <c r="E697" s="14">
        <v>240</v>
      </c>
      <c r="L697" s="15"/>
      <c r="O697" s="15"/>
      <c r="R697" s="16"/>
      <c r="X697" s="14">
        <v>1700</v>
      </c>
      <c r="Y697" s="24" t="e">
        <f>knicks_players_all_stats[[#This Row],[REB]]/knicks_players_all_stats[[#This Row],[GP]]</f>
        <v>#DIV/0!</v>
      </c>
      <c r="AI697" s="19" t="e">
        <f>knicks_players_all_stats[[#This Row],[BLKPG]]+knicks_players_all_stats[[#This Row],[STLPG]]+knicks_players_all_stats[[#This Row],[REBPG]]</f>
        <v>#DIV/0!</v>
      </c>
    </row>
    <row r="698" spans="1:41" s="14" customFormat="1" x14ac:dyDescent="0.3">
      <c r="A698" s="13"/>
      <c r="B698" s="13"/>
      <c r="C698" s="13"/>
      <c r="D698" s="13"/>
      <c r="E698" s="14">
        <v>250</v>
      </c>
      <c r="L698" s="15"/>
      <c r="O698" s="15"/>
      <c r="R698" s="16"/>
      <c r="X698" s="14">
        <v>1680</v>
      </c>
      <c r="Y698" s="24" t="e">
        <f>knicks_players_all_stats[[#This Row],[REB]]/knicks_players_all_stats[[#This Row],[GP]]</f>
        <v>#DIV/0!</v>
      </c>
      <c r="AI698" s="19" t="e">
        <f>knicks_players_all_stats[[#This Row],[BLKPG]]+knicks_players_all_stats[[#This Row],[STLPG]]+knicks_players_all_stats[[#This Row],[REBPG]]</f>
        <v>#DIV/0!</v>
      </c>
    </row>
    <row r="699" spans="1:41" s="14" customFormat="1" x14ac:dyDescent="0.3">
      <c r="A699" s="13"/>
      <c r="B699" s="13"/>
      <c r="C699" s="13"/>
      <c r="D699" s="13"/>
      <c r="E699" s="14">
        <v>260</v>
      </c>
      <c r="L699" s="15"/>
      <c r="O699" s="15"/>
      <c r="R699" s="16"/>
      <c r="X699" s="14">
        <v>790</v>
      </c>
      <c r="Y699" s="24" t="e">
        <f>knicks_players_all_stats[[#This Row],[REB]]/knicks_players_all_stats[[#This Row],[GP]]</f>
        <v>#DIV/0!</v>
      </c>
      <c r="AI699" s="19" t="e">
        <f>knicks_players_all_stats[[#This Row],[BLKPG]]+knicks_players_all_stats[[#This Row],[STLPG]]+knicks_players_all_stats[[#This Row],[REBPG]]</f>
        <v>#DIV/0!</v>
      </c>
    </row>
    <row r="700" spans="1:41" s="14" customFormat="1" x14ac:dyDescent="0.3">
      <c r="A700" s="13"/>
      <c r="B700" s="13"/>
      <c r="C700" s="13"/>
      <c r="D700" s="13"/>
      <c r="E700" s="14">
        <v>270</v>
      </c>
      <c r="L700" s="15"/>
      <c r="O700" s="15"/>
      <c r="R700" s="16"/>
      <c r="X700" s="14">
        <v>1800</v>
      </c>
      <c r="Y700" s="24" t="e">
        <f>knicks_players_all_stats[[#This Row],[REB]]/knicks_players_all_stats[[#This Row],[GP]]</f>
        <v>#DIV/0!</v>
      </c>
      <c r="AI700" s="19" t="e">
        <f>knicks_players_all_stats[[#This Row],[BLKPG]]+knicks_players_all_stats[[#This Row],[STLPG]]+knicks_players_all_stats[[#This Row],[REBPG]]</f>
        <v>#DIV/0!</v>
      </c>
    </row>
    <row r="701" spans="1:41" s="14" customFormat="1" x14ac:dyDescent="0.3">
      <c r="A701" s="18"/>
      <c r="B701" s="18"/>
      <c r="C701" s="18"/>
      <c r="D701" s="18"/>
      <c r="E701" s="14">
        <v>230</v>
      </c>
      <c r="F701" s="17"/>
      <c r="G701" s="17"/>
      <c r="H701" s="17"/>
      <c r="I701" s="19"/>
      <c r="J701" s="17"/>
      <c r="K701" s="17"/>
      <c r="L701" s="17"/>
      <c r="M701" s="17"/>
      <c r="N701" s="17"/>
      <c r="O701" s="20"/>
      <c r="P701" s="17"/>
      <c r="Q701" s="17"/>
      <c r="R701" s="21"/>
      <c r="S701" s="17"/>
      <c r="T701" s="17"/>
      <c r="U701" s="17"/>
      <c r="V701" s="14">
        <v>310</v>
      </c>
      <c r="W701" s="14">
        <v>1660</v>
      </c>
      <c r="X701" s="14">
        <v>1970</v>
      </c>
      <c r="Y701" s="24" t="e">
        <f>knicks_players_all_stats[[#This Row],[REB]]/knicks_players_all_stats[[#This Row],[GP]]</f>
        <v>#DIV/0!</v>
      </c>
      <c r="Z701" s="17"/>
      <c r="AA701" s="17"/>
      <c r="AB701" s="17"/>
      <c r="AC701" s="17">
        <v>280</v>
      </c>
      <c r="AD701" s="17"/>
      <c r="AE701" s="14">
        <v>140</v>
      </c>
      <c r="AF701" s="17"/>
      <c r="AG701" s="17"/>
      <c r="AH701" s="14">
        <v>1160</v>
      </c>
      <c r="AI701" s="19" t="e">
        <f>knicks_players_all_stats[[#This Row],[BLKPG]]+knicks_players_all_stats[[#This Row],[STLPG]]+knicks_players_all_stats[[#This Row],[REBPG]]</f>
        <v>#DIV/0!</v>
      </c>
      <c r="AJ701" s="17"/>
      <c r="AK701" s="17"/>
      <c r="AL701" s="17"/>
      <c r="AM701" s="17"/>
      <c r="AN701" s="17"/>
      <c r="AO701" s="17"/>
    </row>
    <row r="702" spans="1:41" s="14" customFormat="1" x14ac:dyDescent="0.3">
      <c r="A702" s="18"/>
      <c r="B702" s="18"/>
      <c r="C702" s="18"/>
      <c r="D702" s="18"/>
      <c r="E702" s="14">
        <v>350</v>
      </c>
      <c r="F702" s="17"/>
      <c r="G702" s="17"/>
      <c r="H702" s="17"/>
      <c r="I702" s="19"/>
      <c r="J702" s="17"/>
      <c r="K702" s="17"/>
      <c r="L702" s="17"/>
      <c r="M702" s="17"/>
      <c r="N702" s="17"/>
      <c r="O702" s="20"/>
      <c r="P702" s="17"/>
      <c r="Q702" s="17"/>
      <c r="R702" s="21"/>
      <c r="S702" s="17"/>
      <c r="T702" s="17"/>
      <c r="U702" s="17"/>
      <c r="V702" s="14">
        <v>1110</v>
      </c>
      <c r="W702" s="14">
        <v>1560</v>
      </c>
      <c r="X702" s="14">
        <v>2670</v>
      </c>
      <c r="Y702" s="24" t="e">
        <f>knicks_players_all_stats[[#This Row],[REB]]/knicks_players_all_stats[[#This Row],[GP]]</f>
        <v>#DIV/0!</v>
      </c>
      <c r="Z702" s="17"/>
      <c r="AA702" s="17"/>
      <c r="AB702" s="17"/>
      <c r="AC702" s="17">
        <v>270</v>
      </c>
      <c r="AD702" s="17"/>
      <c r="AE702" s="14">
        <v>300</v>
      </c>
      <c r="AF702" s="17"/>
      <c r="AG702" s="17"/>
      <c r="AH702" s="14">
        <v>470</v>
      </c>
      <c r="AI702" s="19" t="e">
        <f>knicks_players_all_stats[[#This Row],[BLKPG]]+knicks_players_all_stats[[#This Row],[STLPG]]+knicks_players_all_stats[[#This Row],[REBPG]]</f>
        <v>#DIV/0!</v>
      </c>
      <c r="AJ702" s="17"/>
      <c r="AK702" s="17"/>
      <c r="AL702" s="17"/>
      <c r="AM702" s="17"/>
      <c r="AN702" s="17"/>
      <c r="AO702" s="17"/>
    </row>
    <row r="703" spans="1:41" s="14" customFormat="1" x14ac:dyDescent="0.3">
      <c r="A703" s="18"/>
      <c r="B703" s="18"/>
      <c r="C703" s="18"/>
      <c r="D703" s="18"/>
      <c r="E703" s="14">
        <v>230</v>
      </c>
      <c r="F703" s="17"/>
      <c r="G703" s="17"/>
      <c r="H703" s="17"/>
      <c r="I703" s="19"/>
      <c r="J703" s="17"/>
      <c r="K703" s="17"/>
      <c r="L703" s="20"/>
      <c r="M703" s="17"/>
      <c r="N703" s="17"/>
      <c r="O703" s="20"/>
      <c r="P703" s="17"/>
      <c r="Q703" s="17"/>
      <c r="R703" s="21"/>
      <c r="S703" s="17"/>
      <c r="T703" s="17"/>
      <c r="U703" s="17"/>
      <c r="V703" s="14">
        <v>280</v>
      </c>
      <c r="W703" s="14">
        <v>1070</v>
      </c>
      <c r="X703" s="14">
        <v>1350</v>
      </c>
      <c r="Y703" s="24" t="e">
        <f>knicks_players_all_stats[[#This Row],[REB]]/knicks_players_all_stats[[#This Row],[GP]]</f>
        <v>#DIV/0!</v>
      </c>
      <c r="Z703" s="17"/>
      <c r="AA703" s="17"/>
      <c r="AB703" s="17"/>
      <c r="AC703" s="17">
        <v>270</v>
      </c>
      <c r="AD703" s="17"/>
      <c r="AE703" s="14">
        <v>420</v>
      </c>
      <c r="AF703" s="17"/>
      <c r="AG703" s="17"/>
      <c r="AH703" s="14">
        <v>250</v>
      </c>
      <c r="AI703" s="19" t="e">
        <f>knicks_players_all_stats[[#This Row],[BLKPG]]+knicks_players_all_stats[[#This Row],[STLPG]]+knicks_players_all_stats[[#This Row],[REBPG]]</f>
        <v>#DIV/0!</v>
      </c>
      <c r="AJ703" s="17"/>
      <c r="AK703" s="17"/>
      <c r="AL703" s="17"/>
      <c r="AM703" s="17"/>
      <c r="AN703" s="17"/>
      <c r="AO703" s="17"/>
    </row>
    <row r="704" spans="1:41" s="14" customFormat="1" x14ac:dyDescent="0.3">
      <c r="A704" s="13"/>
      <c r="B704" s="13"/>
      <c r="C704" s="13"/>
      <c r="D704" s="13"/>
      <c r="E704" s="14">
        <v>310</v>
      </c>
      <c r="L704" s="15"/>
      <c r="O704" s="15"/>
      <c r="R704" s="16"/>
      <c r="V704" s="14">
        <v>20</v>
      </c>
      <c r="W704" s="14">
        <v>290</v>
      </c>
      <c r="X704" s="14">
        <v>310</v>
      </c>
      <c r="Y704" s="24" t="e">
        <f>knicks_players_all_stats[[#This Row],[REB]]/knicks_players_all_stats[[#This Row],[GP]]</f>
        <v>#DIV/0!</v>
      </c>
      <c r="AC704" s="14">
        <v>80</v>
      </c>
      <c r="AE704" s="14">
        <v>100</v>
      </c>
      <c r="AH704" s="14">
        <v>110</v>
      </c>
      <c r="AI704" s="19" t="e">
        <f>knicks_players_all_stats[[#This Row],[BLKPG]]+knicks_players_all_stats[[#This Row],[STLPG]]+knicks_players_all_stats[[#This Row],[REBPG]]</f>
        <v>#DIV/0!</v>
      </c>
    </row>
    <row r="705" spans="1:41" s="14" customFormat="1" x14ac:dyDescent="0.3">
      <c r="A705" s="13"/>
      <c r="B705" s="13"/>
      <c r="C705" s="13"/>
      <c r="D705" s="13"/>
      <c r="E705" s="14">
        <v>310</v>
      </c>
      <c r="L705" s="15"/>
      <c r="O705" s="15"/>
      <c r="R705" s="16"/>
      <c r="V705" s="14">
        <v>440</v>
      </c>
      <c r="W705" s="14">
        <v>1220</v>
      </c>
      <c r="X705" s="14">
        <v>1660</v>
      </c>
      <c r="Y705" s="24" t="e">
        <f>knicks_players_all_stats[[#This Row],[REB]]/knicks_players_all_stats[[#This Row],[GP]]</f>
        <v>#DIV/0!</v>
      </c>
      <c r="AC705" s="14">
        <v>950</v>
      </c>
      <c r="AE705" s="14">
        <v>110</v>
      </c>
      <c r="AH705" s="14">
        <v>1570</v>
      </c>
      <c r="AI705" s="19" t="e">
        <f>knicks_players_all_stats[[#This Row],[BLKPG]]+knicks_players_all_stats[[#This Row],[STLPG]]+knicks_players_all_stats[[#This Row],[REBPG]]</f>
        <v>#DIV/0!</v>
      </c>
    </row>
    <row r="706" spans="1:41" s="14" customFormat="1" x14ac:dyDescent="0.3">
      <c r="A706" s="13"/>
      <c r="B706" s="13"/>
      <c r="C706" s="13"/>
      <c r="D706" s="13"/>
      <c r="E706" s="14">
        <v>320</v>
      </c>
      <c r="L706" s="15"/>
      <c r="O706" s="15"/>
      <c r="R706" s="16"/>
      <c r="V706" s="14">
        <v>10</v>
      </c>
      <c r="W706" s="14">
        <v>90</v>
      </c>
      <c r="X706" s="14">
        <v>100</v>
      </c>
      <c r="Y706" s="24" t="e">
        <f>knicks_players_all_stats[[#This Row],[REB]]/knicks_players_all_stats[[#This Row],[GP]]</f>
        <v>#DIV/0!</v>
      </c>
      <c r="AC706" s="14">
        <v>20</v>
      </c>
      <c r="AE706" s="14">
        <v>0</v>
      </c>
      <c r="AH706" s="14">
        <v>80</v>
      </c>
      <c r="AI706" s="19" t="e">
        <f>knicks_players_all_stats[[#This Row],[BLKPG]]+knicks_players_all_stats[[#This Row],[STLPG]]+knicks_players_all_stats[[#This Row],[REBPG]]</f>
        <v>#DIV/0!</v>
      </c>
    </row>
    <row r="707" spans="1:41" s="14" customFormat="1" x14ac:dyDescent="0.3">
      <c r="A707" s="13"/>
      <c r="B707" s="13"/>
      <c r="C707" s="13"/>
      <c r="D707" s="13"/>
      <c r="E707" s="14">
        <v>280</v>
      </c>
      <c r="L707" s="15"/>
      <c r="O707" s="15"/>
      <c r="R707" s="16"/>
      <c r="X707" s="14">
        <v>80</v>
      </c>
      <c r="Y707" s="24" t="e">
        <f>knicks_players_all_stats[[#This Row],[REB]]/knicks_players_all_stats[[#This Row],[GP]]</f>
        <v>#DIV/0!</v>
      </c>
      <c r="AI707" s="19" t="e">
        <f>knicks_players_all_stats[[#This Row],[BLKPG]]+knicks_players_all_stats[[#This Row],[STLPG]]+knicks_players_all_stats[[#This Row],[REBPG]]</f>
        <v>#DIV/0!</v>
      </c>
    </row>
    <row r="708" spans="1:41" s="14" customFormat="1" x14ac:dyDescent="0.3">
      <c r="A708" s="13"/>
      <c r="B708" s="13"/>
      <c r="C708" s="13"/>
      <c r="D708" s="13"/>
      <c r="E708" s="14">
        <v>220</v>
      </c>
      <c r="L708" s="15"/>
      <c r="O708" s="15"/>
      <c r="R708" s="16"/>
      <c r="X708" s="14">
        <v>50</v>
      </c>
      <c r="Y708" s="24" t="e">
        <f>knicks_players_all_stats[[#This Row],[REB]]/knicks_players_all_stats[[#This Row],[GP]]</f>
        <v>#DIV/0!</v>
      </c>
      <c r="AI708" s="19" t="e">
        <f>knicks_players_all_stats[[#This Row],[BLKPG]]+knicks_players_all_stats[[#This Row],[STLPG]]+knicks_players_all_stats[[#This Row],[REBPG]]</f>
        <v>#DIV/0!</v>
      </c>
    </row>
    <row r="709" spans="1:41" s="14" customFormat="1" x14ac:dyDescent="0.3">
      <c r="A709" s="13"/>
      <c r="B709" s="13"/>
      <c r="C709" s="13"/>
      <c r="D709" s="13"/>
      <c r="E709" s="14">
        <v>220</v>
      </c>
      <c r="L709" s="15"/>
      <c r="O709" s="15"/>
      <c r="R709" s="16"/>
      <c r="X709" s="14">
        <v>290</v>
      </c>
      <c r="Y709" s="24" t="e">
        <f>knicks_players_all_stats[[#This Row],[REB]]/knicks_players_all_stats[[#This Row],[GP]]</f>
        <v>#DIV/0!</v>
      </c>
      <c r="AI709" s="19" t="e">
        <f>knicks_players_all_stats[[#This Row],[BLKPG]]+knicks_players_all_stats[[#This Row],[STLPG]]+knicks_players_all_stats[[#This Row],[REBPG]]</f>
        <v>#DIV/0!</v>
      </c>
    </row>
    <row r="710" spans="1:41" s="14" customFormat="1" x14ac:dyDescent="0.3">
      <c r="A710" s="13"/>
      <c r="B710" s="13"/>
      <c r="C710" s="13"/>
      <c r="D710" s="13"/>
      <c r="E710" s="14">
        <v>230</v>
      </c>
      <c r="L710" s="15"/>
      <c r="O710" s="15"/>
      <c r="R710" s="16"/>
      <c r="X710" s="14">
        <v>60</v>
      </c>
      <c r="Y710" s="24" t="e">
        <f>knicks_players_all_stats[[#This Row],[REB]]/knicks_players_all_stats[[#This Row],[GP]]</f>
        <v>#DIV/0!</v>
      </c>
      <c r="AI710" s="19" t="e">
        <f>knicks_players_all_stats[[#This Row],[BLKPG]]+knicks_players_all_stats[[#This Row],[STLPG]]+knicks_players_all_stats[[#This Row],[REBPG]]</f>
        <v>#DIV/0!</v>
      </c>
    </row>
    <row r="711" spans="1:41" s="14" customFormat="1" x14ac:dyDescent="0.3">
      <c r="A711" s="13"/>
      <c r="B711" s="13"/>
      <c r="C711" s="13"/>
      <c r="D711" s="13"/>
      <c r="E711" s="14">
        <v>240</v>
      </c>
      <c r="L711" s="15"/>
      <c r="O711" s="15"/>
      <c r="R711" s="16"/>
      <c r="V711" s="14">
        <v>330</v>
      </c>
      <c r="W711" s="14">
        <v>1030</v>
      </c>
      <c r="X711" s="14">
        <v>1360</v>
      </c>
      <c r="Y711" s="24" t="e">
        <f>knicks_players_all_stats[[#This Row],[REB]]/knicks_players_all_stats[[#This Row],[GP]]</f>
        <v>#DIV/0!</v>
      </c>
      <c r="AC711" s="14">
        <v>590</v>
      </c>
      <c r="AE711" s="14">
        <v>90</v>
      </c>
      <c r="AH711" s="14">
        <v>980</v>
      </c>
      <c r="AI711" s="19" t="e">
        <f>knicks_players_all_stats[[#This Row],[BLKPG]]+knicks_players_all_stats[[#This Row],[STLPG]]+knicks_players_all_stats[[#This Row],[REBPG]]</f>
        <v>#DIV/0!</v>
      </c>
    </row>
    <row r="712" spans="1:41" s="14" customFormat="1" x14ac:dyDescent="0.3">
      <c r="A712" s="13"/>
      <c r="B712" s="13"/>
      <c r="C712" s="13"/>
      <c r="D712" s="13"/>
      <c r="E712" s="14">
        <v>250</v>
      </c>
      <c r="L712" s="15"/>
      <c r="O712" s="15"/>
      <c r="R712" s="16"/>
      <c r="V712" s="14">
        <v>420</v>
      </c>
      <c r="W712" s="14">
        <v>1280</v>
      </c>
      <c r="X712" s="14">
        <v>1700</v>
      </c>
      <c r="Y712" s="24" t="e">
        <f>knicks_players_all_stats[[#This Row],[REB]]/knicks_players_all_stats[[#This Row],[GP]]</f>
        <v>#DIV/0!</v>
      </c>
      <c r="AC712" s="14">
        <v>1130</v>
      </c>
      <c r="AE712" s="14">
        <v>120</v>
      </c>
      <c r="AH712" s="14">
        <v>1040</v>
      </c>
      <c r="AI712" s="19" t="e">
        <f>knicks_players_all_stats[[#This Row],[BLKPG]]+knicks_players_all_stats[[#This Row],[STLPG]]+knicks_players_all_stats[[#This Row],[REBPG]]</f>
        <v>#DIV/0!</v>
      </c>
    </row>
    <row r="713" spans="1:41" s="14" customFormat="1" x14ac:dyDescent="0.3">
      <c r="A713" s="13"/>
      <c r="B713" s="13"/>
      <c r="C713" s="13"/>
      <c r="D713" s="13"/>
      <c r="E713" s="14">
        <v>260</v>
      </c>
      <c r="L713" s="15"/>
      <c r="O713" s="15"/>
      <c r="R713" s="16"/>
      <c r="V713" s="14">
        <v>430</v>
      </c>
      <c r="W713" s="14">
        <v>1460</v>
      </c>
      <c r="X713" s="14">
        <v>1890</v>
      </c>
      <c r="Y713" s="24" t="e">
        <f>knicks_players_all_stats[[#This Row],[REB]]/knicks_players_all_stats[[#This Row],[GP]]</f>
        <v>#DIV/0!</v>
      </c>
      <c r="AC713" s="14">
        <v>1140</v>
      </c>
      <c r="AE713" s="14">
        <v>130</v>
      </c>
      <c r="AH713" s="14">
        <v>1270</v>
      </c>
      <c r="AI713" s="19" t="e">
        <f>knicks_players_all_stats[[#This Row],[BLKPG]]+knicks_players_all_stats[[#This Row],[STLPG]]+knicks_players_all_stats[[#This Row],[REBPG]]</f>
        <v>#DIV/0!</v>
      </c>
    </row>
    <row r="714" spans="1:41" s="14" customFormat="1" x14ac:dyDescent="0.3">
      <c r="A714" s="13"/>
      <c r="B714" s="13"/>
      <c r="C714" s="13"/>
      <c r="D714" s="13"/>
      <c r="E714" s="14">
        <v>270</v>
      </c>
      <c r="L714" s="15"/>
      <c r="O714" s="15"/>
      <c r="R714" s="16"/>
      <c r="V714" s="14">
        <v>70</v>
      </c>
      <c r="W714" s="14">
        <v>570</v>
      </c>
      <c r="X714" s="14">
        <v>640</v>
      </c>
      <c r="Y714" s="24" t="e">
        <f>knicks_players_all_stats[[#This Row],[REB]]/knicks_players_all_stats[[#This Row],[GP]]</f>
        <v>#DIV/0!</v>
      </c>
      <c r="AC714" s="14">
        <v>500</v>
      </c>
      <c r="AE714" s="14">
        <v>70</v>
      </c>
      <c r="AH714" s="14">
        <v>570</v>
      </c>
      <c r="AI714" s="19" t="e">
        <f>knicks_players_all_stats[[#This Row],[BLKPG]]+knicks_players_all_stats[[#This Row],[STLPG]]+knicks_players_all_stats[[#This Row],[REBPG]]</f>
        <v>#DIV/0!</v>
      </c>
    </row>
    <row r="715" spans="1:41" s="17" customFormat="1" x14ac:dyDescent="0.3">
      <c r="A715" s="13"/>
      <c r="B715" s="13"/>
      <c r="C715" s="13"/>
      <c r="D715" s="13"/>
      <c r="E715" s="14">
        <v>250</v>
      </c>
      <c r="F715" s="14"/>
      <c r="G715" s="14"/>
      <c r="H715" s="14"/>
      <c r="I715" s="14"/>
      <c r="J715" s="14"/>
      <c r="K715" s="14"/>
      <c r="L715" s="15"/>
      <c r="M715" s="14"/>
      <c r="N715" s="14"/>
      <c r="O715" s="15"/>
      <c r="P715" s="14"/>
      <c r="Q715" s="14"/>
      <c r="R715" s="16"/>
      <c r="S715" s="14"/>
      <c r="T715" s="14"/>
      <c r="U715" s="14"/>
      <c r="V715" s="14"/>
      <c r="W715" s="14"/>
      <c r="X715" s="14">
        <v>40</v>
      </c>
      <c r="Y715" s="24" t="e">
        <f>knicks_players_all_stats[[#This Row],[REB]]/knicks_players_all_stats[[#This Row],[GP]]</f>
        <v>#DIV/0!</v>
      </c>
      <c r="Z715" s="14"/>
      <c r="AA715" s="14"/>
      <c r="AB715" s="14"/>
      <c r="AC715" s="14"/>
      <c r="AD715" s="14"/>
      <c r="AE715" s="14"/>
      <c r="AF715" s="14"/>
      <c r="AG715" s="14"/>
      <c r="AH715" s="14"/>
      <c r="AI715" s="19" t="e">
        <f>knicks_players_all_stats[[#This Row],[BLKPG]]+knicks_players_all_stats[[#This Row],[STLPG]]+knicks_players_all_stats[[#This Row],[REBPG]]</f>
        <v>#DIV/0!</v>
      </c>
      <c r="AJ715" s="14"/>
      <c r="AK715" s="14"/>
      <c r="AL715" s="14"/>
      <c r="AM715" s="14"/>
      <c r="AN715" s="14"/>
      <c r="AO715" s="14"/>
    </row>
    <row r="716" spans="1:41" s="14" customFormat="1" x14ac:dyDescent="0.3">
      <c r="A716" s="18"/>
      <c r="B716" s="18"/>
      <c r="C716" s="18"/>
      <c r="D716" s="18"/>
      <c r="E716" s="14">
        <v>240</v>
      </c>
      <c r="F716" s="17"/>
      <c r="G716" s="17"/>
      <c r="H716" s="17"/>
      <c r="I716" s="19"/>
      <c r="J716" s="17"/>
      <c r="K716" s="17"/>
      <c r="L716" s="20"/>
      <c r="M716" s="17"/>
      <c r="N716" s="17"/>
      <c r="O716" s="20"/>
      <c r="P716" s="17"/>
      <c r="Q716" s="17"/>
      <c r="R716" s="21"/>
      <c r="S716" s="17"/>
      <c r="T716" s="17"/>
      <c r="U716" s="17"/>
      <c r="V716" s="14">
        <v>280</v>
      </c>
      <c r="W716" s="14">
        <v>2110</v>
      </c>
      <c r="X716" s="14">
        <v>2390</v>
      </c>
      <c r="Y716" s="24" t="e">
        <f>knicks_players_all_stats[[#This Row],[REB]]/knicks_players_all_stats[[#This Row],[GP]]</f>
        <v>#DIV/0!</v>
      </c>
      <c r="Z716" s="17"/>
      <c r="AA716" s="17"/>
      <c r="AB716" s="17"/>
      <c r="AC716" s="17">
        <v>570</v>
      </c>
      <c r="AD716" s="17"/>
      <c r="AE716" s="14">
        <v>80</v>
      </c>
      <c r="AF716" s="17"/>
      <c r="AG716" s="17"/>
      <c r="AH716" s="14">
        <v>880</v>
      </c>
      <c r="AI716" s="19" t="e">
        <f>knicks_players_all_stats[[#This Row],[BLKPG]]+knicks_players_all_stats[[#This Row],[STLPG]]+knicks_players_all_stats[[#This Row],[REBPG]]</f>
        <v>#DIV/0!</v>
      </c>
      <c r="AJ716" s="17"/>
      <c r="AK716" s="17"/>
      <c r="AL716" s="17"/>
      <c r="AM716" s="17"/>
      <c r="AN716" s="17"/>
      <c r="AO716" s="17"/>
    </row>
    <row r="717" spans="1:41" s="14" customFormat="1" x14ac:dyDescent="0.3">
      <c r="A717" s="18"/>
      <c r="B717" s="18"/>
      <c r="C717" s="18"/>
      <c r="D717" s="18"/>
      <c r="E717" s="14">
        <v>190</v>
      </c>
      <c r="F717" s="17"/>
      <c r="G717" s="17"/>
      <c r="H717" s="17"/>
      <c r="I717" s="19"/>
      <c r="J717" s="17"/>
      <c r="K717" s="17"/>
      <c r="L717" s="20"/>
      <c r="M717" s="17"/>
      <c r="N717" s="17"/>
      <c r="O717" s="20"/>
      <c r="P717" s="17"/>
      <c r="Q717" s="17"/>
      <c r="R717" s="21"/>
      <c r="S717" s="17"/>
      <c r="T717" s="17"/>
      <c r="U717" s="17"/>
      <c r="V717" s="14">
        <v>610</v>
      </c>
      <c r="W717" s="14">
        <v>2740</v>
      </c>
      <c r="X717" s="14">
        <v>3350</v>
      </c>
      <c r="Y717" s="24" t="e">
        <f>knicks_players_all_stats[[#This Row],[REB]]/knicks_players_all_stats[[#This Row],[GP]]</f>
        <v>#DIV/0!</v>
      </c>
      <c r="Z717" s="17"/>
      <c r="AA717" s="17"/>
      <c r="AB717" s="17"/>
      <c r="AC717" s="17">
        <v>430</v>
      </c>
      <c r="AD717" s="17"/>
      <c r="AE717" s="14">
        <v>240</v>
      </c>
      <c r="AF717" s="17"/>
      <c r="AG717" s="17"/>
      <c r="AH717" s="14">
        <v>1140</v>
      </c>
      <c r="AI717" s="19" t="e">
        <f>knicks_players_all_stats[[#This Row],[BLKPG]]+knicks_players_all_stats[[#This Row],[STLPG]]+knicks_players_all_stats[[#This Row],[REBPG]]</f>
        <v>#DIV/0!</v>
      </c>
      <c r="AJ717" s="17"/>
      <c r="AK717" s="17"/>
      <c r="AL717" s="17"/>
      <c r="AM717" s="17"/>
      <c r="AN717" s="17"/>
      <c r="AO717" s="17"/>
    </row>
    <row r="718" spans="1:41" s="14" customFormat="1" x14ac:dyDescent="0.3">
      <c r="A718" s="13"/>
      <c r="B718" s="13"/>
      <c r="C718" s="13"/>
      <c r="D718" s="13"/>
      <c r="E718" s="14">
        <v>250</v>
      </c>
      <c r="L718" s="15"/>
      <c r="O718" s="15"/>
      <c r="R718" s="16"/>
      <c r="Y718" s="24" t="e">
        <f>knicks_players_all_stats[[#This Row],[REB]]/knicks_players_all_stats[[#This Row],[GP]]</f>
        <v>#DIV/0!</v>
      </c>
      <c r="AI718" s="19" t="e">
        <f>knicks_players_all_stats[[#This Row],[BLKPG]]+knicks_players_all_stats[[#This Row],[STLPG]]+knicks_players_all_stats[[#This Row],[REBPG]]</f>
        <v>#DIV/0!</v>
      </c>
    </row>
    <row r="719" spans="1:41" s="14" customFormat="1" x14ac:dyDescent="0.3">
      <c r="A719" s="13"/>
      <c r="B719" s="13"/>
      <c r="C719" s="13"/>
      <c r="D719" s="13"/>
      <c r="E719" s="14">
        <v>260</v>
      </c>
      <c r="L719" s="15"/>
      <c r="O719" s="15"/>
      <c r="R719" s="16"/>
      <c r="Y719" s="24" t="e">
        <f>knicks_players_all_stats[[#This Row],[REB]]/knicks_players_all_stats[[#This Row],[GP]]</f>
        <v>#DIV/0!</v>
      </c>
      <c r="AI719" s="19" t="e">
        <f>knicks_players_all_stats[[#This Row],[BLKPG]]+knicks_players_all_stats[[#This Row],[STLPG]]+knicks_players_all_stats[[#This Row],[REBPG]]</f>
        <v>#DIV/0!</v>
      </c>
    </row>
    <row r="720" spans="1:41" s="14" customFormat="1" x14ac:dyDescent="0.3">
      <c r="A720" s="13"/>
      <c r="B720" s="13"/>
      <c r="C720" s="13"/>
      <c r="D720" s="13"/>
      <c r="E720" s="14">
        <v>270</v>
      </c>
      <c r="L720" s="15"/>
      <c r="O720" s="15"/>
      <c r="R720" s="16"/>
      <c r="Y720" s="24" t="e">
        <f>knicks_players_all_stats[[#This Row],[REB]]/knicks_players_all_stats[[#This Row],[GP]]</f>
        <v>#DIV/0!</v>
      </c>
      <c r="AI720" s="19" t="e">
        <f>knicks_players_all_stats[[#This Row],[BLKPG]]+knicks_players_all_stats[[#This Row],[STLPG]]+knicks_players_all_stats[[#This Row],[REBPG]]</f>
        <v>#DIV/0!</v>
      </c>
    </row>
    <row r="721" spans="1:41" s="14" customFormat="1" x14ac:dyDescent="0.3">
      <c r="A721" s="13"/>
      <c r="B721" s="13"/>
      <c r="C721" s="13"/>
      <c r="D721" s="13"/>
      <c r="E721" s="14">
        <v>230</v>
      </c>
      <c r="L721" s="15"/>
      <c r="O721" s="15"/>
      <c r="R721" s="16"/>
      <c r="X721" s="14">
        <v>150</v>
      </c>
      <c r="Y721" s="24" t="e">
        <f>knicks_players_all_stats[[#This Row],[REB]]/knicks_players_all_stats[[#This Row],[GP]]</f>
        <v>#DIV/0!</v>
      </c>
      <c r="AI721" s="19" t="e">
        <f>knicks_players_all_stats[[#This Row],[BLKPG]]+knicks_players_all_stats[[#This Row],[STLPG]]+knicks_players_all_stats[[#This Row],[REBPG]]</f>
        <v>#DIV/0!</v>
      </c>
    </row>
    <row r="722" spans="1:41" s="17" customFormat="1" x14ac:dyDescent="0.3">
      <c r="A722" s="13"/>
      <c r="B722" s="13"/>
      <c r="C722" s="13"/>
      <c r="D722" s="13"/>
      <c r="E722" s="14">
        <v>270</v>
      </c>
      <c r="F722" s="14"/>
      <c r="G722" s="14"/>
      <c r="H722" s="14"/>
      <c r="I722" s="14"/>
      <c r="J722" s="14"/>
      <c r="K722" s="14"/>
      <c r="L722" s="15"/>
      <c r="M722" s="14"/>
      <c r="N722" s="14"/>
      <c r="O722" s="15"/>
      <c r="P722" s="14"/>
      <c r="Q722" s="14"/>
      <c r="R722" s="16"/>
      <c r="S722" s="14"/>
      <c r="T722" s="14"/>
      <c r="U722" s="14"/>
      <c r="V722" s="14">
        <v>2340</v>
      </c>
      <c r="W722" s="14">
        <v>6440</v>
      </c>
      <c r="X722" s="14">
        <v>8780</v>
      </c>
      <c r="Y722" s="24" t="e">
        <f>knicks_players_all_stats[[#This Row],[REB]]/knicks_players_all_stats[[#This Row],[GP]]</f>
        <v>#DIV/0!</v>
      </c>
      <c r="Z722" s="14"/>
      <c r="AA722" s="14"/>
      <c r="AB722" s="14"/>
      <c r="AC722" s="14">
        <v>530</v>
      </c>
      <c r="AD722" s="14"/>
      <c r="AE722" s="14">
        <v>800</v>
      </c>
      <c r="AF722" s="14"/>
      <c r="AG722" s="14"/>
      <c r="AH722" s="14"/>
      <c r="AI722" s="19" t="e">
        <f>knicks_players_all_stats[[#This Row],[BLKPG]]+knicks_players_all_stats[[#This Row],[STLPG]]+knicks_players_all_stats[[#This Row],[REBPG]]</f>
        <v>#DIV/0!</v>
      </c>
      <c r="AJ722" s="14"/>
      <c r="AK722" s="14"/>
      <c r="AL722" s="14"/>
      <c r="AM722" s="14"/>
      <c r="AN722" s="14"/>
      <c r="AO722" s="14"/>
    </row>
    <row r="723" spans="1:41" s="14" customFormat="1" x14ac:dyDescent="0.3">
      <c r="A723" s="13"/>
      <c r="B723" s="13"/>
      <c r="C723" s="13"/>
      <c r="D723" s="13"/>
      <c r="E723" s="14">
        <v>280</v>
      </c>
      <c r="L723" s="15"/>
      <c r="O723" s="15"/>
      <c r="R723" s="16"/>
      <c r="V723" s="14">
        <v>770</v>
      </c>
      <c r="W723" s="14">
        <v>2030</v>
      </c>
      <c r="X723" s="14">
        <v>2800</v>
      </c>
      <c r="Y723" s="24" t="e">
        <f>knicks_players_all_stats[[#This Row],[REB]]/knicks_players_all_stats[[#This Row],[GP]]</f>
        <v>#DIV/0!</v>
      </c>
      <c r="AC723" s="14">
        <v>140</v>
      </c>
      <c r="AE723" s="14">
        <v>290</v>
      </c>
      <c r="AI723" s="19" t="e">
        <f>knicks_players_all_stats[[#This Row],[BLKPG]]+knicks_players_all_stats[[#This Row],[STLPG]]+knicks_players_all_stats[[#This Row],[REBPG]]</f>
        <v>#DIV/0!</v>
      </c>
    </row>
    <row r="724" spans="1:41" s="14" customFormat="1" x14ac:dyDescent="0.3">
      <c r="A724" s="13"/>
      <c r="B724" s="13"/>
      <c r="C724" s="13"/>
      <c r="D724" s="13"/>
      <c r="E724" s="14">
        <v>290</v>
      </c>
      <c r="L724" s="15"/>
      <c r="O724" s="15"/>
      <c r="R724" s="16"/>
      <c r="V724" s="14">
        <v>1410</v>
      </c>
      <c r="W724" s="14">
        <v>3010</v>
      </c>
      <c r="X724" s="14">
        <v>4420</v>
      </c>
      <c r="Y724" s="24" t="e">
        <f>knicks_players_all_stats[[#This Row],[REB]]/knicks_players_all_stats[[#This Row],[GP]]</f>
        <v>#DIV/0!</v>
      </c>
      <c r="AC724" s="14">
        <v>370</v>
      </c>
      <c r="AE724" s="14">
        <v>720</v>
      </c>
      <c r="AH724" s="14">
        <v>1400</v>
      </c>
      <c r="AI724" s="19" t="e">
        <f>knicks_players_all_stats[[#This Row],[BLKPG]]+knicks_players_all_stats[[#This Row],[STLPG]]+knicks_players_all_stats[[#This Row],[REBPG]]</f>
        <v>#DIV/0!</v>
      </c>
    </row>
    <row r="725" spans="1:41" s="14" customFormat="1" x14ac:dyDescent="0.3">
      <c r="A725" s="13"/>
      <c r="B725" s="13"/>
      <c r="C725" s="13"/>
      <c r="D725" s="13"/>
      <c r="E725" s="14">
        <v>300</v>
      </c>
      <c r="L725" s="15"/>
      <c r="O725" s="15"/>
      <c r="R725" s="16"/>
      <c r="V725" s="14">
        <v>660</v>
      </c>
      <c r="W725" s="14">
        <v>1400</v>
      </c>
      <c r="X725" s="14">
        <v>2060</v>
      </c>
      <c r="Y725" s="24" t="e">
        <f>knicks_players_all_stats[[#This Row],[REB]]/knicks_players_all_stats[[#This Row],[GP]]</f>
        <v>#DIV/0!</v>
      </c>
      <c r="AC725" s="14">
        <v>100</v>
      </c>
      <c r="AE725" s="14">
        <v>290</v>
      </c>
      <c r="AH725" s="14">
        <v>870</v>
      </c>
      <c r="AI725" s="19" t="e">
        <f>knicks_players_all_stats[[#This Row],[BLKPG]]+knicks_players_all_stats[[#This Row],[STLPG]]+knicks_players_all_stats[[#This Row],[REBPG]]</f>
        <v>#DIV/0!</v>
      </c>
    </row>
    <row r="726" spans="1:41" s="14" customFormat="1" x14ac:dyDescent="0.3">
      <c r="A726" s="13"/>
      <c r="B726" s="13"/>
      <c r="C726" s="13"/>
      <c r="D726" s="13"/>
      <c r="E726" s="14">
        <v>250</v>
      </c>
      <c r="L726" s="15"/>
      <c r="O726" s="15"/>
      <c r="R726" s="16"/>
      <c r="X726" s="14">
        <v>1910</v>
      </c>
      <c r="Y726" s="24" t="e">
        <f>knicks_players_all_stats[[#This Row],[REB]]/knicks_players_all_stats[[#This Row],[GP]]</f>
        <v>#DIV/0!</v>
      </c>
      <c r="AI726" s="19" t="e">
        <f>knicks_players_all_stats[[#This Row],[BLKPG]]+knicks_players_all_stats[[#This Row],[STLPG]]+knicks_players_all_stats[[#This Row],[REBPG]]</f>
        <v>#DIV/0!</v>
      </c>
    </row>
    <row r="727" spans="1:41" s="14" customFormat="1" x14ac:dyDescent="0.3">
      <c r="A727" s="13"/>
      <c r="B727" s="13"/>
      <c r="C727" s="13"/>
      <c r="D727" s="13"/>
      <c r="E727" s="14">
        <v>260</v>
      </c>
      <c r="L727" s="15"/>
      <c r="O727" s="15"/>
      <c r="R727" s="16"/>
      <c r="X727" s="14">
        <v>1430</v>
      </c>
      <c r="Y727" s="24" t="e">
        <f>knicks_players_all_stats[[#This Row],[REB]]/knicks_players_all_stats[[#This Row],[GP]]</f>
        <v>#DIV/0!</v>
      </c>
      <c r="AI727" s="19" t="e">
        <f>knicks_players_all_stats[[#This Row],[BLKPG]]+knicks_players_all_stats[[#This Row],[STLPG]]+knicks_players_all_stats[[#This Row],[REBPG]]</f>
        <v>#DIV/0!</v>
      </c>
    </row>
    <row r="728" spans="1:41" s="14" customFormat="1" x14ac:dyDescent="0.3">
      <c r="A728" s="13"/>
      <c r="B728" s="13"/>
      <c r="C728" s="13"/>
      <c r="D728" s="13"/>
      <c r="E728" s="14">
        <v>270</v>
      </c>
      <c r="L728" s="15"/>
      <c r="O728" s="15"/>
      <c r="R728" s="16"/>
      <c r="X728" s="14">
        <v>20</v>
      </c>
      <c r="Y728" s="24" t="e">
        <f>knicks_players_all_stats[[#This Row],[REB]]/knicks_players_all_stats[[#This Row],[GP]]</f>
        <v>#DIV/0!</v>
      </c>
      <c r="AI728" s="19" t="e">
        <f>knicks_players_all_stats[[#This Row],[BLKPG]]+knicks_players_all_stats[[#This Row],[STLPG]]+knicks_players_all_stats[[#This Row],[REBPG]]</f>
        <v>#DIV/0!</v>
      </c>
    </row>
    <row r="729" spans="1:41" s="14" customFormat="1" x14ac:dyDescent="0.3">
      <c r="A729" s="13"/>
      <c r="B729" s="13"/>
      <c r="C729" s="13"/>
      <c r="D729" s="13"/>
      <c r="E729" s="14">
        <v>230</v>
      </c>
      <c r="L729" s="15"/>
      <c r="O729" s="15"/>
      <c r="R729" s="16"/>
      <c r="V729" s="14">
        <v>100</v>
      </c>
      <c r="W729" s="14">
        <v>210</v>
      </c>
      <c r="X729" s="14">
        <v>310</v>
      </c>
      <c r="Y729" s="24" t="e">
        <f>knicks_players_all_stats[[#This Row],[REB]]/knicks_players_all_stats[[#This Row],[GP]]</f>
        <v>#DIV/0!</v>
      </c>
      <c r="AC729" s="14">
        <v>50</v>
      </c>
      <c r="AE729" s="14">
        <v>0</v>
      </c>
      <c r="AH729" s="14">
        <v>60</v>
      </c>
      <c r="AI729" s="19" t="e">
        <f>knicks_players_all_stats[[#This Row],[BLKPG]]+knicks_players_all_stats[[#This Row],[STLPG]]+knicks_players_all_stats[[#This Row],[REBPG]]</f>
        <v>#DIV/0!</v>
      </c>
    </row>
    <row r="730" spans="1:41" s="14" customFormat="1" x14ac:dyDescent="0.3">
      <c r="A730" s="13"/>
      <c r="B730" s="13"/>
      <c r="C730" s="13"/>
      <c r="D730" s="13"/>
      <c r="E730" s="14">
        <v>240</v>
      </c>
      <c r="L730" s="15"/>
      <c r="O730" s="15"/>
      <c r="R730" s="16"/>
      <c r="V730" s="14">
        <v>0</v>
      </c>
      <c r="W730" s="14">
        <v>10</v>
      </c>
      <c r="X730" s="14">
        <v>10</v>
      </c>
      <c r="Y730" s="24" t="e">
        <f>knicks_players_all_stats[[#This Row],[REB]]/knicks_players_all_stats[[#This Row],[GP]]</f>
        <v>#DIV/0!</v>
      </c>
      <c r="AC730" s="14">
        <v>0</v>
      </c>
      <c r="AE730" s="14">
        <v>0</v>
      </c>
      <c r="AH730" s="14">
        <v>0</v>
      </c>
      <c r="AI730" s="19" t="e">
        <f>knicks_players_all_stats[[#This Row],[BLKPG]]+knicks_players_all_stats[[#This Row],[STLPG]]+knicks_players_all_stats[[#This Row],[REBPG]]</f>
        <v>#DIV/0!</v>
      </c>
    </row>
    <row r="731" spans="1:41" s="14" customFormat="1" x14ac:dyDescent="0.3">
      <c r="A731" s="13"/>
      <c r="B731" s="13"/>
      <c r="C731" s="13"/>
      <c r="D731" s="13"/>
      <c r="E731" s="14">
        <v>240</v>
      </c>
      <c r="L731" s="15"/>
      <c r="O731" s="15"/>
      <c r="R731" s="16"/>
      <c r="V731" s="14">
        <v>260</v>
      </c>
      <c r="W731" s="14">
        <v>400</v>
      </c>
      <c r="X731" s="14">
        <v>660</v>
      </c>
      <c r="Y731" s="24" t="e">
        <f>knicks_players_all_stats[[#This Row],[REB]]/knicks_players_all_stats[[#This Row],[GP]]</f>
        <v>#DIV/0!</v>
      </c>
      <c r="AC731" s="14">
        <v>470</v>
      </c>
      <c r="AE731" s="14">
        <v>10</v>
      </c>
      <c r="AI731" s="19" t="e">
        <f>knicks_players_all_stats[[#This Row],[BLKPG]]+knicks_players_all_stats[[#This Row],[STLPG]]+knicks_players_all_stats[[#This Row],[REBPG]]</f>
        <v>#DIV/0!</v>
      </c>
    </row>
    <row r="732" spans="1:41" s="14" customFormat="1" x14ac:dyDescent="0.3">
      <c r="A732" s="13"/>
      <c r="B732" s="13"/>
      <c r="C732" s="13"/>
      <c r="D732" s="13"/>
      <c r="E732" s="14">
        <v>250</v>
      </c>
      <c r="L732" s="15"/>
      <c r="O732" s="15"/>
      <c r="R732" s="16"/>
      <c r="V732" s="14">
        <v>0</v>
      </c>
      <c r="W732" s="14">
        <v>0</v>
      </c>
      <c r="X732" s="14">
        <v>0</v>
      </c>
      <c r="Y732" s="24" t="e">
        <f>knicks_players_all_stats[[#This Row],[REB]]/knicks_players_all_stats[[#This Row],[GP]]</f>
        <v>#DIV/0!</v>
      </c>
      <c r="AC732" s="14">
        <v>10</v>
      </c>
      <c r="AE732" s="14">
        <v>0</v>
      </c>
      <c r="AH732" s="14">
        <v>0</v>
      </c>
      <c r="AI732" s="19" t="e">
        <f>knicks_players_all_stats[[#This Row],[BLKPG]]+knicks_players_all_stats[[#This Row],[STLPG]]+knicks_players_all_stats[[#This Row],[REBPG]]</f>
        <v>#DIV/0!</v>
      </c>
    </row>
    <row r="733" spans="1:41" s="14" customFormat="1" x14ac:dyDescent="0.3">
      <c r="A733" s="13"/>
      <c r="B733" s="13"/>
      <c r="C733" s="13"/>
      <c r="D733" s="13"/>
      <c r="E733" s="14">
        <v>230</v>
      </c>
      <c r="L733" s="15"/>
      <c r="O733" s="15"/>
      <c r="R733" s="16"/>
      <c r="V733" s="14">
        <v>90</v>
      </c>
      <c r="W733" s="14">
        <v>80</v>
      </c>
      <c r="X733" s="14">
        <v>170</v>
      </c>
      <c r="Y733" s="24" t="e">
        <f>knicks_players_all_stats[[#This Row],[REB]]/knicks_players_all_stats[[#This Row],[GP]]</f>
        <v>#DIV/0!</v>
      </c>
      <c r="AC733" s="14">
        <v>30</v>
      </c>
      <c r="AE733" s="14">
        <v>30</v>
      </c>
      <c r="AH733" s="14">
        <v>50</v>
      </c>
      <c r="AI733" s="19" t="e">
        <f>knicks_players_all_stats[[#This Row],[BLKPG]]+knicks_players_all_stats[[#This Row],[STLPG]]+knicks_players_all_stats[[#This Row],[REBPG]]</f>
        <v>#DIV/0!</v>
      </c>
    </row>
    <row r="734" spans="1:41" s="14" customFormat="1" x14ac:dyDescent="0.3">
      <c r="A734" s="13"/>
      <c r="B734" s="13"/>
      <c r="C734" s="13"/>
      <c r="D734" s="13"/>
      <c r="E734" s="14">
        <v>280</v>
      </c>
      <c r="L734" s="15"/>
      <c r="O734" s="15"/>
      <c r="R734" s="16"/>
      <c r="V734" s="14">
        <v>110</v>
      </c>
      <c r="W734" s="14">
        <v>360</v>
      </c>
      <c r="X734" s="14">
        <v>470</v>
      </c>
      <c r="Y734" s="24" t="e">
        <f>knicks_players_all_stats[[#This Row],[REB]]/knicks_players_all_stats[[#This Row],[GP]]</f>
        <v>#DIV/0!</v>
      </c>
      <c r="AC734" s="14">
        <v>210</v>
      </c>
      <c r="AE734" s="14">
        <v>60</v>
      </c>
      <c r="AI734" s="19" t="e">
        <f>knicks_players_all_stats[[#This Row],[BLKPG]]+knicks_players_all_stats[[#This Row],[STLPG]]+knicks_players_all_stats[[#This Row],[REBPG]]</f>
        <v>#DIV/0!</v>
      </c>
    </row>
    <row r="735" spans="1:41" s="14" customFormat="1" x14ac:dyDescent="0.3">
      <c r="A735" s="13"/>
      <c r="B735" s="13"/>
      <c r="C735" s="13"/>
      <c r="D735" s="13"/>
      <c r="E735" s="14">
        <v>260</v>
      </c>
      <c r="L735" s="15"/>
      <c r="O735" s="15"/>
      <c r="R735" s="16"/>
      <c r="X735" s="14">
        <v>4430</v>
      </c>
      <c r="Y735" s="24" t="e">
        <f>knicks_players_all_stats[[#This Row],[REB]]/knicks_players_all_stats[[#This Row],[GP]]</f>
        <v>#DIV/0!</v>
      </c>
      <c r="AI735" s="19" t="e">
        <f>knicks_players_all_stats[[#This Row],[BLKPG]]+knicks_players_all_stats[[#This Row],[STLPG]]+knicks_players_all_stats[[#This Row],[REBPG]]</f>
        <v>#DIV/0!</v>
      </c>
    </row>
    <row r="736" spans="1:41" s="14" customFormat="1" x14ac:dyDescent="0.3">
      <c r="A736" s="13"/>
      <c r="B736" s="13"/>
      <c r="C736" s="13"/>
      <c r="D736" s="13"/>
      <c r="E736" s="14">
        <v>240</v>
      </c>
      <c r="L736" s="15"/>
      <c r="O736" s="15"/>
      <c r="R736" s="16"/>
      <c r="X736" s="14">
        <v>590</v>
      </c>
      <c r="Y736" s="24" t="e">
        <f>knicks_players_all_stats[[#This Row],[REB]]/knicks_players_all_stats[[#This Row],[GP]]</f>
        <v>#DIV/0!</v>
      </c>
      <c r="AI736" s="19" t="e">
        <f>knicks_players_all_stats[[#This Row],[BLKPG]]+knicks_players_all_stats[[#This Row],[STLPG]]+knicks_players_all_stats[[#This Row],[REBPG]]</f>
        <v>#DIV/0!</v>
      </c>
    </row>
    <row r="737" spans="1:41" s="14" customFormat="1" x14ac:dyDescent="0.3">
      <c r="A737" s="18"/>
      <c r="B737" s="18"/>
      <c r="C737" s="18"/>
      <c r="D737" s="18"/>
      <c r="E737" s="14">
        <v>270</v>
      </c>
      <c r="F737" s="17"/>
      <c r="G737" s="17"/>
      <c r="H737" s="17"/>
      <c r="I737" s="19"/>
      <c r="J737" s="17"/>
      <c r="K737" s="17"/>
      <c r="L737" s="20"/>
      <c r="M737" s="17"/>
      <c r="N737" s="17"/>
      <c r="O737" s="20"/>
      <c r="P737" s="17"/>
      <c r="Q737" s="17"/>
      <c r="R737" s="21"/>
      <c r="S737" s="17"/>
      <c r="T737" s="17"/>
      <c r="U737" s="17"/>
      <c r="V737" s="14">
        <v>80</v>
      </c>
      <c r="W737" s="14">
        <v>320</v>
      </c>
      <c r="X737" s="14">
        <v>400</v>
      </c>
      <c r="Y737" s="24" t="e">
        <f>knicks_players_all_stats[[#This Row],[REB]]/knicks_players_all_stats[[#This Row],[GP]]</f>
        <v>#DIV/0!</v>
      </c>
      <c r="Z737" s="17"/>
      <c r="AA737" s="17"/>
      <c r="AB737" s="17"/>
      <c r="AC737" s="17">
        <v>90</v>
      </c>
      <c r="AD737" s="17"/>
      <c r="AE737" s="14">
        <v>30</v>
      </c>
      <c r="AF737" s="17"/>
      <c r="AG737" s="17"/>
      <c r="AH737" s="14">
        <v>70</v>
      </c>
      <c r="AI737" s="19" t="e">
        <f>knicks_players_all_stats[[#This Row],[BLKPG]]+knicks_players_all_stats[[#This Row],[STLPG]]+knicks_players_all_stats[[#This Row],[REBPG]]</f>
        <v>#DIV/0!</v>
      </c>
      <c r="AJ737" s="17"/>
      <c r="AK737" s="17"/>
      <c r="AL737" s="17"/>
      <c r="AM737" s="17"/>
      <c r="AN737" s="17"/>
      <c r="AO737" s="17"/>
    </row>
    <row r="738" spans="1:41" s="14" customFormat="1" x14ac:dyDescent="0.3">
      <c r="A738" s="13"/>
      <c r="B738" s="13"/>
      <c r="C738" s="13"/>
      <c r="D738" s="13"/>
      <c r="E738" s="14">
        <v>220</v>
      </c>
      <c r="L738" s="15"/>
      <c r="O738" s="15"/>
      <c r="R738" s="16"/>
      <c r="X738" s="14">
        <v>2970</v>
      </c>
      <c r="Y738" s="24" t="e">
        <f>knicks_players_all_stats[[#This Row],[REB]]/knicks_players_all_stats[[#This Row],[GP]]</f>
        <v>#DIV/0!</v>
      </c>
      <c r="AI738" s="19" t="e">
        <f>knicks_players_all_stats[[#This Row],[BLKPG]]+knicks_players_all_stats[[#This Row],[STLPG]]+knicks_players_all_stats[[#This Row],[REBPG]]</f>
        <v>#DIV/0!</v>
      </c>
    </row>
    <row r="739" spans="1:41" s="14" customFormat="1" x14ac:dyDescent="0.3">
      <c r="A739" s="13"/>
      <c r="B739" s="13"/>
      <c r="C739" s="13"/>
      <c r="D739" s="13"/>
      <c r="E739" s="14">
        <v>230</v>
      </c>
      <c r="L739" s="15"/>
      <c r="O739" s="15"/>
      <c r="R739" s="16"/>
      <c r="X739" s="14">
        <v>3450</v>
      </c>
      <c r="Y739" s="24" t="e">
        <f>knicks_players_all_stats[[#This Row],[REB]]/knicks_players_all_stats[[#This Row],[GP]]</f>
        <v>#DIV/0!</v>
      </c>
      <c r="AI739" s="19" t="e">
        <f>knicks_players_all_stats[[#This Row],[BLKPG]]+knicks_players_all_stats[[#This Row],[STLPG]]+knicks_players_all_stats[[#This Row],[REBPG]]</f>
        <v>#DIV/0!</v>
      </c>
    </row>
    <row r="740" spans="1:41" s="14" customFormat="1" x14ac:dyDescent="0.3">
      <c r="A740" s="13"/>
      <c r="B740" s="13"/>
      <c r="C740" s="13"/>
      <c r="D740" s="13"/>
      <c r="E740" s="14">
        <v>240</v>
      </c>
      <c r="L740" s="15"/>
      <c r="O740" s="15"/>
      <c r="R740" s="16"/>
      <c r="X740" s="14">
        <v>3950</v>
      </c>
      <c r="Y740" s="24" t="e">
        <f>knicks_players_all_stats[[#This Row],[REB]]/knicks_players_all_stats[[#This Row],[GP]]</f>
        <v>#DIV/0!</v>
      </c>
      <c r="AI740" s="19" t="e">
        <f>knicks_players_all_stats[[#This Row],[BLKPG]]+knicks_players_all_stats[[#This Row],[STLPG]]+knicks_players_all_stats[[#This Row],[REBPG]]</f>
        <v>#DIV/0!</v>
      </c>
    </row>
    <row r="741" spans="1:41" s="14" customFormat="1" x14ac:dyDescent="0.3">
      <c r="A741" s="13"/>
      <c r="B741" s="13"/>
      <c r="C741" s="13"/>
      <c r="D741" s="13"/>
      <c r="E741" s="14">
        <v>250</v>
      </c>
      <c r="L741" s="15"/>
      <c r="O741" s="15"/>
      <c r="R741" s="16"/>
      <c r="X741" s="14">
        <v>2760</v>
      </c>
      <c r="Y741" s="24" t="e">
        <f>knicks_players_all_stats[[#This Row],[REB]]/knicks_players_all_stats[[#This Row],[GP]]</f>
        <v>#DIV/0!</v>
      </c>
      <c r="AI741" s="19" t="e">
        <f>knicks_players_all_stats[[#This Row],[BLKPG]]+knicks_players_all_stats[[#This Row],[STLPG]]+knicks_players_all_stats[[#This Row],[REBPG]]</f>
        <v>#DIV/0!</v>
      </c>
    </row>
    <row r="742" spans="1:41" s="14" customFormat="1" x14ac:dyDescent="0.3">
      <c r="A742" s="13"/>
      <c r="B742" s="13"/>
      <c r="C742" s="13"/>
      <c r="D742" s="13"/>
      <c r="E742" s="14">
        <v>260</v>
      </c>
      <c r="L742" s="15"/>
      <c r="O742" s="15"/>
      <c r="R742" s="16"/>
      <c r="X742" s="14">
        <v>3100</v>
      </c>
      <c r="Y742" s="24" t="e">
        <f>knicks_players_all_stats[[#This Row],[REB]]/knicks_players_all_stats[[#This Row],[GP]]</f>
        <v>#DIV/0!</v>
      </c>
      <c r="AI742" s="19" t="e">
        <f>knicks_players_all_stats[[#This Row],[BLKPG]]+knicks_players_all_stats[[#This Row],[STLPG]]+knicks_players_all_stats[[#This Row],[REBPG]]</f>
        <v>#DIV/0!</v>
      </c>
    </row>
    <row r="743" spans="1:41" s="14" customFormat="1" x14ac:dyDescent="0.3">
      <c r="A743" s="13"/>
      <c r="B743" s="13"/>
      <c r="C743" s="13"/>
      <c r="D743" s="13"/>
      <c r="E743" s="14">
        <v>280</v>
      </c>
      <c r="L743" s="15"/>
      <c r="O743" s="15"/>
      <c r="R743" s="16"/>
      <c r="V743" s="14">
        <v>1220</v>
      </c>
      <c r="W743" s="14">
        <v>2220</v>
      </c>
      <c r="X743" s="14">
        <v>3440</v>
      </c>
      <c r="Y743" s="24" t="e">
        <f>knicks_players_all_stats[[#This Row],[REB]]/knicks_players_all_stats[[#This Row],[GP]]</f>
        <v>#DIV/0!</v>
      </c>
      <c r="AC743" s="14">
        <v>300</v>
      </c>
      <c r="AE743" s="14">
        <v>500</v>
      </c>
      <c r="AH743" s="14">
        <v>1000</v>
      </c>
      <c r="AI743" s="19" t="e">
        <f>knicks_players_all_stats[[#This Row],[BLKPG]]+knicks_players_all_stats[[#This Row],[STLPG]]+knicks_players_all_stats[[#This Row],[REBPG]]</f>
        <v>#DIV/0!</v>
      </c>
    </row>
    <row r="744" spans="1:41" s="14" customFormat="1" x14ac:dyDescent="0.3">
      <c r="A744" s="13"/>
      <c r="B744" s="13"/>
      <c r="C744" s="13"/>
      <c r="D744" s="13"/>
      <c r="E744" s="14">
        <v>290</v>
      </c>
      <c r="L744" s="15"/>
      <c r="O744" s="15"/>
      <c r="R744" s="16"/>
      <c r="V744" s="14">
        <v>1020</v>
      </c>
      <c r="W744" s="14">
        <v>2320</v>
      </c>
      <c r="X744" s="14">
        <v>3340</v>
      </c>
      <c r="Y744" s="24" t="e">
        <f>knicks_players_all_stats[[#This Row],[REB]]/knicks_players_all_stats[[#This Row],[GP]]</f>
        <v>#DIV/0!</v>
      </c>
      <c r="AC744" s="14">
        <v>330</v>
      </c>
      <c r="AE744" s="14">
        <v>400</v>
      </c>
      <c r="AH744" s="14">
        <v>990</v>
      </c>
      <c r="AI744" s="19" t="e">
        <f>knicks_players_all_stats[[#This Row],[BLKPG]]+knicks_players_all_stats[[#This Row],[STLPG]]+knicks_players_all_stats[[#This Row],[REBPG]]</f>
        <v>#DIV/0!</v>
      </c>
    </row>
    <row r="745" spans="1:41" s="17" customFormat="1" x14ac:dyDescent="0.3">
      <c r="A745" s="13"/>
      <c r="B745" s="13"/>
      <c r="C745" s="13"/>
      <c r="D745" s="13"/>
      <c r="E745" s="14">
        <v>330</v>
      </c>
      <c r="F745" s="14"/>
      <c r="G745" s="14"/>
      <c r="H745" s="14"/>
      <c r="I745" s="14"/>
      <c r="J745" s="14"/>
      <c r="K745" s="14"/>
      <c r="L745" s="15"/>
      <c r="M745" s="14"/>
      <c r="N745" s="14"/>
      <c r="O745" s="15"/>
      <c r="P745" s="14"/>
      <c r="Q745" s="14"/>
      <c r="R745" s="16"/>
      <c r="S745" s="14"/>
      <c r="T745" s="14"/>
      <c r="U745" s="14"/>
      <c r="V745" s="14">
        <v>1080</v>
      </c>
      <c r="W745" s="14">
        <v>1670</v>
      </c>
      <c r="X745" s="14">
        <v>2750</v>
      </c>
      <c r="Y745" s="24" t="e">
        <f>knicks_players_all_stats[[#This Row],[REB]]/knicks_players_all_stats[[#This Row],[GP]]</f>
        <v>#DIV/0!</v>
      </c>
      <c r="Z745" s="14"/>
      <c r="AA745" s="14"/>
      <c r="AB745" s="14"/>
      <c r="AC745" s="14">
        <v>130</v>
      </c>
      <c r="AD745" s="14"/>
      <c r="AE745" s="14">
        <v>510</v>
      </c>
      <c r="AF745" s="14"/>
      <c r="AG745" s="14"/>
      <c r="AH745" s="14">
        <v>440</v>
      </c>
      <c r="AI745" s="19" t="e">
        <f>knicks_players_all_stats[[#This Row],[BLKPG]]+knicks_players_all_stats[[#This Row],[STLPG]]+knicks_players_all_stats[[#This Row],[REBPG]]</f>
        <v>#DIV/0!</v>
      </c>
      <c r="AJ745" s="14"/>
      <c r="AK745" s="14"/>
      <c r="AL745" s="14"/>
      <c r="AM745" s="14"/>
      <c r="AN745" s="14"/>
      <c r="AO745" s="14"/>
    </row>
    <row r="746" spans="1:41" s="17" customFormat="1" x14ac:dyDescent="0.3">
      <c r="A746" s="13"/>
      <c r="B746" s="13"/>
      <c r="C746" s="13"/>
      <c r="D746" s="13"/>
      <c r="E746" s="14">
        <v>340</v>
      </c>
      <c r="F746" s="14"/>
      <c r="G746" s="14"/>
      <c r="H746" s="14"/>
      <c r="I746" s="14"/>
      <c r="J746" s="14"/>
      <c r="K746" s="14"/>
      <c r="L746" s="15"/>
      <c r="M746" s="14"/>
      <c r="N746" s="14"/>
      <c r="O746" s="15"/>
      <c r="P746" s="14"/>
      <c r="Q746" s="14"/>
      <c r="R746" s="16"/>
      <c r="S746" s="14"/>
      <c r="T746" s="14"/>
      <c r="U746" s="14"/>
      <c r="V746" s="14">
        <v>790</v>
      </c>
      <c r="W746" s="14">
        <v>1140</v>
      </c>
      <c r="X746" s="14">
        <v>1930</v>
      </c>
      <c r="Y746" s="24" t="e">
        <f>knicks_players_all_stats[[#This Row],[REB]]/knicks_players_all_stats[[#This Row],[GP]]</f>
        <v>#DIV/0!</v>
      </c>
      <c r="Z746" s="14"/>
      <c r="AA746" s="14"/>
      <c r="AB746" s="14"/>
      <c r="AC746" s="14">
        <v>130</v>
      </c>
      <c r="AD746" s="14"/>
      <c r="AE746" s="14">
        <v>380</v>
      </c>
      <c r="AF746" s="14"/>
      <c r="AG746" s="14"/>
      <c r="AH746" s="14">
        <v>240</v>
      </c>
      <c r="AI746" s="19" t="e">
        <f>knicks_players_all_stats[[#This Row],[BLKPG]]+knicks_players_all_stats[[#This Row],[STLPG]]+knicks_players_all_stats[[#This Row],[REBPG]]</f>
        <v>#DIV/0!</v>
      </c>
      <c r="AJ746" s="14"/>
      <c r="AK746" s="14"/>
      <c r="AL746" s="14"/>
      <c r="AM746" s="14"/>
      <c r="AN746" s="14"/>
      <c r="AO746" s="14"/>
    </row>
    <row r="747" spans="1:41" s="17" customFormat="1" x14ac:dyDescent="0.3">
      <c r="A747" s="13"/>
      <c r="B747" s="13"/>
      <c r="C747" s="13"/>
      <c r="D747" s="13"/>
      <c r="E747" s="14">
        <v>350</v>
      </c>
      <c r="F747" s="14"/>
      <c r="G747" s="14"/>
      <c r="H747" s="14"/>
      <c r="I747" s="14"/>
      <c r="J747" s="14"/>
      <c r="K747" s="14"/>
      <c r="L747" s="15"/>
      <c r="M747" s="14"/>
      <c r="N747" s="14"/>
      <c r="O747" s="15"/>
      <c r="P747" s="14"/>
      <c r="Q747" s="14"/>
      <c r="R747" s="16"/>
      <c r="S747" s="14"/>
      <c r="T747" s="14"/>
      <c r="U747" s="14"/>
      <c r="V747" s="14">
        <v>630</v>
      </c>
      <c r="W747" s="14">
        <v>730</v>
      </c>
      <c r="X747" s="14">
        <v>1360</v>
      </c>
      <c r="Y747" s="24" t="e">
        <f>knicks_players_all_stats[[#This Row],[REB]]/knicks_players_all_stats[[#This Row],[GP]]</f>
        <v>#DIV/0!</v>
      </c>
      <c r="Z747" s="14"/>
      <c r="AA747" s="14"/>
      <c r="AB747" s="14"/>
      <c r="AC747" s="14">
        <v>70</v>
      </c>
      <c r="AD747" s="14"/>
      <c r="AE747" s="14">
        <v>210</v>
      </c>
      <c r="AF747" s="14"/>
      <c r="AG747" s="14"/>
      <c r="AH747" s="14">
        <v>180</v>
      </c>
      <c r="AI747" s="19" t="e">
        <f>knicks_players_all_stats[[#This Row],[BLKPG]]+knicks_players_all_stats[[#This Row],[STLPG]]+knicks_players_all_stats[[#This Row],[REBPG]]</f>
        <v>#DIV/0!</v>
      </c>
      <c r="AJ747" s="14"/>
      <c r="AK747" s="14"/>
      <c r="AL747" s="14"/>
      <c r="AM747" s="14"/>
      <c r="AN747" s="14"/>
      <c r="AO747" s="14"/>
    </row>
    <row r="748" spans="1:41" s="17" customFormat="1" x14ac:dyDescent="0.3">
      <c r="A748" s="13"/>
      <c r="B748" s="13"/>
      <c r="C748" s="13"/>
      <c r="D748" s="13"/>
      <c r="E748" s="14">
        <v>230</v>
      </c>
      <c r="F748" s="14"/>
      <c r="G748" s="14"/>
      <c r="H748" s="14"/>
      <c r="I748" s="14"/>
      <c r="J748" s="14"/>
      <c r="K748" s="14"/>
      <c r="L748" s="15"/>
      <c r="M748" s="14"/>
      <c r="N748" s="14"/>
      <c r="O748" s="15"/>
      <c r="P748" s="14"/>
      <c r="Q748" s="14"/>
      <c r="R748" s="16"/>
      <c r="S748" s="14"/>
      <c r="T748" s="14"/>
      <c r="U748" s="14"/>
      <c r="V748" s="14"/>
      <c r="W748" s="14"/>
      <c r="X748" s="14">
        <v>2360</v>
      </c>
      <c r="Y748" s="24" t="e">
        <f>knicks_players_all_stats[[#This Row],[REB]]/knicks_players_all_stats[[#This Row],[GP]]</f>
        <v>#DIV/0!</v>
      </c>
      <c r="Z748" s="14"/>
      <c r="AA748" s="14"/>
      <c r="AB748" s="14"/>
      <c r="AC748" s="14"/>
      <c r="AD748" s="14"/>
      <c r="AE748" s="14"/>
      <c r="AF748" s="14"/>
      <c r="AG748" s="14"/>
      <c r="AH748" s="14"/>
      <c r="AI748" s="19" t="e">
        <f>knicks_players_all_stats[[#This Row],[BLKPG]]+knicks_players_all_stats[[#This Row],[STLPG]]+knicks_players_all_stats[[#This Row],[REBPG]]</f>
        <v>#DIV/0!</v>
      </c>
      <c r="AJ748" s="14"/>
      <c r="AK748" s="14"/>
      <c r="AL748" s="14"/>
      <c r="AM748" s="14"/>
      <c r="AN748" s="14"/>
      <c r="AO748" s="14"/>
    </row>
    <row r="749" spans="1:41" s="17" customFormat="1" x14ac:dyDescent="0.3">
      <c r="A749" s="13"/>
      <c r="B749" s="13"/>
      <c r="C749" s="13"/>
      <c r="D749" s="13"/>
      <c r="E749" s="14">
        <v>240</v>
      </c>
      <c r="F749" s="14"/>
      <c r="G749" s="14"/>
      <c r="H749" s="14"/>
      <c r="I749" s="14"/>
      <c r="J749" s="14"/>
      <c r="K749" s="14"/>
      <c r="L749" s="15"/>
      <c r="M749" s="14"/>
      <c r="N749" s="14"/>
      <c r="O749" s="15"/>
      <c r="P749" s="14"/>
      <c r="Q749" s="14"/>
      <c r="R749" s="16"/>
      <c r="S749" s="14"/>
      <c r="T749" s="14"/>
      <c r="U749" s="14"/>
      <c r="V749" s="14"/>
      <c r="W749" s="14"/>
      <c r="X749" s="14">
        <v>40</v>
      </c>
      <c r="Y749" s="24" t="e">
        <f>knicks_players_all_stats[[#This Row],[REB]]/knicks_players_all_stats[[#This Row],[GP]]</f>
        <v>#DIV/0!</v>
      </c>
      <c r="Z749" s="14"/>
      <c r="AA749" s="14"/>
      <c r="AB749" s="14"/>
      <c r="AC749" s="14"/>
      <c r="AD749" s="14"/>
      <c r="AE749" s="14"/>
      <c r="AF749" s="14"/>
      <c r="AG749" s="14"/>
      <c r="AH749" s="14"/>
      <c r="AI749" s="19" t="e">
        <f>knicks_players_all_stats[[#This Row],[BLKPG]]+knicks_players_all_stats[[#This Row],[STLPG]]+knicks_players_all_stats[[#This Row],[REBPG]]</f>
        <v>#DIV/0!</v>
      </c>
      <c r="AJ749" s="14"/>
      <c r="AK749" s="14"/>
      <c r="AL749" s="14"/>
      <c r="AM749" s="14"/>
      <c r="AN749" s="14"/>
      <c r="AO749" s="14"/>
    </row>
    <row r="750" spans="1:41" s="17" customFormat="1" x14ac:dyDescent="0.3">
      <c r="A750" s="13"/>
      <c r="B750" s="13"/>
      <c r="C750" s="13"/>
      <c r="D750" s="13"/>
      <c r="E750" s="14">
        <v>280</v>
      </c>
      <c r="F750" s="14"/>
      <c r="G750" s="14"/>
      <c r="H750" s="14"/>
      <c r="I750" s="14"/>
      <c r="J750" s="14"/>
      <c r="K750" s="14"/>
      <c r="L750" s="15"/>
      <c r="M750" s="14"/>
      <c r="N750" s="14"/>
      <c r="O750" s="15"/>
      <c r="P750" s="14"/>
      <c r="Q750" s="14"/>
      <c r="R750" s="16"/>
      <c r="S750" s="14"/>
      <c r="T750" s="14"/>
      <c r="U750" s="14"/>
      <c r="V750" s="14">
        <v>380</v>
      </c>
      <c r="W750" s="14">
        <v>940</v>
      </c>
      <c r="X750" s="14">
        <v>1320</v>
      </c>
      <c r="Y750" s="24" t="e">
        <f>knicks_players_all_stats[[#This Row],[REB]]/knicks_players_all_stats[[#This Row],[GP]]</f>
        <v>#DIV/0!</v>
      </c>
      <c r="Z750" s="14"/>
      <c r="AA750" s="14"/>
      <c r="AB750" s="14"/>
      <c r="AC750" s="14">
        <v>180</v>
      </c>
      <c r="AD750" s="14"/>
      <c r="AE750" s="14">
        <v>70</v>
      </c>
      <c r="AF750" s="14"/>
      <c r="AG750" s="14"/>
      <c r="AH750" s="14">
        <v>300</v>
      </c>
      <c r="AI750" s="19" t="e">
        <f>knicks_players_all_stats[[#This Row],[BLKPG]]+knicks_players_all_stats[[#This Row],[STLPG]]+knicks_players_all_stats[[#This Row],[REBPG]]</f>
        <v>#DIV/0!</v>
      </c>
      <c r="AJ750" s="14"/>
      <c r="AK750" s="14"/>
      <c r="AL750" s="14"/>
      <c r="AM750" s="14"/>
      <c r="AN750" s="14"/>
      <c r="AO750" s="14"/>
    </row>
    <row r="751" spans="1:41" s="17" customFormat="1" x14ac:dyDescent="0.3">
      <c r="A751" s="13"/>
      <c r="B751" s="13"/>
      <c r="C751" s="13"/>
      <c r="D751" s="13"/>
      <c r="E751" s="14">
        <v>340</v>
      </c>
      <c r="F751" s="14"/>
      <c r="G751" s="14"/>
      <c r="H751" s="14"/>
      <c r="I751" s="14"/>
      <c r="J751" s="14"/>
      <c r="K751" s="14"/>
      <c r="L751" s="15"/>
      <c r="M751" s="14"/>
      <c r="N751" s="14"/>
      <c r="O751" s="15"/>
      <c r="P751" s="14"/>
      <c r="Q751" s="14"/>
      <c r="R751" s="16"/>
      <c r="S751" s="14"/>
      <c r="T751" s="14"/>
      <c r="U751" s="14"/>
      <c r="V751" s="14">
        <v>160</v>
      </c>
      <c r="W751" s="14">
        <v>440</v>
      </c>
      <c r="X751" s="14">
        <v>600</v>
      </c>
      <c r="Y751" s="24" t="e">
        <f>knicks_players_all_stats[[#This Row],[REB]]/knicks_players_all_stats[[#This Row],[GP]]</f>
        <v>#DIV/0!</v>
      </c>
      <c r="Z751" s="14"/>
      <c r="AA751" s="14"/>
      <c r="AB751" s="14"/>
      <c r="AC751" s="14">
        <v>80</v>
      </c>
      <c r="AD751" s="14"/>
      <c r="AE751" s="14">
        <v>60</v>
      </c>
      <c r="AF751" s="14"/>
      <c r="AG751" s="14"/>
      <c r="AH751" s="14">
        <v>50</v>
      </c>
      <c r="AI751" s="19" t="e">
        <f>knicks_players_all_stats[[#This Row],[BLKPG]]+knicks_players_all_stats[[#This Row],[STLPG]]+knicks_players_all_stats[[#This Row],[REBPG]]</f>
        <v>#DIV/0!</v>
      </c>
      <c r="AJ751" s="14"/>
      <c r="AK751" s="14"/>
      <c r="AL751" s="14"/>
      <c r="AM751" s="14"/>
      <c r="AN751" s="14"/>
      <c r="AO751" s="14"/>
    </row>
    <row r="752" spans="1:41" s="17" customFormat="1" x14ac:dyDescent="0.3">
      <c r="A752" s="13"/>
      <c r="B752" s="13"/>
      <c r="C752" s="13"/>
      <c r="D752" s="13"/>
      <c r="E752" s="14">
        <v>260</v>
      </c>
      <c r="F752" s="14"/>
      <c r="G752" s="14"/>
      <c r="H752" s="14"/>
      <c r="I752" s="14"/>
      <c r="J752" s="14"/>
      <c r="K752" s="14"/>
      <c r="L752" s="15"/>
      <c r="M752" s="14"/>
      <c r="N752" s="14"/>
      <c r="O752" s="15"/>
      <c r="P752" s="14"/>
      <c r="Q752" s="14"/>
      <c r="R752" s="16"/>
      <c r="S752" s="14"/>
      <c r="T752" s="14"/>
      <c r="U752" s="14"/>
      <c r="V752" s="14"/>
      <c r="W752" s="14"/>
      <c r="X752" s="14">
        <v>1670</v>
      </c>
      <c r="Y752" s="24" t="e">
        <f>knicks_players_all_stats[[#This Row],[REB]]/knicks_players_all_stats[[#This Row],[GP]]</f>
        <v>#DIV/0!</v>
      </c>
      <c r="Z752" s="14"/>
      <c r="AA752" s="14"/>
      <c r="AB752" s="14"/>
      <c r="AC752" s="14"/>
      <c r="AD752" s="14"/>
      <c r="AE752" s="14"/>
      <c r="AF752" s="14"/>
      <c r="AG752" s="14"/>
      <c r="AH752" s="14"/>
      <c r="AI752" s="19" t="e">
        <f>knicks_players_all_stats[[#This Row],[BLKPG]]+knicks_players_all_stats[[#This Row],[STLPG]]+knicks_players_all_stats[[#This Row],[REBPG]]</f>
        <v>#DIV/0!</v>
      </c>
      <c r="AJ752" s="14"/>
      <c r="AK752" s="14"/>
      <c r="AL752" s="14"/>
      <c r="AM752" s="14"/>
      <c r="AN752" s="14"/>
      <c r="AO752" s="14"/>
    </row>
    <row r="753" spans="1:41" s="17" customFormat="1" x14ac:dyDescent="0.3">
      <c r="A753" s="13"/>
      <c r="B753" s="13"/>
      <c r="C753" s="13"/>
      <c r="D753" s="13"/>
      <c r="E753" s="14">
        <v>270</v>
      </c>
      <c r="F753" s="14"/>
      <c r="G753" s="14"/>
      <c r="H753" s="14"/>
      <c r="I753" s="14"/>
      <c r="J753" s="14"/>
      <c r="K753" s="14"/>
      <c r="L753" s="15"/>
      <c r="M753" s="14"/>
      <c r="N753" s="14"/>
      <c r="O753" s="15"/>
      <c r="P753" s="14"/>
      <c r="Q753" s="14"/>
      <c r="R753" s="16"/>
      <c r="S753" s="14"/>
      <c r="T753" s="14"/>
      <c r="U753" s="14"/>
      <c r="V753" s="14"/>
      <c r="W753" s="14"/>
      <c r="X753" s="14">
        <v>1700</v>
      </c>
      <c r="Y753" s="24" t="e">
        <f>knicks_players_all_stats[[#This Row],[REB]]/knicks_players_all_stats[[#This Row],[GP]]</f>
        <v>#DIV/0!</v>
      </c>
      <c r="Z753" s="14"/>
      <c r="AA753" s="14"/>
      <c r="AB753" s="14"/>
      <c r="AC753" s="14"/>
      <c r="AD753" s="14"/>
      <c r="AE753" s="14"/>
      <c r="AF753" s="14"/>
      <c r="AG753" s="14"/>
      <c r="AH753" s="14"/>
      <c r="AI753" s="19" t="e">
        <f>knicks_players_all_stats[[#This Row],[BLKPG]]+knicks_players_all_stats[[#This Row],[STLPG]]+knicks_players_all_stats[[#This Row],[REBPG]]</f>
        <v>#DIV/0!</v>
      </c>
      <c r="AJ753" s="14"/>
      <c r="AK753" s="14"/>
      <c r="AL753" s="14"/>
      <c r="AM753" s="14"/>
      <c r="AN753" s="14"/>
      <c r="AO753" s="14"/>
    </row>
    <row r="754" spans="1:41" s="14" customFormat="1" x14ac:dyDescent="0.3">
      <c r="A754" s="13"/>
      <c r="B754" s="13"/>
      <c r="C754" s="13"/>
      <c r="D754" s="13"/>
      <c r="E754" s="14">
        <v>280</v>
      </c>
      <c r="L754" s="15"/>
      <c r="O754" s="15"/>
      <c r="R754" s="16"/>
      <c r="X754" s="14">
        <v>2730</v>
      </c>
      <c r="Y754" s="24" t="e">
        <f>knicks_players_all_stats[[#This Row],[REB]]/knicks_players_all_stats[[#This Row],[GP]]</f>
        <v>#DIV/0!</v>
      </c>
      <c r="AI754" s="19" t="e">
        <f>knicks_players_all_stats[[#This Row],[BLKPG]]+knicks_players_all_stats[[#This Row],[STLPG]]+knicks_players_all_stats[[#This Row],[REBPG]]</f>
        <v>#DIV/0!</v>
      </c>
    </row>
    <row r="755" spans="1:41" s="14" customFormat="1" x14ac:dyDescent="0.3">
      <c r="A755" s="13"/>
      <c r="B755" s="13"/>
      <c r="C755" s="13"/>
      <c r="D755" s="13"/>
      <c r="E755" s="14">
        <v>290</v>
      </c>
      <c r="L755" s="15"/>
      <c r="O755" s="15"/>
      <c r="R755" s="16"/>
      <c r="X755" s="14">
        <v>1330</v>
      </c>
      <c r="Y755" s="24" t="e">
        <f>knicks_players_all_stats[[#This Row],[REB]]/knicks_players_all_stats[[#This Row],[GP]]</f>
        <v>#DIV/0!</v>
      </c>
      <c r="AI755" s="19" t="e">
        <f>knicks_players_all_stats[[#This Row],[BLKPG]]+knicks_players_all_stats[[#This Row],[STLPG]]+knicks_players_all_stats[[#This Row],[REBPG]]</f>
        <v>#DIV/0!</v>
      </c>
    </row>
    <row r="756" spans="1:41" s="17" customFormat="1" x14ac:dyDescent="0.3">
      <c r="A756" s="13"/>
      <c r="B756" s="13"/>
      <c r="C756" s="13"/>
      <c r="D756" s="13"/>
      <c r="E756" s="14">
        <v>230</v>
      </c>
      <c r="F756" s="14"/>
      <c r="G756" s="14"/>
      <c r="H756" s="14"/>
      <c r="I756" s="14"/>
      <c r="J756" s="14"/>
      <c r="K756" s="14"/>
      <c r="L756" s="15"/>
      <c r="M756" s="14"/>
      <c r="N756" s="14"/>
      <c r="O756" s="15"/>
      <c r="P756" s="14"/>
      <c r="Q756" s="14"/>
      <c r="R756" s="16"/>
      <c r="S756" s="14"/>
      <c r="T756" s="14"/>
      <c r="U756" s="14"/>
      <c r="V756" s="14"/>
      <c r="W756" s="14"/>
      <c r="X756" s="14">
        <v>1540</v>
      </c>
      <c r="Y756" s="24" t="e">
        <f>knicks_players_all_stats[[#This Row],[REB]]/knicks_players_all_stats[[#This Row],[GP]]</f>
        <v>#DIV/0!</v>
      </c>
      <c r="Z756" s="14"/>
      <c r="AA756" s="14"/>
      <c r="AB756" s="14"/>
      <c r="AC756" s="14"/>
      <c r="AD756" s="14"/>
      <c r="AE756" s="14"/>
      <c r="AF756" s="14"/>
      <c r="AG756" s="14"/>
      <c r="AH756" s="14"/>
      <c r="AI756" s="19" t="e">
        <f>knicks_players_all_stats[[#This Row],[BLKPG]]+knicks_players_all_stats[[#This Row],[STLPG]]+knicks_players_all_stats[[#This Row],[REBPG]]</f>
        <v>#DIV/0!</v>
      </c>
      <c r="AJ756" s="14"/>
      <c r="AK756" s="14"/>
      <c r="AL756" s="14"/>
      <c r="AM756" s="14"/>
      <c r="AN756" s="14"/>
      <c r="AO756" s="14"/>
    </row>
    <row r="757" spans="1:41" s="14" customFormat="1" x14ac:dyDescent="0.3">
      <c r="A757" s="13"/>
      <c r="B757" s="13"/>
      <c r="C757" s="13"/>
      <c r="D757" s="13"/>
      <c r="E757" s="14">
        <v>240</v>
      </c>
      <c r="L757" s="15"/>
      <c r="O757" s="15"/>
      <c r="R757" s="16"/>
      <c r="X757" s="14">
        <v>2120</v>
      </c>
      <c r="Y757" s="24" t="e">
        <f>knicks_players_all_stats[[#This Row],[REB]]/knicks_players_all_stats[[#This Row],[GP]]</f>
        <v>#DIV/0!</v>
      </c>
      <c r="AI757" s="19" t="e">
        <f>knicks_players_all_stats[[#This Row],[BLKPG]]+knicks_players_all_stats[[#This Row],[STLPG]]+knicks_players_all_stats[[#This Row],[REBPG]]</f>
        <v>#DIV/0!</v>
      </c>
    </row>
    <row r="758" spans="1:41" s="14" customFormat="1" x14ac:dyDescent="0.3">
      <c r="A758" s="13"/>
      <c r="B758" s="13"/>
      <c r="C758" s="13"/>
      <c r="D758" s="13"/>
      <c r="E758" s="14">
        <v>310</v>
      </c>
      <c r="L758" s="15"/>
      <c r="O758" s="15"/>
      <c r="R758" s="16"/>
      <c r="X758" s="14">
        <v>1910</v>
      </c>
      <c r="Y758" s="24" t="e">
        <f>knicks_players_all_stats[[#This Row],[REB]]/knicks_players_all_stats[[#This Row],[GP]]</f>
        <v>#DIV/0!</v>
      </c>
      <c r="AI758" s="19" t="e">
        <f>knicks_players_all_stats[[#This Row],[BLKPG]]+knicks_players_all_stats[[#This Row],[STLPG]]+knicks_players_all_stats[[#This Row],[REBPG]]</f>
        <v>#DIV/0!</v>
      </c>
    </row>
    <row r="759" spans="1:41" s="14" customFormat="1" x14ac:dyDescent="0.3">
      <c r="A759" s="13"/>
      <c r="B759" s="13"/>
      <c r="C759" s="13"/>
      <c r="D759" s="13"/>
      <c r="E759" s="14">
        <v>270</v>
      </c>
      <c r="L759" s="15"/>
      <c r="O759" s="15"/>
      <c r="R759" s="16"/>
      <c r="V759" s="14">
        <v>30</v>
      </c>
      <c r="W759" s="14">
        <v>70</v>
      </c>
      <c r="X759" s="14">
        <v>100</v>
      </c>
      <c r="Y759" s="24" t="e">
        <f>knicks_players_all_stats[[#This Row],[REB]]/knicks_players_all_stats[[#This Row],[GP]]</f>
        <v>#DIV/0!</v>
      </c>
      <c r="AC759" s="14">
        <v>90</v>
      </c>
      <c r="AE759" s="14">
        <v>0</v>
      </c>
      <c r="AH759" s="14">
        <v>120</v>
      </c>
      <c r="AI759" s="19" t="e">
        <f>knicks_players_all_stats[[#This Row],[BLKPG]]+knicks_players_all_stats[[#This Row],[STLPG]]+knicks_players_all_stats[[#This Row],[REBPG]]</f>
        <v>#DIV/0!</v>
      </c>
    </row>
    <row r="760" spans="1:41" s="14" customFormat="1" x14ac:dyDescent="0.3">
      <c r="A760" s="13"/>
      <c r="B760" s="13"/>
      <c r="C760" s="13"/>
      <c r="D760" s="13"/>
      <c r="E760" s="14">
        <v>280</v>
      </c>
      <c r="L760" s="15"/>
      <c r="O760" s="15"/>
      <c r="R760" s="16"/>
      <c r="V760" s="14">
        <v>30</v>
      </c>
      <c r="W760" s="14">
        <v>240</v>
      </c>
      <c r="X760" s="14">
        <v>270</v>
      </c>
      <c r="Y760" s="24" t="e">
        <f>knicks_players_all_stats[[#This Row],[REB]]/knicks_players_all_stats[[#This Row],[GP]]</f>
        <v>#DIV/0!</v>
      </c>
      <c r="AC760" s="14">
        <v>90</v>
      </c>
      <c r="AE760" s="14">
        <v>10</v>
      </c>
      <c r="AH760" s="14">
        <v>310</v>
      </c>
      <c r="AI760" s="19" t="e">
        <f>knicks_players_all_stats[[#This Row],[BLKPG]]+knicks_players_all_stats[[#This Row],[STLPG]]+knicks_players_all_stats[[#This Row],[REBPG]]</f>
        <v>#DIV/0!</v>
      </c>
    </row>
    <row r="761" spans="1:41" s="14" customFormat="1" x14ac:dyDescent="0.3">
      <c r="A761" s="13"/>
      <c r="B761" s="13"/>
      <c r="C761" s="13"/>
      <c r="D761" s="13"/>
      <c r="E761" s="14">
        <v>220</v>
      </c>
      <c r="L761" s="15"/>
      <c r="O761" s="15"/>
      <c r="R761" s="16"/>
      <c r="V761" s="14">
        <v>170</v>
      </c>
      <c r="W761" s="14">
        <v>240</v>
      </c>
      <c r="X761" s="14">
        <v>410</v>
      </c>
      <c r="Y761" s="24" t="e">
        <f>knicks_players_all_stats[[#This Row],[REB]]/knicks_players_all_stats[[#This Row],[GP]]</f>
        <v>#DIV/0!</v>
      </c>
      <c r="AC761" s="14">
        <v>80</v>
      </c>
      <c r="AE761" s="14">
        <v>30</v>
      </c>
      <c r="AI761" s="19" t="e">
        <f>knicks_players_all_stats[[#This Row],[BLKPG]]+knicks_players_all_stats[[#This Row],[STLPG]]+knicks_players_all_stats[[#This Row],[REBPG]]</f>
        <v>#DIV/0!</v>
      </c>
    </row>
    <row r="762" spans="1:41" s="17" customFormat="1" x14ac:dyDescent="0.3">
      <c r="A762" s="13"/>
      <c r="B762" s="13"/>
      <c r="C762" s="13"/>
      <c r="D762" s="13"/>
      <c r="E762" s="14">
        <v>320</v>
      </c>
      <c r="F762" s="14"/>
      <c r="G762" s="14"/>
      <c r="H762" s="14"/>
      <c r="I762" s="14"/>
      <c r="J762" s="14"/>
      <c r="K762" s="14"/>
      <c r="L762" s="15"/>
      <c r="M762" s="14"/>
      <c r="N762" s="14"/>
      <c r="O762" s="15"/>
      <c r="P762" s="14"/>
      <c r="Q762" s="14"/>
      <c r="R762" s="16"/>
      <c r="S762" s="14"/>
      <c r="T762" s="14"/>
      <c r="U762" s="14"/>
      <c r="V762" s="14">
        <v>100</v>
      </c>
      <c r="W762" s="14">
        <v>760</v>
      </c>
      <c r="X762" s="14">
        <v>860</v>
      </c>
      <c r="Y762" s="24" t="e">
        <f>knicks_players_all_stats[[#This Row],[REB]]/knicks_players_all_stats[[#This Row],[GP]]</f>
        <v>#DIV/0!</v>
      </c>
      <c r="Z762" s="14"/>
      <c r="AA762" s="14"/>
      <c r="AB762" s="14"/>
      <c r="AC762" s="14">
        <v>800</v>
      </c>
      <c r="AD762" s="14"/>
      <c r="AE762" s="14">
        <v>40</v>
      </c>
      <c r="AF762" s="14"/>
      <c r="AG762" s="14"/>
      <c r="AH762" s="14">
        <v>810</v>
      </c>
      <c r="AI762" s="19" t="e">
        <f>knicks_players_all_stats[[#This Row],[BLKPG]]+knicks_players_all_stats[[#This Row],[STLPG]]+knicks_players_all_stats[[#This Row],[REBPG]]</f>
        <v>#DIV/0!</v>
      </c>
      <c r="AJ762" s="14"/>
      <c r="AK762" s="14"/>
      <c r="AL762" s="14"/>
      <c r="AM762" s="14"/>
      <c r="AN762" s="14"/>
      <c r="AO762" s="14"/>
    </row>
    <row r="763" spans="1:41" s="14" customFormat="1" x14ac:dyDescent="0.3">
      <c r="A763" s="13"/>
      <c r="B763" s="13"/>
      <c r="C763" s="13"/>
      <c r="D763" s="13"/>
      <c r="E763" s="14">
        <v>330</v>
      </c>
      <c r="L763" s="15"/>
      <c r="O763" s="15"/>
      <c r="R763" s="16"/>
      <c r="V763" s="14">
        <v>310</v>
      </c>
      <c r="W763" s="14">
        <v>1630</v>
      </c>
      <c r="X763" s="14">
        <v>1940</v>
      </c>
      <c r="Y763" s="24" t="e">
        <f>knicks_players_all_stats[[#This Row],[REB]]/knicks_players_all_stats[[#This Row],[GP]]</f>
        <v>#DIV/0!</v>
      </c>
      <c r="AC763" s="14">
        <v>790</v>
      </c>
      <c r="AE763" s="14">
        <v>100</v>
      </c>
      <c r="AH763" s="14">
        <v>1510</v>
      </c>
      <c r="AI763" s="19" t="e">
        <f>knicks_players_all_stats[[#This Row],[BLKPG]]+knicks_players_all_stats[[#This Row],[STLPG]]+knicks_players_all_stats[[#This Row],[REBPG]]</f>
        <v>#DIV/0!</v>
      </c>
    </row>
    <row r="764" spans="1:41" s="14" customFormat="1" x14ac:dyDescent="0.3">
      <c r="A764" s="13"/>
      <c r="B764" s="13"/>
      <c r="C764" s="13"/>
      <c r="D764" s="13"/>
      <c r="E764" s="14">
        <v>340</v>
      </c>
      <c r="L764" s="15"/>
      <c r="O764" s="15"/>
      <c r="R764" s="16"/>
      <c r="V764" s="14">
        <v>320</v>
      </c>
      <c r="W764" s="14">
        <v>1700</v>
      </c>
      <c r="X764" s="14">
        <v>2020</v>
      </c>
      <c r="Y764" s="24" t="e">
        <f>knicks_players_all_stats[[#This Row],[REB]]/knicks_players_all_stats[[#This Row],[GP]]</f>
        <v>#DIV/0!</v>
      </c>
      <c r="AC764" s="14">
        <v>1310</v>
      </c>
      <c r="AE764" s="14">
        <v>50</v>
      </c>
      <c r="AH764" s="14">
        <v>1780</v>
      </c>
      <c r="AI764" s="19" t="e">
        <f>knicks_players_all_stats[[#This Row],[BLKPG]]+knicks_players_all_stats[[#This Row],[STLPG]]+knicks_players_all_stats[[#This Row],[REBPG]]</f>
        <v>#DIV/0!</v>
      </c>
    </row>
    <row r="765" spans="1:41" s="14" customFormat="1" x14ac:dyDescent="0.3">
      <c r="A765" s="13"/>
      <c r="B765" s="13"/>
      <c r="C765" s="13"/>
      <c r="D765" s="13"/>
      <c r="E765" s="14">
        <v>230</v>
      </c>
      <c r="L765" s="15"/>
      <c r="O765" s="15"/>
      <c r="R765" s="16"/>
      <c r="Y765" s="24" t="e">
        <f>knicks_players_all_stats[[#This Row],[REB]]/knicks_players_all_stats[[#This Row],[GP]]</f>
        <v>#DIV/0!</v>
      </c>
      <c r="AI765" s="19" t="e">
        <f>knicks_players_all_stats[[#This Row],[BLKPG]]+knicks_players_all_stats[[#This Row],[STLPG]]+knicks_players_all_stats[[#This Row],[REBPG]]</f>
        <v>#DIV/0!</v>
      </c>
    </row>
    <row r="766" spans="1:41" s="17" customFormat="1" x14ac:dyDescent="0.3">
      <c r="A766" s="18"/>
      <c r="B766" s="18"/>
      <c r="C766" s="18"/>
      <c r="D766" s="18"/>
      <c r="E766" s="14">
        <v>290</v>
      </c>
      <c r="I766" s="19"/>
      <c r="L766" s="20"/>
      <c r="O766" s="20"/>
      <c r="R766" s="21"/>
      <c r="V766" s="14">
        <v>130</v>
      </c>
      <c r="W766" s="14">
        <v>550</v>
      </c>
      <c r="X766" s="14">
        <v>680</v>
      </c>
      <c r="Y766" s="24" t="e">
        <f>knicks_players_all_stats[[#This Row],[REB]]/knicks_players_all_stats[[#This Row],[GP]]</f>
        <v>#DIV/0!</v>
      </c>
      <c r="AC766" s="17">
        <v>250</v>
      </c>
      <c r="AE766" s="14">
        <v>30</v>
      </c>
      <c r="AH766" s="14">
        <v>190</v>
      </c>
      <c r="AI766" s="19" t="e">
        <f>knicks_players_all_stats[[#This Row],[BLKPG]]+knicks_players_all_stats[[#This Row],[STLPG]]+knicks_players_all_stats[[#This Row],[REBPG]]</f>
        <v>#DIV/0!</v>
      </c>
    </row>
    <row r="767" spans="1:41" s="17" customFormat="1" x14ac:dyDescent="0.3">
      <c r="A767" s="18"/>
      <c r="B767" s="18"/>
      <c r="C767" s="18"/>
      <c r="D767" s="18"/>
      <c r="E767" s="14">
        <v>220</v>
      </c>
      <c r="I767" s="19"/>
      <c r="L767" s="20"/>
      <c r="O767" s="20"/>
      <c r="R767" s="21"/>
      <c r="V767" s="14">
        <v>50</v>
      </c>
      <c r="W767" s="14">
        <v>520</v>
      </c>
      <c r="X767" s="14">
        <v>570</v>
      </c>
      <c r="Y767" s="24" t="e">
        <f>knicks_players_all_stats[[#This Row],[REB]]/knicks_players_all_stats[[#This Row],[GP]]</f>
        <v>#DIV/0!</v>
      </c>
      <c r="AC767" s="17">
        <v>70</v>
      </c>
      <c r="AE767" s="14">
        <v>20</v>
      </c>
      <c r="AH767" s="14">
        <v>90</v>
      </c>
      <c r="AI767" s="19" t="e">
        <f>knicks_players_all_stats[[#This Row],[BLKPG]]+knicks_players_all_stats[[#This Row],[STLPG]]+knicks_players_all_stats[[#This Row],[REBPG]]</f>
        <v>#DIV/0!</v>
      </c>
    </row>
    <row r="768" spans="1:41" s="14" customFormat="1" x14ac:dyDescent="0.3">
      <c r="A768" s="13"/>
      <c r="B768" s="13"/>
      <c r="C768" s="13"/>
      <c r="D768" s="13"/>
      <c r="E768" s="14">
        <v>260</v>
      </c>
      <c r="L768" s="15"/>
      <c r="O768" s="15"/>
      <c r="R768" s="16"/>
      <c r="V768" s="14">
        <v>130</v>
      </c>
      <c r="W768" s="14">
        <v>250</v>
      </c>
      <c r="X768" s="14">
        <v>380</v>
      </c>
      <c r="Y768" s="24" t="e">
        <f>knicks_players_all_stats[[#This Row],[REB]]/knicks_players_all_stats[[#This Row],[GP]]</f>
        <v>#DIV/0!</v>
      </c>
      <c r="AC768" s="14">
        <v>30</v>
      </c>
      <c r="AE768" s="14">
        <v>10</v>
      </c>
      <c r="AI768" s="19" t="e">
        <f>knicks_players_all_stats[[#This Row],[BLKPG]]+knicks_players_all_stats[[#This Row],[STLPG]]+knicks_players_all_stats[[#This Row],[REBPG]]</f>
        <v>#DIV/0!</v>
      </c>
    </row>
    <row r="769" spans="1:41" s="14" customFormat="1" x14ac:dyDescent="0.3">
      <c r="A769" s="13"/>
      <c r="B769" s="13"/>
      <c r="C769" s="13"/>
      <c r="D769" s="13"/>
      <c r="E769" s="14">
        <v>260</v>
      </c>
      <c r="L769" s="15"/>
      <c r="O769" s="15"/>
      <c r="R769" s="16"/>
      <c r="Y769" s="24" t="e">
        <f>knicks_players_all_stats[[#This Row],[REB]]/knicks_players_all_stats[[#This Row],[GP]]</f>
        <v>#DIV/0!</v>
      </c>
      <c r="AI769" s="19" t="e">
        <f>knicks_players_all_stats[[#This Row],[BLKPG]]+knicks_players_all_stats[[#This Row],[STLPG]]+knicks_players_all_stats[[#This Row],[REBPG]]</f>
        <v>#DIV/0!</v>
      </c>
    </row>
    <row r="770" spans="1:41" s="14" customFormat="1" x14ac:dyDescent="0.3">
      <c r="A770" s="13"/>
      <c r="B770" s="13"/>
      <c r="C770" s="13"/>
      <c r="D770" s="13"/>
      <c r="E770" s="14">
        <v>270</v>
      </c>
      <c r="L770" s="15"/>
      <c r="O770" s="15"/>
      <c r="R770" s="16"/>
      <c r="Y770" s="24" t="e">
        <f>knicks_players_all_stats[[#This Row],[REB]]/knicks_players_all_stats[[#This Row],[GP]]</f>
        <v>#DIV/0!</v>
      </c>
      <c r="AI770" s="19" t="e">
        <f>knicks_players_all_stats[[#This Row],[BLKPG]]+knicks_players_all_stats[[#This Row],[STLPG]]+knicks_players_all_stats[[#This Row],[REBPG]]</f>
        <v>#DIV/0!</v>
      </c>
    </row>
    <row r="771" spans="1:41" s="17" customFormat="1" x14ac:dyDescent="0.3">
      <c r="A771" s="13"/>
      <c r="B771" s="13"/>
      <c r="C771" s="13"/>
      <c r="D771" s="13"/>
      <c r="E771" s="14">
        <v>240</v>
      </c>
      <c r="F771" s="14"/>
      <c r="G771" s="14"/>
      <c r="H771" s="14"/>
      <c r="I771" s="14"/>
      <c r="J771" s="14"/>
      <c r="K771" s="14"/>
      <c r="L771" s="15"/>
      <c r="M771" s="14"/>
      <c r="N771" s="14"/>
      <c r="O771" s="15"/>
      <c r="P771" s="14"/>
      <c r="Q771" s="14"/>
      <c r="R771" s="16"/>
      <c r="S771" s="14"/>
      <c r="T771" s="14"/>
      <c r="U771" s="14"/>
      <c r="V771" s="14"/>
      <c r="W771" s="14"/>
      <c r="X771" s="14">
        <v>60</v>
      </c>
      <c r="Y771" s="24" t="e">
        <f>knicks_players_all_stats[[#This Row],[REB]]/knicks_players_all_stats[[#This Row],[GP]]</f>
        <v>#DIV/0!</v>
      </c>
      <c r="Z771" s="14"/>
      <c r="AA771" s="14"/>
      <c r="AB771" s="14"/>
      <c r="AC771" s="14"/>
      <c r="AD771" s="14"/>
      <c r="AE771" s="14"/>
      <c r="AF771" s="14"/>
      <c r="AG771" s="14"/>
      <c r="AH771" s="14"/>
      <c r="AI771" s="19" t="e">
        <f>knicks_players_all_stats[[#This Row],[BLKPG]]+knicks_players_all_stats[[#This Row],[STLPG]]+knicks_players_all_stats[[#This Row],[REBPG]]</f>
        <v>#DIV/0!</v>
      </c>
      <c r="AJ771" s="14"/>
      <c r="AK771" s="14"/>
      <c r="AL771" s="14"/>
      <c r="AM771" s="14"/>
      <c r="AN771" s="14"/>
      <c r="AO771" s="14"/>
    </row>
    <row r="772" spans="1:41" s="17" customFormat="1" x14ac:dyDescent="0.3">
      <c r="A772" s="13"/>
      <c r="B772" s="13"/>
      <c r="C772" s="13"/>
      <c r="D772" s="13"/>
      <c r="E772" s="14">
        <v>230</v>
      </c>
      <c r="F772" s="14"/>
      <c r="G772" s="14"/>
      <c r="H772" s="14"/>
      <c r="I772" s="14"/>
      <c r="J772" s="14"/>
      <c r="K772" s="14"/>
      <c r="L772" s="15"/>
      <c r="M772" s="14"/>
      <c r="N772" s="14"/>
      <c r="O772" s="15"/>
      <c r="P772" s="14"/>
      <c r="Q772" s="14"/>
      <c r="R772" s="16"/>
      <c r="S772" s="14"/>
      <c r="T772" s="14"/>
      <c r="U772" s="14"/>
      <c r="V772" s="14">
        <v>50</v>
      </c>
      <c r="W772" s="14">
        <v>200</v>
      </c>
      <c r="X772" s="14">
        <v>250</v>
      </c>
      <c r="Y772" s="24" t="e">
        <f>knicks_players_all_stats[[#This Row],[REB]]/knicks_players_all_stats[[#This Row],[GP]]</f>
        <v>#DIV/0!</v>
      </c>
      <c r="Z772" s="14"/>
      <c r="AA772" s="14"/>
      <c r="AB772" s="14"/>
      <c r="AC772" s="14">
        <v>160</v>
      </c>
      <c r="AD772" s="14"/>
      <c r="AE772" s="14">
        <v>10</v>
      </c>
      <c r="AF772" s="14"/>
      <c r="AG772" s="14"/>
      <c r="AH772" s="14">
        <v>420</v>
      </c>
      <c r="AI772" s="19" t="e">
        <f>knicks_players_all_stats[[#This Row],[BLKPG]]+knicks_players_all_stats[[#This Row],[STLPG]]+knicks_players_all_stats[[#This Row],[REBPG]]</f>
        <v>#DIV/0!</v>
      </c>
      <c r="AJ772" s="14"/>
      <c r="AK772" s="14"/>
      <c r="AL772" s="14"/>
      <c r="AM772" s="14"/>
      <c r="AN772" s="14"/>
      <c r="AO772" s="14"/>
    </row>
    <row r="773" spans="1:41" s="17" customFormat="1" x14ac:dyDescent="0.3">
      <c r="A773" s="13"/>
      <c r="B773" s="13"/>
      <c r="C773" s="13"/>
      <c r="D773" s="13"/>
      <c r="E773" s="14">
        <v>270</v>
      </c>
      <c r="F773" s="14"/>
      <c r="G773" s="14"/>
      <c r="H773" s="14"/>
      <c r="I773" s="14"/>
      <c r="J773" s="14"/>
      <c r="K773" s="14"/>
      <c r="L773" s="15"/>
      <c r="M773" s="14"/>
      <c r="N773" s="14"/>
      <c r="O773" s="15"/>
      <c r="P773" s="14"/>
      <c r="Q773" s="14"/>
      <c r="R773" s="16"/>
      <c r="S773" s="14"/>
      <c r="T773" s="14"/>
      <c r="U773" s="14"/>
      <c r="V773" s="14"/>
      <c r="W773" s="14"/>
      <c r="X773" s="14">
        <v>3890</v>
      </c>
      <c r="Y773" s="24" t="e">
        <f>knicks_players_all_stats[[#This Row],[REB]]/knicks_players_all_stats[[#This Row],[GP]]</f>
        <v>#DIV/0!</v>
      </c>
      <c r="Z773" s="14"/>
      <c r="AA773" s="14"/>
      <c r="AB773" s="14"/>
      <c r="AC773" s="14"/>
      <c r="AD773" s="14"/>
      <c r="AE773" s="14"/>
      <c r="AF773" s="14"/>
      <c r="AG773" s="14"/>
      <c r="AH773" s="14"/>
      <c r="AI773" s="19" t="e">
        <f>knicks_players_all_stats[[#This Row],[BLKPG]]+knicks_players_all_stats[[#This Row],[STLPG]]+knicks_players_all_stats[[#This Row],[REBPG]]</f>
        <v>#DIV/0!</v>
      </c>
      <c r="AJ773" s="14"/>
      <c r="AK773" s="14"/>
      <c r="AL773" s="14"/>
      <c r="AM773" s="14"/>
      <c r="AN773" s="14"/>
      <c r="AO773" s="14"/>
    </row>
    <row r="774" spans="1:41" s="17" customFormat="1" x14ac:dyDescent="0.3">
      <c r="A774" s="13"/>
      <c r="B774" s="13"/>
      <c r="C774" s="13"/>
      <c r="D774" s="13"/>
      <c r="E774" s="14">
        <v>280</v>
      </c>
      <c r="F774" s="14"/>
      <c r="G774" s="14"/>
      <c r="H774" s="14"/>
      <c r="I774" s="14"/>
      <c r="J774" s="14"/>
      <c r="K774" s="14"/>
      <c r="L774" s="15"/>
      <c r="M774" s="14"/>
      <c r="N774" s="14"/>
      <c r="O774" s="15"/>
      <c r="P774" s="14"/>
      <c r="Q774" s="14"/>
      <c r="R774" s="16"/>
      <c r="S774" s="14"/>
      <c r="T774" s="14"/>
      <c r="U774" s="14"/>
      <c r="V774" s="14"/>
      <c r="W774" s="14"/>
      <c r="X774" s="14">
        <v>1790</v>
      </c>
      <c r="Y774" s="24" t="e">
        <f>knicks_players_all_stats[[#This Row],[REB]]/knicks_players_all_stats[[#This Row],[GP]]</f>
        <v>#DIV/0!</v>
      </c>
      <c r="Z774" s="14"/>
      <c r="AA774" s="14"/>
      <c r="AB774" s="14"/>
      <c r="AC774" s="14"/>
      <c r="AD774" s="14"/>
      <c r="AE774" s="14"/>
      <c r="AF774" s="14"/>
      <c r="AG774" s="14"/>
      <c r="AH774" s="14"/>
      <c r="AI774" s="19" t="e">
        <f>knicks_players_all_stats[[#This Row],[BLKPG]]+knicks_players_all_stats[[#This Row],[STLPG]]+knicks_players_all_stats[[#This Row],[REBPG]]</f>
        <v>#DIV/0!</v>
      </c>
      <c r="AJ774" s="14"/>
      <c r="AK774" s="14"/>
      <c r="AL774" s="14"/>
      <c r="AM774" s="14"/>
      <c r="AN774" s="14"/>
      <c r="AO774" s="14"/>
    </row>
    <row r="775" spans="1:41" s="17" customFormat="1" x14ac:dyDescent="0.3">
      <c r="A775" s="13"/>
      <c r="B775" s="13"/>
      <c r="C775" s="13"/>
      <c r="D775" s="13"/>
      <c r="E775" s="14">
        <v>310</v>
      </c>
      <c r="F775" s="14"/>
      <c r="G775" s="14"/>
      <c r="H775" s="14"/>
      <c r="I775" s="14"/>
      <c r="J775" s="14"/>
      <c r="K775" s="14"/>
      <c r="L775" s="15"/>
      <c r="M775" s="14"/>
      <c r="N775" s="14"/>
      <c r="O775" s="15"/>
      <c r="P775" s="14"/>
      <c r="Q775" s="14"/>
      <c r="R775" s="16"/>
      <c r="S775" s="14"/>
      <c r="T775" s="14"/>
      <c r="U775" s="14"/>
      <c r="V775" s="14">
        <v>1990</v>
      </c>
      <c r="W775" s="14">
        <v>4580</v>
      </c>
      <c r="X775" s="14">
        <v>6570</v>
      </c>
      <c r="Y775" s="24" t="e">
        <f>knicks_players_all_stats[[#This Row],[REB]]/knicks_players_all_stats[[#This Row],[GP]]</f>
        <v>#DIV/0!</v>
      </c>
      <c r="Z775" s="14"/>
      <c r="AA775" s="14"/>
      <c r="AB775" s="14"/>
      <c r="AC775" s="14">
        <v>570</v>
      </c>
      <c r="AD775" s="14"/>
      <c r="AE775" s="14">
        <v>240</v>
      </c>
      <c r="AF775" s="14"/>
      <c r="AG775" s="14"/>
      <c r="AH775" s="14">
        <v>1900</v>
      </c>
      <c r="AI775" s="19" t="e">
        <f>knicks_players_all_stats[[#This Row],[BLKPG]]+knicks_players_all_stats[[#This Row],[STLPG]]+knicks_players_all_stats[[#This Row],[REBPG]]</f>
        <v>#DIV/0!</v>
      </c>
      <c r="AJ775" s="14"/>
      <c r="AK775" s="14"/>
      <c r="AL775" s="14"/>
      <c r="AM775" s="14"/>
      <c r="AN775" s="14"/>
      <c r="AO775" s="14"/>
    </row>
    <row r="776" spans="1:41" s="14" customFormat="1" x14ac:dyDescent="0.3">
      <c r="A776" s="13"/>
      <c r="B776" s="13"/>
      <c r="C776" s="13"/>
      <c r="D776" s="13"/>
      <c r="E776" s="14">
        <v>320</v>
      </c>
      <c r="L776" s="15"/>
      <c r="O776" s="15"/>
      <c r="R776" s="16"/>
      <c r="V776" s="14">
        <v>1710</v>
      </c>
      <c r="W776" s="14">
        <v>3740</v>
      </c>
      <c r="X776" s="14">
        <v>5450</v>
      </c>
      <c r="Y776" s="24" t="e">
        <f>knicks_players_all_stats[[#This Row],[REB]]/knicks_players_all_stats[[#This Row],[GP]]</f>
        <v>#DIV/0!</v>
      </c>
      <c r="AC776" s="14">
        <v>430</v>
      </c>
      <c r="AE776" s="14">
        <v>270</v>
      </c>
      <c r="AH776" s="14">
        <v>1600</v>
      </c>
      <c r="AI776" s="19" t="e">
        <f>knicks_players_all_stats[[#This Row],[BLKPG]]+knicks_players_all_stats[[#This Row],[STLPG]]+knicks_players_all_stats[[#This Row],[REBPG]]</f>
        <v>#DIV/0!</v>
      </c>
    </row>
    <row r="777" spans="1:41" s="14" customFormat="1" x14ac:dyDescent="0.3">
      <c r="A777" s="13"/>
      <c r="B777" s="13"/>
      <c r="C777" s="13"/>
      <c r="D777" s="13"/>
      <c r="E777" s="14">
        <v>330</v>
      </c>
      <c r="L777" s="15"/>
      <c r="O777" s="15"/>
      <c r="R777" s="16"/>
      <c r="V777" s="14">
        <v>60</v>
      </c>
      <c r="W777" s="14">
        <v>30</v>
      </c>
      <c r="X777" s="14">
        <v>90</v>
      </c>
      <c r="Y777" s="24" t="e">
        <f>knicks_players_all_stats[[#This Row],[REB]]/knicks_players_all_stats[[#This Row],[GP]]</f>
        <v>#DIV/0!</v>
      </c>
      <c r="AC777" s="14">
        <v>20</v>
      </c>
      <c r="AE777" s="14">
        <v>30</v>
      </c>
      <c r="AH777" s="14">
        <v>50</v>
      </c>
      <c r="AI777" s="19" t="e">
        <f>knicks_players_all_stats[[#This Row],[BLKPG]]+knicks_players_all_stats[[#This Row],[STLPG]]+knicks_players_all_stats[[#This Row],[REBPG]]</f>
        <v>#DIV/0!</v>
      </c>
    </row>
    <row r="778" spans="1:41" s="14" customFormat="1" x14ac:dyDescent="0.3">
      <c r="A778" s="13"/>
      <c r="B778" s="13"/>
      <c r="C778" s="13"/>
      <c r="D778" s="13"/>
      <c r="E778" s="14">
        <v>280</v>
      </c>
      <c r="L778" s="15"/>
      <c r="O778" s="15"/>
      <c r="R778" s="16"/>
      <c r="V778" s="14">
        <v>410</v>
      </c>
      <c r="W778" s="14">
        <v>1150</v>
      </c>
      <c r="X778" s="14">
        <v>1560</v>
      </c>
      <c r="Y778" s="24" t="e">
        <f>knicks_players_all_stats[[#This Row],[REB]]/knicks_players_all_stats[[#This Row],[GP]]</f>
        <v>#DIV/0!</v>
      </c>
      <c r="AC778" s="14">
        <v>460</v>
      </c>
      <c r="AE778" s="14">
        <v>20</v>
      </c>
      <c r="AH778" s="14">
        <v>790</v>
      </c>
      <c r="AI778" s="19" t="e">
        <f>knicks_players_all_stats[[#This Row],[BLKPG]]+knicks_players_all_stats[[#This Row],[STLPG]]+knicks_players_all_stats[[#This Row],[REBPG]]</f>
        <v>#DIV/0!</v>
      </c>
    </row>
    <row r="779" spans="1:41" s="14" customFormat="1" x14ac:dyDescent="0.3">
      <c r="A779" s="13"/>
      <c r="B779" s="13"/>
      <c r="C779" s="13"/>
      <c r="D779" s="13"/>
      <c r="E779" s="14">
        <v>290</v>
      </c>
      <c r="L779" s="15"/>
      <c r="O779" s="15"/>
      <c r="R779" s="16"/>
      <c r="V779" s="14">
        <v>490</v>
      </c>
      <c r="W779" s="14">
        <v>3000</v>
      </c>
      <c r="X779" s="14">
        <v>3490</v>
      </c>
      <c r="Y779" s="24" t="e">
        <f>knicks_players_all_stats[[#This Row],[REB]]/knicks_players_all_stats[[#This Row],[GP]]</f>
        <v>#DIV/0!</v>
      </c>
      <c r="AC779" s="14">
        <v>1090</v>
      </c>
      <c r="AE779" s="14">
        <v>220</v>
      </c>
      <c r="AH779" s="14">
        <v>2260</v>
      </c>
      <c r="AI779" s="19" t="e">
        <f>knicks_players_all_stats[[#This Row],[BLKPG]]+knicks_players_all_stats[[#This Row],[STLPG]]+knicks_players_all_stats[[#This Row],[REBPG]]</f>
        <v>#DIV/0!</v>
      </c>
    </row>
    <row r="780" spans="1:41" s="14" customFormat="1" x14ac:dyDescent="0.3">
      <c r="A780" s="18"/>
      <c r="B780" s="18"/>
      <c r="C780" s="18"/>
      <c r="D780" s="18"/>
      <c r="E780" s="14">
        <v>210</v>
      </c>
      <c r="F780" s="17"/>
      <c r="G780" s="17"/>
      <c r="H780" s="17"/>
      <c r="I780" s="19"/>
      <c r="J780" s="17"/>
      <c r="K780" s="17"/>
      <c r="L780" s="20"/>
      <c r="M780" s="17"/>
      <c r="N780" s="17"/>
      <c r="O780" s="20"/>
      <c r="P780" s="17"/>
      <c r="Q780" s="17"/>
      <c r="R780" s="21"/>
      <c r="S780" s="17"/>
      <c r="T780" s="17"/>
      <c r="U780" s="17"/>
      <c r="V780" s="14">
        <v>230</v>
      </c>
      <c r="W780" s="14">
        <v>980</v>
      </c>
      <c r="X780" s="14">
        <v>1210</v>
      </c>
      <c r="Y780" s="24" t="e">
        <f>knicks_players_all_stats[[#This Row],[REB]]/knicks_players_all_stats[[#This Row],[GP]]</f>
        <v>#DIV/0!</v>
      </c>
      <c r="Z780" s="17"/>
      <c r="AA780" s="17"/>
      <c r="AB780" s="17"/>
      <c r="AC780" s="17">
        <v>540</v>
      </c>
      <c r="AD780" s="17"/>
      <c r="AE780" s="14">
        <v>160</v>
      </c>
      <c r="AF780" s="17"/>
      <c r="AG780" s="17"/>
      <c r="AH780" s="14">
        <v>710</v>
      </c>
      <c r="AI780" s="19" t="e">
        <f>knicks_players_all_stats[[#This Row],[BLKPG]]+knicks_players_all_stats[[#This Row],[STLPG]]+knicks_players_all_stats[[#This Row],[REBPG]]</f>
        <v>#DIV/0!</v>
      </c>
      <c r="AJ780" s="17"/>
      <c r="AK780" s="17"/>
      <c r="AL780" s="17"/>
      <c r="AM780" s="17"/>
      <c r="AN780" s="17"/>
      <c r="AO780" s="17"/>
    </row>
    <row r="781" spans="1:41" s="14" customFormat="1" x14ac:dyDescent="0.3">
      <c r="A781" s="18"/>
      <c r="B781" s="18"/>
      <c r="C781" s="18"/>
      <c r="D781" s="18"/>
      <c r="E781" s="14">
        <v>260</v>
      </c>
      <c r="F781" s="17"/>
      <c r="G781" s="17"/>
      <c r="H781" s="17"/>
      <c r="I781" s="19"/>
      <c r="J781" s="17"/>
      <c r="K781" s="17"/>
      <c r="L781" s="20"/>
      <c r="M781" s="17"/>
      <c r="N781" s="17"/>
      <c r="O781" s="20"/>
      <c r="P781" s="17"/>
      <c r="Q781" s="17"/>
      <c r="R781" s="21"/>
      <c r="S781" s="17"/>
      <c r="T781" s="17"/>
      <c r="U781" s="17"/>
      <c r="V781" s="14">
        <v>100</v>
      </c>
      <c r="W781" s="14">
        <v>810</v>
      </c>
      <c r="X781" s="14">
        <v>910</v>
      </c>
      <c r="Y781" s="24" t="e">
        <f>knicks_players_all_stats[[#This Row],[REB]]/knicks_players_all_stats[[#This Row],[GP]]</f>
        <v>#DIV/0!</v>
      </c>
      <c r="Z781" s="17"/>
      <c r="AA781" s="17"/>
      <c r="AB781" s="17"/>
      <c r="AC781" s="17">
        <v>230</v>
      </c>
      <c r="AD781" s="17"/>
      <c r="AE781" s="14">
        <v>40</v>
      </c>
      <c r="AF781" s="17"/>
      <c r="AG781" s="17"/>
      <c r="AH781" s="14">
        <v>210</v>
      </c>
      <c r="AI781" s="19" t="e">
        <f>knicks_players_all_stats[[#This Row],[BLKPG]]+knicks_players_all_stats[[#This Row],[STLPG]]+knicks_players_all_stats[[#This Row],[REBPG]]</f>
        <v>#DIV/0!</v>
      </c>
      <c r="AJ781" s="17"/>
      <c r="AK781" s="17"/>
      <c r="AL781" s="17"/>
      <c r="AM781" s="17"/>
      <c r="AN781" s="17"/>
      <c r="AO781" s="17"/>
    </row>
    <row r="782" spans="1:41" s="14" customFormat="1" x14ac:dyDescent="0.3">
      <c r="A782" s="13"/>
      <c r="B782" s="13"/>
      <c r="C782" s="13"/>
      <c r="D782" s="13"/>
      <c r="E782" s="14">
        <v>220</v>
      </c>
      <c r="L782" s="15"/>
      <c r="O782" s="15"/>
      <c r="R782" s="16"/>
      <c r="X782" s="14">
        <v>410</v>
      </c>
      <c r="Y782" s="24" t="e">
        <f>knicks_players_all_stats[[#This Row],[REB]]/knicks_players_all_stats[[#This Row],[GP]]</f>
        <v>#DIV/0!</v>
      </c>
      <c r="AI782" s="19" t="e">
        <f>knicks_players_all_stats[[#This Row],[BLKPG]]+knicks_players_all_stats[[#This Row],[STLPG]]+knicks_players_all_stats[[#This Row],[REBPG]]</f>
        <v>#DIV/0!</v>
      </c>
    </row>
    <row r="783" spans="1:41" s="14" customFormat="1" x14ac:dyDescent="0.3">
      <c r="A783" s="13"/>
      <c r="B783" s="13"/>
      <c r="C783" s="13"/>
      <c r="D783" s="13"/>
      <c r="E783" s="14">
        <v>340</v>
      </c>
      <c r="L783" s="15"/>
      <c r="O783" s="15"/>
      <c r="R783" s="16"/>
      <c r="V783" s="14">
        <v>20</v>
      </c>
      <c r="W783" s="14">
        <v>170</v>
      </c>
      <c r="X783" s="14">
        <v>190</v>
      </c>
      <c r="Y783" s="24" t="e">
        <f>knicks_players_all_stats[[#This Row],[REB]]/knicks_players_all_stats[[#This Row],[GP]]</f>
        <v>#DIV/0!</v>
      </c>
      <c r="AC783" s="14">
        <v>0</v>
      </c>
      <c r="AE783" s="14">
        <v>50</v>
      </c>
      <c r="AH783" s="14">
        <v>70</v>
      </c>
      <c r="AI783" s="19" t="e">
        <f>knicks_players_all_stats[[#This Row],[BLKPG]]+knicks_players_all_stats[[#This Row],[STLPG]]+knicks_players_all_stats[[#This Row],[REBPG]]</f>
        <v>#DIV/0!</v>
      </c>
    </row>
    <row r="784" spans="1:41" s="17" customFormat="1" x14ac:dyDescent="0.3">
      <c r="A784" s="18"/>
      <c r="B784" s="18"/>
      <c r="C784" s="18"/>
      <c r="D784" s="18"/>
      <c r="E784" s="14">
        <v>330</v>
      </c>
      <c r="I784" s="19"/>
      <c r="L784" s="20"/>
      <c r="O784" s="20"/>
      <c r="R784" s="21"/>
      <c r="V784" s="14">
        <v>60</v>
      </c>
      <c r="W784" s="14">
        <v>210</v>
      </c>
      <c r="X784" s="14">
        <v>270</v>
      </c>
      <c r="Y784" s="24" t="e">
        <f>knicks_players_all_stats[[#This Row],[REB]]/knicks_players_all_stats[[#This Row],[GP]]</f>
        <v>#DIV/0!</v>
      </c>
      <c r="AC784" s="17">
        <v>80</v>
      </c>
      <c r="AE784" s="14">
        <v>20</v>
      </c>
      <c r="AH784" s="14">
        <v>50</v>
      </c>
      <c r="AI784" s="19" t="e">
        <f>knicks_players_all_stats[[#This Row],[BLKPG]]+knicks_players_all_stats[[#This Row],[STLPG]]+knicks_players_all_stats[[#This Row],[REBPG]]</f>
        <v>#DIV/0!</v>
      </c>
    </row>
    <row r="785" spans="1:41" s="17" customFormat="1" x14ac:dyDescent="0.3">
      <c r="A785" s="13"/>
      <c r="B785" s="13"/>
      <c r="C785" s="13"/>
      <c r="D785" s="13"/>
      <c r="E785" s="14">
        <v>310</v>
      </c>
      <c r="F785" s="14"/>
      <c r="G785" s="14"/>
      <c r="H785" s="14"/>
      <c r="I785" s="14"/>
      <c r="J785" s="14"/>
      <c r="K785" s="14"/>
      <c r="L785" s="15"/>
      <c r="M785" s="14"/>
      <c r="N785" s="14"/>
      <c r="O785" s="15"/>
      <c r="P785" s="14"/>
      <c r="Q785" s="14"/>
      <c r="R785" s="16"/>
      <c r="S785" s="14"/>
      <c r="T785" s="14"/>
      <c r="U785" s="14"/>
      <c r="V785" s="14">
        <v>60</v>
      </c>
      <c r="W785" s="14">
        <v>120</v>
      </c>
      <c r="X785" s="14">
        <v>180</v>
      </c>
      <c r="Y785" s="24" t="e">
        <f>knicks_players_all_stats[[#This Row],[REB]]/knicks_players_all_stats[[#This Row],[GP]]</f>
        <v>#DIV/0!</v>
      </c>
      <c r="Z785" s="14"/>
      <c r="AA785" s="14"/>
      <c r="AB785" s="14"/>
      <c r="AC785" s="14">
        <v>210</v>
      </c>
      <c r="AD785" s="14"/>
      <c r="AE785" s="14">
        <v>0</v>
      </c>
      <c r="AF785" s="14"/>
      <c r="AG785" s="14"/>
      <c r="AH785" s="14">
        <v>170</v>
      </c>
      <c r="AI785" s="19" t="e">
        <f>knicks_players_all_stats[[#This Row],[BLKPG]]+knicks_players_all_stats[[#This Row],[STLPG]]+knicks_players_all_stats[[#This Row],[REBPG]]</f>
        <v>#DIV/0!</v>
      </c>
      <c r="AJ785" s="14"/>
      <c r="AK785" s="14"/>
      <c r="AL785" s="14"/>
      <c r="AM785" s="14"/>
      <c r="AN785" s="14"/>
      <c r="AO785" s="14"/>
    </row>
    <row r="786" spans="1:41" s="14" customFormat="1" x14ac:dyDescent="0.3">
      <c r="A786" s="13"/>
      <c r="B786" s="13"/>
      <c r="C786" s="13"/>
      <c r="D786" s="13"/>
      <c r="E786" s="14">
        <v>240</v>
      </c>
      <c r="L786" s="15"/>
      <c r="O786" s="15"/>
      <c r="R786" s="16"/>
      <c r="X786" s="14">
        <v>390</v>
      </c>
      <c r="Y786" s="24" t="e">
        <f>knicks_players_all_stats[[#This Row],[REB]]/knicks_players_all_stats[[#This Row],[GP]]</f>
        <v>#DIV/0!</v>
      </c>
      <c r="AI786" s="19" t="e">
        <f>knicks_players_all_stats[[#This Row],[BLKPG]]+knicks_players_all_stats[[#This Row],[STLPG]]+knicks_players_all_stats[[#This Row],[REBPG]]</f>
        <v>#DIV/0!</v>
      </c>
    </row>
    <row r="787" spans="1:41" s="14" customFormat="1" x14ac:dyDescent="0.3">
      <c r="A787" s="13"/>
      <c r="B787" s="13"/>
      <c r="C787" s="13"/>
      <c r="D787" s="13"/>
      <c r="E787" s="14">
        <v>240</v>
      </c>
      <c r="L787" s="15"/>
      <c r="O787" s="15"/>
      <c r="R787" s="16"/>
      <c r="X787" s="14">
        <v>1950</v>
      </c>
      <c r="Y787" s="24" t="e">
        <f>knicks_players_all_stats[[#This Row],[REB]]/knicks_players_all_stats[[#This Row],[GP]]</f>
        <v>#DIV/0!</v>
      </c>
      <c r="AI787" s="19" t="e">
        <f>knicks_players_all_stats[[#This Row],[BLKPG]]+knicks_players_all_stats[[#This Row],[STLPG]]+knicks_players_all_stats[[#This Row],[REBPG]]</f>
        <v>#DIV/0!</v>
      </c>
    </row>
    <row r="788" spans="1:41" s="14" customFormat="1" x14ac:dyDescent="0.3">
      <c r="A788" s="13"/>
      <c r="B788" s="13"/>
      <c r="C788" s="13"/>
      <c r="D788" s="13"/>
      <c r="E788" s="14">
        <v>250</v>
      </c>
      <c r="L788" s="15"/>
      <c r="O788" s="15"/>
      <c r="R788" s="16"/>
      <c r="X788" s="14">
        <v>2810</v>
      </c>
      <c r="Y788" s="24" t="e">
        <f>knicks_players_all_stats[[#This Row],[REB]]/knicks_players_all_stats[[#This Row],[GP]]</f>
        <v>#DIV/0!</v>
      </c>
      <c r="AI788" s="19" t="e">
        <f>knicks_players_all_stats[[#This Row],[BLKPG]]+knicks_players_all_stats[[#This Row],[STLPG]]+knicks_players_all_stats[[#This Row],[REBPG]]</f>
        <v>#DIV/0!</v>
      </c>
    </row>
    <row r="789" spans="1:41" s="14" customFormat="1" x14ac:dyDescent="0.3">
      <c r="A789" s="13"/>
      <c r="B789" s="13"/>
      <c r="C789" s="13"/>
      <c r="D789" s="13"/>
      <c r="E789" s="14">
        <v>260</v>
      </c>
      <c r="L789" s="15"/>
      <c r="O789" s="15"/>
      <c r="R789" s="16"/>
      <c r="X789" s="14">
        <v>1830</v>
      </c>
      <c r="Y789" s="24" t="e">
        <f>knicks_players_all_stats[[#This Row],[REB]]/knicks_players_all_stats[[#This Row],[GP]]</f>
        <v>#DIV/0!</v>
      </c>
      <c r="AI789" s="19" t="e">
        <f>knicks_players_all_stats[[#This Row],[BLKPG]]+knicks_players_all_stats[[#This Row],[STLPG]]+knicks_players_all_stats[[#This Row],[REBPG]]</f>
        <v>#DIV/0!</v>
      </c>
    </row>
    <row r="790" spans="1:41" s="14" customFormat="1" x14ac:dyDescent="0.3">
      <c r="A790" s="13"/>
      <c r="B790" s="13"/>
      <c r="C790" s="13"/>
      <c r="D790" s="13"/>
      <c r="E790" s="14">
        <v>270</v>
      </c>
      <c r="L790" s="15"/>
      <c r="O790" s="15"/>
      <c r="R790" s="16"/>
      <c r="X790" s="14">
        <v>1680</v>
      </c>
      <c r="Y790" s="24" t="e">
        <f>knicks_players_all_stats[[#This Row],[REB]]/knicks_players_all_stats[[#This Row],[GP]]</f>
        <v>#DIV/0!</v>
      </c>
      <c r="AI790" s="19" t="e">
        <f>knicks_players_all_stats[[#This Row],[BLKPG]]+knicks_players_all_stats[[#This Row],[STLPG]]+knicks_players_all_stats[[#This Row],[REBPG]]</f>
        <v>#DIV/0!</v>
      </c>
    </row>
    <row r="791" spans="1:41" s="17" customFormat="1" x14ac:dyDescent="0.3">
      <c r="A791" s="13"/>
      <c r="B791" s="13"/>
      <c r="C791" s="13"/>
      <c r="D791" s="13"/>
      <c r="E791" s="14">
        <v>280</v>
      </c>
      <c r="F791" s="14"/>
      <c r="G791" s="14"/>
      <c r="H791" s="14"/>
      <c r="I791" s="14"/>
      <c r="J791" s="14"/>
      <c r="K791" s="14"/>
      <c r="L791" s="15"/>
      <c r="M791" s="14"/>
      <c r="N791" s="14"/>
      <c r="O791" s="15"/>
      <c r="P791" s="14"/>
      <c r="Q791" s="14"/>
      <c r="R791" s="16"/>
      <c r="S791" s="14"/>
      <c r="T791" s="14"/>
      <c r="U791" s="14"/>
      <c r="V791" s="14"/>
      <c r="W791" s="14"/>
      <c r="X791" s="14">
        <v>950</v>
      </c>
      <c r="Y791" s="24" t="e">
        <f>knicks_players_all_stats[[#This Row],[REB]]/knicks_players_all_stats[[#This Row],[GP]]</f>
        <v>#DIV/0!</v>
      </c>
      <c r="Z791" s="14"/>
      <c r="AA791" s="14"/>
      <c r="AB791" s="14"/>
      <c r="AC791" s="14"/>
      <c r="AD791" s="14"/>
      <c r="AE791" s="14"/>
      <c r="AF791" s="14"/>
      <c r="AG791" s="14"/>
      <c r="AH791" s="14"/>
      <c r="AI791" s="19" t="e">
        <f>knicks_players_all_stats[[#This Row],[BLKPG]]+knicks_players_all_stats[[#This Row],[STLPG]]+knicks_players_all_stats[[#This Row],[REBPG]]</f>
        <v>#DIV/0!</v>
      </c>
      <c r="AJ791" s="14"/>
      <c r="AK791" s="14"/>
      <c r="AL791" s="14"/>
      <c r="AM791" s="14"/>
      <c r="AN791" s="14"/>
      <c r="AO791" s="14"/>
    </row>
    <row r="792" spans="1:41" s="14" customFormat="1" x14ac:dyDescent="0.3">
      <c r="A792" s="13"/>
      <c r="B792" s="13"/>
      <c r="C792" s="13"/>
      <c r="D792" s="13"/>
      <c r="E792" s="14">
        <v>230</v>
      </c>
      <c r="L792" s="15"/>
      <c r="O792" s="15"/>
      <c r="R792" s="16"/>
      <c r="Y792" s="24" t="e">
        <f>knicks_players_all_stats[[#This Row],[REB]]/knicks_players_all_stats[[#This Row],[GP]]</f>
        <v>#DIV/0!</v>
      </c>
      <c r="AI792" s="19" t="e">
        <f>knicks_players_all_stats[[#This Row],[BLKPG]]+knicks_players_all_stats[[#This Row],[STLPG]]+knicks_players_all_stats[[#This Row],[REBPG]]</f>
        <v>#DIV/0!</v>
      </c>
    </row>
    <row r="793" spans="1:41" s="14" customFormat="1" x14ac:dyDescent="0.3">
      <c r="A793" s="13"/>
      <c r="B793" s="13"/>
      <c r="C793" s="13"/>
      <c r="D793" s="13"/>
      <c r="E793" s="14">
        <v>250</v>
      </c>
      <c r="L793" s="15"/>
      <c r="O793" s="15"/>
      <c r="R793" s="16"/>
      <c r="X793" s="14">
        <v>1130</v>
      </c>
      <c r="Y793" s="24" t="e">
        <f>knicks_players_all_stats[[#This Row],[REB]]/knicks_players_all_stats[[#This Row],[GP]]</f>
        <v>#DIV/0!</v>
      </c>
      <c r="AI793" s="19" t="e">
        <f>knicks_players_all_stats[[#This Row],[BLKPG]]+knicks_players_all_stats[[#This Row],[STLPG]]+knicks_players_all_stats[[#This Row],[REBPG]]</f>
        <v>#DIV/0!</v>
      </c>
    </row>
    <row r="794" spans="1:41" s="14" customFormat="1" x14ac:dyDescent="0.3">
      <c r="A794" s="13"/>
      <c r="B794" s="13"/>
      <c r="C794" s="13"/>
      <c r="D794" s="13"/>
      <c r="E794" s="14">
        <v>260</v>
      </c>
      <c r="L794" s="15"/>
      <c r="O794" s="15"/>
      <c r="R794" s="16"/>
      <c r="X794" s="14">
        <v>2200</v>
      </c>
      <c r="Y794" s="24" t="e">
        <f>knicks_players_all_stats[[#This Row],[REB]]/knicks_players_all_stats[[#This Row],[GP]]</f>
        <v>#DIV/0!</v>
      </c>
      <c r="AI794" s="19" t="e">
        <f>knicks_players_all_stats[[#This Row],[BLKPG]]+knicks_players_all_stats[[#This Row],[STLPG]]+knicks_players_all_stats[[#This Row],[REBPG]]</f>
        <v>#DIV/0!</v>
      </c>
    </row>
    <row r="795" spans="1:41" s="14" customFormat="1" x14ac:dyDescent="0.3">
      <c r="A795" s="13"/>
      <c r="B795" s="13"/>
      <c r="C795" s="13"/>
      <c r="D795" s="13"/>
      <c r="E795" s="14">
        <v>270</v>
      </c>
      <c r="L795" s="15"/>
      <c r="O795" s="15"/>
      <c r="R795" s="16"/>
      <c r="X795" s="14">
        <v>2570</v>
      </c>
      <c r="Y795" s="24" t="e">
        <f>knicks_players_all_stats[[#This Row],[REB]]/knicks_players_all_stats[[#This Row],[GP]]</f>
        <v>#DIV/0!</v>
      </c>
      <c r="AI795" s="19" t="e">
        <f>knicks_players_all_stats[[#This Row],[BLKPG]]+knicks_players_all_stats[[#This Row],[STLPG]]+knicks_players_all_stats[[#This Row],[REBPG]]</f>
        <v>#DIV/0!</v>
      </c>
    </row>
    <row r="796" spans="1:41" s="14" customFormat="1" x14ac:dyDescent="0.3">
      <c r="A796" s="18"/>
      <c r="B796" s="18"/>
      <c r="C796" s="18"/>
      <c r="D796" s="18"/>
      <c r="E796" s="14">
        <v>240</v>
      </c>
      <c r="F796" s="17"/>
      <c r="G796" s="17"/>
      <c r="H796" s="17"/>
      <c r="I796" s="19"/>
      <c r="J796" s="17"/>
      <c r="K796" s="17"/>
      <c r="L796" s="20"/>
      <c r="M796" s="17"/>
      <c r="N796" s="17"/>
      <c r="O796" s="20"/>
      <c r="P796" s="17"/>
      <c r="Q796" s="17"/>
      <c r="R796" s="21"/>
      <c r="S796" s="17"/>
      <c r="T796" s="17"/>
      <c r="U796" s="17"/>
      <c r="V796" s="14">
        <v>20</v>
      </c>
      <c r="W796" s="14">
        <v>50</v>
      </c>
      <c r="X796" s="14">
        <v>70</v>
      </c>
      <c r="Y796" s="24" t="e">
        <f>knicks_players_all_stats[[#This Row],[REB]]/knicks_players_all_stats[[#This Row],[GP]]</f>
        <v>#DIV/0!</v>
      </c>
      <c r="Z796" s="17"/>
      <c r="AA796" s="17"/>
      <c r="AB796" s="17"/>
      <c r="AC796" s="17">
        <v>10</v>
      </c>
      <c r="AD796" s="17"/>
      <c r="AE796" s="14">
        <v>30</v>
      </c>
      <c r="AF796" s="17"/>
      <c r="AG796" s="17"/>
      <c r="AH796" s="14">
        <v>10</v>
      </c>
      <c r="AI796" s="19" t="e">
        <f>knicks_players_all_stats[[#This Row],[BLKPG]]+knicks_players_all_stats[[#This Row],[STLPG]]+knicks_players_all_stats[[#This Row],[REBPG]]</f>
        <v>#DIV/0!</v>
      </c>
      <c r="AJ796" s="17"/>
      <c r="AK796" s="17"/>
      <c r="AL796" s="17"/>
      <c r="AM796" s="17"/>
      <c r="AN796" s="17"/>
      <c r="AO796" s="17"/>
    </row>
    <row r="797" spans="1:41" s="14" customFormat="1" x14ac:dyDescent="0.3">
      <c r="A797" s="13"/>
      <c r="B797" s="13"/>
      <c r="C797" s="13"/>
      <c r="D797" s="13"/>
      <c r="E797" s="14">
        <v>250</v>
      </c>
      <c r="L797" s="15"/>
      <c r="O797" s="15"/>
      <c r="R797" s="16"/>
      <c r="Y797" s="24" t="e">
        <f>knicks_players_all_stats[[#This Row],[REB]]/knicks_players_all_stats[[#This Row],[GP]]</f>
        <v>#DIV/0!</v>
      </c>
      <c r="AI797" s="19" t="e">
        <f>knicks_players_all_stats[[#This Row],[BLKPG]]+knicks_players_all_stats[[#This Row],[STLPG]]+knicks_players_all_stats[[#This Row],[REBPG]]</f>
        <v>#DIV/0!</v>
      </c>
    </row>
    <row r="798" spans="1:41" s="14" customFormat="1" x14ac:dyDescent="0.3">
      <c r="A798" s="13"/>
      <c r="B798" s="13"/>
      <c r="C798" s="13"/>
      <c r="D798" s="13"/>
      <c r="E798" s="14">
        <v>260</v>
      </c>
      <c r="L798" s="15"/>
      <c r="O798" s="15"/>
      <c r="R798" s="16"/>
      <c r="Y798" s="24" t="e">
        <f>knicks_players_all_stats[[#This Row],[REB]]/knicks_players_all_stats[[#This Row],[GP]]</f>
        <v>#DIV/0!</v>
      </c>
      <c r="AI798" s="19" t="e">
        <f>knicks_players_all_stats[[#This Row],[BLKPG]]+knicks_players_all_stats[[#This Row],[STLPG]]+knicks_players_all_stats[[#This Row],[REBPG]]</f>
        <v>#DIV/0!</v>
      </c>
    </row>
    <row r="799" spans="1:41" s="14" customFormat="1" x14ac:dyDescent="0.3">
      <c r="A799" s="13"/>
      <c r="B799" s="13"/>
      <c r="C799" s="13"/>
      <c r="D799" s="13"/>
      <c r="E799" s="14">
        <v>270</v>
      </c>
      <c r="L799" s="15"/>
      <c r="O799" s="15"/>
      <c r="R799" s="16"/>
      <c r="Y799" s="24" t="e">
        <f>knicks_players_all_stats[[#This Row],[REB]]/knicks_players_all_stats[[#This Row],[GP]]</f>
        <v>#DIV/0!</v>
      </c>
      <c r="AI799" s="19" t="e">
        <f>knicks_players_all_stats[[#This Row],[BLKPG]]+knicks_players_all_stats[[#This Row],[STLPG]]+knicks_players_all_stats[[#This Row],[REBPG]]</f>
        <v>#DIV/0!</v>
      </c>
    </row>
    <row r="800" spans="1:41" s="14" customFormat="1" x14ac:dyDescent="0.3">
      <c r="A800" s="13"/>
      <c r="B800" s="13"/>
      <c r="C800" s="13"/>
      <c r="D800" s="13"/>
      <c r="E800" s="14">
        <v>250</v>
      </c>
      <c r="L800" s="15"/>
      <c r="O800" s="15"/>
      <c r="R800" s="16"/>
      <c r="X800" s="14">
        <v>3340</v>
      </c>
      <c r="Y800" s="24" t="e">
        <f>knicks_players_all_stats[[#This Row],[REB]]/knicks_players_all_stats[[#This Row],[GP]]</f>
        <v>#DIV/0!</v>
      </c>
      <c r="AI800" s="19" t="e">
        <f>knicks_players_all_stats[[#This Row],[BLKPG]]+knicks_players_all_stats[[#This Row],[STLPG]]+knicks_players_all_stats[[#This Row],[REBPG]]</f>
        <v>#DIV/0!</v>
      </c>
    </row>
    <row r="801" spans="1:41" s="14" customFormat="1" x14ac:dyDescent="0.3">
      <c r="A801" s="13"/>
      <c r="B801" s="13"/>
      <c r="C801" s="13"/>
      <c r="D801" s="13"/>
      <c r="E801" s="14">
        <v>260</v>
      </c>
      <c r="L801" s="15"/>
      <c r="O801" s="15"/>
      <c r="R801" s="16"/>
      <c r="X801" s="14">
        <v>4890</v>
      </c>
      <c r="Y801" s="24" t="e">
        <f>knicks_players_all_stats[[#This Row],[REB]]/knicks_players_all_stats[[#This Row],[GP]]</f>
        <v>#DIV/0!</v>
      </c>
      <c r="AI801" s="19" t="e">
        <f>knicks_players_all_stats[[#This Row],[BLKPG]]+knicks_players_all_stats[[#This Row],[STLPG]]+knicks_players_all_stats[[#This Row],[REBPG]]</f>
        <v>#DIV/0!</v>
      </c>
    </row>
    <row r="802" spans="1:41" s="14" customFormat="1" x14ac:dyDescent="0.3">
      <c r="A802" s="13"/>
      <c r="B802" s="13"/>
      <c r="C802" s="13"/>
      <c r="D802" s="13"/>
      <c r="E802" s="14">
        <v>270</v>
      </c>
      <c r="L802" s="15"/>
      <c r="O802" s="15"/>
      <c r="R802" s="16"/>
      <c r="X802" s="14">
        <v>5180</v>
      </c>
      <c r="Y802" s="24" t="e">
        <f>knicks_players_all_stats[[#This Row],[REB]]/knicks_players_all_stats[[#This Row],[GP]]</f>
        <v>#DIV/0!</v>
      </c>
      <c r="AI802" s="19" t="e">
        <f>knicks_players_all_stats[[#This Row],[BLKPG]]+knicks_players_all_stats[[#This Row],[STLPG]]+knicks_players_all_stats[[#This Row],[REBPG]]</f>
        <v>#DIV/0!</v>
      </c>
    </row>
    <row r="803" spans="1:41" s="14" customFormat="1" x14ac:dyDescent="0.3">
      <c r="A803" s="13"/>
      <c r="B803" s="13"/>
      <c r="C803" s="13"/>
      <c r="D803" s="13"/>
      <c r="E803" s="14">
        <v>280</v>
      </c>
      <c r="L803" s="15"/>
      <c r="O803" s="15"/>
      <c r="R803" s="16"/>
      <c r="X803" s="14">
        <v>5050</v>
      </c>
      <c r="Y803" s="24" t="e">
        <f>knicks_players_all_stats[[#This Row],[REB]]/knicks_players_all_stats[[#This Row],[GP]]</f>
        <v>#DIV/0!</v>
      </c>
      <c r="AI803" s="19" t="e">
        <f>knicks_players_all_stats[[#This Row],[BLKPG]]+knicks_players_all_stats[[#This Row],[STLPG]]+knicks_players_all_stats[[#This Row],[REBPG]]</f>
        <v>#DIV/0!</v>
      </c>
    </row>
    <row r="804" spans="1:41" s="17" customFormat="1" x14ac:dyDescent="0.3">
      <c r="A804" s="13"/>
      <c r="B804" s="13"/>
      <c r="C804" s="13"/>
      <c r="D804" s="13"/>
      <c r="E804" s="14">
        <v>290</v>
      </c>
      <c r="F804" s="14"/>
      <c r="G804" s="14"/>
      <c r="H804" s="14"/>
      <c r="I804" s="14"/>
      <c r="J804" s="14"/>
      <c r="K804" s="14"/>
      <c r="L804" s="15"/>
      <c r="M804" s="14"/>
      <c r="N804" s="14"/>
      <c r="O804" s="15"/>
      <c r="P804" s="14"/>
      <c r="Q804" s="14"/>
      <c r="R804" s="16"/>
      <c r="S804" s="14"/>
      <c r="T804" s="14"/>
      <c r="U804" s="14"/>
      <c r="V804" s="14"/>
      <c r="W804" s="14"/>
      <c r="X804" s="14">
        <v>6280</v>
      </c>
      <c r="Y804" s="24" t="e">
        <f>knicks_players_all_stats[[#This Row],[REB]]/knicks_players_all_stats[[#This Row],[GP]]</f>
        <v>#DIV/0!</v>
      </c>
      <c r="Z804" s="14"/>
      <c r="AA804" s="14"/>
      <c r="AB804" s="14"/>
      <c r="AC804" s="14"/>
      <c r="AD804" s="14"/>
      <c r="AE804" s="14"/>
      <c r="AF804" s="14"/>
      <c r="AG804" s="14"/>
      <c r="AH804" s="14"/>
      <c r="AI804" s="19" t="e">
        <f>knicks_players_all_stats[[#This Row],[BLKPG]]+knicks_players_all_stats[[#This Row],[STLPG]]+knicks_players_all_stats[[#This Row],[REBPG]]</f>
        <v>#DIV/0!</v>
      </c>
      <c r="AJ804" s="14"/>
      <c r="AK804" s="14"/>
      <c r="AL804" s="14"/>
      <c r="AM804" s="14"/>
      <c r="AN804" s="14"/>
      <c r="AO804" s="14"/>
    </row>
    <row r="805" spans="1:41" s="14" customFormat="1" x14ac:dyDescent="0.3">
      <c r="A805" s="13"/>
      <c r="B805" s="13"/>
      <c r="C805" s="13"/>
      <c r="D805" s="13"/>
      <c r="E805" s="14">
        <v>300</v>
      </c>
      <c r="L805" s="15"/>
      <c r="O805" s="15"/>
      <c r="R805" s="16"/>
      <c r="X805" s="14">
        <v>5010</v>
      </c>
      <c r="Y805" s="24" t="e">
        <f>knicks_players_all_stats[[#This Row],[REB]]/knicks_players_all_stats[[#This Row],[GP]]</f>
        <v>#DIV/0!</v>
      </c>
      <c r="AI805" s="19" t="e">
        <f>knicks_players_all_stats[[#This Row],[BLKPG]]+knicks_players_all_stats[[#This Row],[STLPG]]+knicks_players_all_stats[[#This Row],[REBPG]]</f>
        <v>#DIV/0!</v>
      </c>
    </row>
    <row r="806" spans="1:41" s="14" customFormat="1" x14ac:dyDescent="0.3">
      <c r="A806" s="13"/>
      <c r="B806" s="13"/>
      <c r="C806" s="13"/>
      <c r="D806" s="13"/>
      <c r="E806" s="14">
        <v>310</v>
      </c>
      <c r="L806" s="15"/>
      <c r="O806" s="15"/>
      <c r="R806" s="16"/>
      <c r="X806" s="14">
        <v>3310</v>
      </c>
      <c r="Y806" s="24" t="e">
        <f>knicks_players_all_stats[[#This Row],[REB]]/knicks_players_all_stats[[#This Row],[GP]]</f>
        <v>#DIV/0!</v>
      </c>
      <c r="AI806" s="19" t="e">
        <f>knicks_players_all_stats[[#This Row],[BLKPG]]+knicks_players_all_stats[[#This Row],[STLPG]]+knicks_players_all_stats[[#This Row],[REBPG]]</f>
        <v>#DIV/0!</v>
      </c>
    </row>
    <row r="807" spans="1:41" s="17" customFormat="1" x14ac:dyDescent="0.3">
      <c r="A807" s="13"/>
      <c r="B807" s="13"/>
      <c r="C807" s="13"/>
      <c r="D807" s="13"/>
      <c r="E807" s="14">
        <v>220</v>
      </c>
      <c r="F807" s="14"/>
      <c r="G807" s="14"/>
      <c r="H807" s="14"/>
      <c r="I807" s="14"/>
      <c r="J807" s="14"/>
      <c r="K807" s="14"/>
      <c r="L807" s="15"/>
      <c r="M807" s="14"/>
      <c r="N807" s="14"/>
      <c r="O807" s="15"/>
      <c r="P807" s="14"/>
      <c r="Q807" s="14"/>
      <c r="R807" s="16"/>
      <c r="S807" s="14"/>
      <c r="T807" s="14"/>
      <c r="U807" s="14"/>
      <c r="V807" s="14"/>
      <c r="W807" s="14"/>
      <c r="X807" s="14">
        <v>210</v>
      </c>
      <c r="Y807" s="24" t="e">
        <f>knicks_players_all_stats[[#This Row],[REB]]/knicks_players_all_stats[[#This Row],[GP]]</f>
        <v>#DIV/0!</v>
      </c>
      <c r="Z807" s="14"/>
      <c r="AA807" s="14"/>
      <c r="AB807" s="14"/>
      <c r="AC807" s="14"/>
      <c r="AD807" s="14"/>
      <c r="AE807" s="14"/>
      <c r="AF807" s="14"/>
      <c r="AG807" s="14"/>
      <c r="AH807" s="14"/>
      <c r="AI807" s="19" t="e">
        <f>knicks_players_all_stats[[#This Row],[BLKPG]]+knicks_players_all_stats[[#This Row],[STLPG]]+knicks_players_all_stats[[#This Row],[REBPG]]</f>
        <v>#DIV/0!</v>
      </c>
      <c r="AJ807" s="14"/>
      <c r="AK807" s="14"/>
      <c r="AL807" s="14"/>
      <c r="AM807" s="14"/>
      <c r="AN807" s="14"/>
      <c r="AO807" s="14"/>
    </row>
    <row r="808" spans="1:41" s="14" customFormat="1" x14ac:dyDescent="0.3">
      <c r="A808" s="13"/>
      <c r="B808" s="13"/>
      <c r="C808" s="13"/>
      <c r="D808" s="13"/>
      <c r="E808" s="14">
        <v>220</v>
      </c>
      <c r="L808" s="15"/>
      <c r="O808" s="15"/>
      <c r="R808" s="16"/>
      <c r="X808" s="14">
        <v>1200</v>
      </c>
      <c r="Y808" s="24" t="e">
        <f>knicks_players_all_stats[[#This Row],[REB]]/knicks_players_all_stats[[#This Row],[GP]]</f>
        <v>#DIV/0!</v>
      </c>
      <c r="AI808" s="19" t="e">
        <f>knicks_players_all_stats[[#This Row],[BLKPG]]+knicks_players_all_stats[[#This Row],[STLPG]]+knicks_players_all_stats[[#This Row],[REBPG]]</f>
        <v>#DIV/0!</v>
      </c>
    </row>
    <row r="809" spans="1:41" s="14" customFormat="1" x14ac:dyDescent="0.3">
      <c r="A809" s="13"/>
      <c r="B809" s="13"/>
      <c r="C809" s="13"/>
      <c r="D809" s="13"/>
      <c r="E809" s="14">
        <v>280</v>
      </c>
      <c r="L809" s="15"/>
      <c r="O809" s="15"/>
      <c r="R809" s="16"/>
      <c r="V809" s="14">
        <v>420</v>
      </c>
      <c r="W809" s="14">
        <v>1210</v>
      </c>
      <c r="X809" s="14">
        <v>1630</v>
      </c>
      <c r="Y809" s="24" t="e">
        <f>knicks_players_all_stats[[#This Row],[REB]]/knicks_players_all_stats[[#This Row],[GP]]</f>
        <v>#DIV/0!</v>
      </c>
      <c r="AC809" s="14">
        <v>400</v>
      </c>
      <c r="AE809" s="14">
        <v>100</v>
      </c>
      <c r="AH809" s="14">
        <v>840</v>
      </c>
      <c r="AI809" s="19" t="e">
        <f>knicks_players_all_stats[[#This Row],[BLKPG]]+knicks_players_all_stats[[#This Row],[STLPG]]+knicks_players_all_stats[[#This Row],[REBPG]]</f>
        <v>#DIV/0!</v>
      </c>
    </row>
    <row r="810" spans="1:41" s="14" customFormat="1" x14ac:dyDescent="0.3">
      <c r="A810" s="13"/>
      <c r="B810" s="13"/>
      <c r="C810" s="13"/>
      <c r="D810" s="13"/>
      <c r="E810" s="14">
        <v>290</v>
      </c>
      <c r="L810" s="15"/>
      <c r="O810" s="15"/>
      <c r="R810" s="16"/>
      <c r="V810" s="14">
        <v>240</v>
      </c>
      <c r="W810" s="14">
        <v>970</v>
      </c>
      <c r="X810" s="14">
        <v>1210</v>
      </c>
      <c r="Y810" s="24" t="e">
        <f>knicks_players_all_stats[[#This Row],[REB]]/knicks_players_all_stats[[#This Row],[GP]]</f>
        <v>#DIV/0!</v>
      </c>
      <c r="AC810" s="14">
        <v>430</v>
      </c>
      <c r="AE810" s="14">
        <v>70</v>
      </c>
      <c r="AH810" s="14">
        <v>710</v>
      </c>
      <c r="AI810" s="19" t="e">
        <f>knicks_players_all_stats[[#This Row],[BLKPG]]+knicks_players_all_stats[[#This Row],[STLPG]]+knicks_players_all_stats[[#This Row],[REBPG]]</f>
        <v>#DIV/0!</v>
      </c>
    </row>
    <row r="811" spans="1:41" s="14" customFormat="1" x14ac:dyDescent="0.3">
      <c r="A811" s="13"/>
      <c r="B811" s="13"/>
      <c r="C811" s="13"/>
      <c r="D811" s="13"/>
      <c r="E811" s="14">
        <v>300</v>
      </c>
      <c r="L811" s="15"/>
      <c r="O811" s="15"/>
      <c r="R811" s="16"/>
      <c r="V811" s="14">
        <v>410</v>
      </c>
      <c r="W811" s="14">
        <v>1100</v>
      </c>
      <c r="X811" s="14">
        <v>1510</v>
      </c>
      <c r="Y811" s="24" t="e">
        <f>knicks_players_all_stats[[#This Row],[REB]]/knicks_players_all_stats[[#This Row],[GP]]</f>
        <v>#DIV/0!</v>
      </c>
      <c r="AC811" s="14">
        <v>500</v>
      </c>
      <c r="AE811" s="14">
        <v>70</v>
      </c>
      <c r="AH811" s="14">
        <v>400</v>
      </c>
      <c r="AI811" s="19" t="e">
        <f>knicks_players_all_stats[[#This Row],[BLKPG]]+knicks_players_all_stats[[#This Row],[STLPG]]+knicks_players_all_stats[[#This Row],[REBPG]]</f>
        <v>#DIV/0!</v>
      </c>
    </row>
    <row r="812" spans="1:41" s="14" customFormat="1" x14ac:dyDescent="0.3">
      <c r="A812" s="13"/>
      <c r="B812" s="13"/>
      <c r="C812" s="13"/>
      <c r="D812" s="13"/>
      <c r="E812" s="14">
        <v>310</v>
      </c>
      <c r="L812" s="15"/>
      <c r="O812" s="15"/>
      <c r="R812" s="16"/>
      <c r="V812" s="14">
        <v>420</v>
      </c>
      <c r="W812" s="14">
        <v>1640</v>
      </c>
      <c r="X812" s="14">
        <v>2060</v>
      </c>
      <c r="Y812" s="24" t="e">
        <f>knicks_players_all_stats[[#This Row],[REB]]/knicks_players_all_stats[[#This Row],[GP]]</f>
        <v>#DIV/0!</v>
      </c>
      <c r="AC812" s="14">
        <v>390</v>
      </c>
      <c r="AE812" s="14">
        <v>130</v>
      </c>
      <c r="AH812" s="14">
        <v>500</v>
      </c>
      <c r="AI812" s="19" t="e">
        <f>knicks_players_all_stats[[#This Row],[BLKPG]]+knicks_players_all_stats[[#This Row],[STLPG]]+knicks_players_all_stats[[#This Row],[REBPG]]</f>
        <v>#DIV/0!</v>
      </c>
    </row>
    <row r="813" spans="1:41" s="14" customFormat="1" x14ac:dyDescent="0.3">
      <c r="A813" s="13"/>
      <c r="B813" s="13"/>
      <c r="C813" s="13"/>
      <c r="D813" s="13"/>
      <c r="E813" s="14">
        <v>230</v>
      </c>
      <c r="L813" s="15"/>
      <c r="O813" s="15"/>
      <c r="R813" s="16"/>
      <c r="V813" s="14">
        <v>1950</v>
      </c>
      <c r="W813" s="14">
        <v>2880</v>
      </c>
      <c r="X813" s="14">
        <v>4830</v>
      </c>
      <c r="Y813" s="24" t="e">
        <f>knicks_players_all_stats[[#This Row],[REB]]/knicks_players_all_stats[[#This Row],[GP]]</f>
        <v>#DIV/0!</v>
      </c>
      <c r="AC813" s="14">
        <v>560</v>
      </c>
      <c r="AE813" s="14">
        <v>300</v>
      </c>
      <c r="AH813" s="14">
        <v>1680</v>
      </c>
      <c r="AI813" s="19" t="e">
        <f>knicks_players_all_stats[[#This Row],[BLKPG]]+knicks_players_all_stats[[#This Row],[STLPG]]+knicks_players_all_stats[[#This Row],[REBPG]]</f>
        <v>#DIV/0!</v>
      </c>
    </row>
    <row r="814" spans="1:41" s="14" customFormat="1" x14ac:dyDescent="0.3">
      <c r="A814" s="13"/>
      <c r="B814" s="13"/>
      <c r="C814" s="13"/>
      <c r="D814" s="13"/>
      <c r="E814" s="14">
        <v>240</v>
      </c>
      <c r="L814" s="15"/>
      <c r="O814" s="15"/>
      <c r="R814" s="16"/>
      <c r="V814" s="14">
        <v>1140</v>
      </c>
      <c r="W814" s="14">
        <v>1290</v>
      </c>
      <c r="X814" s="14">
        <v>2430</v>
      </c>
      <c r="Y814" s="24" t="e">
        <f>knicks_players_all_stats[[#This Row],[REB]]/knicks_players_all_stats[[#This Row],[GP]]</f>
        <v>#DIV/0!</v>
      </c>
      <c r="AC814" s="14">
        <v>120</v>
      </c>
      <c r="AE814" s="14">
        <v>130</v>
      </c>
      <c r="AH814" s="14">
        <v>580</v>
      </c>
      <c r="AI814" s="19" t="e">
        <f>knicks_players_all_stats[[#This Row],[BLKPG]]+knicks_players_all_stats[[#This Row],[STLPG]]+knicks_players_all_stats[[#This Row],[REBPG]]</f>
        <v>#DIV/0!</v>
      </c>
    </row>
    <row r="815" spans="1:41" s="14" customFormat="1" x14ac:dyDescent="0.3">
      <c r="A815" s="13"/>
      <c r="B815" s="13"/>
      <c r="C815" s="13"/>
      <c r="D815" s="13"/>
      <c r="E815" s="14">
        <v>250</v>
      </c>
      <c r="L815" s="15"/>
      <c r="O815" s="15"/>
      <c r="R815" s="16"/>
      <c r="V815" s="14">
        <v>290</v>
      </c>
      <c r="W815" s="14">
        <v>500</v>
      </c>
      <c r="X815" s="14">
        <v>790</v>
      </c>
      <c r="Y815" s="24" t="e">
        <f>knicks_players_all_stats[[#This Row],[REB]]/knicks_players_all_stats[[#This Row],[GP]]</f>
        <v>#DIV/0!</v>
      </c>
      <c r="AC815" s="14">
        <v>40</v>
      </c>
      <c r="AE815" s="14">
        <v>60</v>
      </c>
      <c r="AH815" s="14">
        <v>260</v>
      </c>
      <c r="AI815" s="19" t="e">
        <f>knicks_players_all_stats[[#This Row],[BLKPG]]+knicks_players_all_stats[[#This Row],[STLPG]]+knicks_players_all_stats[[#This Row],[REBPG]]</f>
        <v>#DIV/0!</v>
      </c>
    </row>
    <row r="816" spans="1:41" s="14" customFormat="1" x14ac:dyDescent="0.3">
      <c r="A816" s="13"/>
      <c r="B816" s="13"/>
      <c r="C816" s="13"/>
      <c r="D816" s="13"/>
      <c r="E816" s="14">
        <v>230</v>
      </c>
      <c r="L816" s="15"/>
      <c r="O816" s="15"/>
      <c r="R816" s="16"/>
      <c r="X816" s="14">
        <v>11750</v>
      </c>
      <c r="Y816" s="24" t="e">
        <f>knicks_players_all_stats[[#This Row],[REB]]/knicks_players_all_stats[[#This Row],[GP]]</f>
        <v>#DIV/0!</v>
      </c>
      <c r="AI816" s="19" t="e">
        <f>knicks_players_all_stats[[#This Row],[BLKPG]]+knicks_players_all_stats[[#This Row],[STLPG]]+knicks_players_all_stats[[#This Row],[REBPG]]</f>
        <v>#DIV/0!</v>
      </c>
    </row>
    <row r="817" spans="1:41" s="14" customFormat="1" x14ac:dyDescent="0.3">
      <c r="A817" s="13"/>
      <c r="B817" s="13"/>
      <c r="C817" s="13"/>
      <c r="D817" s="13"/>
      <c r="E817" s="14">
        <v>240</v>
      </c>
      <c r="L817" s="15"/>
      <c r="O817" s="15"/>
      <c r="R817" s="16"/>
      <c r="X817" s="14">
        <v>8830</v>
      </c>
      <c r="Y817" s="24" t="e">
        <f>knicks_players_all_stats[[#This Row],[REB]]/knicks_players_all_stats[[#This Row],[GP]]</f>
        <v>#DIV/0!</v>
      </c>
      <c r="AI817" s="19" t="e">
        <f>knicks_players_all_stats[[#This Row],[BLKPG]]+knicks_players_all_stats[[#This Row],[STLPG]]+knicks_players_all_stats[[#This Row],[REBPG]]</f>
        <v>#DIV/0!</v>
      </c>
    </row>
    <row r="818" spans="1:41" s="14" customFormat="1" x14ac:dyDescent="0.3">
      <c r="A818" s="13"/>
      <c r="B818" s="13"/>
      <c r="C818" s="13"/>
      <c r="D818" s="13"/>
      <c r="E818" s="14">
        <v>250</v>
      </c>
      <c r="L818" s="15"/>
      <c r="O818" s="15"/>
      <c r="R818" s="16"/>
      <c r="X818" s="14">
        <v>11360</v>
      </c>
      <c r="Y818" s="24" t="e">
        <f>knicks_players_all_stats[[#This Row],[REB]]/knicks_players_all_stats[[#This Row],[GP]]</f>
        <v>#DIV/0!</v>
      </c>
      <c r="AI818" s="19" t="e">
        <f>knicks_players_all_stats[[#This Row],[BLKPG]]+knicks_players_all_stats[[#This Row],[STLPG]]+knicks_players_all_stats[[#This Row],[REBPG]]</f>
        <v>#DIV/0!</v>
      </c>
    </row>
    <row r="819" spans="1:41" s="14" customFormat="1" x14ac:dyDescent="0.3">
      <c r="A819" s="13"/>
      <c r="B819" s="13"/>
      <c r="C819" s="13"/>
      <c r="D819" s="13"/>
      <c r="E819" s="14">
        <v>260</v>
      </c>
      <c r="L819" s="15"/>
      <c r="O819" s="15"/>
      <c r="R819" s="16"/>
      <c r="X819" s="14">
        <v>10730</v>
      </c>
      <c r="Y819" s="24" t="e">
        <f>knicks_players_all_stats[[#This Row],[REB]]/knicks_players_all_stats[[#This Row],[GP]]</f>
        <v>#DIV/0!</v>
      </c>
      <c r="AI819" s="19" t="e">
        <f>knicks_players_all_stats[[#This Row],[BLKPG]]+knicks_players_all_stats[[#This Row],[STLPG]]+knicks_players_all_stats[[#This Row],[REBPG]]</f>
        <v>#DIV/0!</v>
      </c>
    </row>
    <row r="820" spans="1:41" s="14" customFormat="1" x14ac:dyDescent="0.3">
      <c r="A820" s="13"/>
      <c r="B820" s="13"/>
      <c r="C820" s="13"/>
      <c r="D820" s="13"/>
      <c r="E820" s="14">
        <v>270</v>
      </c>
      <c r="L820" s="15"/>
      <c r="O820" s="15"/>
      <c r="R820" s="16"/>
      <c r="X820" s="14">
        <v>11910</v>
      </c>
      <c r="Y820" s="24" t="e">
        <f>knicks_players_all_stats[[#This Row],[REB]]/knicks_players_all_stats[[#This Row],[GP]]</f>
        <v>#DIV/0!</v>
      </c>
      <c r="AI820" s="19" t="e">
        <f>knicks_players_all_stats[[#This Row],[BLKPG]]+knicks_players_all_stats[[#This Row],[STLPG]]+knicks_players_all_stats[[#This Row],[REBPG]]</f>
        <v>#DIV/0!</v>
      </c>
    </row>
    <row r="821" spans="1:41" s="14" customFormat="1" x14ac:dyDescent="0.3">
      <c r="A821" s="13"/>
      <c r="B821" s="13"/>
      <c r="C821" s="13"/>
      <c r="D821" s="13"/>
      <c r="E821" s="14">
        <v>280</v>
      </c>
      <c r="L821" s="15"/>
      <c r="O821" s="15"/>
      <c r="R821" s="16"/>
      <c r="X821" s="14">
        <v>11260</v>
      </c>
      <c r="Y821" s="24" t="e">
        <f>knicks_players_all_stats[[#This Row],[REB]]/knicks_players_all_stats[[#This Row],[GP]]</f>
        <v>#DIV/0!</v>
      </c>
      <c r="AI821" s="19" t="e">
        <f>knicks_players_all_stats[[#This Row],[BLKPG]]+knicks_players_all_stats[[#This Row],[STLPG]]+knicks_players_all_stats[[#This Row],[REBPG]]</f>
        <v>#DIV/0!</v>
      </c>
    </row>
    <row r="822" spans="1:41" s="14" customFormat="1" x14ac:dyDescent="0.3">
      <c r="A822" s="13"/>
      <c r="B822" s="13"/>
      <c r="C822" s="13"/>
      <c r="D822" s="13"/>
      <c r="E822" s="14">
        <v>290</v>
      </c>
      <c r="L822" s="15"/>
      <c r="O822" s="15"/>
      <c r="R822" s="16"/>
      <c r="X822" s="14">
        <v>10030</v>
      </c>
      <c r="Y822" s="24" t="e">
        <f>knicks_players_all_stats[[#This Row],[REB]]/knicks_players_all_stats[[#This Row],[GP]]</f>
        <v>#DIV/0!</v>
      </c>
      <c r="AI822" s="19" t="e">
        <f>knicks_players_all_stats[[#This Row],[BLKPG]]+knicks_players_all_stats[[#This Row],[STLPG]]+knicks_players_all_stats[[#This Row],[REBPG]]</f>
        <v>#DIV/0!</v>
      </c>
    </row>
    <row r="823" spans="1:41" s="17" customFormat="1" x14ac:dyDescent="0.3">
      <c r="A823" s="13"/>
      <c r="B823" s="13"/>
      <c r="C823" s="13"/>
      <c r="D823" s="13"/>
      <c r="E823" s="14">
        <v>300</v>
      </c>
      <c r="F823" s="14"/>
      <c r="G823" s="14"/>
      <c r="H823" s="14"/>
      <c r="I823" s="14"/>
      <c r="J823" s="14"/>
      <c r="K823" s="14"/>
      <c r="L823" s="15"/>
      <c r="M823" s="14"/>
      <c r="N823" s="14"/>
      <c r="O823" s="15"/>
      <c r="P823" s="14"/>
      <c r="Q823" s="14"/>
      <c r="R823" s="16"/>
      <c r="S823" s="14"/>
      <c r="T823" s="14"/>
      <c r="U823" s="14"/>
      <c r="V823" s="14"/>
      <c r="W823" s="14"/>
      <c r="X823" s="14">
        <v>960</v>
      </c>
      <c r="Y823" s="24" t="e">
        <f>knicks_players_all_stats[[#This Row],[REB]]/knicks_players_all_stats[[#This Row],[GP]]</f>
        <v>#DIV/0!</v>
      </c>
      <c r="Z823" s="14"/>
      <c r="AA823" s="14"/>
      <c r="AB823" s="14"/>
      <c r="AC823" s="14"/>
      <c r="AD823" s="14"/>
      <c r="AE823" s="14"/>
      <c r="AF823" s="14"/>
      <c r="AG823" s="14"/>
      <c r="AH823" s="14"/>
      <c r="AI823" s="19" t="e">
        <f>knicks_players_all_stats[[#This Row],[BLKPG]]+knicks_players_all_stats[[#This Row],[STLPG]]+knicks_players_all_stats[[#This Row],[REBPG]]</f>
        <v>#DIV/0!</v>
      </c>
      <c r="AJ823" s="14"/>
      <c r="AK823" s="14"/>
      <c r="AL823" s="14"/>
      <c r="AM823" s="14"/>
      <c r="AN823" s="14"/>
      <c r="AO823" s="14"/>
    </row>
    <row r="824" spans="1:41" s="17" customFormat="1" x14ac:dyDescent="0.3">
      <c r="A824" s="13"/>
      <c r="B824" s="13"/>
      <c r="C824" s="13"/>
      <c r="D824" s="13"/>
      <c r="E824" s="14">
        <v>310</v>
      </c>
      <c r="F824" s="14"/>
      <c r="G824" s="14"/>
      <c r="H824" s="14"/>
      <c r="I824" s="14"/>
      <c r="J824" s="14"/>
      <c r="K824" s="14"/>
      <c r="L824" s="15"/>
      <c r="M824" s="14"/>
      <c r="N824" s="14"/>
      <c r="O824" s="15"/>
      <c r="P824" s="14"/>
      <c r="Q824" s="14"/>
      <c r="R824" s="16"/>
      <c r="S824" s="14"/>
      <c r="T824" s="14"/>
      <c r="U824" s="14"/>
      <c r="V824" s="14"/>
      <c r="W824" s="14"/>
      <c r="X824" s="14">
        <v>5900</v>
      </c>
      <c r="Y824" s="24" t="e">
        <f>knicks_players_all_stats[[#This Row],[REB]]/knicks_players_all_stats[[#This Row],[GP]]</f>
        <v>#DIV/0!</v>
      </c>
      <c r="Z824" s="14"/>
      <c r="AA824" s="14"/>
      <c r="AB824" s="14"/>
      <c r="AC824" s="14"/>
      <c r="AD824" s="14"/>
      <c r="AE824" s="14"/>
      <c r="AF824" s="14"/>
      <c r="AG824" s="14"/>
      <c r="AH824" s="14"/>
      <c r="AI824" s="19" t="e">
        <f>knicks_players_all_stats[[#This Row],[BLKPG]]+knicks_players_all_stats[[#This Row],[STLPG]]+knicks_players_all_stats[[#This Row],[REBPG]]</f>
        <v>#DIV/0!</v>
      </c>
      <c r="AJ824" s="14"/>
      <c r="AK824" s="14"/>
      <c r="AL824" s="14"/>
      <c r="AM824" s="14"/>
      <c r="AN824" s="14"/>
      <c r="AO824" s="14"/>
    </row>
    <row r="825" spans="1:41" s="14" customFormat="1" x14ac:dyDescent="0.3">
      <c r="A825" s="13"/>
      <c r="B825" s="13"/>
      <c r="C825" s="13"/>
      <c r="D825" s="13"/>
      <c r="E825" s="14">
        <v>320</v>
      </c>
      <c r="L825" s="15"/>
      <c r="O825" s="15"/>
      <c r="R825" s="16"/>
      <c r="V825" s="14">
        <v>470</v>
      </c>
      <c r="W825" s="14">
        <v>940</v>
      </c>
      <c r="X825" s="14">
        <v>1410</v>
      </c>
      <c r="Y825" s="24" t="e">
        <f>knicks_players_all_stats[[#This Row],[REB]]/knicks_players_all_stats[[#This Row],[GP]]</f>
        <v>#DIV/0!</v>
      </c>
      <c r="AC825" s="14">
        <v>120</v>
      </c>
      <c r="AE825" s="14">
        <v>210</v>
      </c>
      <c r="AI825" s="19" t="e">
        <f>knicks_players_all_stats[[#This Row],[BLKPG]]+knicks_players_all_stats[[#This Row],[STLPG]]+knicks_players_all_stats[[#This Row],[REBPG]]</f>
        <v>#DIV/0!</v>
      </c>
    </row>
    <row r="826" spans="1:41" s="14" customFormat="1" x14ac:dyDescent="0.3">
      <c r="A826" s="13"/>
      <c r="B826" s="13"/>
      <c r="C826" s="13"/>
      <c r="D826" s="13"/>
      <c r="E826" s="14">
        <v>230</v>
      </c>
      <c r="L826" s="15"/>
      <c r="O826" s="15"/>
      <c r="R826" s="16"/>
      <c r="V826" s="14">
        <v>1210</v>
      </c>
      <c r="W826" s="14">
        <v>2000</v>
      </c>
      <c r="X826" s="14">
        <v>3210</v>
      </c>
      <c r="Y826" s="24" t="e">
        <f>knicks_players_all_stats[[#This Row],[REB]]/knicks_players_all_stats[[#This Row],[GP]]</f>
        <v>#DIV/0!</v>
      </c>
      <c r="AC826" s="14">
        <v>500</v>
      </c>
      <c r="AE826" s="14">
        <v>280</v>
      </c>
      <c r="AH826" s="14">
        <v>970</v>
      </c>
      <c r="AI826" s="19" t="e">
        <f>knicks_players_all_stats[[#This Row],[BLKPG]]+knicks_players_all_stats[[#This Row],[STLPG]]+knicks_players_all_stats[[#This Row],[REBPG]]</f>
        <v>#DIV/0!</v>
      </c>
    </row>
    <row r="827" spans="1:41" s="14" customFormat="1" x14ac:dyDescent="0.3">
      <c r="A827" s="13"/>
      <c r="B827" s="13"/>
      <c r="C827" s="13"/>
      <c r="D827" s="13"/>
      <c r="E827" s="14">
        <v>240</v>
      </c>
      <c r="L827" s="15"/>
      <c r="O827" s="15"/>
      <c r="R827" s="16"/>
      <c r="V827" s="14">
        <v>2010</v>
      </c>
      <c r="W827" s="14">
        <v>3470</v>
      </c>
      <c r="X827" s="14">
        <v>5480</v>
      </c>
      <c r="Y827" s="24" t="e">
        <f>knicks_players_all_stats[[#This Row],[REB]]/knicks_players_all_stats[[#This Row],[GP]]</f>
        <v>#DIV/0!</v>
      </c>
      <c r="AC827" s="14">
        <v>610</v>
      </c>
      <c r="AE827" s="14">
        <v>600</v>
      </c>
      <c r="AH827" s="14">
        <v>1630</v>
      </c>
      <c r="AI827" s="19" t="e">
        <f>knicks_players_all_stats[[#This Row],[BLKPG]]+knicks_players_all_stats[[#This Row],[STLPG]]+knicks_players_all_stats[[#This Row],[REBPG]]</f>
        <v>#DIV/0!</v>
      </c>
    </row>
    <row r="828" spans="1:41" s="14" customFormat="1" x14ac:dyDescent="0.3">
      <c r="A828" s="13"/>
      <c r="B828" s="13"/>
      <c r="C828" s="13"/>
      <c r="D828" s="13"/>
      <c r="E828" s="14">
        <v>250</v>
      </c>
      <c r="L828" s="15"/>
      <c r="O828" s="15"/>
      <c r="R828" s="16"/>
      <c r="V828" s="14">
        <v>2010</v>
      </c>
      <c r="W828" s="14">
        <v>2920</v>
      </c>
      <c r="X828" s="14">
        <v>4930</v>
      </c>
      <c r="Y828" s="24" t="e">
        <f>knicks_players_all_stats[[#This Row],[REB]]/knicks_players_all_stats[[#This Row],[GP]]</f>
        <v>#DIV/0!</v>
      </c>
      <c r="AC828" s="14">
        <v>1170</v>
      </c>
      <c r="AE828" s="14">
        <v>860</v>
      </c>
      <c r="AH828" s="14">
        <v>1630</v>
      </c>
      <c r="AI828" s="19" t="e">
        <f>knicks_players_all_stats[[#This Row],[BLKPG]]+knicks_players_all_stats[[#This Row],[STLPG]]+knicks_players_all_stats[[#This Row],[REBPG]]</f>
        <v>#DIV/0!</v>
      </c>
    </row>
    <row r="829" spans="1:41" s="17" customFormat="1" x14ac:dyDescent="0.3">
      <c r="A829" s="13"/>
      <c r="B829" s="13"/>
      <c r="C829" s="13"/>
      <c r="D829" s="13"/>
      <c r="E829" s="14">
        <v>270</v>
      </c>
      <c r="F829" s="14"/>
      <c r="G829" s="14"/>
      <c r="H829" s="14"/>
      <c r="I829" s="14"/>
      <c r="J829" s="14"/>
      <c r="K829" s="14"/>
      <c r="L829" s="15"/>
      <c r="M829" s="14"/>
      <c r="N829" s="14"/>
      <c r="O829" s="15"/>
      <c r="P829" s="14"/>
      <c r="Q829" s="14"/>
      <c r="R829" s="16"/>
      <c r="S829" s="14"/>
      <c r="T829" s="14"/>
      <c r="U829" s="14"/>
      <c r="V829" s="14">
        <v>330</v>
      </c>
      <c r="W829" s="14">
        <v>490</v>
      </c>
      <c r="X829" s="14">
        <v>820</v>
      </c>
      <c r="Y829" s="24" t="e">
        <f>knicks_players_all_stats[[#This Row],[REB]]/knicks_players_all_stats[[#This Row],[GP]]</f>
        <v>#DIV/0!</v>
      </c>
      <c r="Z829" s="14"/>
      <c r="AA829" s="14"/>
      <c r="AB829" s="14"/>
      <c r="AC829" s="14">
        <v>140</v>
      </c>
      <c r="AD829" s="14"/>
      <c r="AE829" s="14">
        <v>110</v>
      </c>
      <c r="AF829" s="14"/>
      <c r="AG829" s="14"/>
      <c r="AH829" s="14">
        <v>210</v>
      </c>
      <c r="AI829" s="19" t="e">
        <f>knicks_players_all_stats[[#This Row],[BLKPG]]+knicks_players_all_stats[[#This Row],[STLPG]]+knicks_players_all_stats[[#This Row],[REBPG]]</f>
        <v>#DIV/0!</v>
      </c>
      <c r="AJ829" s="14"/>
      <c r="AK829" s="14"/>
      <c r="AL829" s="14"/>
      <c r="AM829" s="14"/>
      <c r="AN829" s="14"/>
      <c r="AO829" s="14"/>
    </row>
    <row r="830" spans="1:41" s="17" customFormat="1" x14ac:dyDescent="0.3">
      <c r="A830" s="13"/>
      <c r="B830" s="13"/>
      <c r="C830" s="13"/>
      <c r="D830" s="13"/>
      <c r="E830" s="14">
        <v>280</v>
      </c>
      <c r="F830" s="14"/>
      <c r="G830" s="14"/>
      <c r="H830" s="14"/>
      <c r="I830" s="14"/>
      <c r="J830" s="14"/>
      <c r="K830" s="14"/>
      <c r="L830" s="15"/>
      <c r="M830" s="14"/>
      <c r="N830" s="14"/>
      <c r="O830" s="15"/>
      <c r="P830" s="14"/>
      <c r="Q830" s="14"/>
      <c r="R830" s="16"/>
      <c r="S830" s="14"/>
      <c r="T830" s="14"/>
      <c r="U830" s="14"/>
      <c r="V830" s="14"/>
      <c r="W830" s="14"/>
      <c r="X830" s="14">
        <v>5350</v>
      </c>
      <c r="Y830" s="24" t="e">
        <f>knicks_players_all_stats[[#This Row],[REB]]/knicks_players_all_stats[[#This Row],[GP]]</f>
        <v>#DIV/0!</v>
      </c>
      <c r="Z830" s="14"/>
      <c r="AA830" s="14"/>
      <c r="AB830" s="14"/>
      <c r="AC830" s="14"/>
      <c r="AD830" s="14"/>
      <c r="AE830" s="14"/>
      <c r="AF830" s="14"/>
      <c r="AG830" s="14"/>
      <c r="AH830" s="14"/>
      <c r="AI830" s="19" t="e">
        <f>knicks_players_all_stats[[#This Row],[BLKPG]]+knicks_players_all_stats[[#This Row],[STLPG]]+knicks_players_all_stats[[#This Row],[REBPG]]</f>
        <v>#DIV/0!</v>
      </c>
      <c r="AJ830" s="14"/>
      <c r="AK830" s="14"/>
      <c r="AL830" s="14"/>
      <c r="AM830" s="14"/>
      <c r="AN830" s="14"/>
      <c r="AO830" s="14"/>
    </row>
    <row r="831" spans="1:41" s="17" customFormat="1" x14ac:dyDescent="0.3">
      <c r="A831" s="13"/>
      <c r="B831" s="13"/>
      <c r="C831" s="13"/>
      <c r="D831" s="13"/>
      <c r="E831" s="14">
        <v>290</v>
      </c>
      <c r="F831" s="14"/>
      <c r="G831" s="14"/>
      <c r="H831" s="14"/>
      <c r="I831" s="14"/>
      <c r="J831" s="14"/>
      <c r="K831" s="14"/>
      <c r="L831" s="15"/>
      <c r="M831" s="14"/>
      <c r="N831" s="14"/>
      <c r="O831" s="15"/>
      <c r="P831" s="14"/>
      <c r="Q831" s="14"/>
      <c r="R831" s="16"/>
      <c r="S831" s="14"/>
      <c r="T831" s="14"/>
      <c r="U831" s="14"/>
      <c r="V831" s="14"/>
      <c r="W831" s="14"/>
      <c r="X831" s="14">
        <v>7900</v>
      </c>
      <c r="Y831" s="24" t="e">
        <f>knicks_players_all_stats[[#This Row],[REB]]/knicks_players_all_stats[[#This Row],[GP]]</f>
        <v>#DIV/0!</v>
      </c>
      <c r="Z831" s="14"/>
      <c r="AA831" s="14"/>
      <c r="AB831" s="14"/>
      <c r="AC831" s="14"/>
      <c r="AD831" s="14"/>
      <c r="AE831" s="14"/>
      <c r="AF831" s="14"/>
      <c r="AG831" s="14"/>
      <c r="AH831" s="14"/>
      <c r="AI831" s="19" t="e">
        <f>knicks_players_all_stats[[#This Row],[BLKPG]]+knicks_players_all_stats[[#This Row],[STLPG]]+knicks_players_all_stats[[#This Row],[REBPG]]</f>
        <v>#DIV/0!</v>
      </c>
      <c r="AJ831" s="14"/>
      <c r="AK831" s="14"/>
      <c r="AL831" s="14"/>
      <c r="AM831" s="14"/>
      <c r="AN831" s="14"/>
      <c r="AO831" s="14"/>
    </row>
    <row r="832" spans="1:41" s="17" customFormat="1" x14ac:dyDescent="0.3">
      <c r="A832" s="13"/>
      <c r="B832" s="13"/>
      <c r="C832" s="13"/>
      <c r="D832" s="13"/>
      <c r="E832" s="14">
        <v>300</v>
      </c>
      <c r="F832" s="14"/>
      <c r="G832" s="14"/>
      <c r="H832" s="14"/>
      <c r="I832" s="14"/>
      <c r="J832" s="14"/>
      <c r="K832" s="14"/>
      <c r="L832" s="15"/>
      <c r="M832" s="14"/>
      <c r="N832" s="14"/>
      <c r="O832" s="15"/>
      <c r="P832" s="14"/>
      <c r="Q832" s="14"/>
      <c r="R832" s="16"/>
      <c r="S832" s="14"/>
      <c r="T832" s="14"/>
      <c r="U832" s="14"/>
      <c r="V832" s="14"/>
      <c r="W832" s="14"/>
      <c r="X832" s="14">
        <v>9010</v>
      </c>
      <c r="Y832" s="24" t="e">
        <f>knicks_players_all_stats[[#This Row],[REB]]/knicks_players_all_stats[[#This Row],[GP]]</f>
        <v>#DIV/0!</v>
      </c>
      <c r="Z832" s="14"/>
      <c r="AA832" s="14"/>
      <c r="AB832" s="14"/>
      <c r="AC832" s="14"/>
      <c r="AD832" s="14"/>
      <c r="AE832" s="14"/>
      <c r="AF832" s="14"/>
      <c r="AG832" s="14"/>
      <c r="AH832" s="14"/>
      <c r="AI832" s="19" t="e">
        <f>knicks_players_all_stats[[#This Row],[BLKPG]]+knicks_players_all_stats[[#This Row],[STLPG]]+knicks_players_all_stats[[#This Row],[REBPG]]</f>
        <v>#DIV/0!</v>
      </c>
      <c r="AJ832" s="14"/>
      <c r="AK832" s="14"/>
      <c r="AL832" s="14"/>
      <c r="AM832" s="14"/>
      <c r="AN832" s="14"/>
      <c r="AO832" s="14"/>
    </row>
    <row r="833" spans="1:41" s="17" customFormat="1" x14ac:dyDescent="0.3">
      <c r="A833" s="13"/>
      <c r="B833" s="13"/>
      <c r="C833" s="13"/>
      <c r="D833" s="13"/>
      <c r="E833" s="14">
        <v>310</v>
      </c>
      <c r="F833" s="14"/>
      <c r="G833" s="14"/>
      <c r="H833" s="14"/>
      <c r="I833" s="14"/>
      <c r="J833" s="14"/>
      <c r="K833" s="14"/>
      <c r="L833" s="15"/>
      <c r="M833" s="14"/>
      <c r="N833" s="14"/>
      <c r="O833" s="15"/>
      <c r="P833" s="14"/>
      <c r="Q833" s="14"/>
      <c r="R833" s="16"/>
      <c r="S833" s="14"/>
      <c r="T833" s="14"/>
      <c r="U833" s="14"/>
      <c r="V833" s="14"/>
      <c r="W833" s="14"/>
      <c r="X833" s="14">
        <v>9010</v>
      </c>
      <c r="Y833" s="24" t="e">
        <f>knicks_players_all_stats[[#This Row],[REB]]/knicks_players_all_stats[[#This Row],[GP]]</f>
        <v>#DIV/0!</v>
      </c>
      <c r="Z833" s="14"/>
      <c r="AA833" s="14"/>
      <c r="AB833" s="14"/>
      <c r="AC833" s="14"/>
      <c r="AD833" s="14"/>
      <c r="AE833" s="14"/>
      <c r="AF833" s="14"/>
      <c r="AG833" s="14"/>
      <c r="AH833" s="14"/>
      <c r="AI833" s="19" t="e">
        <f>knicks_players_all_stats[[#This Row],[BLKPG]]+knicks_players_all_stats[[#This Row],[STLPG]]+knicks_players_all_stats[[#This Row],[REBPG]]</f>
        <v>#DIV/0!</v>
      </c>
      <c r="AJ833" s="14"/>
      <c r="AK833" s="14"/>
      <c r="AL833" s="14"/>
      <c r="AM833" s="14"/>
      <c r="AN833" s="14"/>
      <c r="AO833" s="14"/>
    </row>
    <row r="834" spans="1:41" s="14" customFormat="1" x14ac:dyDescent="0.3">
      <c r="A834" s="13"/>
      <c r="B834" s="13"/>
      <c r="C834" s="13"/>
      <c r="D834" s="13"/>
      <c r="E834" s="14">
        <v>320</v>
      </c>
      <c r="L834" s="15"/>
      <c r="O834" s="15"/>
      <c r="R834" s="16"/>
      <c r="X834" s="14">
        <v>7870</v>
      </c>
      <c r="Y834" s="24" t="e">
        <f>knicks_players_all_stats[[#This Row],[REB]]/knicks_players_all_stats[[#This Row],[GP]]</f>
        <v>#DIV/0!</v>
      </c>
      <c r="AI834" s="19" t="e">
        <f>knicks_players_all_stats[[#This Row],[BLKPG]]+knicks_players_all_stats[[#This Row],[STLPG]]+knicks_players_all_stats[[#This Row],[REBPG]]</f>
        <v>#DIV/0!</v>
      </c>
    </row>
    <row r="835" spans="1:41" s="14" customFormat="1" x14ac:dyDescent="0.3">
      <c r="A835" s="13"/>
      <c r="B835" s="13"/>
      <c r="C835" s="13"/>
      <c r="D835" s="13"/>
      <c r="E835" s="14">
        <v>330</v>
      </c>
      <c r="L835" s="15"/>
      <c r="O835" s="15"/>
      <c r="R835" s="16"/>
      <c r="V835" s="14">
        <v>1340</v>
      </c>
      <c r="W835" s="14">
        <v>6230</v>
      </c>
      <c r="X835" s="14">
        <v>7570</v>
      </c>
      <c r="Y835" s="24" t="e">
        <f>knicks_players_all_stats[[#This Row],[REB]]/knicks_players_all_stats[[#This Row],[GP]]</f>
        <v>#DIV/0!</v>
      </c>
      <c r="AC835" s="14">
        <v>670</v>
      </c>
      <c r="AE835" s="14">
        <v>390</v>
      </c>
      <c r="AI835" s="19" t="e">
        <f>knicks_players_all_stats[[#This Row],[BLKPG]]+knicks_players_all_stats[[#This Row],[STLPG]]+knicks_players_all_stats[[#This Row],[REBPG]]</f>
        <v>#DIV/0!</v>
      </c>
    </row>
    <row r="836" spans="1:41" s="14" customFormat="1" x14ac:dyDescent="0.3">
      <c r="A836" s="13"/>
      <c r="B836" s="13"/>
      <c r="C836" s="13"/>
      <c r="D836" s="13"/>
      <c r="E836" s="14">
        <v>220</v>
      </c>
      <c r="L836" s="15"/>
      <c r="O836" s="15"/>
      <c r="R836" s="16"/>
      <c r="X836" s="14">
        <v>310</v>
      </c>
      <c r="Y836" s="24" t="e">
        <f>knicks_players_all_stats[[#This Row],[REB]]/knicks_players_all_stats[[#This Row],[GP]]</f>
        <v>#DIV/0!</v>
      </c>
      <c r="AI836" s="19" t="e">
        <f>knicks_players_all_stats[[#This Row],[BLKPG]]+knicks_players_all_stats[[#This Row],[STLPG]]+knicks_players_all_stats[[#This Row],[REBPG]]</f>
        <v>#DIV/0!</v>
      </c>
    </row>
    <row r="837" spans="1:41" s="14" customFormat="1" x14ac:dyDescent="0.3">
      <c r="A837" s="13"/>
      <c r="B837" s="13"/>
      <c r="C837" s="13"/>
      <c r="D837" s="13"/>
      <c r="E837" s="14">
        <v>220</v>
      </c>
      <c r="L837" s="15"/>
      <c r="O837" s="15"/>
      <c r="R837" s="16"/>
      <c r="X837" s="14">
        <v>3260</v>
      </c>
      <c r="Y837" s="24" t="e">
        <f>knicks_players_all_stats[[#This Row],[REB]]/knicks_players_all_stats[[#This Row],[GP]]</f>
        <v>#DIV/0!</v>
      </c>
      <c r="AI837" s="19" t="e">
        <f>knicks_players_all_stats[[#This Row],[BLKPG]]+knicks_players_all_stats[[#This Row],[STLPG]]+knicks_players_all_stats[[#This Row],[REBPG]]</f>
        <v>#DIV/0!</v>
      </c>
    </row>
    <row r="838" spans="1:41" s="14" customFormat="1" x14ac:dyDescent="0.3">
      <c r="A838" s="13"/>
      <c r="B838" s="13"/>
      <c r="C838" s="13"/>
      <c r="D838" s="13"/>
      <c r="E838" s="14">
        <v>230</v>
      </c>
      <c r="L838" s="15"/>
      <c r="O838" s="15"/>
      <c r="R838" s="16"/>
      <c r="X838" s="14">
        <v>2630</v>
      </c>
      <c r="Y838" s="24" t="e">
        <f>knicks_players_all_stats[[#This Row],[REB]]/knicks_players_all_stats[[#This Row],[GP]]</f>
        <v>#DIV/0!</v>
      </c>
      <c r="AI838" s="19" t="e">
        <f>knicks_players_all_stats[[#This Row],[BLKPG]]+knicks_players_all_stats[[#This Row],[STLPG]]+knicks_players_all_stats[[#This Row],[REBPG]]</f>
        <v>#DIV/0!</v>
      </c>
    </row>
    <row r="839" spans="1:41" s="14" customFormat="1" x14ac:dyDescent="0.3">
      <c r="A839" s="13"/>
      <c r="B839" s="13"/>
      <c r="C839" s="13"/>
      <c r="D839" s="13"/>
      <c r="E839" s="14">
        <v>240</v>
      </c>
      <c r="L839" s="15"/>
      <c r="O839" s="15"/>
      <c r="R839" s="16"/>
      <c r="X839" s="14">
        <v>1540</v>
      </c>
      <c r="Y839" s="24" t="e">
        <f>knicks_players_all_stats[[#This Row],[REB]]/knicks_players_all_stats[[#This Row],[GP]]</f>
        <v>#DIV/0!</v>
      </c>
      <c r="AI839" s="19" t="e">
        <f>knicks_players_all_stats[[#This Row],[BLKPG]]+knicks_players_all_stats[[#This Row],[STLPG]]+knicks_players_all_stats[[#This Row],[REBPG]]</f>
        <v>#DIV/0!</v>
      </c>
    </row>
    <row r="840" spans="1:41" s="14" customFormat="1" x14ac:dyDescent="0.3">
      <c r="A840" s="13"/>
      <c r="B840" s="13"/>
      <c r="C840" s="13"/>
      <c r="D840" s="13"/>
      <c r="E840" s="14">
        <v>250</v>
      </c>
      <c r="L840" s="15"/>
      <c r="O840" s="15"/>
      <c r="R840" s="16"/>
      <c r="X840" s="14">
        <v>480</v>
      </c>
      <c r="Y840" s="24" t="e">
        <f>knicks_players_all_stats[[#This Row],[REB]]/knicks_players_all_stats[[#This Row],[GP]]</f>
        <v>#DIV/0!</v>
      </c>
      <c r="AI840" s="19" t="e">
        <f>knicks_players_all_stats[[#This Row],[BLKPG]]+knicks_players_all_stats[[#This Row],[STLPG]]+knicks_players_all_stats[[#This Row],[REBPG]]</f>
        <v>#DIV/0!</v>
      </c>
    </row>
    <row r="841" spans="1:41" s="14" customFormat="1" x14ac:dyDescent="0.3">
      <c r="A841" s="13"/>
      <c r="B841" s="13"/>
      <c r="C841" s="13"/>
      <c r="D841" s="13"/>
      <c r="E841" s="14">
        <v>230</v>
      </c>
      <c r="L841" s="15"/>
      <c r="O841" s="15"/>
      <c r="R841" s="16"/>
      <c r="V841" s="14">
        <v>430</v>
      </c>
      <c r="W841" s="14">
        <v>1060</v>
      </c>
      <c r="X841" s="14">
        <v>1490</v>
      </c>
      <c r="Y841" s="24" t="e">
        <f>knicks_players_all_stats[[#This Row],[REB]]/knicks_players_all_stats[[#This Row],[GP]]</f>
        <v>#DIV/0!</v>
      </c>
      <c r="AC841" s="14">
        <v>960</v>
      </c>
      <c r="AE841" s="14">
        <v>140</v>
      </c>
      <c r="AH841" s="14">
        <v>1040</v>
      </c>
      <c r="AI841" s="19" t="e">
        <f>knicks_players_all_stats[[#This Row],[BLKPG]]+knicks_players_all_stats[[#This Row],[STLPG]]+knicks_players_all_stats[[#This Row],[REBPG]]</f>
        <v>#DIV/0!</v>
      </c>
    </row>
    <row r="842" spans="1:41" s="14" customFormat="1" x14ac:dyDescent="0.3">
      <c r="A842" s="13"/>
      <c r="B842" s="13"/>
      <c r="C842" s="13"/>
      <c r="D842" s="13"/>
      <c r="E842" s="14">
        <v>290</v>
      </c>
      <c r="L842" s="15"/>
      <c r="O842" s="15"/>
      <c r="R842" s="16"/>
      <c r="V842" s="14">
        <v>0</v>
      </c>
      <c r="W842" s="14">
        <v>0</v>
      </c>
      <c r="X842" s="14">
        <v>0</v>
      </c>
      <c r="Y842" s="24" t="e">
        <f>knicks_players_all_stats[[#This Row],[REB]]/knicks_players_all_stats[[#This Row],[GP]]</f>
        <v>#DIV/0!</v>
      </c>
      <c r="AC842" s="14">
        <v>0</v>
      </c>
      <c r="AE842" s="14">
        <v>0</v>
      </c>
      <c r="AH842" s="14">
        <v>0</v>
      </c>
      <c r="AI842" s="19" t="e">
        <f>knicks_players_all_stats[[#This Row],[BLKPG]]+knicks_players_all_stats[[#This Row],[STLPG]]+knicks_players_all_stats[[#This Row],[REBPG]]</f>
        <v>#DIV/0!</v>
      </c>
    </row>
    <row r="843" spans="1:41" s="14" customFormat="1" x14ac:dyDescent="0.3">
      <c r="A843" s="13"/>
      <c r="B843" s="13"/>
      <c r="C843" s="13"/>
      <c r="D843" s="13"/>
      <c r="E843" s="14">
        <v>500</v>
      </c>
      <c r="L843" s="15"/>
      <c r="O843" s="15"/>
      <c r="R843" s="16"/>
      <c r="X843" s="14">
        <v>10</v>
      </c>
      <c r="Y843" s="24" t="e">
        <f>knicks_players_all_stats[[#This Row],[REB]]/knicks_players_all_stats[[#This Row],[GP]]</f>
        <v>#DIV/0!</v>
      </c>
      <c r="AI843" s="19" t="e">
        <f>knicks_players_all_stats[[#This Row],[BLKPG]]+knicks_players_all_stats[[#This Row],[STLPG]]+knicks_players_all_stats[[#This Row],[REBPG]]</f>
        <v>#DIV/0!</v>
      </c>
    </row>
    <row r="844" spans="1:41" s="14" customFormat="1" x14ac:dyDescent="0.3">
      <c r="A844" s="13"/>
      <c r="B844" s="13"/>
      <c r="C844" s="13"/>
      <c r="D844" s="13"/>
      <c r="E844" s="14">
        <v>260</v>
      </c>
      <c r="L844" s="15"/>
      <c r="O844" s="15"/>
      <c r="R844" s="16"/>
      <c r="X844" s="14">
        <v>110</v>
      </c>
      <c r="Y844" s="24" t="e">
        <f>knicks_players_all_stats[[#This Row],[REB]]/knicks_players_all_stats[[#This Row],[GP]]</f>
        <v>#DIV/0!</v>
      </c>
      <c r="AI844" s="19" t="e">
        <f>knicks_players_all_stats[[#This Row],[BLKPG]]+knicks_players_all_stats[[#This Row],[STLPG]]+knicks_players_all_stats[[#This Row],[REBPG]]</f>
        <v>#DIV/0!</v>
      </c>
    </row>
    <row r="845" spans="1:41" s="14" customFormat="1" x14ac:dyDescent="0.3">
      <c r="A845" s="13"/>
      <c r="B845" s="13"/>
      <c r="C845" s="13"/>
      <c r="D845" s="13"/>
      <c r="E845" s="14">
        <v>260</v>
      </c>
      <c r="L845" s="15"/>
      <c r="O845" s="15"/>
      <c r="R845" s="16"/>
      <c r="V845" s="14">
        <v>30</v>
      </c>
      <c r="W845" s="14">
        <v>70</v>
      </c>
      <c r="X845" s="14">
        <v>100</v>
      </c>
      <c r="Y845" s="24" t="e">
        <f>knicks_players_all_stats[[#This Row],[REB]]/knicks_players_all_stats[[#This Row],[GP]]</f>
        <v>#DIV/0!</v>
      </c>
      <c r="AC845" s="14">
        <v>0</v>
      </c>
      <c r="AE845" s="14">
        <v>40</v>
      </c>
      <c r="AH845" s="14">
        <v>0</v>
      </c>
      <c r="AI845" s="19" t="e">
        <f>knicks_players_all_stats[[#This Row],[BLKPG]]+knicks_players_all_stats[[#This Row],[STLPG]]+knicks_players_all_stats[[#This Row],[REBPG]]</f>
        <v>#DIV/0!</v>
      </c>
    </row>
    <row r="846" spans="1:41" s="14" customFormat="1" x14ac:dyDescent="0.3">
      <c r="A846" s="13"/>
      <c r="B846" s="13"/>
      <c r="C846" s="13"/>
      <c r="D846" s="13"/>
      <c r="E846" s="14">
        <v>220</v>
      </c>
      <c r="L846" s="15"/>
      <c r="O846" s="15"/>
      <c r="R846" s="16"/>
      <c r="X846" s="14">
        <v>660</v>
      </c>
      <c r="Y846" s="24" t="e">
        <f>knicks_players_all_stats[[#This Row],[REB]]/knicks_players_all_stats[[#This Row],[GP]]</f>
        <v>#DIV/0!</v>
      </c>
      <c r="AI846" s="19" t="e">
        <f>knicks_players_all_stats[[#This Row],[BLKPG]]+knicks_players_all_stats[[#This Row],[STLPG]]+knicks_players_all_stats[[#This Row],[REBPG]]</f>
        <v>#DIV/0!</v>
      </c>
    </row>
    <row r="847" spans="1:41" s="14" customFormat="1" x14ac:dyDescent="0.3">
      <c r="A847" s="13"/>
      <c r="B847" s="13"/>
      <c r="C847" s="13"/>
      <c r="D847" s="13"/>
      <c r="E847" s="14">
        <v>250</v>
      </c>
      <c r="L847" s="15"/>
      <c r="O847" s="15"/>
      <c r="R847" s="16"/>
      <c r="V847" s="14">
        <v>940</v>
      </c>
      <c r="W847" s="14">
        <v>1340</v>
      </c>
      <c r="X847" s="14">
        <v>2280</v>
      </c>
      <c r="Y847" s="24" t="e">
        <f>knicks_players_all_stats[[#This Row],[REB]]/knicks_players_all_stats[[#This Row],[GP]]</f>
        <v>#DIV/0!</v>
      </c>
      <c r="AC847" s="14">
        <v>640</v>
      </c>
      <c r="AE847" s="14">
        <v>240</v>
      </c>
      <c r="AH847" s="14">
        <v>930</v>
      </c>
      <c r="AI847" s="19" t="e">
        <f>knicks_players_all_stats[[#This Row],[BLKPG]]+knicks_players_all_stats[[#This Row],[STLPG]]+knicks_players_all_stats[[#This Row],[REBPG]]</f>
        <v>#DIV/0!</v>
      </c>
    </row>
    <row r="848" spans="1:41" s="14" customFormat="1" x14ac:dyDescent="0.3">
      <c r="A848" s="13"/>
      <c r="B848" s="13"/>
      <c r="C848" s="13"/>
      <c r="D848" s="13"/>
      <c r="E848" s="14">
        <v>260</v>
      </c>
      <c r="L848" s="15"/>
      <c r="O848" s="15"/>
      <c r="R848" s="16"/>
      <c r="V848" s="14">
        <v>1010</v>
      </c>
      <c r="W848" s="14">
        <v>1270</v>
      </c>
      <c r="X848" s="14">
        <v>2280</v>
      </c>
      <c r="Y848" s="24" t="e">
        <f>knicks_players_all_stats[[#This Row],[REB]]/knicks_players_all_stats[[#This Row],[GP]]</f>
        <v>#DIV/0!</v>
      </c>
      <c r="AC848" s="14">
        <v>660</v>
      </c>
      <c r="AE848" s="14">
        <v>170</v>
      </c>
      <c r="AH848" s="14">
        <v>950</v>
      </c>
      <c r="AI848" s="19" t="e">
        <f>knicks_players_all_stats[[#This Row],[BLKPG]]+knicks_players_all_stats[[#This Row],[STLPG]]+knicks_players_all_stats[[#This Row],[REBPG]]</f>
        <v>#DIV/0!</v>
      </c>
    </row>
    <row r="849" spans="1:41" s="14" customFormat="1" x14ac:dyDescent="0.3">
      <c r="A849" s="13"/>
      <c r="B849" s="13"/>
      <c r="C849" s="13"/>
      <c r="D849" s="13"/>
      <c r="E849" s="14">
        <v>270</v>
      </c>
      <c r="L849" s="15"/>
      <c r="O849" s="15"/>
      <c r="R849" s="16"/>
      <c r="V849" s="14">
        <v>1710</v>
      </c>
      <c r="W849" s="14">
        <v>2200</v>
      </c>
      <c r="X849" s="14">
        <v>3910</v>
      </c>
      <c r="Y849" s="24" t="e">
        <f>knicks_players_all_stats[[#This Row],[REB]]/knicks_players_all_stats[[#This Row],[GP]]</f>
        <v>#DIV/0!</v>
      </c>
      <c r="AC849" s="14">
        <v>1000</v>
      </c>
      <c r="AE849" s="14">
        <v>270</v>
      </c>
      <c r="AH849" s="14">
        <v>1380</v>
      </c>
      <c r="AI849" s="19" t="e">
        <f>knicks_players_all_stats[[#This Row],[BLKPG]]+knicks_players_all_stats[[#This Row],[STLPG]]+knicks_players_all_stats[[#This Row],[REBPG]]</f>
        <v>#DIV/0!</v>
      </c>
    </row>
    <row r="850" spans="1:41" s="14" customFormat="1" x14ac:dyDescent="0.3">
      <c r="A850" s="13"/>
      <c r="B850" s="13"/>
      <c r="C850" s="13"/>
      <c r="D850" s="13"/>
      <c r="E850" s="14">
        <v>280</v>
      </c>
      <c r="L850" s="15"/>
      <c r="O850" s="15"/>
      <c r="R850" s="16"/>
      <c r="V850" s="14">
        <v>1230</v>
      </c>
      <c r="W850" s="14">
        <v>1890</v>
      </c>
      <c r="X850" s="14">
        <v>3120</v>
      </c>
      <c r="Y850" s="24" t="e">
        <f>knicks_players_all_stats[[#This Row],[REB]]/knicks_players_all_stats[[#This Row],[GP]]</f>
        <v>#DIV/0!</v>
      </c>
      <c r="AC850" s="14">
        <v>610</v>
      </c>
      <c r="AE850" s="14">
        <v>260</v>
      </c>
      <c r="AH850" s="14">
        <v>1180</v>
      </c>
      <c r="AI850" s="19" t="e">
        <f>knicks_players_all_stats[[#This Row],[BLKPG]]+knicks_players_all_stats[[#This Row],[STLPG]]+knicks_players_all_stats[[#This Row],[REBPG]]</f>
        <v>#DIV/0!</v>
      </c>
    </row>
    <row r="851" spans="1:41" s="14" customFormat="1" x14ac:dyDescent="0.3">
      <c r="A851" s="13"/>
      <c r="B851" s="13"/>
      <c r="C851" s="13"/>
      <c r="D851" s="13"/>
      <c r="E851" s="14">
        <v>290</v>
      </c>
      <c r="L851" s="15"/>
      <c r="O851" s="15"/>
      <c r="R851" s="16"/>
      <c r="V851" s="14">
        <v>1020</v>
      </c>
      <c r="W851" s="14">
        <v>1300</v>
      </c>
      <c r="X851" s="14">
        <v>2320</v>
      </c>
      <c r="Y851" s="24" t="e">
        <f>knicks_players_all_stats[[#This Row],[REB]]/knicks_players_all_stats[[#This Row],[GP]]</f>
        <v>#DIV/0!</v>
      </c>
      <c r="AC851" s="14">
        <v>470</v>
      </c>
      <c r="AE851" s="14">
        <v>180</v>
      </c>
      <c r="AH851" s="14">
        <v>700</v>
      </c>
      <c r="AI851" s="19" t="e">
        <f>knicks_players_all_stats[[#This Row],[BLKPG]]+knicks_players_all_stats[[#This Row],[STLPG]]+knicks_players_all_stats[[#This Row],[REBPG]]</f>
        <v>#DIV/0!</v>
      </c>
    </row>
    <row r="852" spans="1:41" s="17" customFormat="1" x14ac:dyDescent="0.3">
      <c r="A852" s="13"/>
      <c r="B852" s="13"/>
      <c r="C852" s="13"/>
      <c r="D852" s="13"/>
      <c r="E852" s="14">
        <v>300</v>
      </c>
      <c r="F852" s="14"/>
      <c r="G852" s="14"/>
      <c r="H852" s="14"/>
      <c r="I852" s="14"/>
      <c r="J852" s="14"/>
      <c r="K852" s="14"/>
      <c r="L852" s="15"/>
      <c r="M852" s="14"/>
      <c r="N852" s="14"/>
      <c r="O852" s="15"/>
      <c r="P852" s="14"/>
      <c r="Q852" s="14"/>
      <c r="R852" s="16"/>
      <c r="S852" s="14"/>
      <c r="T852" s="14"/>
      <c r="U852" s="14"/>
      <c r="V852" s="14">
        <v>130</v>
      </c>
      <c r="W852" s="14">
        <v>210</v>
      </c>
      <c r="X852" s="14">
        <v>340</v>
      </c>
      <c r="Y852" s="24" t="e">
        <f>knicks_players_all_stats[[#This Row],[REB]]/knicks_players_all_stats[[#This Row],[GP]]</f>
        <v>#DIV/0!</v>
      </c>
      <c r="Z852" s="14"/>
      <c r="AA852" s="14"/>
      <c r="AB852" s="14"/>
      <c r="AC852" s="14">
        <v>60</v>
      </c>
      <c r="AD852" s="14"/>
      <c r="AE852" s="14">
        <v>0</v>
      </c>
      <c r="AF852" s="14"/>
      <c r="AG852" s="14"/>
      <c r="AH852" s="14">
        <v>140</v>
      </c>
      <c r="AI852" s="19" t="e">
        <f>knicks_players_all_stats[[#This Row],[BLKPG]]+knicks_players_all_stats[[#This Row],[STLPG]]+knicks_players_all_stats[[#This Row],[REBPG]]</f>
        <v>#DIV/0!</v>
      </c>
      <c r="AJ852" s="14"/>
      <c r="AK852" s="14"/>
      <c r="AL852" s="14"/>
      <c r="AM852" s="14"/>
      <c r="AN852" s="14"/>
      <c r="AO852" s="14"/>
    </row>
    <row r="853" spans="1:41" s="14" customFormat="1" x14ac:dyDescent="0.3">
      <c r="A853" s="13"/>
      <c r="B853" s="13"/>
      <c r="C853" s="13"/>
      <c r="D853" s="13"/>
      <c r="E853" s="14">
        <v>270</v>
      </c>
      <c r="L853" s="15"/>
      <c r="O853" s="15"/>
      <c r="R853" s="16"/>
      <c r="V853" s="14">
        <v>1700</v>
      </c>
      <c r="W853" s="14">
        <v>2620</v>
      </c>
      <c r="X853" s="14">
        <v>4320</v>
      </c>
      <c r="Y853" s="24" t="e">
        <f>knicks_players_all_stats[[#This Row],[REB]]/knicks_players_all_stats[[#This Row],[GP]]</f>
        <v>#DIV/0!</v>
      </c>
      <c r="AC853" s="14">
        <v>480</v>
      </c>
      <c r="AE853" s="14">
        <v>960</v>
      </c>
      <c r="AH853" s="14">
        <v>1550</v>
      </c>
      <c r="AI853" s="19" t="e">
        <f>knicks_players_all_stats[[#This Row],[BLKPG]]+knicks_players_all_stats[[#This Row],[STLPG]]+knicks_players_all_stats[[#This Row],[REBPG]]</f>
        <v>#DIV/0!</v>
      </c>
    </row>
    <row r="854" spans="1:41" s="14" customFormat="1" x14ac:dyDescent="0.3">
      <c r="A854" s="13"/>
      <c r="B854" s="13"/>
      <c r="C854" s="13"/>
      <c r="D854" s="13"/>
      <c r="E854" s="14">
        <v>280</v>
      </c>
      <c r="L854" s="15"/>
      <c r="O854" s="15"/>
      <c r="R854" s="16"/>
      <c r="V854" s="14">
        <v>660</v>
      </c>
      <c r="W854" s="14">
        <v>990</v>
      </c>
      <c r="X854" s="14">
        <v>1650</v>
      </c>
      <c r="Y854" s="24" t="e">
        <f>knicks_players_all_stats[[#This Row],[REB]]/knicks_players_all_stats[[#This Row],[GP]]</f>
        <v>#DIV/0!</v>
      </c>
      <c r="AC854" s="14">
        <v>260</v>
      </c>
      <c r="AE854" s="14">
        <v>450</v>
      </c>
      <c r="AH854" s="14">
        <v>640</v>
      </c>
      <c r="AI854" s="19" t="e">
        <f>knicks_players_all_stats[[#This Row],[BLKPG]]+knicks_players_all_stats[[#This Row],[STLPG]]+knicks_players_all_stats[[#This Row],[REBPG]]</f>
        <v>#DIV/0!</v>
      </c>
    </row>
    <row r="855" spans="1:41" s="14" customFormat="1" x14ac:dyDescent="0.3">
      <c r="A855" s="13"/>
      <c r="B855" s="13"/>
      <c r="C855" s="13"/>
      <c r="D855" s="13"/>
      <c r="E855" s="14">
        <v>290</v>
      </c>
      <c r="L855" s="15"/>
      <c r="O855" s="15"/>
      <c r="R855" s="16"/>
      <c r="V855" s="14">
        <v>1440</v>
      </c>
      <c r="W855" s="14">
        <v>1800</v>
      </c>
      <c r="X855" s="14">
        <v>3240</v>
      </c>
      <c r="Y855" s="24" t="e">
        <f>knicks_players_all_stats[[#This Row],[REB]]/knicks_players_all_stats[[#This Row],[GP]]</f>
        <v>#DIV/0!</v>
      </c>
      <c r="AC855" s="14">
        <v>490</v>
      </c>
      <c r="AE855" s="14">
        <v>950</v>
      </c>
      <c r="AH855" s="14">
        <v>1470</v>
      </c>
      <c r="AI855" s="19" t="e">
        <f>knicks_players_all_stats[[#This Row],[BLKPG]]+knicks_players_all_stats[[#This Row],[STLPG]]+knicks_players_all_stats[[#This Row],[REBPG]]</f>
        <v>#DIV/0!</v>
      </c>
    </row>
    <row r="856" spans="1:41" s="14" customFormat="1" x14ac:dyDescent="0.3">
      <c r="A856" s="13"/>
      <c r="B856" s="13"/>
      <c r="C856" s="13"/>
      <c r="D856" s="13"/>
      <c r="E856" s="14">
        <v>300</v>
      </c>
      <c r="L856" s="15"/>
      <c r="O856" s="15"/>
      <c r="R856" s="16"/>
      <c r="V856" s="14">
        <v>590</v>
      </c>
      <c r="W856" s="14">
        <v>1010</v>
      </c>
      <c r="X856" s="14">
        <v>1600</v>
      </c>
      <c r="Y856" s="24" t="e">
        <f>knicks_players_all_stats[[#This Row],[REB]]/knicks_players_all_stats[[#This Row],[GP]]</f>
        <v>#DIV/0!</v>
      </c>
      <c r="AC856" s="14">
        <v>180</v>
      </c>
      <c r="AE856" s="14">
        <v>510</v>
      </c>
      <c r="AH856" s="14">
        <v>610</v>
      </c>
      <c r="AI856" s="19" t="e">
        <f>knicks_players_all_stats[[#This Row],[BLKPG]]+knicks_players_all_stats[[#This Row],[STLPG]]+knicks_players_all_stats[[#This Row],[REBPG]]</f>
        <v>#DIV/0!</v>
      </c>
    </row>
    <row r="857" spans="1:41" s="14" customFormat="1" x14ac:dyDescent="0.3">
      <c r="A857" s="13"/>
      <c r="B857" s="13"/>
      <c r="C857" s="13"/>
      <c r="D857" s="13"/>
      <c r="E857" s="14">
        <v>330</v>
      </c>
      <c r="L857" s="15"/>
      <c r="O857" s="15"/>
      <c r="R857" s="16"/>
      <c r="V857" s="14">
        <v>20</v>
      </c>
      <c r="W857" s="14">
        <v>20</v>
      </c>
      <c r="X857" s="14">
        <v>40</v>
      </c>
      <c r="Y857" s="24" t="e">
        <f>knicks_players_all_stats[[#This Row],[REB]]/knicks_players_all_stats[[#This Row],[GP]]</f>
        <v>#DIV/0!</v>
      </c>
      <c r="AC857" s="14">
        <v>0</v>
      </c>
      <c r="AE857" s="14">
        <v>0</v>
      </c>
      <c r="AH857" s="14">
        <v>10</v>
      </c>
      <c r="AI857" s="19" t="e">
        <f>knicks_players_all_stats[[#This Row],[BLKPG]]+knicks_players_all_stats[[#This Row],[STLPG]]+knicks_players_all_stats[[#This Row],[REBPG]]</f>
        <v>#DIV/0!</v>
      </c>
    </row>
    <row r="858" spans="1:41" s="17" customFormat="1" x14ac:dyDescent="0.3">
      <c r="A858" s="13"/>
      <c r="B858" s="13"/>
      <c r="C858" s="13"/>
      <c r="D858" s="13"/>
      <c r="E858" s="14">
        <v>270</v>
      </c>
      <c r="F858" s="14"/>
      <c r="G858" s="14"/>
      <c r="H858" s="14"/>
      <c r="I858" s="14"/>
      <c r="J858" s="14"/>
      <c r="K858" s="14"/>
      <c r="L858" s="15"/>
      <c r="M858" s="14"/>
      <c r="N858" s="14"/>
      <c r="O858" s="15"/>
      <c r="P858" s="14"/>
      <c r="Q858" s="14"/>
      <c r="R858" s="16"/>
      <c r="S858" s="14"/>
      <c r="T858" s="14"/>
      <c r="U858" s="14"/>
      <c r="V858" s="14">
        <v>2210</v>
      </c>
      <c r="W858" s="14">
        <v>4210</v>
      </c>
      <c r="X858" s="14">
        <v>6420</v>
      </c>
      <c r="Y858" s="24" t="e">
        <f>knicks_players_all_stats[[#This Row],[REB]]/knicks_players_all_stats[[#This Row],[GP]]</f>
        <v>#DIV/0!</v>
      </c>
      <c r="Z858" s="14"/>
      <c r="AA858" s="14"/>
      <c r="AB858" s="14"/>
      <c r="AC858" s="14">
        <v>650</v>
      </c>
      <c r="AD858" s="14"/>
      <c r="AE858" s="14">
        <v>320</v>
      </c>
      <c r="AF858" s="14"/>
      <c r="AG858" s="14"/>
      <c r="AH858" s="14">
        <v>1480</v>
      </c>
      <c r="AI858" s="19" t="e">
        <f>knicks_players_all_stats[[#This Row],[BLKPG]]+knicks_players_all_stats[[#This Row],[STLPG]]+knicks_players_all_stats[[#This Row],[REBPG]]</f>
        <v>#DIV/0!</v>
      </c>
      <c r="AJ858" s="14"/>
      <c r="AK858" s="14"/>
      <c r="AL858" s="14"/>
      <c r="AM858" s="14"/>
      <c r="AN858" s="14"/>
      <c r="AO858" s="14"/>
    </row>
    <row r="859" spans="1:41" s="17" customFormat="1" x14ac:dyDescent="0.3">
      <c r="A859" s="13"/>
      <c r="B859" s="13"/>
      <c r="C859" s="13"/>
      <c r="D859" s="13"/>
      <c r="E859" s="14">
        <v>280</v>
      </c>
      <c r="F859" s="14"/>
      <c r="G859" s="14"/>
      <c r="H859" s="14"/>
      <c r="I859" s="14"/>
      <c r="J859" s="14"/>
      <c r="K859" s="14"/>
      <c r="L859" s="15"/>
      <c r="M859" s="14"/>
      <c r="N859" s="14"/>
      <c r="O859" s="15"/>
      <c r="P859" s="14"/>
      <c r="Q859" s="14"/>
      <c r="R859" s="16"/>
      <c r="S859" s="14"/>
      <c r="T859" s="14"/>
      <c r="U859" s="14"/>
      <c r="V859" s="14">
        <v>1570</v>
      </c>
      <c r="W859" s="14">
        <v>2370</v>
      </c>
      <c r="X859" s="14">
        <v>3940</v>
      </c>
      <c r="Y859" s="24" t="e">
        <f>knicks_players_all_stats[[#This Row],[REB]]/knicks_players_all_stats[[#This Row],[GP]]</f>
        <v>#DIV/0!</v>
      </c>
      <c r="Z859" s="14"/>
      <c r="AA859" s="14"/>
      <c r="AB859" s="14"/>
      <c r="AC859" s="14">
        <v>470</v>
      </c>
      <c r="AD859" s="14"/>
      <c r="AE859" s="14">
        <v>180</v>
      </c>
      <c r="AF859" s="14"/>
      <c r="AG859" s="14"/>
      <c r="AH859" s="14">
        <v>1250</v>
      </c>
      <c r="AI859" s="19" t="e">
        <f>knicks_players_all_stats[[#This Row],[BLKPG]]+knicks_players_all_stats[[#This Row],[STLPG]]+knicks_players_all_stats[[#This Row],[REBPG]]</f>
        <v>#DIV/0!</v>
      </c>
      <c r="AJ859" s="14"/>
      <c r="AK859" s="14"/>
      <c r="AL859" s="14"/>
      <c r="AM859" s="14"/>
      <c r="AN859" s="14"/>
      <c r="AO859" s="14"/>
    </row>
    <row r="860" spans="1:41" s="14" customFormat="1" x14ac:dyDescent="0.3">
      <c r="A860" s="13"/>
      <c r="B860" s="13"/>
      <c r="C860" s="13"/>
      <c r="D860" s="13"/>
      <c r="E860" s="14">
        <v>230</v>
      </c>
      <c r="L860" s="15"/>
      <c r="O860" s="15"/>
      <c r="R860" s="16"/>
      <c r="V860" s="14">
        <v>170</v>
      </c>
      <c r="W860" s="14">
        <v>370</v>
      </c>
      <c r="X860" s="14">
        <v>540</v>
      </c>
      <c r="Y860" s="24" t="e">
        <f>knicks_players_all_stats[[#This Row],[REB]]/knicks_players_all_stats[[#This Row],[GP]]</f>
        <v>#DIV/0!</v>
      </c>
      <c r="AC860" s="14">
        <v>30</v>
      </c>
      <c r="AE860" s="14">
        <v>40</v>
      </c>
      <c r="AI860" s="19" t="e">
        <f>knicks_players_all_stats[[#This Row],[BLKPG]]+knicks_players_all_stats[[#This Row],[STLPG]]+knicks_players_all_stats[[#This Row],[REBPG]]</f>
        <v>#DIV/0!</v>
      </c>
    </row>
    <row r="861" spans="1:41" s="14" customFormat="1" x14ac:dyDescent="0.3">
      <c r="A861" s="13"/>
      <c r="B861" s="13"/>
      <c r="C861" s="13"/>
      <c r="D861" s="13"/>
      <c r="E861" s="14">
        <v>240</v>
      </c>
      <c r="L861" s="15"/>
      <c r="O861" s="15"/>
      <c r="R861" s="16"/>
      <c r="V861" s="14">
        <v>700</v>
      </c>
      <c r="W861" s="14">
        <v>2510</v>
      </c>
      <c r="X861" s="14">
        <v>3210</v>
      </c>
      <c r="Y861" s="24" t="e">
        <f>knicks_players_all_stats[[#This Row],[REB]]/knicks_players_all_stats[[#This Row],[GP]]</f>
        <v>#DIV/0!</v>
      </c>
      <c r="AC861" s="14">
        <v>160</v>
      </c>
      <c r="AE861" s="14">
        <v>80</v>
      </c>
      <c r="AI861" s="19" t="e">
        <f>knicks_players_all_stats[[#This Row],[BLKPG]]+knicks_players_all_stats[[#This Row],[STLPG]]+knicks_players_all_stats[[#This Row],[REBPG]]</f>
        <v>#DIV/0!</v>
      </c>
    </row>
    <row r="862" spans="1:41" s="14" customFormat="1" x14ac:dyDescent="0.3">
      <c r="A862" s="13"/>
      <c r="B862" s="13"/>
      <c r="C862" s="13"/>
      <c r="D862" s="13"/>
      <c r="E862" s="14">
        <v>250</v>
      </c>
      <c r="L862" s="15"/>
      <c r="O862" s="15"/>
      <c r="R862" s="16"/>
      <c r="V862" s="14">
        <v>430</v>
      </c>
      <c r="W862" s="14">
        <v>1050</v>
      </c>
      <c r="X862" s="14">
        <v>1480</v>
      </c>
      <c r="Y862" s="24" t="e">
        <f>knicks_players_all_stats[[#This Row],[REB]]/knicks_players_all_stats[[#This Row],[GP]]</f>
        <v>#DIV/0!</v>
      </c>
      <c r="AC862" s="14">
        <v>160</v>
      </c>
      <c r="AE862" s="14">
        <v>50</v>
      </c>
      <c r="AI862" s="19" t="e">
        <f>knicks_players_all_stats[[#This Row],[BLKPG]]+knicks_players_all_stats[[#This Row],[STLPG]]+knicks_players_all_stats[[#This Row],[REBPG]]</f>
        <v>#DIV/0!</v>
      </c>
    </row>
    <row r="863" spans="1:41" s="17" customFormat="1" x14ac:dyDescent="0.3">
      <c r="A863" s="13"/>
      <c r="B863" s="13"/>
      <c r="C863" s="13"/>
      <c r="D863" s="13"/>
      <c r="E863" s="14">
        <v>260</v>
      </c>
      <c r="F863" s="14"/>
      <c r="G863" s="14"/>
      <c r="H863" s="14"/>
      <c r="I863" s="14"/>
      <c r="J863" s="14"/>
      <c r="K863" s="14"/>
      <c r="L863" s="15"/>
      <c r="M863" s="14"/>
      <c r="N863" s="14"/>
      <c r="O863" s="15"/>
      <c r="P863" s="14"/>
      <c r="Q863" s="14"/>
      <c r="R863" s="16"/>
      <c r="S863" s="14"/>
      <c r="T863" s="14"/>
      <c r="U863" s="14"/>
      <c r="V863" s="14">
        <v>300</v>
      </c>
      <c r="W863" s="14">
        <v>700</v>
      </c>
      <c r="X863" s="14">
        <v>1000</v>
      </c>
      <c r="Y863" s="24" t="e">
        <f>knicks_players_all_stats[[#This Row],[REB]]/knicks_players_all_stats[[#This Row],[GP]]</f>
        <v>#DIV/0!</v>
      </c>
      <c r="Z863" s="14"/>
      <c r="AA863" s="14"/>
      <c r="AB863" s="14"/>
      <c r="AC863" s="14">
        <v>90</v>
      </c>
      <c r="AD863" s="14"/>
      <c r="AE863" s="14">
        <v>10</v>
      </c>
      <c r="AF863" s="14"/>
      <c r="AG863" s="14"/>
      <c r="AH863" s="14"/>
      <c r="AI863" s="19" t="e">
        <f>knicks_players_all_stats[[#This Row],[BLKPG]]+knicks_players_all_stats[[#This Row],[STLPG]]+knicks_players_all_stats[[#This Row],[REBPG]]</f>
        <v>#DIV/0!</v>
      </c>
      <c r="AJ863" s="14"/>
      <c r="AK863" s="14"/>
      <c r="AL863" s="14"/>
      <c r="AM863" s="14"/>
      <c r="AN863" s="14"/>
      <c r="AO863" s="14"/>
    </row>
    <row r="864" spans="1:41" s="14" customFormat="1" x14ac:dyDescent="0.3">
      <c r="A864" s="13"/>
      <c r="B864" s="13"/>
      <c r="C864" s="13"/>
      <c r="D864" s="13"/>
      <c r="E864" s="14">
        <v>260</v>
      </c>
      <c r="O864" s="15"/>
      <c r="R864" s="16"/>
      <c r="Y864" s="24" t="e">
        <f>knicks_players_all_stats[[#This Row],[REB]]/knicks_players_all_stats[[#This Row],[GP]]</f>
        <v>#DIV/0!</v>
      </c>
      <c r="AI864" s="19" t="e">
        <f>knicks_players_all_stats[[#This Row],[BLKPG]]+knicks_players_all_stats[[#This Row],[STLPG]]+knicks_players_all_stats[[#This Row],[REBPG]]</f>
        <v>#DIV/0!</v>
      </c>
    </row>
    <row r="865" spans="1:41" s="14" customFormat="1" x14ac:dyDescent="0.3">
      <c r="A865" s="18"/>
      <c r="B865" s="18"/>
      <c r="C865" s="18"/>
      <c r="D865" s="18"/>
      <c r="E865" s="14">
        <v>240</v>
      </c>
      <c r="F865" s="17"/>
      <c r="G865" s="17"/>
      <c r="H865" s="17"/>
      <c r="I865" s="19"/>
      <c r="J865" s="17"/>
      <c r="K865" s="17"/>
      <c r="L865" s="17"/>
      <c r="M865" s="17"/>
      <c r="N865" s="17"/>
      <c r="O865" s="20"/>
      <c r="P865" s="17"/>
      <c r="Q865" s="17"/>
      <c r="R865" s="21"/>
      <c r="S865" s="17"/>
      <c r="T865" s="17"/>
      <c r="U865" s="17"/>
      <c r="V865" s="14">
        <v>60</v>
      </c>
      <c r="W865" s="14">
        <v>230</v>
      </c>
      <c r="X865" s="14">
        <v>290</v>
      </c>
      <c r="Y865" s="24" t="e">
        <f>knicks_players_all_stats[[#This Row],[REB]]/knicks_players_all_stats[[#This Row],[GP]]</f>
        <v>#DIV/0!</v>
      </c>
      <c r="Z865" s="17"/>
      <c r="AA865" s="17"/>
      <c r="AB865" s="17"/>
      <c r="AC865" s="17">
        <v>30</v>
      </c>
      <c r="AD865" s="17"/>
      <c r="AE865" s="14">
        <v>40</v>
      </c>
      <c r="AF865" s="17"/>
      <c r="AG865" s="17"/>
      <c r="AH865" s="14">
        <v>220</v>
      </c>
      <c r="AI865" s="19" t="e">
        <f>knicks_players_all_stats[[#This Row],[BLKPG]]+knicks_players_all_stats[[#This Row],[STLPG]]+knicks_players_all_stats[[#This Row],[REBPG]]</f>
        <v>#DIV/0!</v>
      </c>
      <c r="AJ865" s="17"/>
      <c r="AK865" s="17"/>
      <c r="AL865" s="17"/>
      <c r="AM865" s="17"/>
      <c r="AN865" s="17"/>
      <c r="AO865" s="17"/>
    </row>
    <row r="866" spans="1:41" s="14" customFormat="1" x14ac:dyDescent="0.3">
      <c r="A866" s="13"/>
      <c r="B866" s="13"/>
      <c r="C866" s="13"/>
      <c r="D866" s="13"/>
      <c r="E866" s="14">
        <v>240</v>
      </c>
      <c r="O866" s="15"/>
      <c r="R866" s="16"/>
      <c r="X866" s="14">
        <v>10</v>
      </c>
      <c r="Y866" s="24" t="e">
        <f>knicks_players_all_stats[[#This Row],[REB]]/knicks_players_all_stats[[#This Row],[GP]]</f>
        <v>#DIV/0!</v>
      </c>
      <c r="AI866" s="19" t="e">
        <f>knicks_players_all_stats[[#This Row],[BLKPG]]+knicks_players_all_stats[[#This Row],[STLPG]]+knicks_players_all_stats[[#This Row],[REBPG]]</f>
        <v>#DIV/0!</v>
      </c>
    </row>
    <row r="867" spans="1:41" s="14" customFormat="1" x14ac:dyDescent="0.3">
      <c r="A867" s="13"/>
      <c r="B867" s="13"/>
      <c r="C867" s="13"/>
      <c r="D867" s="13"/>
      <c r="E867" s="14">
        <v>260</v>
      </c>
      <c r="O867" s="15"/>
      <c r="R867" s="16"/>
      <c r="V867" s="14">
        <v>120</v>
      </c>
      <c r="W867" s="14">
        <v>150</v>
      </c>
      <c r="X867" s="14">
        <v>270</v>
      </c>
      <c r="Y867" s="24" t="e">
        <f>knicks_players_all_stats[[#This Row],[REB]]/knicks_players_all_stats[[#This Row],[GP]]</f>
        <v>#DIV/0!</v>
      </c>
      <c r="AC867" s="14">
        <v>40</v>
      </c>
      <c r="AE867" s="14">
        <v>0</v>
      </c>
      <c r="AH867" s="14">
        <v>10</v>
      </c>
      <c r="AI867" s="19" t="e">
        <f>knicks_players_all_stats[[#This Row],[BLKPG]]+knicks_players_all_stats[[#This Row],[STLPG]]+knicks_players_all_stats[[#This Row],[REBPG]]</f>
        <v>#DIV/0!</v>
      </c>
    </row>
    <row r="868" spans="1:41" s="14" customFormat="1" x14ac:dyDescent="0.3">
      <c r="A868" s="13"/>
      <c r="B868" s="13"/>
      <c r="C868" s="13"/>
      <c r="D868" s="13"/>
      <c r="E868" s="14">
        <v>230</v>
      </c>
      <c r="O868" s="15"/>
      <c r="R868" s="16"/>
      <c r="V868" s="14">
        <v>130</v>
      </c>
      <c r="W868" s="14">
        <v>430</v>
      </c>
      <c r="X868" s="14">
        <v>560</v>
      </c>
      <c r="Y868" s="24" t="e">
        <f>knicks_players_all_stats[[#This Row],[REB]]/knicks_players_all_stats[[#This Row],[GP]]</f>
        <v>#DIV/0!</v>
      </c>
      <c r="AC868" s="14">
        <v>220</v>
      </c>
      <c r="AE868" s="14">
        <v>40</v>
      </c>
      <c r="AH868" s="14">
        <v>450</v>
      </c>
      <c r="AI868" s="19" t="e">
        <f>knicks_players_all_stats[[#This Row],[BLKPG]]+knicks_players_all_stats[[#This Row],[STLPG]]+knicks_players_all_stats[[#This Row],[REBPG]]</f>
        <v>#DIV/0!</v>
      </c>
    </row>
    <row r="869" spans="1:41" s="14" customFormat="1" x14ac:dyDescent="0.3">
      <c r="A869" s="13"/>
      <c r="B869" s="13"/>
      <c r="C869" s="13"/>
      <c r="D869" s="13"/>
      <c r="E869" s="14">
        <v>240</v>
      </c>
      <c r="O869" s="15"/>
      <c r="R869" s="16"/>
      <c r="V869" s="14">
        <v>230</v>
      </c>
      <c r="W869" s="14">
        <v>440</v>
      </c>
      <c r="X869" s="14">
        <v>670</v>
      </c>
      <c r="Y869" s="24" t="e">
        <f>knicks_players_all_stats[[#This Row],[REB]]/knicks_players_all_stats[[#This Row],[GP]]</f>
        <v>#DIV/0!</v>
      </c>
      <c r="AC869" s="14">
        <v>400</v>
      </c>
      <c r="AE869" s="14">
        <v>40</v>
      </c>
      <c r="AH869" s="14">
        <v>760</v>
      </c>
      <c r="AI869" s="19" t="e">
        <f>knicks_players_all_stats[[#This Row],[BLKPG]]+knicks_players_all_stats[[#This Row],[STLPG]]+knicks_players_all_stats[[#This Row],[REBPG]]</f>
        <v>#DIV/0!</v>
      </c>
    </row>
    <row r="870" spans="1:41" s="17" customFormat="1" x14ac:dyDescent="0.3">
      <c r="A870" s="13"/>
      <c r="B870" s="13"/>
      <c r="C870" s="13"/>
      <c r="D870" s="13"/>
      <c r="E870" s="14">
        <v>250</v>
      </c>
      <c r="F870" s="14"/>
      <c r="G870" s="14"/>
      <c r="H870" s="14"/>
      <c r="I870" s="14"/>
      <c r="J870" s="14"/>
      <c r="K870" s="14"/>
      <c r="L870" s="14"/>
      <c r="M870" s="14"/>
      <c r="N870" s="14"/>
      <c r="O870" s="15"/>
      <c r="P870" s="14"/>
      <c r="Q870" s="14"/>
      <c r="R870" s="16"/>
      <c r="S870" s="14"/>
      <c r="T870" s="14"/>
      <c r="U870" s="14"/>
      <c r="V870" s="14">
        <v>300</v>
      </c>
      <c r="W870" s="14">
        <v>800</v>
      </c>
      <c r="X870" s="14">
        <v>1100</v>
      </c>
      <c r="Y870" s="24" t="e">
        <f>knicks_players_all_stats[[#This Row],[REB]]/knicks_players_all_stats[[#This Row],[GP]]</f>
        <v>#DIV/0!</v>
      </c>
      <c r="Z870" s="14"/>
      <c r="AA870" s="14"/>
      <c r="AB870" s="14"/>
      <c r="AC870" s="14">
        <v>350</v>
      </c>
      <c r="AD870" s="14"/>
      <c r="AE870" s="14">
        <v>110</v>
      </c>
      <c r="AF870" s="14"/>
      <c r="AG870" s="14"/>
      <c r="AH870" s="14">
        <v>870</v>
      </c>
      <c r="AI870" s="19" t="e">
        <f>knicks_players_all_stats[[#This Row],[BLKPG]]+knicks_players_all_stats[[#This Row],[STLPG]]+knicks_players_all_stats[[#This Row],[REBPG]]</f>
        <v>#DIV/0!</v>
      </c>
      <c r="AJ870" s="14"/>
      <c r="AK870" s="14"/>
      <c r="AL870" s="14"/>
      <c r="AM870" s="14"/>
      <c r="AN870" s="14"/>
      <c r="AO870" s="14"/>
    </row>
    <row r="871" spans="1:41" s="17" customFormat="1" x14ac:dyDescent="0.3">
      <c r="A871" s="13"/>
      <c r="B871" s="13"/>
      <c r="C871" s="13"/>
      <c r="D871" s="13"/>
      <c r="E871" s="14">
        <v>260</v>
      </c>
      <c r="F871" s="14"/>
      <c r="G871" s="14"/>
      <c r="H871" s="14"/>
      <c r="I871" s="14"/>
      <c r="J871" s="14"/>
      <c r="K871" s="14"/>
      <c r="L871" s="14"/>
      <c r="M871" s="14"/>
      <c r="N871" s="14"/>
      <c r="O871" s="15"/>
      <c r="P871" s="14"/>
      <c r="Q871" s="14"/>
      <c r="R871" s="16"/>
      <c r="S871" s="14"/>
      <c r="T871" s="14"/>
      <c r="U871" s="14"/>
      <c r="V871" s="14">
        <v>350</v>
      </c>
      <c r="W871" s="14">
        <v>880</v>
      </c>
      <c r="X871" s="14">
        <v>1230</v>
      </c>
      <c r="Y871" s="24" t="e">
        <f>knicks_players_all_stats[[#This Row],[REB]]/knicks_players_all_stats[[#This Row],[GP]]</f>
        <v>#DIV/0!</v>
      </c>
      <c r="Z871" s="14"/>
      <c r="AA871" s="14"/>
      <c r="AB871" s="14"/>
      <c r="AC871" s="14">
        <v>310</v>
      </c>
      <c r="AD871" s="14"/>
      <c r="AE871" s="14">
        <v>80</v>
      </c>
      <c r="AF871" s="14"/>
      <c r="AG871" s="14"/>
      <c r="AH871" s="14">
        <v>630</v>
      </c>
      <c r="AI871" s="19" t="e">
        <f>knicks_players_all_stats[[#This Row],[BLKPG]]+knicks_players_all_stats[[#This Row],[STLPG]]+knicks_players_all_stats[[#This Row],[REBPG]]</f>
        <v>#DIV/0!</v>
      </c>
      <c r="AJ871" s="14"/>
      <c r="AK871" s="14"/>
      <c r="AL871" s="14"/>
      <c r="AM871" s="14"/>
      <c r="AN871" s="14"/>
      <c r="AO871" s="14"/>
    </row>
    <row r="872" spans="1:41" s="17" customFormat="1" x14ac:dyDescent="0.3">
      <c r="A872" s="13"/>
      <c r="B872" s="13"/>
      <c r="C872" s="13"/>
      <c r="D872" s="13"/>
      <c r="E872" s="14">
        <v>250</v>
      </c>
      <c r="F872" s="14"/>
      <c r="G872" s="14"/>
      <c r="H872" s="14"/>
      <c r="I872" s="14"/>
      <c r="J872" s="14"/>
      <c r="K872" s="14"/>
      <c r="L872" s="14"/>
      <c r="M872" s="14"/>
      <c r="N872" s="14"/>
      <c r="O872" s="15"/>
      <c r="P872" s="14"/>
      <c r="Q872" s="14"/>
      <c r="R872" s="16"/>
      <c r="S872" s="14"/>
      <c r="T872" s="14"/>
      <c r="U872" s="14"/>
      <c r="V872" s="14">
        <v>220</v>
      </c>
      <c r="W872" s="14">
        <v>670</v>
      </c>
      <c r="X872" s="14">
        <v>890</v>
      </c>
      <c r="Y872" s="24" t="e">
        <f>knicks_players_all_stats[[#This Row],[REB]]/knicks_players_all_stats[[#This Row],[GP]]</f>
        <v>#DIV/0!</v>
      </c>
      <c r="Z872" s="14"/>
      <c r="AA872" s="14"/>
      <c r="AB872" s="14"/>
      <c r="AC872" s="14">
        <v>370</v>
      </c>
      <c r="AD872" s="14"/>
      <c r="AE872" s="14">
        <v>40</v>
      </c>
      <c r="AF872" s="14"/>
      <c r="AG872" s="14"/>
      <c r="AH872" s="14">
        <v>710</v>
      </c>
      <c r="AI872" s="19" t="e">
        <f>knicks_players_all_stats[[#This Row],[BLKPG]]+knicks_players_all_stats[[#This Row],[STLPG]]+knicks_players_all_stats[[#This Row],[REBPG]]</f>
        <v>#DIV/0!</v>
      </c>
      <c r="AJ872" s="14"/>
      <c r="AK872" s="14"/>
      <c r="AL872" s="14"/>
      <c r="AM872" s="14"/>
      <c r="AN872" s="14"/>
      <c r="AO872" s="14"/>
    </row>
    <row r="873" spans="1:41" s="17" customFormat="1" x14ac:dyDescent="0.3">
      <c r="A873" s="13"/>
      <c r="B873" s="13"/>
      <c r="C873" s="13"/>
      <c r="D873" s="13"/>
      <c r="E873" s="14">
        <v>260</v>
      </c>
      <c r="F873" s="14"/>
      <c r="G873" s="14"/>
      <c r="H873" s="14"/>
      <c r="I873" s="14"/>
      <c r="J873" s="14"/>
      <c r="K873" s="14"/>
      <c r="L873" s="14"/>
      <c r="M873" s="14"/>
      <c r="N873" s="14"/>
      <c r="O873" s="15"/>
      <c r="P873" s="14"/>
      <c r="Q873" s="14"/>
      <c r="R873" s="16"/>
      <c r="S873" s="14"/>
      <c r="T873" s="14"/>
      <c r="U873" s="14"/>
      <c r="V873" s="14">
        <v>480</v>
      </c>
      <c r="W873" s="14">
        <v>1410</v>
      </c>
      <c r="X873" s="14">
        <v>1890</v>
      </c>
      <c r="Y873" s="24" t="e">
        <f>knicks_players_all_stats[[#This Row],[REB]]/knicks_players_all_stats[[#This Row],[GP]]</f>
        <v>#DIV/0!</v>
      </c>
      <c r="Z873" s="14"/>
      <c r="AA873" s="14"/>
      <c r="AB873" s="14"/>
      <c r="AC873" s="14">
        <v>1000</v>
      </c>
      <c r="AD873" s="14"/>
      <c r="AE873" s="14">
        <v>80</v>
      </c>
      <c r="AF873" s="14"/>
      <c r="AG873" s="14"/>
      <c r="AH873" s="14">
        <v>2100</v>
      </c>
      <c r="AI873" s="19" t="e">
        <f>knicks_players_all_stats[[#This Row],[BLKPG]]+knicks_players_all_stats[[#This Row],[STLPG]]+knicks_players_all_stats[[#This Row],[REBPG]]</f>
        <v>#DIV/0!</v>
      </c>
      <c r="AJ873" s="14"/>
      <c r="AK873" s="14"/>
      <c r="AL873" s="14"/>
      <c r="AM873" s="14"/>
      <c r="AN873" s="14"/>
      <c r="AO873" s="14"/>
    </row>
    <row r="874" spans="1:41" s="17" customFormat="1" x14ac:dyDescent="0.3">
      <c r="A874" s="13"/>
      <c r="B874" s="13"/>
      <c r="C874" s="13"/>
      <c r="D874" s="13"/>
      <c r="E874" s="14">
        <v>270</v>
      </c>
      <c r="F874" s="14"/>
      <c r="G874" s="14"/>
      <c r="H874" s="14"/>
      <c r="I874" s="14"/>
      <c r="J874" s="14"/>
      <c r="K874" s="14"/>
      <c r="L874" s="14"/>
      <c r="M874" s="14"/>
      <c r="N874" s="14"/>
      <c r="O874" s="15"/>
      <c r="P874" s="14"/>
      <c r="Q874" s="14"/>
      <c r="R874" s="16"/>
      <c r="S874" s="14"/>
      <c r="T874" s="14"/>
      <c r="U874" s="14"/>
      <c r="V874" s="14">
        <v>380</v>
      </c>
      <c r="W874" s="14">
        <v>1310</v>
      </c>
      <c r="X874" s="14">
        <v>1690</v>
      </c>
      <c r="Y874" s="24" t="e">
        <f>knicks_players_all_stats[[#This Row],[REB]]/knicks_players_all_stats[[#This Row],[GP]]</f>
        <v>#DIV/0!</v>
      </c>
      <c r="Z874" s="14"/>
      <c r="AA874" s="14"/>
      <c r="AB874" s="14"/>
      <c r="AC874" s="14">
        <v>810</v>
      </c>
      <c r="AD874" s="14"/>
      <c r="AE874" s="14">
        <v>90</v>
      </c>
      <c r="AF874" s="14"/>
      <c r="AG874" s="14"/>
      <c r="AH874" s="14">
        <v>1500</v>
      </c>
      <c r="AI874" s="19" t="e">
        <f>knicks_players_all_stats[[#This Row],[BLKPG]]+knicks_players_all_stats[[#This Row],[STLPG]]+knicks_players_all_stats[[#This Row],[REBPG]]</f>
        <v>#DIV/0!</v>
      </c>
      <c r="AJ874" s="14"/>
      <c r="AK874" s="14"/>
      <c r="AL874" s="14"/>
      <c r="AM874" s="14"/>
      <c r="AN874" s="14"/>
      <c r="AO874" s="14"/>
    </row>
    <row r="875" spans="1:41" s="17" customFormat="1" x14ac:dyDescent="0.3">
      <c r="A875" s="13"/>
      <c r="B875" s="13"/>
      <c r="C875" s="13"/>
      <c r="D875" s="13"/>
      <c r="E875" s="14">
        <v>280</v>
      </c>
      <c r="F875" s="14"/>
      <c r="G875" s="14"/>
      <c r="H875" s="14"/>
      <c r="I875" s="14"/>
      <c r="J875" s="14"/>
      <c r="K875" s="14"/>
      <c r="L875" s="14"/>
      <c r="M875" s="14"/>
      <c r="N875" s="14"/>
      <c r="O875" s="15"/>
      <c r="P875" s="14"/>
      <c r="Q875" s="14"/>
      <c r="R875" s="16"/>
      <c r="S875" s="14"/>
      <c r="T875" s="14"/>
      <c r="U875" s="14"/>
      <c r="V875" s="14">
        <v>500</v>
      </c>
      <c r="W875" s="14">
        <v>1200</v>
      </c>
      <c r="X875" s="14">
        <v>1700</v>
      </c>
      <c r="Y875" s="24" t="e">
        <f>knicks_players_all_stats[[#This Row],[REB]]/knicks_players_all_stats[[#This Row],[GP]]</f>
        <v>#DIV/0!</v>
      </c>
      <c r="Z875" s="14"/>
      <c r="AA875" s="14"/>
      <c r="AB875" s="14"/>
      <c r="AC875" s="14">
        <v>850</v>
      </c>
      <c r="AD875" s="14"/>
      <c r="AE875" s="14">
        <v>140</v>
      </c>
      <c r="AF875" s="14"/>
      <c r="AG875" s="14"/>
      <c r="AH875" s="14">
        <v>1540</v>
      </c>
      <c r="AI875" s="19" t="e">
        <f>knicks_players_all_stats[[#This Row],[BLKPG]]+knicks_players_all_stats[[#This Row],[STLPG]]+knicks_players_all_stats[[#This Row],[REBPG]]</f>
        <v>#DIV/0!</v>
      </c>
      <c r="AJ875" s="14"/>
      <c r="AK875" s="14"/>
      <c r="AL875" s="14"/>
      <c r="AM875" s="14"/>
      <c r="AN875" s="14"/>
      <c r="AO875" s="14"/>
    </row>
    <row r="876" spans="1:41" s="17" customFormat="1" x14ac:dyDescent="0.3">
      <c r="A876" s="13"/>
      <c r="B876" s="13"/>
      <c r="C876" s="13"/>
      <c r="D876" s="13"/>
      <c r="E876" s="14">
        <v>290</v>
      </c>
      <c r="F876" s="14"/>
      <c r="G876" s="14"/>
      <c r="H876" s="14"/>
      <c r="I876" s="14"/>
      <c r="J876" s="14"/>
      <c r="K876" s="14"/>
      <c r="L876" s="14"/>
      <c r="M876" s="14"/>
      <c r="N876" s="14"/>
      <c r="O876" s="15"/>
      <c r="P876" s="14"/>
      <c r="Q876" s="14"/>
      <c r="R876" s="16"/>
      <c r="S876" s="14"/>
      <c r="T876" s="14"/>
      <c r="U876" s="14"/>
      <c r="V876" s="14">
        <v>290</v>
      </c>
      <c r="W876" s="14">
        <v>860</v>
      </c>
      <c r="X876" s="14">
        <v>1150</v>
      </c>
      <c r="Y876" s="24" t="e">
        <f>knicks_players_all_stats[[#This Row],[REB]]/knicks_players_all_stats[[#This Row],[GP]]</f>
        <v>#DIV/0!</v>
      </c>
      <c r="Z876" s="14"/>
      <c r="AA876" s="14"/>
      <c r="AB876" s="14"/>
      <c r="AC876" s="14">
        <v>670</v>
      </c>
      <c r="AD876" s="14"/>
      <c r="AE876" s="14">
        <v>60</v>
      </c>
      <c r="AF876" s="14"/>
      <c r="AG876" s="14"/>
      <c r="AH876" s="14">
        <v>1400</v>
      </c>
      <c r="AI876" s="19" t="e">
        <f>knicks_players_all_stats[[#This Row],[BLKPG]]+knicks_players_all_stats[[#This Row],[STLPG]]+knicks_players_all_stats[[#This Row],[REBPG]]</f>
        <v>#DIV/0!</v>
      </c>
      <c r="AJ876" s="14"/>
      <c r="AK876" s="14"/>
      <c r="AL876" s="14"/>
      <c r="AM876" s="14"/>
      <c r="AN876" s="14"/>
      <c r="AO876" s="14"/>
    </row>
    <row r="877" spans="1:41" s="14" customFormat="1" x14ac:dyDescent="0.3">
      <c r="A877" s="13"/>
      <c r="B877" s="13"/>
      <c r="C877" s="13"/>
      <c r="D877" s="13"/>
      <c r="E877" s="14">
        <v>300</v>
      </c>
      <c r="O877" s="15"/>
      <c r="R877" s="16"/>
      <c r="V877" s="14">
        <v>10</v>
      </c>
      <c r="W877" s="14">
        <v>10</v>
      </c>
      <c r="X877" s="14">
        <v>20</v>
      </c>
      <c r="Y877" s="24" t="e">
        <f>knicks_players_all_stats[[#This Row],[REB]]/knicks_players_all_stats[[#This Row],[GP]]</f>
        <v>#DIV/0!</v>
      </c>
      <c r="AC877" s="14">
        <v>40</v>
      </c>
      <c r="AE877" s="14">
        <v>0</v>
      </c>
      <c r="AH877" s="14">
        <v>60</v>
      </c>
      <c r="AI877" s="19" t="e">
        <f>knicks_players_all_stats[[#This Row],[BLKPG]]+knicks_players_all_stats[[#This Row],[STLPG]]+knicks_players_all_stats[[#This Row],[REBPG]]</f>
        <v>#DIV/0!</v>
      </c>
    </row>
    <row r="878" spans="1:41" s="14" customFormat="1" x14ac:dyDescent="0.3">
      <c r="A878" s="13"/>
      <c r="B878" s="13"/>
      <c r="C878" s="13"/>
      <c r="D878" s="13"/>
      <c r="E878" s="14">
        <v>260</v>
      </c>
      <c r="O878" s="15"/>
      <c r="R878" s="16"/>
      <c r="V878" s="14">
        <v>990</v>
      </c>
      <c r="W878" s="14">
        <v>2270</v>
      </c>
      <c r="X878" s="14">
        <v>3260</v>
      </c>
      <c r="Y878" s="24" t="e">
        <f>knicks_players_all_stats[[#This Row],[REB]]/knicks_players_all_stats[[#This Row],[GP]]</f>
        <v>#DIV/0!</v>
      </c>
      <c r="AC878" s="14">
        <v>900</v>
      </c>
      <c r="AE878" s="14">
        <v>130</v>
      </c>
      <c r="AH878" s="14">
        <v>1970</v>
      </c>
      <c r="AI878" s="19" t="e">
        <f>knicks_players_all_stats[[#This Row],[BLKPG]]+knicks_players_all_stats[[#This Row],[STLPG]]+knicks_players_all_stats[[#This Row],[REBPG]]</f>
        <v>#DIV/0!</v>
      </c>
    </row>
    <row r="879" spans="1:41" s="14" customFormat="1" x14ac:dyDescent="0.3">
      <c r="A879" s="13"/>
      <c r="B879" s="13"/>
      <c r="C879" s="13"/>
      <c r="D879" s="13"/>
      <c r="E879" s="14">
        <v>270</v>
      </c>
      <c r="O879" s="15"/>
      <c r="R879" s="16"/>
      <c r="V879" s="14">
        <v>1230</v>
      </c>
      <c r="W879" s="14">
        <v>2710</v>
      </c>
      <c r="X879" s="14">
        <v>3940</v>
      </c>
      <c r="Y879" s="24" t="e">
        <f>knicks_players_all_stats[[#This Row],[REB]]/knicks_players_all_stats[[#This Row],[GP]]</f>
        <v>#DIV/0!</v>
      </c>
      <c r="AC879" s="14">
        <v>750</v>
      </c>
      <c r="AE879" s="14">
        <v>170</v>
      </c>
      <c r="AH879" s="14">
        <v>1970</v>
      </c>
      <c r="AI879" s="19" t="e">
        <f>knicks_players_all_stats[[#This Row],[BLKPG]]+knicks_players_all_stats[[#This Row],[STLPG]]+knicks_players_all_stats[[#This Row],[REBPG]]</f>
        <v>#DIV/0!</v>
      </c>
    </row>
    <row r="880" spans="1:41" s="14" customFormat="1" x14ac:dyDescent="0.3">
      <c r="A880" s="13"/>
      <c r="B880" s="13"/>
      <c r="C880" s="13"/>
      <c r="D880" s="13"/>
      <c r="E880" s="14">
        <v>280</v>
      </c>
      <c r="O880" s="15"/>
      <c r="R880" s="16"/>
      <c r="V880" s="14">
        <v>1140</v>
      </c>
      <c r="W880" s="14">
        <v>2030</v>
      </c>
      <c r="X880" s="14">
        <v>3170</v>
      </c>
      <c r="Y880" s="24" t="e">
        <f>knicks_players_all_stats[[#This Row],[REB]]/knicks_players_all_stats[[#This Row],[GP]]</f>
        <v>#DIV/0!</v>
      </c>
      <c r="AC880" s="14">
        <v>710</v>
      </c>
      <c r="AE880" s="14">
        <v>150</v>
      </c>
      <c r="AH880" s="14">
        <v>2040</v>
      </c>
      <c r="AI880" s="19" t="e">
        <f>knicks_players_all_stats[[#This Row],[BLKPG]]+knicks_players_all_stats[[#This Row],[STLPG]]+knicks_players_all_stats[[#This Row],[REBPG]]</f>
        <v>#DIV/0!</v>
      </c>
    </row>
    <row r="881" spans="1:41" s="14" customFormat="1" x14ac:dyDescent="0.3">
      <c r="A881" s="13"/>
      <c r="B881" s="13"/>
      <c r="C881" s="13"/>
      <c r="D881" s="13"/>
      <c r="E881" s="14">
        <v>300</v>
      </c>
      <c r="O881" s="15"/>
      <c r="R881" s="16"/>
      <c r="V881" s="14">
        <v>130</v>
      </c>
      <c r="W881" s="14">
        <v>190</v>
      </c>
      <c r="X881" s="14">
        <v>320</v>
      </c>
      <c r="Y881" s="24" t="e">
        <f>knicks_players_all_stats[[#This Row],[REB]]/knicks_players_all_stats[[#This Row],[GP]]</f>
        <v>#DIV/0!</v>
      </c>
      <c r="AC881" s="14">
        <v>20</v>
      </c>
      <c r="AE881" s="14">
        <v>0</v>
      </c>
      <c r="AH881" s="14">
        <v>150</v>
      </c>
      <c r="AI881" s="19" t="e">
        <f>knicks_players_all_stats[[#This Row],[BLKPG]]+knicks_players_all_stats[[#This Row],[STLPG]]+knicks_players_all_stats[[#This Row],[REBPG]]</f>
        <v>#DIV/0!</v>
      </c>
    </row>
    <row r="882" spans="1:41" s="14" customFormat="1" x14ac:dyDescent="0.3">
      <c r="A882" s="13"/>
      <c r="B882" s="13"/>
      <c r="C882" s="13"/>
      <c r="D882" s="13"/>
      <c r="E882" s="14">
        <v>260</v>
      </c>
      <c r="O882" s="15"/>
      <c r="R882" s="16"/>
      <c r="X882" s="14">
        <v>5390</v>
      </c>
      <c r="Y882" s="24" t="e">
        <f>knicks_players_all_stats[[#This Row],[REB]]/knicks_players_all_stats[[#This Row],[GP]]</f>
        <v>#DIV/0!</v>
      </c>
      <c r="AI882" s="19" t="e">
        <f>knicks_players_all_stats[[#This Row],[BLKPG]]+knicks_players_all_stats[[#This Row],[STLPG]]+knicks_players_all_stats[[#This Row],[REBPG]]</f>
        <v>#DIV/0!</v>
      </c>
    </row>
    <row r="883" spans="1:41" s="14" customFormat="1" x14ac:dyDescent="0.3">
      <c r="A883" s="13"/>
      <c r="B883" s="13"/>
      <c r="C883" s="13"/>
      <c r="D883" s="13"/>
      <c r="E883" s="14">
        <v>270</v>
      </c>
      <c r="O883" s="15"/>
      <c r="R883" s="16"/>
      <c r="X883" s="14">
        <v>8380</v>
      </c>
      <c r="Y883" s="24" t="e">
        <f>knicks_players_all_stats[[#This Row],[REB]]/knicks_players_all_stats[[#This Row],[GP]]</f>
        <v>#DIV/0!</v>
      </c>
      <c r="AI883" s="19" t="e">
        <f>knicks_players_all_stats[[#This Row],[BLKPG]]+knicks_players_all_stats[[#This Row],[STLPG]]+knicks_players_all_stats[[#This Row],[REBPG]]</f>
        <v>#DIV/0!</v>
      </c>
    </row>
    <row r="884" spans="1:41" s="14" customFormat="1" x14ac:dyDescent="0.3">
      <c r="A884" s="13"/>
      <c r="B884" s="13"/>
      <c r="C884" s="13"/>
      <c r="D884" s="13"/>
      <c r="E884" s="14">
        <v>280</v>
      </c>
      <c r="O884" s="15"/>
      <c r="R884" s="16"/>
      <c r="X884" s="14">
        <v>10660</v>
      </c>
      <c r="Y884" s="24" t="e">
        <f>knicks_players_all_stats[[#This Row],[REB]]/knicks_players_all_stats[[#This Row],[GP]]</f>
        <v>#DIV/0!</v>
      </c>
      <c r="AI884" s="19" t="e">
        <f>knicks_players_all_stats[[#This Row],[BLKPG]]+knicks_players_all_stats[[#This Row],[STLPG]]+knicks_players_all_stats[[#This Row],[REBPG]]</f>
        <v>#DIV/0!</v>
      </c>
    </row>
    <row r="885" spans="1:41" s="14" customFormat="1" x14ac:dyDescent="0.3">
      <c r="A885" s="13"/>
      <c r="B885" s="13"/>
      <c r="C885" s="13"/>
      <c r="D885" s="13"/>
      <c r="E885" s="14">
        <v>290</v>
      </c>
      <c r="O885" s="15"/>
      <c r="R885" s="16"/>
      <c r="X885" s="14">
        <v>9640</v>
      </c>
      <c r="Y885" s="24" t="e">
        <f>knicks_players_all_stats[[#This Row],[REB]]/knicks_players_all_stats[[#This Row],[GP]]</f>
        <v>#DIV/0!</v>
      </c>
      <c r="AI885" s="19" t="e">
        <f>knicks_players_all_stats[[#This Row],[BLKPG]]+knicks_players_all_stats[[#This Row],[STLPG]]+knicks_players_all_stats[[#This Row],[REBPG]]</f>
        <v>#DIV/0!</v>
      </c>
    </row>
    <row r="886" spans="1:41" s="14" customFormat="1" x14ac:dyDescent="0.3">
      <c r="A886" s="13"/>
      <c r="B886" s="13"/>
      <c r="C886" s="13"/>
      <c r="D886" s="13"/>
      <c r="E886" s="14">
        <v>300</v>
      </c>
      <c r="O886" s="15"/>
      <c r="R886" s="16"/>
      <c r="X886" s="14">
        <v>7990</v>
      </c>
      <c r="Y886" s="24" t="e">
        <f>knicks_players_all_stats[[#This Row],[REB]]/knicks_players_all_stats[[#This Row],[GP]]</f>
        <v>#DIV/0!</v>
      </c>
      <c r="AI886" s="19" t="e">
        <f>knicks_players_all_stats[[#This Row],[BLKPG]]+knicks_players_all_stats[[#This Row],[STLPG]]+knicks_players_all_stats[[#This Row],[REBPG]]</f>
        <v>#DIV/0!</v>
      </c>
    </row>
    <row r="887" spans="1:41" s="14" customFormat="1" x14ac:dyDescent="0.3">
      <c r="A887" s="13"/>
      <c r="B887" s="13"/>
      <c r="C887" s="13"/>
      <c r="D887" s="13"/>
      <c r="E887" s="14">
        <v>310</v>
      </c>
      <c r="O887" s="15"/>
      <c r="R887" s="16"/>
      <c r="X887" s="14">
        <v>5450</v>
      </c>
      <c r="Y887" s="24" t="e">
        <f>knicks_players_all_stats[[#This Row],[REB]]/knicks_players_all_stats[[#This Row],[GP]]</f>
        <v>#DIV/0!</v>
      </c>
      <c r="AI887" s="19" t="e">
        <f>knicks_players_all_stats[[#This Row],[BLKPG]]+knicks_players_all_stats[[#This Row],[STLPG]]+knicks_players_all_stats[[#This Row],[REBPG]]</f>
        <v>#DIV/0!</v>
      </c>
    </row>
    <row r="888" spans="1:41" s="17" customFormat="1" x14ac:dyDescent="0.3">
      <c r="A888" s="13"/>
      <c r="B888" s="13"/>
      <c r="C888" s="13"/>
      <c r="D888" s="13"/>
      <c r="E888" s="14">
        <v>320</v>
      </c>
      <c r="F888" s="14"/>
      <c r="G888" s="14"/>
      <c r="H888" s="14"/>
      <c r="I888" s="14"/>
      <c r="J888" s="14"/>
      <c r="K888" s="14"/>
      <c r="L888" s="14"/>
      <c r="M888" s="14"/>
      <c r="N888" s="14"/>
      <c r="O888" s="15"/>
      <c r="P888" s="14"/>
      <c r="Q888" s="14"/>
      <c r="R888" s="16"/>
      <c r="S888" s="14"/>
      <c r="T888" s="14"/>
      <c r="U888" s="14"/>
      <c r="V888" s="14"/>
      <c r="W888" s="14"/>
      <c r="X888" s="14">
        <v>740</v>
      </c>
      <c r="Y888" s="24" t="e">
        <f>knicks_players_all_stats[[#This Row],[REB]]/knicks_players_all_stats[[#This Row],[GP]]</f>
        <v>#DIV/0!</v>
      </c>
      <c r="Z888" s="14"/>
      <c r="AA888" s="14"/>
      <c r="AB888" s="14"/>
      <c r="AC888" s="14"/>
      <c r="AD888" s="14"/>
      <c r="AE888" s="14"/>
      <c r="AF888" s="14"/>
      <c r="AG888" s="14"/>
      <c r="AH888" s="14"/>
      <c r="AI888" s="19" t="e">
        <f>knicks_players_all_stats[[#This Row],[BLKPG]]+knicks_players_all_stats[[#This Row],[STLPG]]+knicks_players_all_stats[[#This Row],[REBPG]]</f>
        <v>#DIV/0!</v>
      </c>
      <c r="AJ888" s="14"/>
      <c r="AK888" s="14"/>
      <c r="AL888" s="14"/>
      <c r="AM888" s="14"/>
      <c r="AN888" s="14"/>
      <c r="AO888" s="14"/>
    </row>
    <row r="889" spans="1:41" s="17" customFormat="1" x14ac:dyDescent="0.3">
      <c r="A889" s="13"/>
      <c r="B889" s="13"/>
      <c r="C889" s="13"/>
      <c r="D889" s="13"/>
      <c r="E889" s="14">
        <v>250</v>
      </c>
      <c r="F889" s="14"/>
      <c r="G889" s="14"/>
      <c r="H889" s="14"/>
      <c r="I889" s="14"/>
      <c r="J889" s="14"/>
      <c r="K889" s="14"/>
      <c r="L889" s="14"/>
      <c r="M889" s="14"/>
      <c r="N889" s="14"/>
      <c r="O889" s="15"/>
      <c r="P889" s="14"/>
      <c r="Q889" s="14"/>
      <c r="R889" s="16"/>
      <c r="S889" s="14"/>
      <c r="T889" s="14"/>
      <c r="U889" s="14"/>
      <c r="V889" s="14">
        <v>60</v>
      </c>
      <c r="W889" s="14">
        <v>0</v>
      </c>
      <c r="X889" s="14">
        <v>60</v>
      </c>
      <c r="Y889" s="24" t="e">
        <f>knicks_players_all_stats[[#This Row],[REB]]/knicks_players_all_stats[[#This Row],[GP]]</f>
        <v>#DIV/0!</v>
      </c>
      <c r="Z889" s="14"/>
      <c r="AA889" s="14"/>
      <c r="AB889" s="14"/>
      <c r="AC889" s="14">
        <v>10</v>
      </c>
      <c r="AD889" s="14"/>
      <c r="AE889" s="14">
        <v>0</v>
      </c>
      <c r="AF889" s="14"/>
      <c r="AG889" s="14"/>
      <c r="AH889" s="14">
        <v>0</v>
      </c>
      <c r="AI889" s="19" t="e">
        <f>knicks_players_all_stats[[#This Row],[BLKPG]]+knicks_players_all_stats[[#This Row],[STLPG]]+knicks_players_all_stats[[#This Row],[REBPG]]</f>
        <v>#DIV/0!</v>
      </c>
      <c r="AJ889" s="14"/>
      <c r="AK889" s="14"/>
      <c r="AL889" s="14"/>
      <c r="AM889" s="14"/>
      <c r="AN889" s="14"/>
      <c r="AO889" s="14"/>
    </row>
    <row r="890" spans="1:41" s="17" customFormat="1" x14ac:dyDescent="0.3">
      <c r="A890" s="13"/>
      <c r="B890" s="13"/>
      <c r="C890" s="13"/>
      <c r="D890" s="13"/>
      <c r="E890" s="14">
        <v>260</v>
      </c>
      <c r="F890" s="14"/>
      <c r="G890" s="14"/>
      <c r="H890" s="14"/>
      <c r="I890" s="14"/>
      <c r="J890" s="14"/>
      <c r="K890" s="14"/>
      <c r="L890" s="14"/>
      <c r="M890" s="14"/>
      <c r="N890" s="14"/>
      <c r="O890" s="15"/>
      <c r="P890" s="14"/>
      <c r="Q890" s="14"/>
      <c r="R890" s="16"/>
      <c r="S890" s="14"/>
      <c r="T890" s="14"/>
      <c r="U890" s="14"/>
      <c r="V890" s="14">
        <v>90</v>
      </c>
      <c r="W890" s="14">
        <v>20</v>
      </c>
      <c r="X890" s="14">
        <v>110</v>
      </c>
      <c r="Y890" s="24" t="e">
        <f>knicks_players_all_stats[[#This Row],[REB]]/knicks_players_all_stats[[#This Row],[GP]]</f>
        <v>#DIV/0!</v>
      </c>
      <c r="Z890" s="14"/>
      <c r="AA890" s="14"/>
      <c r="AB890" s="14"/>
      <c r="AC890" s="14">
        <v>0</v>
      </c>
      <c r="AD890" s="14"/>
      <c r="AE890" s="14">
        <v>0</v>
      </c>
      <c r="AF890" s="14"/>
      <c r="AG890" s="14"/>
      <c r="AH890" s="14">
        <v>10</v>
      </c>
      <c r="AI890" s="19" t="e">
        <f>knicks_players_all_stats[[#This Row],[BLKPG]]+knicks_players_all_stats[[#This Row],[STLPG]]+knicks_players_all_stats[[#This Row],[REBPG]]</f>
        <v>#DIV/0!</v>
      </c>
      <c r="AJ890" s="14"/>
      <c r="AK890" s="14"/>
      <c r="AL890" s="14"/>
      <c r="AM890" s="14"/>
      <c r="AN890" s="14"/>
      <c r="AO890" s="14"/>
    </row>
    <row r="891" spans="1:41" s="17" customFormat="1" x14ac:dyDescent="0.3">
      <c r="A891" s="13"/>
      <c r="B891" s="13"/>
      <c r="C891" s="13"/>
      <c r="D891" s="13"/>
      <c r="E891" s="14">
        <v>270</v>
      </c>
      <c r="F891" s="14"/>
      <c r="G891" s="14"/>
      <c r="H891" s="14"/>
      <c r="I891" s="14"/>
      <c r="J891" s="14"/>
      <c r="K891" s="14"/>
      <c r="L891" s="14"/>
      <c r="M891" s="14"/>
      <c r="N891" s="14"/>
      <c r="O891" s="15"/>
      <c r="P891" s="14"/>
      <c r="Q891" s="14"/>
      <c r="R891" s="16"/>
      <c r="S891" s="14"/>
      <c r="T891" s="14"/>
      <c r="U891" s="14"/>
      <c r="V891" s="14">
        <v>30</v>
      </c>
      <c r="W891" s="14">
        <v>80</v>
      </c>
      <c r="X891" s="14">
        <v>110</v>
      </c>
      <c r="Y891" s="24" t="e">
        <f>knicks_players_all_stats[[#This Row],[REB]]/knicks_players_all_stats[[#This Row],[GP]]</f>
        <v>#DIV/0!</v>
      </c>
      <c r="Z891" s="14"/>
      <c r="AA891" s="14"/>
      <c r="AB891" s="14"/>
      <c r="AC891" s="14">
        <v>10</v>
      </c>
      <c r="AD891" s="14"/>
      <c r="AE891" s="14">
        <v>0</v>
      </c>
      <c r="AF891" s="14"/>
      <c r="AG891" s="14"/>
      <c r="AH891" s="14">
        <v>60</v>
      </c>
      <c r="AI891" s="19" t="e">
        <f>knicks_players_all_stats[[#This Row],[BLKPG]]+knicks_players_all_stats[[#This Row],[STLPG]]+knicks_players_all_stats[[#This Row],[REBPG]]</f>
        <v>#DIV/0!</v>
      </c>
      <c r="AJ891" s="14"/>
      <c r="AK891" s="14"/>
      <c r="AL891" s="14"/>
      <c r="AM891" s="14"/>
      <c r="AN891" s="14"/>
      <c r="AO891" s="14"/>
    </row>
    <row r="892" spans="1:41" s="14" customFormat="1" x14ac:dyDescent="0.3">
      <c r="A892" s="13"/>
      <c r="B892" s="13"/>
      <c r="C892" s="13"/>
      <c r="D892" s="13"/>
      <c r="E892" s="14">
        <v>270</v>
      </c>
      <c r="O892" s="15"/>
      <c r="R892" s="16"/>
      <c r="V892" s="14">
        <v>20</v>
      </c>
      <c r="W892" s="14">
        <v>120</v>
      </c>
      <c r="X892" s="14">
        <v>140</v>
      </c>
      <c r="Y892" s="24" t="e">
        <f>knicks_players_all_stats[[#This Row],[REB]]/knicks_players_all_stats[[#This Row],[GP]]</f>
        <v>#DIV/0!</v>
      </c>
      <c r="AC892" s="14">
        <v>30</v>
      </c>
      <c r="AE892" s="14">
        <v>20</v>
      </c>
      <c r="AH892" s="14">
        <v>50</v>
      </c>
      <c r="AI892" s="19" t="e">
        <f>knicks_players_all_stats[[#This Row],[BLKPG]]+knicks_players_all_stats[[#This Row],[STLPG]]+knicks_players_all_stats[[#This Row],[REBPG]]</f>
        <v>#DIV/0!</v>
      </c>
    </row>
    <row r="893" spans="1:41" s="14" customFormat="1" x14ac:dyDescent="0.3">
      <c r="A893" s="13"/>
      <c r="B893" s="13"/>
      <c r="C893" s="13"/>
      <c r="D893" s="13"/>
      <c r="E893" s="14">
        <v>280</v>
      </c>
      <c r="O893" s="15"/>
      <c r="R893" s="16"/>
      <c r="V893" s="14">
        <v>20</v>
      </c>
      <c r="W893" s="14">
        <v>80</v>
      </c>
      <c r="X893" s="14">
        <v>100</v>
      </c>
      <c r="Y893" s="24" t="e">
        <f>knicks_players_all_stats[[#This Row],[REB]]/knicks_players_all_stats[[#This Row],[GP]]</f>
        <v>#DIV/0!</v>
      </c>
      <c r="AC893" s="14">
        <v>0</v>
      </c>
      <c r="AE893" s="14">
        <v>10</v>
      </c>
      <c r="AH893" s="14">
        <v>20</v>
      </c>
      <c r="AI893" s="19" t="e">
        <f>knicks_players_all_stats[[#This Row],[BLKPG]]+knicks_players_all_stats[[#This Row],[STLPG]]+knicks_players_all_stats[[#This Row],[REBPG]]</f>
        <v>#DIV/0!</v>
      </c>
    </row>
    <row r="894" spans="1:41" s="14" customFormat="1" x14ac:dyDescent="0.3">
      <c r="A894" s="18"/>
      <c r="B894" s="18"/>
      <c r="C894" s="18"/>
      <c r="D894" s="18"/>
      <c r="E894" s="14">
        <v>270</v>
      </c>
      <c r="F894" s="17"/>
      <c r="G894" s="17"/>
      <c r="H894" s="17"/>
      <c r="I894" s="19"/>
      <c r="J894" s="17"/>
      <c r="K894" s="17"/>
      <c r="L894" s="20"/>
      <c r="M894" s="17"/>
      <c r="N894" s="17"/>
      <c r="O894" s="20"/>
      <c r="P894" s="17"/>
      <c r="Q894" s="17"/>
      <c r="R894" s="21"/>
      <c r="S894" s="17"/>
      <c r="T894" s="17"/>
      <c r="U894" s="17"/>
      <c r="V894" s="14">
        <v>20</v>
      </c>
      <c r="W894" s="14">
        <v>70</v>
      </c>
      <c r="X894" s="14">
        <v>90</v>
      </c>
      <c r="Y894" s="24" t="e">
        <f>knicks_players_all_stats[[#This Row],[REB]]/knicks_players_all_stats[[#This Row],[GP]]</f>
        <v>#DIV/0!</v>
      </c>
      <c r="Z894" s="17"/>
      <c r="AA894" s="17"/>
      <c r="AB894" s="17"/>
      <c r="AC894" s="17">
        <v>50</v>
      </c>
      <c r="AD894" s="17"/>
      <c r="AE894" s="14">
        <v>20</v>
      </c>
      <c r="AF894" s="17"/>
      <c r="AG894" s="17"/>
      <c r="AH894" s="14">
        <v>80</v>
      </c>
      <c r="AI894" s="19" t="e">
        <f>knicks_players_all_stats[[#This Row],[BLKPG]]+knicks_players_all_stats[[#This Row],[STLPG]]+knicks_players_all_stats[[#This Row],[REBPG]]</f>
        <v>#DIV/0!</v>
      </c>
      <c r="AJ894" s="17"/>
      <c r="AK894" s="17"/>
      <c r="AL894" s="17"/>
      <c r="AM894" s="17"/>
      <c r="AN894" s="17"/>
      <c r="AO894" s="17"/>
    </row>
    <row r="895" spans="1:41" s="14" customFormat="1" x14ac:dyDescent="0.3">
      <c r="A895" s="18"/>
      <c r="B895" s="18"/>
      <c r="C895" s="18"/>
      <c r="D895" s="18"/>
      <c r="E895" s="14">
        <v>240</v>
      </c>
      <c r="F895" s="17"/>
      <c r="G895" s="17"/>
      <c r="H895" s="17"/>
      <c r="I895" s="19"/>
      <c r="J895" s="17"/>
      <c r="K895" s="17"/>
      <c r="L895" s="17"/>
      <c r="M895" s="17"/>
      <c r="N895" s="17"/>
      <c r="O895" s="20"/>
      <c r="P895" s="17"/>
      <c r="Q895" s="17"/>
      <c r="R895" s="21"/>
      <c r="S895" s="17"/>
      <c r="T895" s="17"/>
      <c r="U895" s="17"/>
      <c r="V895" s="14">
        <v>0</v>
      </c>
      <c r="W895" s="14">
        <v>30</v>
      </c>
      <c r="X895" s="14">
        <v>30</v>
      </c>
      <c r="Y895" s="24" t="e">
        <f>knicks_players_all_stats[[#This Row],[REB]]/knicks_players_all_stats[[#This Row],[GP]]</f>
        <v>#DIV/0!</v>
      </c>
      <c r="Z895" s="17"/>
      <c r="AA895" s="17"/>
      <c r="AB895" s="17"/>
      <c r="AC895" s="17">
        <v>10</v>
      </c>
      <c r="AD895" s="17"/>
      <c r="AE895" s="14">
        <v>10</v>
      </c>
      <c r="AF895" s="17"/>
      <c r="AG895" s="17"/>
      <c r="AH895" s="14">
        <v>20</v>
      </c>
      <c r="AI895" s="19" t="e">
        <f>knicks_players_all_stats[[#This Row],[BLKPG]]+knicks_players_all_stats[[#This Row],[STLPG]]+knicks_players_all_stats[[#This Row],[REBPG]]</f>
        <v>#DIV/0!</v>
      </c>
      <c r="AJ895" s="17"/>
      <c r="AK895" s="17"/>
      <c r="AL895" s="17"/>
      <c r="AM895" s="17"/>
      <c r="AN895" s="17"/>
      <c r="AO895" s="17"/>
    </row>
    <row r="896" spans="1:41" s="14" customFormat="1" x14ac:dyDescent="0.3">
      <c r="A896" s="18"/>
      <c r="B896" s="18"/>
      <c r="C896" s="18"/>
      <c r="D896" s="18"/>
      <c r="E896" s="14">
        <v>200</v>
      </c>
      <c r="F896" s="17"/>
      <c r="G896" s="17"/>
      <c r="H896" s="17"/>
      <c r="I896" s="19"/>
      <c r="J896" s="17"/>
      <c r="K896" s="17"/>
      <c r="L896" s="20"/>
      <c r="M896" s="17"/>
      <c r="N896" s="17"/>
      <c r="O896" s="20"/>
      <c r="P896" s="17"/>
      <c r="Q896" s="17"/>
      <c r="R896" s="21"/>
      <c r="S896" s="17"/>
      <c r="T896" s="17"/>
      <c r="U896" s="17"/>
      <c r="V896" s="14">
        <v>280</v>
      </c>
      <c r="W896" s="14">
        <v>1560</v>
      </c>
      <c r="X896" s="14">
        <v>1840</v>
      </c>
      <c r="Y896" s="24" t="e">
        <f>knicks_players_all_stats[[#This Row],[REB]]/knicks_players_all_stats[[#This Row],[GP]]</f>
        <v>#DIV/0!</v>
      </c>
      <c r="Z896" s="17"/>
      <c r="AA896" s="17"/>
      <c r="AB896" s="17"/>
      <c r="AC896" s="17">
        <v>230</v>
      </c>
      <c r="AD896" s="17"/>
      <c r="AE896" s="14">
        <v>280</v>
      </c>
      <c r="AF896" s="17"/>
      <c r="AG896" s="17"/>
      <c r="AH896" s="14">
        <v>450</v>
      </c>
      <c r="AI896" s="19" t="e">
        <f>knicks_players_all_stats[[#This Row],[BLKPG]]+knicks_players_all_stats[[#This Row],[STLPG]]+knicks_players_all_stats[[#This Row],[REBPG]]</f>
        <v>#DIV/0!</v>
      </c>
      <c r="AJ896" s="17"/>
      <c r="AK896" s="17"/>
      <c r="AL896" s="17"/>
      <c r="AM896" s="17"/>
      <c r="AN896" s="17"/>
      <c r="AO896" s="17"/>
    </row>
    <row r="897" spans="1:41" s="17" customFormat="1" x14ac:dyDescent="0.3">
      <c r="A897" s="13"/>
      <c r="B897" s="13"/>
      <c r="C897" s="13"/>
      <c r="D897" s="13"/>
      <c r="E897" s="14">
        <v>230</v>
      </c>
      <c r="F897" s="14"/>
      <c r="G897" s="14"/>
      <c r="H897" s="14"/>
      <c r="I897" s="14"/>
      <c r="J897" s="14"/>
      <c r="K897" s="14"/>
      <c r="L897" s="14"/>
      <c r="M897" s="14"/>
      <c r="N897" s="14"/>
      <c r="O897" s="15"/>
      <c r="P897" s="14"/>
      <c r="Q897" s="14"/>
      <c r="R897" s="16"/>
      <c r="S897" s="14"/>
      <c r="T897" s="14"/>
      <c r="U897" s="14"/>
      <c r="V897" s="14"/>
      <c r="W897" s="14"/>
      <c r="X897" s="14">
        <v>220</v>
      </c>
      <c r="Y897" s="24" t="e">
        <f>knicks_players_all_stats[[#This Row],[REB]]/knicks_players_all_stats[[#This Row],[GP]]</f>
        <v>#DIV/0!</v>
      </c>
      <c r="Z897" s="14"/>
      <c r="AA897" s="14"/>
      <c r="AB897" s="14"/>
      <c r="AC897" s="14"/>
      <c r="AD897" s="14"/>
      <c r="AE897" s="14"/>
      <c r="AF897" s="14"/>
      <c r="AG897" s="14"/>
      <c r="AH897" s="14"/>
      <c r="AI897" s="19" t="e">
        <f>knicks_players_all_stats[[#This Row],[BLKPG]]+knicks_players_all_stats[[#This Row],[STLPG]]+knicks_players_all_stats[[#This Row],[REBPG]]</f>
        <v>#DIV/0!</v>
      </c>
      <c r="AJ897" s="14"/>
      <c r="AK897" s="14"/>
      <c r="AL897" s="14"/>
      <c r="AM897" s="14"/>
      <c r="AN897" s="14"/>
      <c r="AO897" s="14"/>
    </row>
    <row r="898" spans="1:41" s="17" customFormat="1" x14ac:dyDescent="0.3">
      <c r="A898" s="13"/>
      <c r="B898" s="13"/>
      <c r="C898" s="13"/>
      <c r="D898" s="13"/>
      <c r="E898" s="14">
        <v>240</v>
      </c>
      <c r="F898" s="14"/>
      <c r="G898" s="14"/>
      <c r="H898" s="14"/>
      <c r="I898" s="14"/>
      <c r="J898" s="14"/>
      <c r="K898" s="14"/>
      <c r="L898" s="14"/>
      <c r="M898" s="14"/>
      <c r="N898" s="14"/>
      <c r="O898" s="15"/>
      <c r="P898" s="14"/>
      <c r="Q898" s="14"/>
      <c r="R898" s="16"/>
      <c r="S898" s="14"/>
      <c r="T898" s="14"/>
      <c r="U898" s="14"/>
      <c r="V898" s="14"/>
      <c r="W898" s="14"/>
      <c r="X898" s="14">
        <v>10</v>
      </c>
      <c r="Y898" s="24" t="e">
        <f>knicks_players_all_stats[[#This Row],[REB]]/knicks_players_all_stats[[#This Row],[GP]]</f>
        <v>#DIV/0!</v>
      </c>
      <c r="Z898" s="14"/>
      <c r="AA898" s="14"/>
      <c r="AB898" s="14"/>
      <c r="AC898" s="14"/>
      <c r="AD898" s="14"/>
      <c r="AE898" s="14"/>
      <c r="AF898" s="14"/>
      <c r="AG898" s="14"/>
      <c r="AH898" s="14"/>
      <c r="AI898" s="19" t="e">
        <f>knicks_players_all_stats[[#This Row],[BLKPG]]+knicks_players_all_stats[[#This Row],[STLPG]]+knicks_players_all_stats[[#This Row],[REBPG]]</f>
        <v>#DIV/0!</v>
      </c>
      <c r="AJ898" s="14"/>
      <c r="AK898" s="14"/>
      <c r="AL898" s="14"/>
      <c r="AM898" s="14"/>
      <c r="AN898" s="14"/>
      <c r="AO898" s="14"/>
    </row>
    <row r="899" spans="1:41" s="17" customFormat="1" x14ac:dyDescent="0.3">
      <c r="A899" s="13"/>
      <c r="B899" s="13"/>
      <c r="C899" s="13"/>
      <c r="D899" s="13"/>
      <c r="E899" s="14">
        <v>240</v>
      </c>
      <c r="F899" s="14"/>
      <c r="G899" s="14"/>
      <c r="H899" s="14"/>
      <c r="I899" s="14"/>
      <c r="J899" s="14"/>
      <c r="K899" s="14"/>
      <c r="L899" s="14"/>
      <c r="M899" s="14"/>
      <c r="N899" s="14"/>
      <c r="O899" s="15"/>
      <c r="P899" s="14"/>
      <c r="Q899" s="14"/>
      <c r="R899" s="16"/>
      <c r="S899" s="14"/>
      <c r="T899" s="14"/>
      <c r="U899" s="14"/>
      <c r="V899" s="14">
        <v>10</v>
      </c>
      <c r="W899" s="14">
        <v>90</v>
      </c>
      <c r="X899" s="14">
        <v>100</v>
      </c>
      <c r="Y899" s="24" t="e">
        <f>knicks_players_all_stats[[#This Row],[REB]]/knicks_players_all_stats[[#This Row],[GP]]</f>
        <v>#DIV/0!</v>
      </c>
      <c r="Z899" s="14"/>
      <c r="AA899" s="14"/>
      <c r="AB899" s="14"/>
      <c r="AC899" s="14">
        <v>90</v>
      </c>
      <c r="AD899" s="14"/>
      <c r="AE899" s="14">
        <v>0</v>
      </c>
      <c r="AF899" s="14"/>
      <c r="AG899" s="14"/>
      <c r="AH899" s="14">
        <v>100</v>
      </c>
      <c r="AI899" s="19" t="e">
        <f>knicks_players_all_stats[[#This Row],[BLKPG]]+knicks_players_all_stats[[#This Row],[STLPG]]+knicks_players_all_stats[[#This Row],[REBPG]]</f>
        <v>#DIV/0!</v>
      </c>
      <c r="AJ899" s="14"/>
      <c r="AK899" s="14"/>
      <c r="AL899" s="14"/>
      <c r="AM899" s="14"/>
      <c r="AN899" s="14"/>
      <c r="AO899" s="14"/>
    </row>
    <row r="900" spans="1:41" s="17" customFormat="1" x14ac:dyDescent="0.3">
      <c r="A900" s="13"/>
      <c r="B900" s="13"/>
      <c r="C900" s="13"/>
      <c r="D900" s="13"/>
      <c r="E900" s="14">
        <v>230</v>
      </c>
      <c r="F900" s="14"/>
      <c r="G900" s="14"/>
      <c r="H900" s="14"/>
      <c r="I900" s="14"/>
      <c r="J900" s="14"/>
      <c r="K900" s="14"/>
      <c r="L900" s="14"/>
      <c r="M900" s="14"/>
      <c r="N900" s="14"/>
      <c r="O900" s="15"/>
      <c r="P900" s="14"/>
      <c r="Q900" s="14"/>
      <c r="R900" s="16"/>
      <c r="S900" s="14"/>
      <c r="T900" s="14"/>
      <c r="U900" s="14"/>
      <c r="V900" s="14">
        <v>150</v>
      </c>
      <c r="W900" s="14">
        <v>220</v>
      </c>
      <c r="X900" s="14">
        <v>370</v>
      </c>
      <c r="Y900" s="24" t="e">
        <f>knicks_players_all_stats[[#This Row],[REB]]/knicks_players_all_stats[[#This Row],[GP]]</f>
        <v>#DIV/0!</v>
      </c>
      <c r="Z900" s="14"/>
      <c r="AA900" s="14"/>
      <c r="AB900" s="14"/>
      <c r="AC900" s="14">
        <v>30</v>
      </c>
      <c r="AD900" s="14"/>
      <c r="AE900" s="14">
        <v>10</v>
      </c>
      <c r="AF900" s="14"/>
      <c r="AG900" s="14"/>
      <c r="AH900" s="14"/>
      <c r="AI900" s="19" t="e">
        <f>knicks_players_all_stats[[#This Row],[BLKPG]]+knicks_players_all_stats[[#This Row],[STLPG]]+knicks_players_all_stats[[#This Row],[REBPG]]</f>
        <v>#DIV/0!</v>
      </c>
      <c r="AJ900" s="14"/>
      <c r="AK900" s="14"/>
      <c r="AL900" s="14"/>
      <c r="AM900" s="14"/>
      <c r="AN900" s="14"/>
      <c r="AO900" s="14"/>
    </row>
    <row r="901" spans="1:41" s="17" customFormat="1" x14ac:dyDescent="0.3">
      <c r="A901" s="13"/>
      <c r="B901" s="13"/>
      <c r="C901" s="13"/>
      <c r="D901" s="13"/>
      <c r="E901" s="14">
        <v>240</v>
      </c>
      <c r="F901" s="14"/>
      <c r="G901" s="14"/>
      <c r="H901" s="14"/>
      <c r="I901" s="14"/>
      <c r="J901" s="14"/>
      <c r="K901" s="14"/>
      <c r="L901" s="14"/>
      <c r="M901" s="14"/>
      <c r="N901" s="14"/>
      <c r="O901" s="15"/>
      <c r="P901" s="14"/>
      <c r="Q901" s="14"/>
      <c r="R901" s="16"/>
      <c r="S901" s="14"/>
      <c r="T901" s="14"/>
      <c r="U901" s="14"/>
      <c r="V901" s="14"/>
      <c r="W901" s="14"/>
      <c r="X901" s="14">
        <v>260</v>
      </c>
      <c r="Y901" s="24" t="e">
        <f>knicks_players_all_stats[[#This Row],[REB]]/knicks_players_all_stats[[#This Row],[GP]]</f>
        <v>#DIV/0!</v>
      </c>
      <c r="Z901" s="14"/>
      <c r="AA901" s="14"/>
      <c r="AB901" s="14"/>
      <c r="AC901" s="14"/>
      <c r="AD901" s="14"/>
      <c r="AE901" s="14"/>
      <c r="AF901" s="14"/>
      <c r="AG901" s="14"/>
      <c r="AH901" s="14"/>
      <c r="AI901" s="19" t="e">
        <f>knicks_players_all_stats[[#This Row],[BLKPG]]+knicks_players_all_stats[[#This Row],[STLPG]]+knicks_players_all_stats[[#This Row],[REBPG]]</f>
        <v>#DIV/0!</v>
      </c>
      <c r="AJ901" s="14"/>
      <c r="AK901" s="14"/>
      <c r="AL901" s="14"/>
      <c r="AM901" s="14"/>
      <c r="AN901" s="14"/>
      <c r="AO901" s="14"/>
    </row>
    <row r="902" spans="1:41" s="17" customFormat="1" x14ac:dyDescent="0.3">
      <c r="A902" s="13"/>
      <c r="B902" s="13"/>
      <c r="C902" s="13"/>
      <c r="D902" s="13"/>
      <c r="E902" s="14">
        <v>280</v>
      </c>
      <c r="F902" s="14"/>
      <c r="G902" s="14"/>
      <c r="H902" s="14"/>
      <c r="I902" s="14"/>
      <c r="J902" s="14"/>
      <c r="K902" s="14"/>
      <c r="L902" s="14"/>
      <c r="M902" s="14"/>
      <c r="N902" s="14"/>
      <c r="O902" s="15"/>
      <c r="P902" s="14"/>
      <c r="Q902" s="14"/>
      <c r="R902" s="16"/>
      <c r="S902" s="14"/>
      <c r="T902" s="14"/>
      <c r="U902" s="14"/>
      <c r="V902" s="14"/>
      <c r="W902" s="14"/>
      <c r="X902" s="14">
        <v>0</v>
      </c>
      <c r="Y902" s="24" t="e">
        <f>knicks_players_all_stats[[#This Row],[REB]]/knicks_players_all_stats[[#This Row],[GP]]</f>
        <v>#DIV/0!</v>
      </c>
      <c r="Z902" s="14"/>
      <c r="AA902" s="14"/>
      <c r="AB902" s="14"/>
      <c r="AC902" s="14"/>
      <c r="AD902" s="14"/>
      <c r="AE902" s="14"/>
      <c r="AF902" s="14"/>
      <c r="AG902" s="14"/>
      <c r="AH902" s="14"/>
      <c r="AI902" s="19" t="e">
        <f>knicks_players_all_stats[[#This Row],[BLKPG]]+knicks_players_all_stats[[#This Row],[STLPG]]+knicks_players_all_stats[[#This Row],[REBPG]]</f>
        <v>#DIV/0!</v>
      </c>
      <c r="AJ902" s="14"/>
      <c r="AK902" s="14"/>
      <c r="AL902" s="14"/>
      <c r="AM902" s="14"/>
      <c r="AN902" s="14"/>
      <c r="AO902" s="14"/>
    </row>
    <row r="903" spans="1:41" s="17" customFormat="1" x14ac:dyDescent="0.3">
      <c r="A903" s="13"/>
      <c r="B903" s="13"/>
      <c r="C903" s="13"/>
      <c r="D903" s="13"/>
      <c r="E903" s="14">
        <v>310</v>
      </c>
      <c r="F903" s="14"/>
      <c r="G903" s="14"/>
      <c r="H903" s="14"/>
      <c r="I903" s="14"/>
      <c r="J903" s="14"/>
      <c r="K903" s="14"/>
      <c r="L903" s="14"/>
      <c r="M903" s="14"/>
      <c r="N903" s="14"/>
      <c r="O903" s="15"/>
      <c r="P903" s="14"/>
      <c r="Q903" s="14"/>
      <c r="R903" s="16"/>
      <c r="S903" s="14"/>
      <c r="T903" s="14"/>
      <c r="U903" s="14"/>
      <c r="V903" s="14">
        <v>120</v>
      </c>
      <c r="W903" s="14">
        <v>400</v>
      </c>
      <c r="X903" s="14">
        <v>520</v>
      </c>
      <c r="Y903" s="24" t="e">
        <f>knicks_players_all_stats[[#This Row],[REB]]/knicks_players_all_stats[[#This Row],[GP]]</f>
        <v>#DIV/0!</v>
      </c>
      <c r="Z903" s="14"/>
      <c r="AA903" s="14"/>
      <c r="AB903" s="14"/>
      <c r="AC903" s="14">
        <v>390</v>
      </c>
      <c r="AD903" s="14"/>
      <c r="AE903" s="14">
        <v>30</v>
      </c>
      <c r="AF903" s="14"/>
      <c r="AG903" s="14"/>
      <c r="AH903" s="14">
        <v>450</v>
      </c>
      <c r="AI903" s="19" t="e">
        <f>knicks_players_all_stats[[#This Row],[BLKPG]]+knicks_players_all_stats[[#This Row],[STLPG]]+knicks_players_all_stats[[#This Row],[REBPG]]</f>
        <v>#DIV/0!</v>
      </c>
      <c r="AJ903" s="14"/>
      <c r="AK903" s="14"/>
      <c r="AL903" s="14"/>
      <c r="AM903" s="14"/>
      <c r="AN903" s="14"/>
      <c r="AO903" s="14"/>
    </row>
    <row r="904" spans="1:41" s="17" customFormat="1" x14ac:dyDescent="0.3">
      <c r="A904" s="13"/>
      <c r="B904" s="13"/>
      <c r="C904" s="13"/>
      <c r="D904" s="13"/>
      <c r="E904" s="14">
        <v>310</v>
      </c>
      <c r="F904" s="14"/>
      <c r="G904" s="14"/>
      <c r="H904" s="14"/>
      <c r="I904" s="14"/>
      <c r="J904" s="14"/>
      <c r="K904" s="14"/>
      <c r="L904" s="14"/>
      <c r="M904" s="14"/>
      <c r="N904" s="14"/>
      <c r="O904" s="15"/>
      <c r="P904" s="14"/>
      <c r="Q904" s="14"/>
      <c r="R904" s="16"/>
      <c r="S904" s="14"/>
      <c r="T904" s="14"/>
      <c r="U904" s="14"/>
      <c r="V904" s="14">
        <v>260</v>
      </c>
      <c r="W904" s="14">
        <v>1660</v>
      </c>
      <c r="X904" s="14">
        <v>1920</v>
      </c>
      <c r="Y904" s="24" t="e">
        <f>knicks_players_all_stats[[#This Row],[REB]]/knicks_players_all_stats[[#This Row],[GP]]</f>
        <v>#DIV/0!</v>
      </c>
      <c r="Z904" s="14"/>
      <c r="AA904" s="14"/>
      <c r="AB904" s="14"/>
      <c r="AC904" s="14">
        <v>1230</v>
      </c>
      <c r="AD904" s="14"/>
      <c r="AE904" s="14">
        <v>90</v>
      </c>
      <c r="AF904" s="14"/>
      <c r="AG904" s="14"/>
      <c r="AH904" s="14">
        <v>1140</v>
      </c>
      <c r="AI904" s="19" t="e">
        <f>knicks_players_all_stats[[#This Row],[BLKPG]]+knicks_players_all_stats[[#This Row],[STLPG]]+knicks_players_all_stats[[#This Row],[REBPG]]</f>
        <v>#DIV/0!</v>
      </c>
      <c r="AJ904" s="14"/>
      <c r="AK904" s="14"/>
      <c r="AL904" s="14"/>
      <c r="AM904" s="14"/>
      <c r="AN904" s="14"/>
      <c r="AO904" s="14"/>
    </row>
    <row r="905" spans="1:41" s="14" customFormat="1" x14ac:dyDescent="0.3">
      <c r="A905" s="13"/>
      <c r="B905" s="13"/>
      <c r="C905" s="13"/>
      <c r="D905" s="13"/>
      <c r="E905" s="14">
        <v>320</v>
      </c>
      <c r="O905" s="15"/>
      <c r="R905" s="16"/>
      <c r="V905" s="14">
        <v>40</v>
      </c>
      <c r="W905" s="14">
        <v>350</v>
      </c>
      <c r="X905" s="14">
        <v>390</v>
      </c>
      <c r="Y905" s="24" t="e">
        <f>knicks_players_all_stats[[#This Row],[REB]]/knicks_players_all_stats[[#This Row],[GP]]</f>
        <v>#DIV/0!</v>
      </c>
      <c r="AC905" s="14">
        <v>250</v>
      </c>
      <c r="AE905" s="14">
        <v>50</v>
      </c>
      <c r="AH905" s="14">
        <v>290</v>
      </c>
      <c r="AI905" s="19" t="e">
        <f>knicks_players_all_stats[[#This Row],[BLKPG]]+knicks_players_all_stats[[#This Row],[STLPG]]+knicks_players_all_stats[[#This Row],[REBPG]]</f>
        <v>#DIV/0!</v>
      </c>
    </row>
    <row r="906" spans="1:41" s="14" customFormat="1" x14ac:dyDescent="0.3">
      <c r="A906" s="13"/>
      <c r="B906" s="13"/>
      <c r="C906" s="13"/>
      <c r="D906" s="13"/>
      <c r="E906" s="14">
        <v>330</v>
      </c>
      <c r="O906" s="15"/>
      <c r="R906" s="16"/>
      <c r="V906" s="14">
        <v>20</v>
      </c>
      <c r="W906" s="14">
        <v>70</v>
      </c>
      <c r="X906" s="14">
        <v>90</v>
      </c>
      <c r="Y906" s="24" t="e">
        <f>knicks_players_all_stats[[#This Row],[REB]]/knicks_players_all_stats[[#This Row],[GP]]</f>
        <v>#DIV/0!</v>
      </c>
      <c r="AC906" s="14">
        <v>40</v>
      </c>
      <c r="AE906" s="14">
        <v>0</v>
      </c>
      <c r="AH906" s="14">
        <v>40</v>
      </c>
      <c r="AI906" s="19" t="e">
        <f>knicks_players_all_stats[[#This Row],[BLKPG]]+knicks_players_all_stats[[#This Row],[STLPG]]+knicks_players_all_stats[[#This Row],[REBPG]]</f>
        <v>#DIV/0!</v>
      </c>
    </row>
    <row r="907" spans="1:41" s="14" customFormat="1" x14ac:dyDescent="0.3">
      <c r="A907" s="18"/>
      <c r="B907" s="18"/>
      <c r="C907" s="18"/>
      <c r="D907" s="18"/>
      <c r="E907" s="14">
        <v>280</v>
      </c>
      <c r="F907" s="17"/>
      <c r="G907" s="17"/>
      <c r="H907" s="17"/>
      <c r="I907" s="19"/>
      <c r="J907" s="17"/>
      <c r="K907" s="17"/>
      <c r="L907" s="17"/>
      <c r="M907" s="17"/>
      <c r="N907" s="17"/>
      <c r="O907" s="20"/>
      <c r="P907" s="17"/>
      <c r="Q907" s="17"/>
      <c r="R907" s="21"/>
      <c r="S907" s="17"/>
      <c r="T907" s="17"/>
      <c r="U907" s="17"/>
      <c r="V907" s="14">
        <v>60</v>
      </c>
      <c r="W907" s="14">
        <v>300</v>
      </c>
      <c r="X907" s="14">
        <v>360</v>
      </c>
      <c r="Y907" s="24" t="e">
        <f>knicks_players_all_stats[[#This Row],[REB]]/knicks_players_all_stats[[#This Row],[GP]]</f>
        <v>#DIV/0!</v>
      </c>
      <c r="Z907" s="17"/>
      <c r="AA907" s="17"/>
      <c r="AB907" s="17"/>
      <c r="AC907" s="17">
        <v>0</v>
      </c>
      <c r="AD907" s="17"/>
      <c r="AE907" s="14">
        <v>20</v>
      </c>
      <c r="AF907" s="17"/>
      <c r="AG907" s="17"/>
      <c r="AH907" s="14">
        <v>90</v>
      </c>
      <c r="AI907" s="19" t="e">
        <f>knicks_players_all_stats[[#This Row],[BLKPG]]+knicks_players_all_stats[[#This Row],[STLPG]]+knicks_players_all_stats[[#This Row],[REBPG]]</f>
        <v>#DIV/0!</v>
      </c>
      <c r="AJ907" s="17"/>
      <c r="AK907" s="17"/>
      <c r="AL907" s="17"/>
      <c r="AM907" s="17"/>
      <c r="AN907" s="17"/>
      <c r="AO907" s="17"/>
    </row>
    <row r="908" spans="1:41" s="14" customFormat="1" x14ac:dyDescent="0.3">
      <c r="A908" s="13"/>
      <c r="B908" s="13"/>
      <c r="C908" s="13"/>
      <c r="D908" s="13"/>
      <c r="E908" s="14">
        <v>230</v>
      </c>
      <c r="O908" s="15"/>
      <c r="R908" s="16"/>
      <c r="X908" s="14">
        <v>1530</v>
      </c>
      <c r="Y908" s="24" t="e">
        <f>knicks_players_all_stats[[#This Row],[REB]]/knicks_players_all_stats[[#This Row],[GP]]</f>
        <v>#DIV/0!</v>
      </c>
      <c r="AI908" s="19" t="e">
        <f>knicks_players_all_stats[[#This Row],[BLKPG]]+knicks_players_all_stats[[#This Row],[STLPG]]+knicks_players_all_stats[[#This Row],[REBPG]]</f>
        <v>#DIV/0!</v>
      </c>
    </row>
    <row r="909" spans="1:41" s="14" customFormat="1" x14ac:dyDescent="0.3">
      <c r="A909" s="13"/>
      <c r="B909" s="13"/>
      <c r="C909" s="13"/>
      <c r="D909" s="13"/>
      <c r="E909" s="14">
        <v>240</v>
      </c>
      <c r="O909" s="15"/>
      <c r="R909" s="16"/>
      <c r="X909" s="14">
        <v>1960</v>
      </c>
      <c r="Y909" s="24" t="e">
        <f>knicks_players_all_stats[[#This Row],[REB]]/knicks_players_all_stats[[#This Row],[GP]]</f>
        <v>#DIV/0!</v>
      </c>
      <c r="AI909" s="19" t="e">
        <f>knicks_players_all_stats[[#This Row],[BLKPG]]+knicks_players_all_stats[[#This Row],[STLPG]]+knicks_players_all_stats[[#This Row],[REBPG]]</f>
        <v>#DIV/0!</v>
      </c>
    </row>
    <row r="910" spans="1:41" s="14" customFormat="1" x14ac:dyDescent="0.3">
      <c r="A910" s="13"/>
      <c r="B910" s="13"/>
      <c r="C910" s="13"/>
      <c r="D910" s="13"/>
      <c r="E910" s="14">
        <v>250</v>
      </c>
      <c r="O910" s="15"/>
      <c r="R910" s="16"/>
      <c r="V910" s="14">
        <v>60</v>
      </c>
      <c r="W910" s="14">
        <v>110</v>
      </c>
      <c r="X910" s="14">
        <v>170</v>
      </c>
      <c r="Y910" s="24" t="e">
        <f>knicks_players_all_stats[[#This Row],[REB]]/knicks_players_all_stats[[#This Row],[GP]]</f>
        <v>#DIV/0!</v>
      </c>
      <c r="AC910" s="14">
        <v>70</v>
      </c>
      <c r="AE910" s="14">
        <v>10</v>
      </c>
      <c r="AH910" s="14">
        <v>220</v>
      </c>
      <c r="AI910" s="19" t="e">
        <f>knicks_players_all_stats[[#This Row],[BLKPG]]+knicks_players_all_stats[[#This Row],[STLPG]]+knicks_players_all_stats[[#This Row],[REBPG]]</f>
        <v>#DIV/0!</v>
      </c>
    </row>
    <row r="911" spans="1:41" s="14" customFormat="1" x14ac:dyDescent="0.3">
      <c r="A911" s="18"/>
      <c r="B911" s="18"/>
      <c r="C911" s="18"/>
      <c r="D911" s="18"/>
      <c r="E911" s="14">
        <v>320</v>
      </c>
      <c r="F911" s="17"/>
      <c r="G911" s="17"/>
      <c r="H911" s="17"/>
      <c r="I911" s="19"/>
      <c r="J911" s="17"/>
      <c r="K911" s="17"/>
      <c r="L911" s="20"/>
      <c r="M911" s="17"/>
      <c r="N911" s="17"/>
      <c r="O911" s="20"/>
      <c r="P911" s="17"/>
      <c r="Q911" s="17"/>
      <c r="R911" s="21"/>
      <c r="S911" s="17"/>
      <c r="T911" s="17"/>
      <c r="U911" s="17"/>
      <c r="V911" s="14">
        <v>40</v>
      </c>
      <c r="W911" s="14">
        <v>610</v>
      </c>
      <c r="X911" s="14">
        <v>650</v>
      </c>
      <c r="Y911" s="24" t="e">
        <f>knicks_players_all_stats[[#This Row],[REB]]/knicks_players_all_stats[[#This Row],[GP]]</f>
        <v>#DIV/0!</v>
      </c>
      <c r="Z911" s="17"/>
      <c r="AA911" s="17"/>
      <c r="AB911" s="17"/>
      <c r="AC911" s="17">
        <v>130</v>
      </c>
      <c r="AD911" s="17"/>
      <c r="AE911" s="14">
        <v>40</v>
      </c>
      <c r="AF911" s="17"/>
      <c r="AG911" s="17"/>
      <c r="AH911" s="14">
        <v>180</v>
      </c>
      <c r="AI911" s="19" t="e">
        <f>knicks_players_all_stats[[#This Row],[BLKPG]]+knicks_players_all_stats[[#This Row],[STLPG]]+knicks_players_all_stats[[#This Row],[REBPG]]</f>
        <v>#DIV/0!</v>
      </c>
      <c r="AJ911" s="17"/>
      <c r="AK911" s="17"/>
      <c r="AL911" s="17"/>
      <c r="AM911" s="17"/>
      <c r="AN911" s="17"/>
      <c r="AO911" s="17"/>
    </row>
    <row r="912" spans="1:41" s="14" customFormat="1" x14ac:dyDescent="0.3">
      <c r="A912" s="13"/>
      <c r="B912" s="13"/>
      <c r="C912" s="13"/>
      <c r="D912" s="13"/>
      <c r="E912" s="14">
        <v>250</v>
      </c>
      <c r="O912" s="15"/>
      <c r="R912" s="16"/>
      <c r="V912" s="14">
        <v>300</v>
      </c>
      <c r="W912" s="14">
        <v>1010</v>
      </c>
      <c r="X912" s="14">
        <v>1310</v>
      </c>
      <c r="Y912" s="24" t="e">
        <f>knicks_players_all_stats[[#This Row],[REB]]/knicks_players_all_stats[[#This Row],[GP]]</f>
        <v>#DIV/0!</v>
      </c>
      <c r="AC912" s="14">
        <v>590</v>
      </c>
      <c r="AE912" s="14">
        <v>170</v>
      </c>
      <c r="AH912" s="14">
        <v>740</v>
      </c>
      <c r="AI912" s="19" t="e">
        <f>knicks_players_all_stats[[#This Row],[BLKPG]]+knicks_players_all_stats[[#This Row],[STLPG]]+knicks_players_all_stats[[#This Row],[REBPG]]</f>
        <v>#DIV/0!</v>
      </c>
    </row>
    <row r="913" spans="1:41" s="17" customFormat="1" x14ac:dyDescent="0.3">
      <c r="A913" s="13"/>
      <c r="B913" s="13"/>
      <c r="C913" s="13"/>
      <c r="D913" s="13"/>
      <c r="E913" s="14">
        <v>260</v>
      </c>
      <c r="F913" s="14"/>
      <c r="G913" s="14"/>
      <c r="H913" s="14"/>
      <c r="I913" s="14"/>
      <c r="J913" s="14"/>
      <c r="K913" s="14"/>
      <c r="L913" s="14"/>
      <c r="M913" s="14"/>
      <c r="N913" s="14"/>
      <c r="O913" s="15"/>
      <c r="P913" s="14"/>
      <c r="Q913" s="14"/>
      <c r="R913" s="16"/>
      <c r="S913" s="14"/>
      <c r="T913" s="14"/>
      <c r="U913" s="14"/>
      <c r="V913" s="14">
        <v>450</v>
      </c>
      <c r="W913" s="14">
        <v>1460</v>
      </c>
      <c r="X913" s="14">
        <v>1910</v>
      </c>
      <c r="Y913" s="24" t="e">
        <f>knicks_players_all_stats[[#This Row],[REB]]/knicks_players_all_stats[[#This Row],[GP]]</f>
        <v>#DIV/0!</v>
      </c>
      <c r="Z913" s="14"/>
      <c r="AA913" s="14"/>
      <c r="AB913" s="14"/>
      <c r="AC913" s="14">
        <v>1030</v>
      </c>
      <c r="AD913" s="14"/>
      <c r="AE913" s="14">
        <v>180</v>
      </c>
      <c r="AF913" s="14"/>
      <c r="AG913" s="14"/>
      <c r="AH913" s="14">
        <v>1500</v>
      </c>
      <c r="AI913" s="19" t="e">
        <f>knicks_players_all_stats[[#This Row],[BLKPG]]+knicks_players_all_stats[[#This Row],[STLPG]]+knicks_players_all_stats[[#This Row],[REBPG]]</f>
        <v>#DIV/0!</v>
      </c>
      <c r="AJ913" s="14"/>
      <c r="AK913" s="14"/>
      <c r="AL913" s="14"/>
      <c r="AM913" s="14"/>
      <c r="AN913" s="14"/>
      <c r="AO913" s="14"/>
    </row>
    <row r="914" spans="1:41" s="17" customFormat="1" x14ac:dyDescent="0.3">
      <c r="A914" s="13"/>
      <c r="B914" s="13"/>
      <c r="C914" s="13"/>
      <c r="D914" s="13"/>
      <c r="E914" s="14">
        <v>270</v>
      </c>
      <c r="F914" s="14"/>
      <c r="G914" s="14"/>
      <c r="H914" s="14"/>
      <c r="I914" s="14"/>
      <c r="J914" s="14"/>
      <c r="K914" s="14"/>
      <c r="L914" s="14"/>
      <c r="M914" s="14"/>
      <c r="N914" s="14"/>
      <c r="O914" s="15"/>
      <c r="P914" s="14"/>
      <c r="Q914" s="14"/>
      <c r="R914" s="16"/>
      <c r="S914" s="14"/>
      <c r="T914" s="14"/>
      <c r="U914" s="14"/>
      <c r="V914" s="14">
        <v>540</v>
      </c>
      <c r="W914" s="14">
        <v>1500</v>
      </c>
      <c r="X914" s="14">
        <v>2040</v>
      </c>
      <c r="Y914" s="24" t="e">
        <f>knicks_players_all_stats[[#This Row],[REB]]/knicks_players_all_stats[[#This Row],[GP]]</f>
        <v>#DIV/0!</v>
      </c>
      <c r="Z914" s="14"/>
      <c r="AA914" s="14"/>
      <c r="AB914" s="14"/>
      <c r="AC914" s="14">
        <v>910</v>
      </c>
      <c r="AD914" s="14"/>
      <c r="AE914" s="14">
        <v>120</v>
      </c>
      <c r="AF914" s="14"/>
      <c r="AG914" s="14"/>
      <c r="AH914" s="14">
        <v>1730</v>
      </c>
      <c r="AI914" s="19" t="e">
        <f>knicks_players_all_stats[[#This Row],[BLKPG]]+knicks_players_all_stats[[#This Row],[STLPG]]+knicks_players_all_stats[[#This Row],[REBPG]]</f>
        <v>#DIV/0!</v>
      </c>
      <c r="AJ914" s="14"/>
      <c r="AK914" s="14"/>
      <c r="AL914" s="14"/>
      <c r="AM914" s="14"/>
      <c r="AN914" s="14"/>
      <c r="AO914" s="14"/>
    </row>
    <row r="915" spans="1:41" s="17" customFormat="1" x14ac:dyDescent="0.3">
      <c r="A915" s="13"/>
      <c r="B915" s="13"/>
      <c r="C915" s="13"/>
      <c r="D915" s="13"/>
      <c r="E915" s="14">
        <v>280</v>
      </c>
      <c r="F915" s="14"/>
      <c r="G915" s="14"/>
      <c r="H915" s="14"/>
      <c r="I915" s="14"/>
      <c r="J915" s="14"/>
      <c r="K915" s="14"/>
      <c r="L915" s="14"/>
      <c r="M915" s="14"/>
      <c r="N915" s="14"/>
      <c r="O915" s="15"/>
      <c r="P915" s="14"/>
      <c r="Q915" s="14"/>
      <c r="R915" s="16"/>
      <c r="S915" s="14"/>
      <c r="T915" s="14"/>
      <c r="U915" s="14"/>
      <c r="V915" s="14">
        <v>370</v>
      </c>
      <c r="W915" s="14">
        <v>1480</v>
      </c>
      <c r="X915" s="14">
        <v>1850</v>
      </c>
      <c r="Y915" s="24" t="e">
        <f>knicks_players_all_stats[[#This Row],[REB]]/knicks_players_all_stats[[#This Row],[GP]]</f>
        <v>#DIV/0!</v>
      </c>
      <c r="Z915" s="14"/>
      <c r="AA915" s="14"/>
      <c r="AB915" s="14"/>
      <c r="AC915" s="14">
        <v>950</v>
      </c>
      <c r="AD915" s="14"/>
      <c r="AE915" s="14">
        <v>60</v>
      </c>
      <c r="AF915" s="14"/>
      <c r="AG915" s="14"/>
      <c r="AH915" s="14">
        <v>1840</v>
      </c>
      <c r="AI915" s="19" t="e">
        <f>knicks_players_all_stats[[#This Row],[BLKPG]]+knicks_players_all_stats[[#This Row],[STLPG]]+knicks_players_all_stats[[#This Row],[REBPG]]</f>
        <v>#DIV/0!</v>
      </c>
      <c r="AJ915" s="14"/>
      <c r="AK915" s="14"/>
      <c r="AL915" s="14"/>
      <c r="AM915" s="14"/>
      <c r="AN915" s="14"/>
      <c r="AO915" s="14"/>
    </row>
    <row r="916" spans="1:41" s="17" customFormat="1" x14ac:dyDescent="0.3">
      <c r="A916" s="13"/>
      <c r="B916" s="13"/>
      <c r="C916" s="13"/>
      <c r="D916" s="13"/>
      <c r="E916" s="14">
        <v>290</v>
      </c>
      <c r="F916" s="14"/>
      <c r="G916" s="14"/>
      <c r="H916" s="14"/>
      <c r="I916" s="14"/>
      <c r="J916" s="14"/>
      <c r="K916" s="14"/>
      <c r="L916" s="14"/>
      <c r="M916" s="14"/>
      <c r="N916" s="14"/>
      <c r="O916" s="15"/>
      <c r="P916" s="14"/>
      <c r="Q916" s="14"/>
      <c r="R916" s="16"/>
      <c r="S916" s="14"/>
      <c r="T916" s="14"/>
      <c r="U916" s="14"/>
      <c r="V916" s="14">
        <v>340</v>
      </c>
      <c r="W916" s="14">
        <v>1850</v>
      </c>
      <c r="X916" s="14">
        <v>2190</v>
      </c>
      <c r="Y916" s="24" t="e">
        <f>knicks_players_all_stats[[#This Row],[REB]]/knicks_players_all_stats[[#This Row],[GP]]</f>
        <v>#DIV/0!</v>
      </c>
      <c r="Z916" s="14"/>
      <c r="AA916" s="14"/>
      <c r="AB916" s="14"/>
      <c r="AC916" s="14">
        <v>920</v>
      </c>
      <c r="AD916" s="14"/>
      <c r="AE916" s="14">
        <v>40</v>
      </c>
      <c r="AF916" s="14"/>
      <c r="AG916" s="14"/>
      <c r="AH916" s="14">
        <v>1600</v>
      </c>
      <c r="AI916" s="19" t="e">
        <f>knicks_players_all_stats[[#This Row],[BLKPG]]+knicks_players_all_stats[[#This Row],[STLPG]]+knicks_players_all_stats[[#This Row],[REBPG]]</f>
        <v>#DIV/0!</v>
      </c>
      <c r="AJ916" s="14"/>
      <c r="AK916" s="14"/>
      <c r="AL916" s="14"/>
      <c r="AM916" s="14"/>
      <c r="AN916" s="14"/>
      <c r="AO916" s="14"/>
    </row>
    <row r="917" spans="1:41" s="17" customFormat="1" x14ac:dyDescent="0.3">
      <c r="A917" s="13"/>
      <c r="B917" s="13"/>
      <c r="C917" s="13"/>
      <c r="D917" s="13"/>
      <c r="E917" s="14">
        <v>300</v>
      </c>
      <c r="F917" s="14"/>
      <c r="G917" s="14"/>
      <c r="H917" s="14"/>
      <c r="I917" s="14"/>
      <c r="J917" s="14"/>
      <c r="K917" s="14"/>
      <c r="L917" s="14"/>
      <c r="M917" s="14"/>
      <c r="N917" s="14"/>
      <c r="O917" s="15"/>
      <c r="P917" s="14"/>
      <c r="Q917" s="14"/>
      <c r="R917" s="16"/>
      <c r="S917" s="14"/>
      <c r="T917" s="14"/>
      <c r="U917" s="14"/>
      <c r="V917" s="14">
        <v>310</v>
      </c>
      <c r="W917" s="14">
        <v>2060</v>
      </c>
      <c r="X917" s="14">
        <v>2370</v>
      </c>
      <c r="Y917" s="24" t="e">
        <f>knicks_players_all_stats[[#This Row],[REB]]/knicks_players_all_stats[[#This Row],[GP]]</f>
        <v>#DIV/0!</v>
      </c>
      <c r="Z917" s="14"/>
      <c r="AA917" s="14"/>
      <c r="AB917" s="14"/>
      <c r="AC917" s="14">
        <v>1030</v>
      </c>
      <c r="AD917" s="14"/>
      <c r="AE917" s="14">
        <v>110</v>
      </c>
      <c r="AF917" s="14"/>
      <c r="AG917" s="14"/>
      <c r="AH917" s="14">
        <v>1560</v>
      </c>
      <c r="AI917" s="19" t="e">
        <f>knicks_players_all_stats[[#This Row],[BLKPG]]+knicks_players_all_stats[[#This Row],[STLPG]]+knicks_players_all_stats[[#This Row],[REBPG]]</f>
        <v>#DIV/0!</v>
      </c>
      <c r="AJ917" s="14"/>
      <c r="AK917" s="14"/>
      <c r="AL917" s="14"/>
      <c r="AM917" s="14"/>
      <c r="AN917" s="14"/>
      <c r="AO917" s="14"/>
    </row>
    <row r="918" spans="1:41" s="17" customFormat="1" x14ac:dyDescent="0.3">
      <c r="A918" s="13"/>
      <c r="B918" s="13"/>
      <c r="C918" s="13"/>
      <c r="D918" s="13"/>
      <c r="E918" s="14">
        <v>310</v>
      </c>
      <c r="F918" s="14"/>
      <c r="G918" s="14"/>
      <c r="H918" s="14"/>
      <c r="I918" s="14"/>
      <c r="J918" s="14"/>
      <c r="K918" s="14"/>
      <c r="L918" s="14"/>
      <c r="M918" s="14"/>
      <c r="N918" s="14"/>
      <c r="O918" s="15"/>
      <c r="P918" s="14"/>
      <c r="Q918" s="14"/>
      <c r="R918" s="16"/>
      <c r="S918" s="14"/>
      <c r="T918" s="14"/>
      <c r="U918" s="14"/>
      <c r="V918" s="14">
        <v>360</v>
      </c>
      <c r="W918" s="14">
        <v>1690</v>
      </c>
      <c r="X918" s="14">
        <v>2050</v>
      </c>
      <c r="Y918" s="24" t="e">
        <f>knicks_players_all_stats[[#This Row],[REB]]/knicks_players_all_stats[[#This Row],[GP]]</f>
        <v>#DIV/0!</v>
      </c>
      <c r="Z918" s="14"/>
      <c r="AA918" s="14"/>
      <c r="AB918" s="14"/>
      <c r="AC918" s="14">
        <v>900</v>
      </c>
      <c r="AD918" s="14"/>
      <c r="AE918" s="14">
        <v>110</v>
      </c>
      <c r="AF918" s="14"/>
      <c r="AG918" s="14"/>
      <c r="AH918" s="14">
        <v>1580</v>
      </c>
      <c r="AI918" s="19" t="e">
        <f>knicks_players_all_stats[[#This Row],[BLKPG]]+knicks_players_all_stats[[#This Row],[STLPG]]+knicks_players_all_stats[[#This Row],[REBPG]]</f>
        <v>#DIV/0!</v>
      </c>
      <c r="AJ918" s="14"/>
      <c r="AK918" s="14"/>
      <c r="AL918" s="14"/>
      <c r="AM918" s="14"/>
      <c r="AN918" s="14"/>
      <c r="AO918" s="14"/>
    </row>
    <row r="919" spans="1:41" s="17" customFormat="1" x14ac:dyDescent="0.3">
      <c r="A919" s="13"/>
      <c r="B919" s="13"/>
      <c r="C919" s="13"/>
      <c r="D919" s="13"/>
      <c r="E919" s="14">
        <v>320</v>
      </c>
      <c r="F919" s="14"/>
      <c r="G919" s="14"/>
      <c r="H919" s="14"/>
      <c r="I919" s="14"/>
      <c r="J919" s="14"/>
      <c r="K919" s="14"/>
      <c r="L919" s="14"/>
      <c r="M919" s="14"/>
      <c r="N919" s="14"/>
      <c r="O919" s="15"/>
      <c r="P919" s="14"/>
      <c r="Q919" s="14"/>
      <c r="R919" s="16"/>
      <c r="S919" s="14"/>
      <c r="T919" s="14"/>
      <c r="U919" s="14"/>
      <c r="V919" s="14">
        <v>480</v>
      </c>
      <c r="W919" s="14">
        <v>1820</v>
      </c>
      <c r="X919" s="14">
        <v>2300</v>
      </c>
      <c r="Y919" s="24" t="e">
        <f>knicks_players_all_stats[[#This Row],[REB]]/knicks_players_all_stats[[#This Row],[GP]]</f>
        <v>#DIV/0!</v>
      </c>
      <c r="Z919" s="14"/>
      <c r="AA919" s="14"/>
      <c r="AB919" s="14"/>
      <c r="AC919" s="14">
        <v>780</v>
      </c>
      <c r="AD919" s="14"/>
      <c r="AE919" s="14">
        <v>50</v>
      </c>
      <c r="AF919" s="14"/>
      <c r="AG919" s="14"/>
      <c r="AH919" s="14">
        <v>1430</v>
      </c>
      <c r="AI919" s="19" t="e">
        <f>knicks_players_all_stats[[#This Row],[BLKPG]]+knicks_players_all_stats[[#This Row],[STLPG]]+knicks_players_all_stats[[#This Row],[REBPG]]</f>
        <v>#DIV/0!</v>
      </c>
      <c r="AJ919" s="14"/>
      <c r="AK919" s="14"/>
      <c r="AL919" s="14"/>
      <c r="AM919" s="14"/>
      <c r="AN919" s="14"/>
      <c r="AO919" s="14"/>
    </row>
    <row r="920" spans="1:41" s="17" customFormat="1" x14ac:dyDescent="0.3">
      <c r="A920" s="13"/>
      <c r="B920" s="13"/>
      <c r="C920" s="13"/>
      <c r="D920" s="13"/>
      <c r="E920" s="14">
        <v>230</v>
      </c>
      <c r="F920" s="14"/>
      <c r="G920" s="14"/>
      <c r="H920" s="14"/>
      <c r="I920" s="14"/>
      <c r="J920" s="14"/>
      <c r="K920" s="14"/>
      <c r="L920" s="14"/>
      <c r="M920" s="14"/>
      <c r="N920" s="14"/>
      <c r="O920" s="15"/>
      <c r="P920" s="14"/>
      <c r="Q920" s="14"/>
      <c r="R920" s="16"/>
      <c r="S920" s="14"/>
      <c r="T920" s="14"/>
      <c r="U920" s="14"/>
      <c r="V920" s="14"/>
      <c r="W920" s="14"/>
      <c r="X920" s="14">
        <v>340</v>
      </c>
      <c r="Y920" s="24" t="e">
        <f>knicks_players_all_stats[[#This Row],[REB]]/knicks_players_all_stats[[#This Row],[GP]]</f>
        <v>#DIV/0!</v>
      </c>
      <c r="Z920" s="14"/>
      <c r="AA920" s="14"/>
      <c r="AB920" s="14"/>
      <c r="AC920" s="14"/>
      <c r="AD920" s="14"/>
      <c r="AE920" s="14"/>
      <c r="AF920" s="14"/>
      <c r="AG920" s="14"/>
      <c r="AH920" s="14"/>
      <c r="AI920" s="19" t="e">
        <f>knicks_players_all_stats[[#This Row],[BLKPG]]+knicks_players_all_stats[[#This Row],[STLPG]]+knicks_players_all_stats[[#This Row],[REBPG]]</f>
        <v>#DIV/0!</v>
      </c>
      <c r="AJ920" s="14"/>
      <c r="AK920" s="14"/>
      <c r="AL920" s="14"/>
      <c r="AM920" s="14"/>
      <c r="AN920" s="14"/>
      <c r="AO920" s="14"/>
    </row>
    <row r="921" spans="1:41" s="17" customFormat="1" x14ac:dyDescent="0.3">
      <c r="A921" s="13"/>
      <c r="B921" s="13"/>
      <c r="C921" s="13"/>
      <c r="D921" s="13"/>
      <c r="E921" s="14">
        <v>280</v>
      </c>
      <c r="F921" s="14"/>
      <c r="G921" s="14"/>
      <c r="H921" s="14"/>
      <c r="I921" s="14"/>
      <c r="J921" s="14"/>
      <c r="K921" s="14"/>
      <c r="L921" s="14"/>
      <c r="M921" s="14"/>
      <c r="N921" s="14"/>
      <c r="O921" s="15"/>
      <c r="P921" s="14"/>
      <c r="Q921" s="14"/>
      <c r="R921" s="16"/>
      <c r="S921" s="14"/>
      <c r="T921" s="14"/>
      <c r="U921" s="14"/>
      <c r="V921" s="14"/>
      <c r="W921" s="14"/>
      <c r="X921" s="14">
        <v>4820</v>
      </c>
      <c r="Y921" s="24" t="e">
        <f>knicks_players_all_stats[[#This Row],[REB]]/knicks_players_all_stats[[#This Row],[GP]]</f>
        <v>#DIV/0!</v>
      </c>
      <c r="Z921" s="14"/>
      <c r="AA921" s="14"/>
      <c r="AB921" s="14"/>
      <c r="AC921" s="14"/>
      <c r="AD921" s="14"/>
      <c r="AE921" s="14"/>
      <c r="AF921" s="14"/>
      <c r="AG921" s="14"/>
      <c r="AH921" s="14"/>
      <c r="AI921" s="19" t="e">
        <f>knicks_players_all_stats[[#This Row],[BLKPG]]+knicks_players_all_stats[[#This Row],[STLPG]]+knicks_players_all_stats[[#This Row],[REBPG]]</f>
        <v>#DIV/0!</v>
      </c>
      <c r="AJ921" s="14"/>
      <c r="AK921" s="14"/>
      <c r="AL921" s="14"/>
      <c r="AM921" s="14"/>
      <c r="AN921" s="14"/>
      <c r="AO921" s="14"/>
    </row>
    <row r="922" spans="1:41" s="14" customFormat="1" x14ac:dyDescent="0.3">
      <c r="A922" s="13"/>
      <c r="B922" s="13"/>
      <c r="C922" s="13"/>
      <c r="D922" s="13"/>
      <c r="E922" s="14">
        <v>300</v>
      </c>
      <c r="O922" s="15"/>
      <c r="R922" s="16"/>
      <c r="V922" s="14">
        <v>30</v>
      </c>
      <c r="W922" s="14">
        <v>20</v>
      </c>
      <c r="X922" s="14">
        <v>50</v>
      </c>
      <c r="Y922" s="24" t="e">
        <f>knicks_players_all_stats[[#This Row],[REB]]/knicks_players_all_stats[[#This Row],[GP]]</f>
        <v>#DIV/0!</v>
      </c>
      <c r="AC922" s="14">
        <v>0</v>
      </c>
      <c r="AE922" s="14">
        <v>0</v>
      </c>
      <c r="AH922" s="14">
        <v>0</v>
      </c>
      <c r="AI922" s="19" t="e">
        <f>knicks_players_all_stats[[#This Row],[BLKPG]]+knicks_players_all_stats[[#This Row],[STLPG]]+knicks_players_all_stats[[#This Row],[REBPG]]</f>
        <v>#DIV/0!</v>
      </c>
    </row>
    <row r="923" spans="1:41" s="14" customFormat="1" x14ac:dyDescent="0.3">
      <c r="A923" s="13"/>
      <c r="B923" s="13"/>
      <c r="C923" s="13"/>
      <c r="D923" s="13"/>
      <c r="E923" s="14">
        <v>310</v>
      </c>
      <c r="O923" s="15"/>
      <c r="R923" s="16"/>
      <c r="V923" s="14">
        <v>50</v>
      </c>
      <c r="W923" s="14">
        <v>80</v>
      </c>
      <c r="X923" s="14">
        <v>130</v>
      </c>
      <c r="Y923" s="24" t="e">
        <f>knicks_players_all_stats[[#This Row],[REB]]/knicks_players_all_stats[[#This Row],[GP]]</f>
        <v>#DIV/0!</v>
      </c>
      <c r="AC923" s="14">
        <v>40</v>
      </c>
      <c r="AE923" s="14">
        <v>10</v>
      </c>
      <c r="AH923" s="14">
        <v>10</v>
      </c>
      <c r="AI923" s="19" t="e">
        <f>knicks_players_all_stats[[#This Row],[BLKPG]]+knicks_players_all_stats[[#This Row],[STLPG]]+knicks_players_all_stats[[#This Row],[REBPG]]</f>
        <v>#DIV/0!</v>
      </c>
    </row>
    <row r="924" spans="1:41" s="17" customFormat="1" x14ac:dyDescent="0.3">
      <c r="A924" s="13"/>
      <c r="B924" s="13"/>
      <c r="C924" s="13"/>
      <c r="D924" s="13"/>
      <c r="E924" s="14">
        <v>370</v>
      </c>
      <c r="F924" s="14"/>
      <c r="G924" s="14"/>
      <c r="H924" s="14"/>
      <c r="I924" s="14"/>
      <c r="J924" s="14"/>
      <c r="K924" s="14"/>
      <c r="L924" s="14"/>
      <c r="M924" s="14"/>
      <c r="N924" s="14"/>
      <c r="O924" s="15"/>
      <c r="P924" s="14"/>
      <c r="Q924" s="14"/>
      <c r="R924" s="16"/>
      <c r="S924" s="14"/>
      <c r="T924" s="14"/>
      <c r="U924" s="14"/>
      <c r="V924" s="14">
        <v>420</v>
      </c>
      <c r="W924" s="14">
        <v>930</v>
      </c>
      <c r="X924" s="14">
        <v>1350</v>
      </c>
      <c r="Y924" s="24" t="e">
        <f>knicks_players_all_stats[[#This Row],[REB]]/knicks_players_all_stats[[#This Row],[GP]]</f>
        <v>#DIV/0!</v>
      </c>
      <c r="Z924" s="14"/>
      <c r="AA924" s="14"/>
      <c r="AB924" s="14"/>
      <c r="AC924" s="14">
        <v>160</v>
      </c>
      <c r="AD924" s="14"/>
      <c r="AE924" s="14">
        <v>50</v>
      </c>
      <c r="AF924" s="14"/>
      <c r="AG924" s="14"/>
      <c r="AH924" s="14">
        <v>340</v>
      </c>
      <c r="AI924" s="19" t="e">
        <f>knicks_players_all_stats[[#This Row],[BLKPG]]+knicks_players_all_stats[[#This Row],[STLPG]]+knicks_players_all_stats[[#This Row],[REBPG]]</f>
        <v>#DIV/0!</v>
      </c>
      <c r="AJ924" s="14"/>
      <c r="AK924" s="14"/>
      <c r="AL924" s="14"/>
      <c r="AM924" s="14"/>
      <c r="AN924" s="14"/>
      <c r="AO924" s="14"/>
    </row>
    <row r="925" spans="1:41" s="17" customFormat="1" x14ac:dyDescent="0.3">
      <c r="A925" s="13"/>
      <c r="B925" s="13"/>
      <c r="C925" s="13"/>
      <c r="D925" s="13"/>
      <c r="E925" s="14">
        <v>260</v>
      </c>
      <c r="F925" s="14"/>
      <c r="G925" s="14"/>
      <c r="H925" s="14"/>
      <c r="I925" s="14"/>
      <c r="J925" s="14"/>
      <c r="K925" s="14"/>
      <c r="L925" s="14"/>
      <c r="M925" s="14"/>
      <c r="N925" s="14"/>
      <c r="O925" s="15"/>
      <c r="P925" s="14"/>
      <c r="Q925" s="14"/>
      <c r="R925" s="16"/>
      <c r="S925" s="14"/>
      <c r="T925" s="14"/>
      <c r="U925" s="14"/>
      <c r="V925" s="14"/>
      <c r="W925" s="14"/>
      <c r="X925" s="14"/>
      <c r="Y925" s="24" t="e">
        <f>knicks_players_all_stats[[#This Row],[REB]]/knicks_players_all_stats[[#This Row],[GP]]</f>
        <v>#DIV/0!</v>
      </c>
      <c r="Z925" s="14"/>
      <c r="AA925" s="14"/>
      <c r="AB925" s="14"/>
      <c r="AC925" s="14"/>
      <c r="AD925" s="14"/>
      <c r="AE925" s="14"/>
      <c r="AF925" s="14"/>
      <c r="AG925" s="14"/>
      <c r="AH925" s="14"/>
      <c r="AI925" s="19" t="e">
        <f>knicks_players_all_stats[[#This Row],[BLKPG]]+knicks_players_all_stats[[#This Row],[STLPG]]+knicks_players_all_stats[[#This Row],[REBPG]]</f>
        <v>#DIV/0!</v>
      </c>
      <c r="AJ925" s="14"/>
      <c r="AK925" s="14"/>
      <c r="AL925" s="14"/>
      <c r="AM925" s="14"/>
      <c r="AN925" s="14"/>
      <c r="AO925" s="14"/>
    </row>
    <row r="926" spans="1:41" s="17" customFormat="1" x14ac:dyDescent="0.3">
      <c r="A926" s="13"/>
      <c r="B926" s="13"/>
      <c r="C926" s="13"/>
      <c r="D926" s="13"/>
      <c r="E926" s="14">
        <v>270</v>
      </c>
      <c r="F926" s="14"/>
      <c r="G926" s="14"/>
      <c r="H926" s="14"/>
      <c r="I926" s="14"/>
      <c r="J926" s="14"/>
      <c r="K926" s="14"/>
      <c r="L926" s="14"/>
      <c r="M926" s="14"/>
      <c r="N926" s="14"/>
      <c r="O926" s="15"/>
      <c r="P926" s="14"/>
      <c r="Q926" s="14"/>
      <c r="R926" s="16"/>
      <c r="S926" s="14"/>
      <c r="T926" s="14"/>
      <c r="U926" s="14"/>
      <c r="V926" s="14"/>
      <c r="W926" s="14"/>
      <c r="X926" s="14"/>
      <c r="Y926" s="24" t="e">
        <f>knicks_players_all_stats[[#This Row],[REB]]/knicks_players_all_stats[[#This Row],[GP]]</f>
        <v>#DIV/0!</v>
      </c>
      <c r="Z926" s="14"/>
      <c r="AA926" s="14"/>
      <c r="AB926" s="14"/>
      <c r="AC926" s="14"/>
      <c r="AD926" s="14"/>
      <c r="AE926" s="14"/>
      <c r="AF926" s="14"/>
      <c r="AG926" s="14"/>
      <c r="AH926" s="14"/>
      <c r="AI926" s="19" t="e">
        <f>knicks_players_all_stats[[#This Row],[BLKPG]]+knicks_players_all_stats[[#This Row],[STLPG]]+knicks_players_all_stats[[#This Row],[REBPG]]</f>
        <v>#DIV/0!</v>
      </c>
      <c r="AJ926" s="14"/>
      <c r="AK926" s="14"/>
      <c r="AL926" s="14"/>
      <c r="AM926" s="14"/>
      <c r="AN926" s="14"/>
      <c r="AO926" s="14"/>
    </row>
    <row r="927" spans="1:41" s="17" customFormat="1" x14ac:dyDescent="0.3">
      <c r="A927" s="13"/>
      <c r="B927" s="13"/>
      <c r="C927" s="13"/>
      <c r="D927" s="13"/>
      <c r="E927" s="14">
        <v>280</v>
      </c>
      <c r="F927" s="14"/>
      <c r="G927" s="14"/>
      <c r="H927" s="14"/>
      <c r="I927" s="14"/>
      <c r="J927" s="14"/>
      <c r="K927" s="14"/>
      <c r="L927" s="14"/>
      <c r="M927" s="14"/>
      <c r="N927" s="14"/>
      <c r="O927" s="15"/>
      <c r="P927" s="14"/>
      <c r="Q927" s="14"/>
      <c r="R927" s="16"/>
      <c r="S927" s="14"/>
      <c r="T927" s="14"/>
      <c r="U927" s="14"/>
      <c r="V927" s="14">
        <v>1390</v>
      </c>
      <c r="W927" s="14">
        <v>3790</v>
      </c>
      <c r="X927" s="14">
        <v>5180</v>
      </c>
      <c r="Y927" s="24" t="e">
        <f>knicks_players_all_stats[[#This Row],[REB]]/knicks_players_all_stats[[#This Row],[GP]]</f>
        <v>#DIV/0!</v>
      </c>
      <c r="Z927" s="14"/>
      <c r="AA927" s="14"/>
      <c r="AB927" s="14"/>
      <c r="AC927" s="14">
        <v>500</v>
      </c>
      <c r="AD927" s="14"/>
      <c r="AE927" s="14">
        <v>170</v>
      </c>
      <c r="AF927" s="14"/>
      <c r="AG927" s="14"/>
      <c r="AH927" s="14">
        <v>1660</v>
      </c>
      <c r="AI927" s="19" t="e">
        <f>knicks_players_all_stats[[#This Row],[BLKPG]]+knicks_players_all_stats[[#This Row],[STLPG]]+knicks_players_all_stats[[#This Row],[REBPG]]</f>
        <v>#DIV/0!</v>
      </c>
      <c r="AJ927" s="14"/>
      <c r="AK927" s="14"/>
      <c r="AL927" s="14"/>
      <c r="AM927" s="14"/>
      <c r="AN927" s="14"/>
      <c r="AO927" s="14"/>
    </row>
    <row r="928" spans="1:41" s="17" customFormat="1" x14ac:dyDescent="0.3">
      <c r="A928" s="13"/>
      <c r="B928" s="13"/>
      <c r="C928" s="13"/>
      <c r="D928" s="13"/>
      <c r="E928" s="14">
        <v>290</v>
      </c>
      <c r="F928" s="14"/>
      <c r="G928" s="14"/>
      <c r="H928" s="14"/>
      <c r="I928" s="14"/>
      <c r="J928" s="14"/>
      <c r="K928" s="14"/>
      <c r="L928" s="14"/>
      <c r="M928" s="14"/>
      <c r="N928" s="14"/>
      <c r="O928" s="15"/>
      <c r="P928" s="14"/>
      <c r="Q928" s="14"/>
      <c r="R928" s="16"/>
      <c r="S928" s="14"/>
      <c r="T928" s="14"/>
      <c r="U928" s="14"/>
      <c r="V928" s="14">
        <v>920</v>
      </c>
      <c r="W928" s="14">
        <v>1880</v>
      </c>
      <c r="X928" s="14">
        <v>2800</v>
      </c>
      <c r="Y928" s="24" t="e">
        <f>knicks_players_all_stats[[#This Row],[REB]]/knicks_players_all_stats[[#This Row],[GP]]</f>
        <v>#DIV/0!</v>
      </c>
      <c r="Z928" s="14"/>
      <c r="AA928" s="14"/>
      <c r="AB928" s="14"/>
      <c r="AC928" s="14">
        <v>270</v>
      </c>
      <c r="AD928" s="14"/>
      <c r="AE928" s="14">
        <v>120</v>
      </c>
      <c r="AF928" s="14"/>
      <c r="AG928" s="14"/>
      <c r="AH928" s="14">
        <v>870</v>
      </c>
      <c r="AI928" s="19" t="e">
        <f>knicks_players_all_stats[[#This Row],[BLKPG]]+knicks_players_all_stats[[#This Row],[STLPG]]+knicks_players_all_stats[[#This Row],[REBPG]]</f>
        <v>#DIV/0!</v>
      </c>
      <c r="AJ928" s="14"/>
      <c r="AK928" s="14"/>
      <c r="AL928" s="14"/>
      <c r="AM928" s="14"/>
      <c r="AN928" s="14"/>
      <c r="AO928" s="14"/>
    </row>
    <row r="929" spans="1:41" s="14" customFormat="1" x14ac:dyDescent="0.3">
      <c r="A929" s="13"/>
      <c r="B929" s="13"/>
      <c r="C929" s="13"/>
      <c r="D929" s="13"/>
      <c r="E929" s="14">
        <v>300</v>
      </c>
      <c r="O929" s="15"/>
      <c r="R929" s="16"/>
      <c r="V929" s="14">
        <v>1230</v>
      </c>
      <c r="W929" s="14">
        <v>1890</v>
      </c>
      <c r="X929" s="14">
        <v>3120</v>
      </c>
      <c r="Y929" s="24" t="e">
        <f>knicks_players_all_stats[[#This Row],[REB]]/knicks_players_all_stats[[#This Row],[GP]]</f>
        <v>#DIV/0!</v>
      </c>
      <c r="AC929" s="14">
        <v>260</v>
      </c>
      <c r="AE929" s="14">
        <v>70</v>
      </c>
      <c r="AH929" s="14">
        <v>850</v>
      </c>
      <c r="AI929" s="19" t="e">
        <f>knicks_players_all_stats[[#This Row],[BLKPG]]+knicks_players_all_stats[[#This Row],[STLPG]]+knicks_players_all_stats[[#This Row],[REBPG]]</f>
        <v>#DIV/0!</v>
      </c>
    </row>
    <row r="930" spans="1:41" s="14" customFormat="1" x14ac:dyDescent="0.3">
      <c r="A930" s="13"/>
      <c r="B930" s="13"/>
      <c r="C930" s="13"/>
      <c r="D930" s="13"/>
      <c r="E930" s="14">
        <v>310</v>
      </c>
      <c r="O930" s="15"/>
      <c r="R930" s="16"/>
      <c r="V930" s="14">
        <v>820</v>
      </c>
      <c r="W930" s="14">
        <v>1530</v>
      </c>
      <c r="X930" s="14">
        <v>2350</v>
      </c>
      <c r="Y930" s="24" t="e">
        <f>knicks_players_all_stats[[#This Row],[REB]]/knicks_players_all_stats[[#This Row],[GP]]</f>
        <v>#DIV/0!</v>
      </c>
      <c r="AC930" s="14">
        <v>200</v>
      </c>
      <c r="AE930" s="14">
        <v>100</v>
      </c>
      <c r="AH930" s="14">
        <v>650</v>
      </c>
      <c r="AI930" s="19" t="e">
        <f>knicks_players_all_stats[[#This Row],[BLKPG]]+knicks_players_all_stats[[#This Row],[STLPG]]+knicks_players_all_stats[[#This Row],[REBPG]]</f>
        <v>#DIV/0!</v>
      </c>
    </row>
    <row r="931" spans="1:41" s="14" customFormat="1" x14ac:dyDescent="0.3">
      <c r="A931" s="13"/>
      <c r="B931" s="13"/>
      <c r="C931" s="13"/>
      <c r="D931" s="13"/>
      <c r="E931" s="14">
        <v>210</v>
      </c>
      <c r="O931" s="15"/>
      <c r="R931" s="16"/>
      <c r="V931" s="14">
        <v>2200</v>
      </c>
      <c r="W931" s="14">
        <v>4130</v>
      </c>
      <c r="X931" s="14">
        <v>6330</v>
      </c>
      <c r="Y931" s="24" t="e">
        <f>knicks_players_all_stats[[#This Row],[REB]]/knicks_players_all_stats[[#This Row],[GP]]</f>
        <v>#DIV/0!</v>
      </c>
      <c r="AC931" s="14">
        <v>1250</v>
      </c>
      <c r="AE931" s="14">
        <v>980</v>
      </c>
      <c r="AI931" s="19" t="e">
        <f>knicks_players_all_stats[[#This Row],[BLKPG]]+knicks_players_all_stats[[#This Row],[STLPG]]+knicks_players_all_stats[[#This Row],[REBPG]]</f>
        <v>#DIV/0!</v>
      </c>
    </row>
    <row r="932" spans="1:41" s="14" customFormat="1" x14ac:dyDescent="0.3">
      <c r="A932" s="13"/>
      <c r="B932" s="13"/>
      <c r="C932" s="13"/>
      <c r="D932" s="13"/>
      <c r="E932" s="14">
        <v>220</v>
      </c>
      <c r="O932" s="15"/>
      <c r="R932" s="16"/>
      <c r="V932" s="14">
        <v>2040</v>
      </c>
      <c r="W932" s="14">
        <v>3760</v>
      </c>
      <c r="X932" s="14">
        <v>5800</v>
      </c>
      <c r="Y932" s="24" t="e">
        <f>knicks_players_all_stats[[#This Row],[REB]]/knicks_players_all_stats[[#This Row],[GP]]</f>
        <v>#DIV/0!</v>
      </c>
      <c r="AC932" s="14">
        <v>1090</v>
      </c>
      <c r="AE932" s="14">
        <v>1120</v>
      </c>
      <c r="AH932" s="14">
        <v>2280</v>
      </c>
      <c r="AI932" s="19" t="e">
        <f>knicks_players_all_stats[[#This Row],[BLKPG]]+knicks_players_all_stats[[#This Row],[STLPG]]+knicks_players_all_stats[[#This Row],[REBPG]]</f>
        <v>#DIV/0!</v>
      </c>
    </row>
    <row r="933" spans="1:41" s="14" customFormat="1" x14ac:dyDescent="0.3">
      <c r="A933" s="13"/>
      <c r="B933" s="13"/>
      <c r="C933" s="13"/>
      <c r="D933" s="13"/>
      <c r="E933" s="14">
        <v>240</v>
      </c>
      <c r="O933" s="15"/>
      <c r="R933" s="16"/>
      <c r="X933" s="14">
        <v>80</v>
      </c>
      <c r="Y933" s="24" t="e">
        <f>knicks_players_all_stats[[#This Row],[REB]]/knicks_players_all_stats[[#This Row],[GP]]</f>
        <v>#DIV/0!</v>
      </c>
      <c r="AI933" s="19" t="e">
        <f>knicks_players_all_stats[[#This Row],[BLKPG]]+knicks_players_all_stats[[#This Row],[STLPG]]+knicks_players_all_stats[[#This Row],[REBPG]]</f>
        <v>#DIV/0!</v>
      </c>
    </row>
    <row r="934" spans="1:41" s="14" customFormat="1" x14ac:dyDescent="0.3">
      <c r="A934" s="13"/>
      <c r="B934" s="13"/>
      <c r="C934" s="13"/>
      <c r="D934" s="13"/>
      <c r="E934" s="14">
        <v>230</v>
      </c>
      <c r="O934" s="15"/>
      <c r="R934" s="16"/>
      <c r="X934" s="14">
        <v>1540</v>
      </c>
      <c r="Y934" s="24" t="e">
        <f>knicks_players_all_stats[[#This Row],[REB]]/knicks_players_all_stats[[#This Row],[GP]]</f>
        <v>#DIV/0!</v>
      </c>
      <c r="AI934" s="19" t="e">
        <f>knicks_players_all_stats[[#This Row],[BLKPG]]+knicks_players_all_stats[[#This Row],[STLPG]]+knicks_players_all_stats[[#This Row],[REBPG]]</f>
        <v>#DIV/0!</v>
      </c>
    </row>
    <row r="935" spans="1:41" s="14" customFormat="1" x14ac:dyDescent="0.3">
      <c r="A935" s="13"/>
      <c r="B935" s="13"/>
      <c r="C935" s="13"/>
      <c r="D935" s="13"/>
      <c r="E935" s="14">
        <v>240</v>
      </c>
      <c r="O935" s="15"/>
      <c r="R935" s="16"/>
      <c r="X935" s="14">
        <v>2230</v>
      </c>
      <c r="Y935" s="24" t="e">
        <f>knicks_players_all_stats[[#This Row],[REB]]/knicks_players_all_stats[[#This Row],[GP]]</f>
        <v>#DIV/0!</v>
      </c>
      <c r="AI935" s="19" t="e">
        <f>knicks_players_all_stats[[#This Row],[BLKPG]]+knicks_players_all_stats[[#This Row],[STLPG]]+knicks_players_all_stats[[#This Row],[REBPG]]</f>
        <v>#DIV/0!</v>
      </c>
    </row>
    <row r="936" spans="1:41" s="17" customFormat="1" x14ac:dyDescent="0.3">
      <c r="A936" s="13"/>
      <c r="B936" s="13"/>
      <c r="C936" s="13"/>
      <c r="D936" s="13"/>
      <c r="E936" s="14">
        <v>250</v>
      </c>
      <c r="F936" s="14"/>
      <c r="G936" s="14"/>
      <c r="H936" s="14"/>
      <c r="I936" s="14"/>
      <c r="J936" s="14"/>
      <c r="K936" s="14"/>
      <c r="L936" s="14"/>
      <c r="M936" s="14"/>
      <c r="N936" s="14"/>
      <c r="O936" s="15"/>
      <c r="P936" s="14"/>
      <c r="Q936" s="14"/>
      <c r="R936" s="16"/>
      <c r="S936" s="14"/>
      <c r="T936" s="14"/>
      <c r="U936" s="14"/>
      <c r="V936" s="14">
        <v>0</v>
      </c>
      <c r="W936" s="14">
        <v>0</v>
      </c>
      <c r="X936" s="14">
        <v>0</v>
      </c>
      <c r="Y936" s="24" t="e">
        <f>knicks_players_all_stats[[#This Row],[REB]]/knicks_players_all_stats[[#This Row],[GP]]</f>
        <v>#DIV/0!</v>
      </c>
      <c r="Z936" s="14"/>
      <c r="AA936" s="14"/>
      <c r="AB936" s="14"/>
      <c r="AC936" s="14">
        <v>0</v>
      </c>
      <c r="AD936" s="14"/>
      <c r="AE936" s="14">
        <v>0</v>
      </c>
      <c r="AF936" s="14"/>
      <c r="AG936" s="14"/>
      <c r="AH936" s="14">
        <v>0</v>
      </c>
      <c r="AI936" s="19" t="e">
        <f>knicks_players_all_stats[[#This Row],[BLKPG]]+knicks_players_all_stats[[#This Row],[STLPG]]+knicks_players_all_stats[[#This Row],[REBPG]]</f>
        <v>#DIV/0!</v>
      </c>
      <c r="AJ936" s="14"/>
      <c r="AK936" s="14"/>
      <c r="AL936" s="14"/>
      <c r="AM936" s="14"/>
      <c r="AN936" s="14"/>
      <c r="AO936" s="14"/>
    </row>
    <row r="937" spans="1:41" s="17" customFormat="1" x14ac:dyDescent="0.3">
      <c r="A937" s="13"/>
      <c r="B937" s="13"/>
      <c r="C937" s="13"/>
      <c r="D937" s="13"/>
      <c r="E937" s="14">
        <v>220</v>
      </c>
      <c r="F937" s="14"/>
      <c r="G937" s="14"/>
      <c r="H937" s="14"/>
      <c r="I937" s="14"/>
      <c r="J937" s="14"/>
      <c r="K937" s="14"/>
      <c r="L937" s="14"/>
      <c r="M937" s="14"/>
      <c r="N937" s="14"/>
      <c r="O937" s="15"/>
      <c r="P937" s="14"/>
      <c r="Q937" s="14"/>
      <c r="R937" s="16"/>
      <c r="S937" s="14"/>
      <c r="T937" s="14"/>
      <c r="U937" s="14"/>
      <c r="V937" s="14">
        <v>920</v>
      </c>
      <c r="W937" s="14">
        <v>1580</v>
      </c>
      <c r="X937" s="14">
        <v>2500</v>
      </c>
      <c r="Y937" s="24" t="e">
        <f>knicks_players_all_stats[[#This Row],[REB]]/knicks_players_all_stats[[#This Row],[GP]]</f>
        <v>#DIV/0!</v>
      </c>
      <c r="Z937" s="14"/>
      <c r="AA937" s="14"/>
      <c r="AB937" s="14"/>
      <c r="AC937" s="14">
        <v>560</v>
      </c>
      <c r="AD937" s="14"/>
      <c r="AE937" s="14">
        <v>180</v>
      </c>
      <c r="AF937" s="14"/>
      <c r="AG937" s="14"/>
      <c r="AH937" s="14">
        <v>820</v>
      </c>
      <c r="AI937" s="19" t="e">
        <f>knicks_players_all_stats[[#This Row],[BLKPG]]+knicks_players_all_stats[[#This Row],[STLPG]]+knicks_players_all_stats[[#This Row],[REBPG]]</f>
        <v>#DIV/0!</v>
      </c>
      <c r="AJ937" s="14"/>
      <c r="AK937" s="14"/>
      <c r="AL937" s="14"/>
      <c r="AM937" s="14"/>
      <c r="AN937" s="14"/>
      <c r="AO937" s="14"/>
    </row>
    <row r="938" spans="1:41" s="17" customFormat="1" x14ac:dyDescent="0.3">
      <c r="A938" s="13"/>
      <c r="B938" s="13"/>
      <c r="C938" s="13"/>
      <c r="D938" s="13"/>
      <c r="E938" s="14">
        <v>230</v>
      </c>
      <c r="F938" s="14"/>
      <c r="G938" s="14"/>
      <c r="H938" s="14"/>
      <c r="I938" s="14"/>
      <c r="J938" s="14"/>
      <c r="K938" s="14"/>
      <c r="L938" s="14"/>
      <c r="M938" s="14"/>
      <c r="N938" s="14"/>
      <c r="O938" s="15"/>
      <c r="P938" s="14"/>
      <c r="Q938" s="14"/>
      <c r="R938" s="16"/>
      <c r="S938" s="14"/>
      <c r="T938" s="14"/>
      <c r="U938" s="14"/>
      <c r="V938" s="14">
        <v>1470</v>
      </c>
      <c r="W938" s="14">
        <v>2770</v>
      </c>
      <c r="X938" s="14">
        <v>4240</v>
      </c>
      <c r="Y938" s="24" t="e">
        <f>knicks_players_all_stats[[#This Row],[REB]]/knicks_players_all_stats[[#This Row],[GP]]</f>
        <v>#DIV/0!</v>
      </c>
      <c r="Z938" s="14"/>
      <c r="AA938" s="14"/>
      <c r="AB938" s="14"/>
      <c r="AC938" s="14">
        <v>980</v>
      </c>
      <c r="AD938" s="14"/>
      <c r="AE938" s="14">
        <v>180</v>
      </c>
      <c r="AF938" s="14"/>
      <c r="AG938" s="14"/>
      <c r="AH938" s="14">
        <v>950</v>
      </c>
      <c r="AI938" s="19" t="e">
        <f>knicks_players_all_stats[[#This Row],[BLKPG]]+knicks_players_all_stats[[#This Row],[STLPG]]+knicks_players_all_stats[[#This Row],[REBPG]]</f>
        <v>#DIV/0!</v>
      </c>
      <c r="AJ938" s="14"/>
      <c r="AK938" s="14"/>
      <c r="AL938" s="14"/>
      <c r="AM938" s="14"/>
      <c r="AN938" s="14"/>
      <c r="AO938" s="14"/>
    </row>
    <row r="939" spans="1:41" s="17" customFormat="1" x14ac:dyDescent="0.3">
      <c r="A939" s="13"/>
      <c r="B939" s="13"/>
      <c r="C939" s="13"/>
      <c r="D939" s="13"/>
      <c r="E939" s="14">
        <v>240</v>
      </c>
      <c r="F939" s="14"/>
      <c r="G939" s="14"/>
      <c r="H939" s="14"/>
      <c r="I939" s="14"/>
      <c r="J939" s="14"/>
      <c r="K939" s="14"/>
      <c r="L939" s="14"/>
      <c r="M939" s="14"/>
      <c r="N939" s="14"/>
      <c r="O939" s="15"/>
      <c r="P939" s="14"/>
      <c r="Q939" s="14"/>
      <c r="R939" s="16"/>
      <c r="S939" s="14"/>
      <c r="T939" s="14"/>
      <c r="U939" s="14"/>
      <c r="V939" s="14"/>
      <c r="W939" s="14"/>
      <c r="X939" s="14">
        <v>1130</v>
      </c>
      <c r="Y939" s="24" t="e">
        <f>knicks_players_all_stats[[#This Row],[REB]]/knicks_players_all_stats[[#This Row],[GP]]</f>
        <v>#DIV/0!</v>
      </c>
      <c r="Z939" s="14"/>
      <c r="AA939" s="14"/>
      <c r="AB939" s="14"/>
      <c r="AC939" s="14"/>
      <c r="AD939" s="14"/>
      <c r="AE939" s="14"/>
      <c r="AF939" s="14"/>
      <c r="AG939" s="14"/>
      <c r="AH939" s="14"/>
      <c r="AI939" s="19" t="e">
        <f>knicks_players_all_stats[[#This Row],[BLKPG]]+knicks_players_all_stats[[#This Row],[STLPG]]+knicks_players_all_stats[[#This Row],[REBPG]]</f>
        <v>#DIV/0!</v>
      </c>
      <c r="AJ939" s="14"/>
      <c r="AK939" s="14"/>
      <c r="AL939" s="14"/>
      <c r="AM939" s="14"/>
      <c r="AN939" s="14"/>
      <c r="AO939" s="14"/>
    </row>
    <row r="940" spans="1:41" s="14" customFormat="1" x14ac:dyDescent="0.3">
      <c r="A940" s="13"/>
      <c r="B940" s="13"/>
      <c r="C940" s="13"/>
      <c r="D940" s="13"/>
      <c r="E940" s="14">
        <v>250</v>
      </c>
      <c r="O940" s="15"/>
      <c r="R940" s="16"/>
      <c r="X940" s="14">
        <v>3500</v>
      </c>
      <c r="Y940" s="24" t="e">
        <f>knicks_players_all_stats[[#This Row],[REB]]/knicks_players_all_stats[[#This Row],[GP]]</f>
        <v>#DIV/0!</v>
      </c>
      <c r="AI940" s="19" t="e">
        <f>knicks_players_all_stats[[#This Row],[BLKPG]]+knicks_players_all_stats[[#This Row],[STLPG]]+knicks_players_all_stats[[#This Row],[REBPG]]</f>
        <v>#DIV/0!</v>
      </c>
    </row>
    <row r="941" spans="1:41" s="17" customFormat="1" x14ac:dyDescent="0.3">
      <c r="A941" s="13"/>
      <c r="B941" s="13"/>
      <c r="C941" s="13"/>
      <c r="D941" s="13"/>
      <c r="E941" s="14">
        <v>260</v>
      </c>
      <c r="F941" s="14"/>
      <c r="G941" s="14"/>
      <c r="H941" s="14"/>
      <c r="I941" s="14"/>
      <c r="J941" s="14"/>
      <c r="K941" s="14"/>
      <c r="L941" s="14"/>
      <c r="M941" s="14"/>
      <c r="N941" s="14"/>
      <c r="O941" s="15"/>
      <c r="P941" s="14"/>
      <c r="Q941" s="14"/>
      <c r="R941" s="16"/>
      <c r="S941" s="14"/>
      <c r="T941" s="14"/>
      <c r="U941" s="14"/>
      <c r="V941" s="14"/>
      <c r="W941" s="14"/>
      <c r="X941" s="14">
        <v>2390</v>
      </c>
      <c r="Y941" s="24" t="e">
        <f>knicks_players_all_stats[[#This Row],[REB]]/knicks_players_all_stats[[#This Row],[GP]]</f>
        <v>#DIV/0!</v>
      </c>
      <c r="Z941" s="14"/>
      <c r="AA941" s="14"/>
      <c r="AB941" s="14"/>
      <c r="AC941" s="14"/>
      <c r="AD941" s="14"/>
      <c r="AE941" s="14"/>
      <c r="AF941" s="14"/>
      <c r="AG941" s="14"/>
      <c r="AH941" s="14"/>
      <c r="AI941" s="19" t="e">
        <f>knicks_players_all_stats[[#This Row],[BLKPG]]+knicks_players_all_stats[[#This Row],[STLPG]]+knicks_players_all_stats[[#This Row],[REBPG]]</f>
        <v>#DIV/0!</v>
      </c>
      <c r="AJ941" s="14"/>
      <c r="AK941" s="14"/>
      <c r="AL941" s="14"/>
      <c r="AM941" s="14"/>
      <c r="AN941" s="14"/>
      <c r="AO941" s="14"/>
    </row>
    <row r="942" spans="1:41" s="17" customFormat="1" x14ac:dyDescent="0.3">
      <c r="A942" s="13"/>
      <c r="B942" s="13"/>
      <c r="C942" s="13"/>
      <c r="D942" s="13"/>
      <c r="E942" s="14">
        <v>270</v>
      </c>
      <c r="F942" s="14"/>
      <c r="G942" s="14"/>
      <c r="H942" s="14"/>
      <c r="I942" s="14"/>
      <c r="J942" s="14"/>
      <c r="K942" s="14"/>
      <c r="L942" s="14"/>
      <c r="M942" s="14"/>
      <c r="N942" s="14"/>
      <c r="O942" s="15"/>
      <c r="P942" s="14"/>
      <c r="Q942" s="14"/>
      <c r="R942" s="16"/>
      <c r="S942" s="14"/>
      <c r="T942" s="14"/>
      <c r="U942" s="14"/>
      <c r="V942" s="14"/>
      <c r="W942" s="14"/>
      <c r="X942" s="14">
        <v>2600</v>
      </c>
      <c r="Y942" s="24" t="e">
        <f>knicks_players_all_stats[[#This Row],[REB]]/knicks_players_all_stats[[#This Row],[GP]]</f>
        <v>#DIV/0!</v>
      </c>
      <c r="Z942" s="14"/>
      <c r="AA942" s="14"/>
      <c r="AB942" s="14"/>
      <c r="AC942" s="14"/>
      <c r="AD942" s="14"/>
      <c r="AE942" s="14"/>
      <c r="AF942" s="14"/>
      <c r="AG942" s="14"/>
      <c r="AH942" s="14"/>
      <c r="AI942" s="19" t="e">
        <f>knicks_players_all_stats[[#This Row],[BLKPG]]+knicks_players_all_stats[[#This Row],[STLPG]]+knicks_players_all_stats[[#This Row],[REBPG]]</f>
        <v>#DIV/0!</v>
      </c>
      <c r="AJ942" s="14"/>
      <c r="AK942" s="14"/>
      <c r="AL942" s="14"/>
      <c r="AM942" s="14"/>
      <c r="AN942" s="14"/>
      <c r="AO942" s="14"/>
    </row>
    <row r="943" spans="1:41" s="17" customFormat="1" x14ac:dyDescent="0.3">
      <c r="A943" s="13"/>
      <c r="B943" s="13"/>
      <c r="C943" s="13"/>
      <c r="D943" s="13"/>
      <c r="E943" s="14">
        <v>280</v>
      </c>
      <c r="F943" s="14"/>
      <c r="G943" s="14"/>
      <c r="H943" s="14"/>
      <c r="I943" s="14"/>
      <c r="J943" s="14"/>
      <c r="K943" s="14"/>
      <c r="L943" s="14"/>
      <c r="M943" s="14"/>
      <c r="N943" s="14"/>
      <c r="O943" s="15"/>
      <c r="P943" s="14"/>
      <c r="Q943" s="14"/>
      <c r="R943" s="16"/>
      <c r="S943" s="14"/>
      <c r="T943" s="14"/>
      <c r="U943" s="14"/>
      <c r="V943" s="14"/>
      <c r="W943" s="14"/>
      <c r="X943" s="14">
        <v>2500</v>
      </c>
      <c r="Y943" s="24" t="e">
        <f>knicks_players_all_stats[[#This Row],[REB]]/knicks_players_all_stats[[#This Row],[GP]]</f>
        <v>#DIV/0!</v>
      </c>
      <c r="Z943" s="14"/>
      <c r="AA943" s="14"/>
      <c r="AB943" s="14"/>
      <c r="AC943" s="14"/>
      <c r="AD943" s="14"/>
      <c r="AE943" s="14"/>
      <c r="AF943" s="14"/>
      <c r="AG943" s="14"/>
      <c r="AH943" s="14"/>
      <c r="AI943" s="19" t="e">
        <f>knicks_players_all_stats[[#This Row],[BLKPG]]+knicks_players_all_stats[[#This Row],[STLPG]]+knicks_players_all_stats[[#This Row],[REBPG]]</f>
        <v>#DIV/0!</v>
      </c>
      <c r="AJ943" s="14"/>
      <c r="AK943" s="14"/>
      <c r="AL943" s="14"/>
      <c r="AM943" s="14"/>
      <c r="AN943" s="14"/>
      <c r="AO943" s="14"/>
    </row>
    <row r="944" spans="1:41" s="17" customFormat="1" x14ac:dyDescent="0.3">
      <c r="A944" s="13"/>
      <c r="B944" s="13"/>
      <c r="C944" s="13"/>
      <c r="D944" s="13"/>
      <c r="E944" s="14">
        <v>290</v>
      </c>
      <c r="F944" s="14"/>
      <c r="G944" s="14"/>
      <c r="H944" s="14"/>
      <c r="I944" s="14"/>
      <c r="J944" s="14"/>
      <c r="K944" s="14"/>
      <c r="L944" s="14"/>
      <c r="M944" s="14"/>
      <c r="N944" s="14"/>
      <c r="O944" s="15"/>
      <c r="P944" s="14"/>
      <c r="Q944" s="14"/>
      <c r="R944" s="16"/>
      <c r="S944" s="14"/>
      <c r="T944" s="14"/>
      <c r="U944" s="14"/>
      <c r="V944" s="14"/>
      <c r="W944" s="14"/>
      <c r="X944" s="14">
        <v>3010</v>
      </c>
      <c r="Y944" s="24" t="e">
        <f>knicks_players_all_stats[[#This Row],[REB]]/knicks_players_all_stats[[#This Row],[GP]]</f>
        <v>#DIV/0!</v>
      </c>
      <c r="Z944" s="14"/>
      <c r="AA944" s="14"/>
      <c r="AB944" s="14"/>
      <c r="AC944" s="14"/>
      <c r="AD944" s="14"/>
      <c r="AE944" s="14"/>
      <c r="AF944" s="14"/>
      <c r="AG944" s="14"/>
      <c r="AH944" s="14"/>
      <c r="AI944" s="19" t="e">
        <f>knicks_players_all_stats[[#This Row],[BLKPG]]+knicks_players_all_stats[[#This Row],[STLPG]]+knicks_players_all_stats[[#This Row],[REBPG]]</f>
        <v>#DIV/0!</v>
      </c>
      <c r="AJ944" s="14"/>
      <c r="AK944" s="14"/>
      <c r="AL944" s="14"/>
      <c r="AM944" s="14"/>
      <c r="AN944" s="14"/>
      <c r="AO944" s="14"/>
    </row>
    <row r="945" spans="1:41" s="14" customFormat="1" x14ac:dyDescent="0.3">
      <c r="A945" s="13"/>
      <c r="B945" s="13"/>
      <c r="C945" s="13"/>
      <c r="D945" s="13"/>
      <c r="E945" s="14">
        <v>300</v>
      </c>
      <c r="O945" s="15"/>
      <c r="R945" s="16"/>
      <c r="V945" s="14">
        <v>590</v>
      </c>
      <c r="W945" s="14">
        <v>1940</v>
      </c>
      <c r="X945" s="14">
        <v>2530</v>
      </c>
      <c r="Y945" s="24" t="e">
        <f>knicks_players_all_stats[[#This Row],[REB]]/knicks_players_all_stats[[#This Row],[GP]]</f>
        <v>#DIV/0!</v>
      </c>
      <c r="AC945" s="14">
        <v>420</v>
      </c>
      <c r="AE945" s="14">
        <v>210</v>
      </c>
      <c r="AI945" s="19" t="e">
        <f>knicks_players_all_stats[[#This Row],[BLKPG]]+knicks_players_all_stats[[#This Row],[STLPG]]+knicks_players_all_stats[[#This Row],[REBPG]]</f>
        <v>#DIV/0!</v>
      </c>
    </row>
    <row r="946" spans="1:41" s="14" customFormat="1" x14ac:dyDescent="0.3">
      <c r="A946" s="13"/>
      <c r="B946" s="13"/>
      <c r="C946" s="13"/>
      <c r="D946" s="13"/>
      <c r="E946" s="14">
        <v>310</v>
      </c>
      <c r="O946" s="15"/>
      <c r="R946" s="16"/>
      <c r="V946" s="14">
        <v>650</v>
      </c>
      <c r="W946" s="14">
        <v>1860</v>
      </c>
      <c r="X946" s="14">
        <v>2510</v>
      </c>
      <c r="Y946" s="24" t="e">
        <f>knicks_players_all_stats[[#This Row],[REB]]/knicks_players_all_stats[[#This Row],[GP]]</f>
        <v>#DIV/0!</v>
      </c>
      <c r="AC946" s="14">
        <v>740</v>
      </c>
      <c r="AE946" s="14">
        <v>180</v>
      </c>
      <c r="AI946" s="19" t="e">
        <f>knicks_players_all_stats[[#This Row],[BLKPG]]+knicks_players_all_stats[[#This Row],[STLPG]]+knicks_players_all_stats[[#This Row],[REBPG]]</f>
        <v>#DIV/0!</v>
      </c>
    </row>
    <row r="947" spans="1:41" s="14" customFormat="1" x14ac:dyDescent="0.3">
      <c r="A947" s="13"/>
      <c r="B947" s="13"/>
      <c r="C947" s="13"/>
      <c r="D947" s="13"/>
      <c r="E947" s="14">
        <v>320</v>
      </c>
      <c r="O947" s="15"/>
      <c r="R947" s="16"/>
      <c r="V947" s="14">
        <v>470</v>
      </c>
      <c r="W947" s="14">
        <v>1870</v>
      </c>
      <c r="X947" s="14">
        <v>2340</v>
      </c>
      <c r="Y947" s="24" t="e">
        <f>knicks_players_all_stats[[#This Row],[REB]]/knicks_players_all_stats[[#This Row],[GP]]</f>
        <v>#DIV/0!</v>
      </c>
      <c r="AC947" s="14">
        <v>680</v>
      </c>
      <c r="AE947" s="14">
        <v>180</v>
      </c>
      <c r="AI947" s="19" t="e">
        <f>knicks_players_all_stats[[#This Row],[BLKPG]]+knicks_players_all_stats[[#This Row],[STLPG]]+knicks_players_all_stats[[#This Row],[REBPG]]</f>
        <v>#DIV/0!</v>
      </c>
    </row>
    <row r="948" spans="1:41" s="14" customFormat="1" x14ac:dyDescent="0.3">
      <c r="A948" s="13"/>
      <c r="B948" s="13"/>
      <c r="C948" s="13"/>
      <c r="D948" s="13"/>
      <c r="E948" s="14">
        <v>330</v>
      </c>
      <c r="O948" s="15"/>
      <c r="R948" s="16"/>
      <c r="V948" s="14">
        <v>270</v>
      </c>
      <c r="W948" s="14">
        <v>760</v>
      </c>
      <c r="X948" s="14">
        <v>1030</v>
      </c>
      <c r="Y948" s="24" t="e">
        <f>knicks_players_all_stats[[#This Row],[REB]]/knicks_players_all_stats[[#This Row],[GP]]</f>
        <v>#DIV/0!</v>
      </c>
      <c r="AC948" s="14">
        <v>250</v>
      </c>
      <c r="AE948" s="14">
        <v>80</v>
      </c>
      <c r="AI948" s="19" t="e">
        <f>knicks_players_all_stats[[#This Row],[BLKPG]]+knicks_players_all_stats[[#This Row],[STLPG]]+knicks_players_all_stats[[#This Row],[REBPG]]</f>
        <v>#DIV/0!</v>
      </c>
    </row>
    <row r="949" spans="1:41" s="14" customFormat="1" x14ac:dyDescent="0.3">
      <c r="A949" s="13"/>
      <c r="B949" s="13"/>
      <c r="C949" s="13"/>
      <c r="D949" s="13"/>
      <c r="E949" s="14">
        <v>230</v>
      </c>
      <c r="O949" s="15"/>
      <c r="R949" s="16"/>
      <c r="Y949" s="24" t="e">
        <f>knicks_players_all_stats[[#This Row],[REB]]/knicks_players_all_stats[[#This Row],[GP]]</f>
        <v>#DIV/0!</v>
      </c>
      <c r="AI949" s="19" t="e">
        <f>knicks_players_all_stats[[#This Row],[BLKPG]]+knicks_players_all_stats[[#This Row],[STLPG]]+knicks_players_all_stats[[#This Row],[REBPG]]</f>
        <v>#DIV/0!</v>
      </c>
    </row>
    <row r="950" spans="1:41" s="14" customFormat="1" x14ac:dyDescent="0.3">
      <c r="A950" s="13"/>
      <c r="B950" s="13"/>
      <c r="C950" s="13"/>
      <c r="D950" s="13"/>
      <c r="E950" s="14">
        <v>240</v>
      </c>
      <c r="O950" s="15"/>
      <c r="R950" s="16"/>
      <c r="X950" s="14">
        <v>2490</v>
      </c>
      <c r="Y950" s="24" t="e">
        <f>knicks_players_all_stats[[#This Row],[REB]]/knicks_players_all_stats[[#This Row],[GP]]</f>
        <v>#DIV/0!</v>
      </c>
      <c r="AI950" s="19" t="e">
        <f>knicks_players_all_stats[[#This Row],[BLKPG]]+knicks_players_all_stats[[#This Row],[STLPG]]+knicks_players_all_stats[[#This Row],[REBPG]]</f>
        <v>#DIV/0!</v>
      </c>
    </row>
    <row r="951" spans="1:41" s="14" customFormat="1" x14ac:dyDescent="0.3">
      <c r="A951" s="13"/>
      <c r="B951" s="13"/>
      <c r="C951" s="13"/>
      <c r="D951" s="13"/>
      <c r="E951" s="14">
        <v>250</v>
      </c>
      <c r="O951" s="15"/>
      <c r="R951" s="16"/>
      <c r="X951" s="14">
        <v>2190</v>
      </c>
      <c r="Y951" s="24" t="e">
        <f>knicks_players_all_stats[[#This Row],[REB]]/knicks_players_all_stats[[#This Row],[GP]]</f>
        <v>#DIV/0!</v>
      </c>
      <c r="AI951" s="19" t="e">
        <f>knicks_players_all_stats[[#This Row],[BLKPG]]+knicks_players_all_stats[[#This Row],[STLPG]]+knicks_players_all_stats[[#This Row],[REBPG]]</f>
        <v>#DIV/0!</v>
      </c>
    </row>
    <row r="952" spans="1:41" s="14" customFormat="1" x14ac:dyDescent="0.3">
      <c r="A952" s="13"/>
      <c r="B952" s="13"/>
      <c r="C952" s="13"/>
      <c r="D952" s="13"/>
      <c r="E952" s="14">
        <v>260</v>
      </c>
      <c r="O952" s="15"/>
      <c r="R952" s="16"/>
      <c r="X952" s="14">
        <v>2330</v>
      </c>
      <c r="Y952" s="24" t="e">
        <f>knicks_players_all_stats[[#This Row],[REB]]/knicks_players_all_stats[[#This Row],[GP]]</f>
        <v>#DIV/0!</v>
      </c>
      <c r="AI952" s="19" t="e">
        <f>knicks_players_all_stats[[#This Row],[BLKPG]]+knicks_players_all_stats[[#This Row],[STLPG]]+knicks_players_all_stats[[#This Row],[REBPG]]</f>
        <v>#DIV/0!</v>
      </c>
    </row>
    <row r="953" spans="1:41" s="14" customFormat="1" x14ac:dyDescent="0.3">
      <c r="A953" s="13"/>
      <c r="B953" s="13"/>
      <c r="C953" s="13"/>
      <c r="D953" s="13"/>
      <c r="E953" s="14">
        <v>270</v>
      </c>
      <c r="O953" s="15"/>
      <c r="R953" s="16"/>
      <c r="X953" s="14">
        <v>1300</v>
      </c>
      <c r="Y953" s="24" t="e">
        <f>knicks_players_all_stats[[#This Row],[REB]]/knicks_players_all_stats[[#This Row],[GP]]</f>
        <v>#DIV/0!</v>
      </c>
      <c r="AI953" s="19" t="e">
        <f>knicks_players_all_stats[[#This Row],[BLKPG]]+knicks_players_all_stats[[#This Row],[STLPG]]+knicks_players_all_stats[[#This Row],[REBPG]]</f>
        <v>#DIV/0!</v>
      </c>
    </row>
    <row r="954" spans="1:41" s="14" customFormat="1" x14ac:dyDescent="0.3">
      <c r="A954" s="13"/>
      <c r="B954" s="13"/>
      <c r="C954" s="13"/>
      <c r="D954" s="13"/>
      <c r="E954" s="14">
        <v>300</v>
      </c>
      <c r="O954" s="15"/>
      <c r="R954" s="16"/>
      <c r="X954" s="14">
        <v>5170</v>
      </c>
      <c r="Y954" s="24" t="e">
        <f>knicks_players_all_stats[[#This Row],[REB]]/knicks_players_all_stats[[#This Row],[GP]]</f>
        <v>#DIV/0!</v>
      </c>
      <c r="AI954" s="19" t="e">
        <f>knicks_players_all_stats[[#This Row],[BLKPG]]+knicks_players_all_stats[[#This Row],[STLPG]]+knicks_players_all_stats[[#This Row],[REBPG]]</f>
        <v>#DIV/0!</v>
      </c>
    </row>
    <row r="955" spans="1:41" s="14" customFormat="1" x14ac:dyDescent="0.3">
      <c r="A955" s="13"/>
      <c r="B955" s="13"/>
      <c r="C955" s="13"/>
      <c r="D955" s="13"/>
      <c r="E955" s="14">
        <v>310</v>
      </c>
      <c r="O955" s="15"/>
      <c r="R955" s="16"/>
      <c r="X955" s="14">
        <v>4690</v>
      </c>
      <c r="Y955" s="24" t="e">
        <f>knicks_players_all_stats[[#This Row],[REB]]/knicks_players_all_stats[[#This Row],[GP]]</f>
        <v>#DIV/0!</v>
      </c>
      <c r="AI955" s="19" t="e">
        <f>knicks_players_all_stats[[#This Row],[BLKPG]]+knicks_players_all_stats[[#This Row],[STLPG]]+knicks_players_all_stats[[#This Row],[REBPG]]</f>
        <v>#DIV/0!</v>
      </c>
    </row>
    <row r="956" spans="1:41" s="14" customFormat="1" x14ac:dyDescent="0.3">
      <c r="A956" s="13"/>
      <c r="B956" s="13"/>
      <c r="C956" s="13"/>
      <c r="D956" s="13"/>
      <c r="E956" s="14">
        <v>320</v>
      </c>
      <c r="O956" s="15"/>
      <c r="R956" s="16"/>
      <c r="X956" s="14">
        <v>3190</v>
      </c>
      <c r="Y956" s="24" t="e">
        <f>knicks_players_all_stats[[#This Row],[REB]]/knicks_players_all_stats[[#This Row],[GP]]</f>
        <v>#DIV/0!</v>
      </c>
      <c r="AI956" s="19" t="e">
        <f>knicks_players_all_stats[[#This Row],[BLKPG]]+knicks_players_all_stats[[#This Row],[STLPG]]+knicks_players_all_stats[[#This Row],[REBPG]]</f>
        <v>#DIV/0!</v>
      </c>
    </row>
    <row r="957" spans="1:41" s="14" customFormat="1" x14ac:dyDescent="0.3">
      <c r="A957" s="13"/>
      <c r="B957" s="13"/>
      <c r="C957" s="13"/>
      <c r="D957" s="13"/>
      <c r="E957" s="14">
        <v>330</v>
      </c>
      <c r="O957" s="15"/>
      <c r="R957" s="16"/>
      <c r="X957" s="14">
        <v>2890</v>
      </c>
      <c r="Y957" s="24" t="e">
        <f>knicks_players_all_stats[[#This Row],[REB]]/knicks_players_all_stats[[#This Row],[GP]]</f>
        <v>#DIV/0!</v>
      </c>
      <c r="AI957" s="19" t="e">
        <f>knicks_players_all_stats[[#This Row],[BLKPG]]+knicks_players_all_stats[[#This Row],[STLPG]]+knicks_players_all_stats[[#This Row],[REBPG]]</f>
        <v>#DIV/0!</v>
      </c>
    </row>
    <row r="958" spans="1:41" s="14" customFormat="1" x14ac:dyDescent="0.3">
      <c r="A958" s="18"/>
      <c r="B958" s="18"/>
      <c r="C958" s="18"/>
      <c r="D958" s="18"/>
      <c r="E958" s="14">
        <v>200</v>
      </c>
      <c r="F958" s="17"/>
      <c r="G958" s="17"/>
      <c r="H958" s="17"/>
      <c r="I958" s="19"/>
      <c r="J958" s="17"/>
      <c r="K958" s="17"/>
      <c r="L958" s="20"/>
      <c r="M958" s="17"/>
      <c r="N958" s="17"/>
      <c r="O958" s="20"/>
      <c r="P958" s="17"/>
      <c r="Q958" s="17"/>
      <c r="R958" s="21"/>
      <c r="S958" s="17"/>
      <c r="T958" s="17"/>
      <c r="U958" s="17"/>
      <c r="V958" s="14">
        <v>120</v>
      </c>
      <c r="W958" s="14">
        <v>750</v>
      </c>
      <c r="X958" s="14">
        <v>870</v>
      </c>
      <c r="Y958" s="24" t="e">
        <f>knicks_players_all_stats[[#This Row],[REB]]/knicks_players_all_stats[[#This Row],[GP]]</f>
        <v>#DIV/0!</v>
      </c>
      <c r="Z958" s="17"/>
      <c r="AA958" s="17"/>
      <c r="AB958" s="17"/>
      <c r="AC958" s="17">
        <v>300</v>
      </c>
      <c r="AD958" s="17"/>
      <c r="AE958" s="14">
        <v>140</v>
      </c>
      <c r="AF958" s="17"/>
      <c r="AG958" s="17"/>
      <c r="AH958" s="14">
        <v>560</v>
      </c>
      <c r="AI958" s="19" t="e">
        <f>knicks_players_all_stats[[#This Row],[BLKPG]]+knicks_players_all_stats[[#This Row],[STLPG]]+knicks_players_all_stats[[#This Row],[REBPG]]</f>
        <v>#DIV/0!</v>
      </c>
      <c r="AJ958" s="17"/>
      <c r="AK958" s="17"/>
      <c r="AL958" s="17"/>
      <c r="AM958" s="17"/>
      <c r="AN958" s="17"/>
      <c r="AO958" s="17"/>
    </row>
    <row r="959" spans="1:41" s="14" customFormat="1" x14ac:dyDescent="0.3">
      <c r="A959" s="13"/>
      <c r="B959" s="13"/>
      <c r="C959" s="13"/>
      <c r="D959" s="13"/>
      <c r="E959" s="14">
        <v>200</v>
      </c>
      <c r="O959" s="15"/>
      <c r="R959" s="16"/>
      <c r="Y959" s="24" t="e">
        <f>knicks_players_all_stats[[#This Row],[REB]]/knicks_players_all_stats[[#This Row],[GP]]</f>
        <v>#DIV/0!</v>
      </c>
      <c r="AI959" s="19" t="e">
        <f>knicks_players_all_stats[[#This Row],[BLKPG]]+knicks_players_all_stats[[#This Row],[STLPG]]+knicks_players_all_stats[[#This Row],[REBPG]]</f>
        <v>#DIV/0!</v>
      </c>
    </row>
    <row r="960" spans="1:41" s="14" customFormat="1" x14ac:dyDescent="0.3">
      <c r="A960" s="13"/>
      <c r="B960" s="13"/>
      <c r="C960" s="13"/>
      <c r="D960" s="13"/>
      <c r="E960" s="14">
        <v>210</v>
      </c>
      <c r="O960" s="15"/>
      <c r="R960" s="16"/>
      <c r="Y960" s="24" t="e">
        <f>knicks_players_all_stats[[#This Row],[REB]]/knicks_players_all_stats[[#This Row],[GP]]</f>
        <v>#DIV/0!</v>
      </c>
      <c r="AI960" s="19" t="e">
        <f>knicks_players_all_stats[[#This Row],[BLKPG]]+knicks_players_all_stats[[#This Row],[STLPG]]+knicks_players_all_stats[[#This Row],[REBPG]]</f>
        <v>#DIV/0!</v>
      </c>
    </row>
    <row r="961" spans="1:41" s="14" customFormat="1" x14ac:dyDescent="0.3">
      <c r="A961" s="13"/>
      <c r="B961" s="13"/>
      <c r="C961" s="13"/>
      <c r="D961" s="13"/>
      <c r="E961" s="14">
        <v>220</v>
      </c>
      <c r="O961" s="15"/>
      <c r="R961" s="16"/>
      <c r="Y961" s="24" t="e">
        <f>knicks_players_all_stats[[#This Row],[REB]]/knicks_players_all_stats[[#This Row],[GP]]</f>
        <v>#DIV/0!</v>
      </c>
      <c r="AI961" s="19" t="e">
        <f>knicks_players_all_stats[[#This Row],[BLKPG]]+knicks_players_all_stats[[#This Row],[STLPG]]+knicks_players_all_stats[[#This Row],[REBPG]]</f>
        <v>#DIV/0!</v>
      </c>
    </row>
    <row r="962" spans="1:41" s="14" customFormat="1" x14ac:dyDescent="0.3">
      <c r="A962" s="13"/>
      <c r="B962" s="13"/>
      <c r="C962" s="13"/>
      <c r="D962" s="13"/>
      <c r="E962" s="14">
        <v>250</v>
      </c>
      <c r="O962" s="15"/>
      <c r="R962" s="16"/>
      <c r="X962" s="14">
        <v>2330</v>
      </c>
      <c r="Y962" s="24" t="e">
        <f>knicks_players_all_stats[[#This Row],[REB]]/knicks_players_all_stats[[#This Row],[GP]]</f>
        <v>#DIV/0!</v>
      </c>
      <c r="AI962" s="19" t="e">
        <f>knicks_players_all_stats[[#This Row],[BLKPG]]+knicks_players_all_stats[[#This Row],[STLPG]]+knicks_players_all_stats[[#This Row],[REBPG]]</f>
        <v>#DIV/0!</v>
      </c>
    </row>
    <row r="963" spans="1:41" s="14" customFormat="1" x14ac:dyDescent="0.3">
      <c r="A963" s="13"/>
      <c r="B963" s="13"/>
      <c r="C963" s="13"/>
      <c r="D963" s="13"/>
      <c r="E963" s="14">
        <v>260</v>
      </c>
      <c r="O963" s="15"/>
      <c r="R963" s="16"/>
      <c r="X963" s="14">
        <v>2460</v>
      </c>
      <c r="Y963" s="24" t="e">
        <f>knicks_players_all_stats[[#This Row],[REB]]/knicks_players_all_stats[[#This Row],[GP]]</f>
        <v>#DIV/0!</v>
      </c>
      <c r="AI963" s="19" t="e">
        <f>knicks_players_all_stats[[#This Row],[BLKPG]]+knicks_players_all_stats[[#This Row],[STLPG]]+knicks_players_all_stats[[#This Row],[REBPG]]</f>
        <v>#DIV/0!</v>
      </c>
    </row>
    <row r="964" spans="1:41" s="14" customFormat="1" x14ac:dyDescent="0.3">
      <c r="A964" s="13"/>
      <c r="B964" s="13"/>
      <c r="C964" s="13"/>
      <c r="D964" s="13"/>
      <c r="E964" s="14">
        <v>270</v>
      </c>
      <c r="O964" s="15"/>
      <c r="R964" s="16"/>
      <c r="X964" s="14">
        <v>2950</v>
      </c>
      <c r="Y964" s="24" t="e">
        <f>knicks_players_all_stats[[#This Row],[REB]]/knicks_players_all_stats[[#This Row],[GP]]</f>
        <v>#DIV/0!</v>
      </c>
      <c r="AI964" s="19" t="e">
        <f>knicks_players_all_stats[[#This Row],[BLKPG]]+knicks_players_all_stats[[#This Row],[STLPG]]+knicks_players_all_stats[[#This Row],[REBPG]]</f>
        <v>#DIV/0!</v>
      </c>
    </row>
    <row r="965" spans="1:41" s="14" customFormat="1" x14ac:dyDescent="0.3">
      <c r="A965" s="13"/>
      <c r="B965" s="13"/>
      <c r="C965" s="13"/>
      <c r="D965" s="13"/>
      <c r="E965" s="14">
        <v>280</v>
      </c>
      <c r="O965" s="15"/>
      <c r="R965" s="16"/>
      <c r="X965" s="14">
        <v>2590</v>
      </c>
      <c r="Y965" s="24" t="e">
        <f>knicks_players_all_stats[[#This Row],[REB]]/knicks_players_all_stats[[#This Row],[GP]]</f>
        <v>#DIV/0!</v>
      </c>
      <c r="AI965" s="19" t="e">
        <f>knicks_players_all_stats[[#This Row],[BLKPG]]+knicks_players_all_stats[[#This Row],[STLPG]]+knicks_players_all_stats[[#This Row],[REBPG]]</f>
        <v>#DIV/0!</v>
      </c>
    </row>
    <row r="966" spans="1:41" s="17" customFormat="1" x14ac:dyDescent="0.3">
      <c r="A966" s="13"/>
      <c r="B966" s="13"/>
      <c r="C966" s="13"/>
      <c r="D966" s="13"/>
      <c r="E966" s="14">
        <v>290</v>
      </c>
      <c r="F966" s="14"/>
      <c r="G966" s="14"/>
      <c r="H966" s="14"/>
      <c r="I966" s="14"/>
      <c r="J966" s="14"/>
      <c r="K966" s="14"/>
      <c r="L966" s="14"/>
      <c r="M966" s="14"/>
      <c r="N966" s="14"/>
      <c r="O966" s="15"/>
      <c r="P966" s="14"/>
      <c r="Q966" s="14"/>
      <c r="R966" s="16"/>
      <c r="S966" s="14"/>
      <c r="T966" s="14"/>
      <c r="U966" s="14"/>
      <c r="V966" s="14"/>
      <c r="W966" s="14"/>
      <c r="X966" s="14">
        <v>2590</v>
      </c>
      <c r="Y966" s="24" t="e">
        <f>knicks_players_all_stats[[#This Row],[REB]]/knicks_players_all_stats[[#This Row],[GP]]</f>
        <v>#DIV/0!</v>
      </c>
      <c r="Z966" s="14"/>
      <c r="AA966" s="14"/>
      <c r="AB966" s="14"/>
      <c r="AC966" s="14"/>
      <c r="AD966" s="14"/>
      <c r="AE966" s="14"/>
      <c r="AF966" s="14"/>
      <c r="AG966" s="14"/>
      <c r="AH966" s="14"/>
      <c r="AI966" s="19" t="e">
        <f>knicks_players_all_stats[[#This Row],[BLKPG]]+knicks_players_all_stats[[#This Row],[STLPG]]+knicks_players_all_stats[[#This Row],[REBPG]]</f>
        <v>#DIV/0!</v>
      </c>
      <c r="AJ966" s="14"/>
      <c r="AK966" s="14"/>
      <c r="AL966" s="14"/>
      <c r="AM966" s="14"/>
      <c r="AN966" s="14"/>
      <c r="AO966" s="14"/>
    </row>
    <row r="967" spans="1:41" s="14" customFormat="1" x14ac:dyDescent="0.3">
      <c r="A967" s="13"/>
      <c r="B967" s="13"/>
      <c r="C967" s="13"/>
      <c r="D967" s="13"/>
      <c r="E967" s="14">
        <v>300</v>
      </c>
      <c r="O967" s="15"/>
      <c r="R967" s="16"/>
      <c r="X967" s="14">
        <v>3300</v>
      </c>
      <c r="Y967" s="24" t="e">
        <f>knicks_players_all_stats[[#This Row],[REB]]/knicks_players_all_stats[[#This Row],[GP]]</f>
        <v>#DIV/0!</v>
      </c>
      <c r="AI967" s="19" t="e">
        <f>knicks_players_all_stats[[#This Row],[BLKPG]]+knicks_players_all_stats[[#This Row],[STLPG]]+knicks_players_all_stats[[#This Row],[REBPG]]</f>
        <v>#DIV/0!</v>
      </c>
    </row>
    <row r="968" spans="1:41" s="14" customFormat="1" x14ac:dyDescent="0.3">
      <c r="A968" s="13"/>
      <c r="B968" s="13"/>
      <c r="C968" s="13"/>
      <c r="D968" s="13"/>
      <c r="E968" s="14">
        <v>310</v>
      </c>
      <c r="O968" s="15"/>
      <c r="R968" s="16"/>
      <c r="X968" s="14">
        <v>2510</v>
      </c>
      <c r="Y968" s="24" t="e">
        <f>knicks_players_all_stats[[#This Row],[REB]]/knicks_players_all_stats[[#This Row],[GP]]</f>
        <v>#DIV/0!</v>
      </c>
      <c r="AI968" s="19" t="e">
        <f>knicks_players_all_stats[[#This Row],[BLKPG]]+knicks_players_all_stats[[#This Row],[STLPG]]+knicks_players_all_stats[[#This Row],[REBPG]]</f>
        <v>#DIV/0!</v>
      </c>
    </row>
    <row r="969" spans="1:41" s="14" customFormat="1" x14ac:dyDescent="0.3">
      <c r="A969" s="13"/>
      <c r="B969" s="13"/>
      <c r="C969" s="13"/>
      <c r="D969" s="13"/>
      <c r="E969" s="14">
        <v>320</v>
      </c>
      <c r="O969" s="15"/>
      <c r="R969" s="16"/>
      <c r="X969" s="14">
        <v>1680</v>
      </c>
      <c r="Y969" s="24" t="e">
        <f>knicks_players_all_stats[[#This Row],[REB]]/knicks_players_all_stats[[#This Row],[GP]]</f>
        <v>#DIV/0!</v>
      </c>
      <c r="AI969" s="19" t="e">
        <f>knicks_players_all_stats[[#This Row],[BLKPG]]+knicks_players_all_stats[[#This Row],[STLPG]]+knicks_players_all_stats[[#This Row],[REBPG]]</f>
        <v>#DIV/0!</v>
      </c>
    </row>
    <row r="970" spans="1:41" s="14" customFormat="1" x14ac:dyDescent="0.3">
      <c r="A970" s="13"/>
      <c r="B970" s="13"/>
      <c r="C970" s="13"/>
      <c r="D970" s="13"/>
      <c r="E970" s="14">
        <v>330</v>
      </c>
      <c r="O970" s="15"/>
      <c r="R970" s="16"/>
      <c r="X970" s="14">
        <v>310</v>
      </c>
      <c r="Y970" s="24" t="e">
        <f>knicks_players_all_stats[[#This Row],[REB]]/knicks_players_all_stats[[#This Row],[GP]]</f>
        <v>#DIV/0!</v>
      </c>
      <c r="AI970" s="19" t="e">
        <f>knicks_players_all_stats[[#This Row],[BLKPG]]+knicks_players_all_stats[[#This Row],[STLPG]]+knicks_players_all_stats[[#This Row],[REBPG]]</f>
        <v>#DIV/0!</v>
      </c>
    </row>
    <row r="971" spans="1:41" s="14" customFormat="1" x14ac:dyDescent="0.3">
      <c r="A971" s="13"/>
      <c r="B971" s="13"/>
      <c r="C971" s="13"/>
      <c r="D971" s="13"/>
      <c r="E971" s="14">
        <v>240</v>
      </c>
      <c r="O971" s="15"/>
      <c r="R971" s="16"/>
      <c r="X971" s="14">
        <v>4920</v>
      </c>
      <c r="Y971" s="24" t="e">
        <f>knicks_players_all_stats[[#This Row],[REB]]/knicks_players_all_stats[[#This Row],[GP]]</f>
        <v>#DIV/0!</v>
      </c>
      <c r="AI971" s="19" t="e">
        <f>knicks_players_all_stats[[#This Row],[BLKPG]]+knicks_players_all_stats[[#This Row],[STLPG]]+knicks_players_all_stats[[#This Row],[REBPG]]</f>
        <v>#DIV/0!</v>
      </c>
    </row>
    <row r="972" spans="1:41" s="14" customFormat="1" x14ac:dyDescent="0.3">
      <c r="A972" s="13"/>
      <c r="B972" s="13"/>
      <c r="C972" s="13"/>
      <c r="D972" s="13"/>
      <c r="E972" s="14">
        <v>250</v>
      </c>
      <c r="O972" s="15"/>
      <c r="R972" s="16"/>
      <c r="X972" s="14">
        <v>4720</v>
      </c>
      <c r="Y972" s="24" t="e">
        <f>knicks_players_all_stats[[#This Row],[REB]]/knicks_players_all_stats[[#This Row],[GP]]</f>
        <v>#DIV/0!</v>
      </c>
      <c r="AI972" s="19" t="e">
        <f>knicks_players_all_stats[[#This Row],[BLKPG]]+knicks_players_all_stats[[#This Row],[STLPG]]+knicks_players_all_stats[[#This Row],[REBPG]]</f>
        <v>#DIV/0!</v>
      </c>
    </row>
    <row r="973" spans="1:41" s="14" customFormat="1" x14ac:dyDescent="0.3">
      <c r="A973" s="13"/>
      <c r="B973" s="13"/>
      <c r="C973" s="13"/>
      <c r="D973" s="13"/>
      <c r="E973" s="14">
        <v>280</v>
      </c>
      <c r="O973" s="15"/>
      <c r="R973" s="16"/>
      <c r="X973" s="14">
        <v>3230</v>
      </c>
      <c r="Y973" s="24" t="e">
        <f>knicks_players_all_stats[[#This Row],[REB]]/knicks_players_all_stats[[#This Row],[GP]]</f>
        <v>#DIV/0!</v>
      </c>
      <c r="AI973" s="19" t="e">
        <f>knicks_players_all_stats[[#This Row],[BLKPG]]+knicks_players_all_stats[[#This Row],[STLPG]]+knicks_players_all_stats[[#This Row],[REBPG]]</f>
        <v>#DIV/0!</v>
      </c>
    </row>
    <row r="974" spans="1:41" s="14" customFormat="1" x14ac:dyDescent="0.3">
      <c r="A974" s="13"/>
      <c r="B974" s="13"/>
      <c r="C974" s="13"/>
      <c r="D974" s="13"/>
      <c r="E974" s="14">
        <v>290</v>
      </c>
      <c r="O974" s="15"/>
      <c r="R974" s="16"/>
      <c r="X974" s="14">
        <v>3520</v>
      </c>
      <c r="Y974" s="24" t="e">
        <f>knicks_players_all_stats[[#This Row],[REB]]/knicks_players_all_stats[[#This Row],[GP]]</f>
        <v>#DIV/0!</v>
      </c>
      <c r="AI974" s="19" t="e">
        <f>knicks_players_all_stats[[#This Row],[BLKPG]]+knicks_players_all_stats[[#This Row],[STLPG]]+knicks_players_all_stats[[#This Row],[REBPG]]</f>
        <v>#DIV/0!</v>
      </c>
    </row>
    <row r="975" spans="1:41" s="14" customFormat="1" x14ac:dyDescent="0.3">
      <c r="A975" s="13"/>
      <c r="B975" s="13"/>
      <c r="C975" s="13"/>
      <c r="D975" s="13"/>
      <c r="E975" s="14">
        <v>300</v>
      </c>
      <c r="O975" s="15"/>
      <c r="R975" s="16"/>
      <c r="X975" s="14">
        <v>350</v>
      </c>
      <c r="Y975" s="24" t="e">
        <f>knicks_players_all_stats[[#This Row],[REB]]/knicks_players_all_stats[[#This Row],[GP]]</f>
        <v>#DIV/0!</v>
      </c>
      <c r="AI975" s="19" t="e">
        <f>knicks_players_all_stats[[#This Row],[BLKPG]]+knicks_players_all_stats[[#This Row],[STLPG]]+knicks_players_all_stats[[#This Row],[REBPG]]</f>
        <v>#DIV/0!</v>
      </c>
    </row>
    <row r="976" spans="1:41" s="14" customFormat="1" x14ac:dyDescent="0.3">
      <c r="A976" s="13"/>
      <c r="B976" s="13"/>
      <c r="C976" s="13"/>
      <c r="D976" s="13"/>
      <c r="E976" s="14">
        <v>330</v>
      </c>
      <c r="O976" s="15"/>
      <c r="R976" s="16"/>
      <c r="V976" s="14">
        <v>60</v>
      </c>
      <c r="W976" s="14">
        <v>140</v>
      </c>
      <c r="X976" s="14">
        <v>200</v>
      </c>
      <c r="Y976" s="24" t="e">
        <f>knicks_players_all_stats[[#This Row],[REB]]/knicks_players_all_stats[[#This Row],[GP]]</f>
        <v>#DIV/0!</v>
      </c>
      <c r="AC976" s="14">
        <v>30</v>
      </c>
      <c r="AE976" s="14">
        <v>30</v>
      </c>
      <c r="AI976" s="19" t="e">
        <f>knicks_players_all_stats[[#This Row],[BLKPG]]+knicks_players_all_stats[[#This Row],[STLPG]]+knicks_players_all_stats[[#This Row],[REBPG]]</f>
        <v>#DIV/0!</v>
      </c>
    </row>
    <row r="977" spans="1:41" s="17" customFormat="1" x14ac:dyDescent="0.3">
      <c r="A977" s="13"/>
      <c r="B977" s="13"/>
      <c r="C977" s="13"/>
      <c r="D977" s="13"/>
      <c r="E977" s="14">
        <v>230</v>
      </c>
      <c r="F977" s="14"/>
      <c r="G977" s="14"/>
      <c r="H977" s="14"/>
      <c r="I977" s="14"/>
      <c r="J977" s="14"/>
      <c r="K977" s="14"/>
      <c r="L977" s="14"/>
      <c r="M977" s="14"/>
      <c r="N977" s="14"/>
      <c r="O977" s="15"/>
      <c r="P977" s="14"/>
      <c r="Q977" s="14"/>
      <c r="R977" s="16"/>
      <c r="S977" s="14"/>
      <c r="T977" s="14"/>
      <c r="U977" s="14"/>
      <c r="V977" s="14">
        <v>280</v>
      </c>
      <c r="W977" s="14">
        <v>540</v>
      </c>
      <c r="X977" s="14">
        <v>820</v>
      </c>
      <c r="Y977" s="24" t="e">
        <f>knicks_players_all_stats[[#This Row],[REB]]/knicks_players_all_stats[[#This Row],[GP]]</f>
        <v>#DIV/0!</v>
      </c>
      <c r="Z977" s="14"/>
      <c r="AA977" s="14"/>
      <c r="AB977" s="14"/>
      <c r="AC977" s="14">
        <v>370</v>
      </c>
      <c r="AD977" s="14"/>
      <c r="AE977" s="14">
        <v>60</v>
      </c>
      <c r="AF977" s="14"/>
      <c r="AG977" s="14"/>
      <c r="AH977" s="14">
        <v>640</v>
      </c>
      <c r="AI977" s="19" t="e">
        <f>knicks_players_all_stats[[#This Row],[BLKPG]]+knicks_players_all_stats[[#This Row],[STLPG]]+knicks_players_all_stats[[#This Row],[REBPG]]</f>
        <v>#DIV/0!</v>
      </c>
      <c r="AJ977" s="14"/>
      <c r="AK977" s="14"/>
      <c r="AL977" s="14"/>
      <c r="AM977" s="14"/>
      <c r="AN977" s="14"/>
      <c r="AO977" s="14"/>
    </row>
    <row r="978" spans="1:41" s="17" customFormat="1" x14ac:dyDescent="0.3">
      <c r="A978" s="13"/>
      <c r="B978" s="13"/>
      <c r="C978" s="13"/>
      <c r="D978" s="13"/>
      <c r="E978" s="14">
        <v>240</v>
      </c>
      <c r="F978" s="14"/>
      <c r="G978" s="14"/>
      <c r="H978" s="14"/>
      <c r="I978" s="14"/>
      <c r="J978" s="14"/>
      <c r="K978" s="14"/>
      <c r="L978" s="14"/>
      <c r="M978" s="14"/>
      <c r="N978" s="14"/>
      <c r="O978" s="15"/>
      <c r="P978" s="14"/>
      <c r="Q978" s="14"/>
      <c r="R978" s="16"/>
      <c r="S978" s="14"/>
      <c r="T978" s="14"/>
      <c r="U978" s="14"/>
      <c r="V978" s="14">
        <v>210</v>
      </c>
      <c r="W978" s="14">
        <v>450</v>
      </c>
      <c r="X978" s="14">
        <v>660</v>
      </c>
      <c r="Y978" s="24" t="e">
        <f>knicks_players_all_stats[[#This Row],[REB]]/knicks_players_all_stats[[#This Row],[GP]]</f>
        <v>#DIV/0!</v>
      </c>
      <c r="Z978" s="14"/>
      <c r="AA978" s="14"/>
      <c r="AB978" s="14"/>
      <c r="AC978" s="14">
        <v>350</v>
      </c>
      <c r="AD978" s="14"/>
      <c r="AE978" s="14">
        <v>70</v>
      </c>
      <c r="AF978" s="14"/>
      <c r="AG978" s="14"/>
      <c r="AH978" s="14">
        <v>380</v>
      </c>
      <c r="AI978" s="19" t="e">
        <f>knicks_players_all_stats[[#This Row],[BLKPG]]+knicks_players_all_stats[[#This Row],[STLPG]]+knicks_players_all_stats[[#This Row],[REBPG]]</f>
        <v>#DIV/0!</v>
      </c>
      <c r="AJ978" s="14"/>
      <c r="AK978" s="14"/>
      <c r="AL978" s="14"/>
      <c r="AM978" s="14"/>
      <c r="AN978" s="14"/>
      <c r="AO978" s="14"/>
    </row>
    <row r="979" spans="1:41" s="14" customFormat="1" x14ac:dyDescent="0.3">
      <c r="A979" s="13"/>
      <c r="B979" s="13"/>
      <c r="C979" s="13"/>
      <c r="D979" s="13"/>
      <c r="E979" s="14">
        <v>250</v>
      </c>
      <c r="O979" s="15"/>
      <c r="R979" s="16"/>
      <c r="V979" s="14">
        <v>270</v>
      </c>
      <c r="W979" s="14">
        <v>610</v>
      </c>
      <c r="X979" s="14">
        <v>880</v>
      </c>
      <c r="Y979" s="24" t="e">
        <f>knicks_players_all_stats[[#This Row],[REB]]/knicks_players_all_stats[[#This Row],[GP]]</f>
        <v>#DIV/0!</v>
      </c>
      <c r="AC979" s="14">
        <v>720</v>
      </c>
      <c r="AE979" s="14">
        <v>50</v>
      </c>
      <c r="AH979" s="14">
        <v>620</v>
      </c>
      <c r="AI979" s="19" t="e">
        <f>knicks_players_all_stats[[#This Row],[BLKPG]]+knicks_players_all_stats[[#This Row],[STLPG]]+knicks_players_all_stats[[#This Row],[REBPG]]</f>
        <v>#DIV/0!</v>
      </c>
    </row>
    <row r="980" spans="1:41" s="14" customFormat="1" x14ac:dyDescent="0.3">
      <c r="A980" s="13"/>
      <c r="B980" s="13"/>
      <c r="C980" s="13"/>
      <c r="D980" s="13"/>
      <c r="E980" s="14">
        <v>260</v>
      </c>
      <c r="O980" s="15"/>
      <c r="R980" s="16"/>
      <c r="X980" s="14">
        <v>480</v>
      </c>
      <c r="Y980" s="24" t="e">
        <f>knicks_players_all_stats[[#This Row],[REB]]/knicks_players_all_stats[[#This Row],[GP]]</f>
        <v>#DIV/0!</v>
      </c>
      <c r="AI980" s="19" t="e">
        <f>knicks_players_all_stats[[#This Row],[BLKPG]]+knicks_players_all_stats[[#This Row],[STLPG]]+knicks_players_all_stats[[#This Row],[REBPG]]</f>
        <v>#DIV/0!</v>
      </c>
    </row>
    <row r="981" spans="1:41" s="14" customFormat="1" x14ac:dyDescent="0.3">
      <c r="A981" s="13"/>
      <c r="B981" s="13"/>
      <c r="C981" s="13"/>
      <c r="D981" s="13"/>
      <c r="E981" s="14">
        <v>270</v>
      </c>
      <c r="O981" s="15"/>
      <c r="R981" s="16"/>
      <c r="X981" s="14">
        <v>830</v>
      </c>
      <c r="Y981" s="24" t="e">
        <f>knicks_players_all_stats[[#This Row],[REB]]/knicks_players_all_stats[[#This Row],[GP]]</f>
        <v>#DIV/0!</v>
      </c>
      <c r="AI981" s="19" t="e">
        <f>knicks_players_all_stats[[#This Row],[BLKPG]]+knicks_players_all_stats[[#This Row],[STLPG]]+knicks_players_all_stats[[#This Row],[REBPG]]</f>
        <v>#DIV/0!</v>
      </c>
    </row>
    <row r="982" spans="1:41" s="14" customFormat="1" x14ac:dyDescent="0.3">
      <c r="A982" s="13"/>
      <c r="B982" s="13"/>
      <c r="C982" s="13"/>
      <c r="D982" s="13"/>
      <c r="E982" s="14">
        <v>290</v>
      </c>
      <c r="O982" s="15"/>
      <c r="R982" s="16"/>
      <c r="V982" s="14">
        <v>510</v>
      </c>
      <c r="W982" s="14">
        <v>1280</v>
      </c>
      <c r="X982" s="14">
        <v>1790</v>
      </c>
      <c r="Y982" s="24" t="e">
        <f>knicks_players_all_stats[[#This Row],[REB]]/knicks_players_all_stats[[#This Row],[GP]]</f>
        <v>#DIV/0!</v>
      </c>
      <c r="AC982" s="14">
        <v>220</v>
      </c>
      <c r="AE982" s="14">
        <v>710</v>
      </c>
      <c r="AH982" s="14">
        <v>480</v>
      </c>
      <c r="AI982" s="19" t="e">
        <f>knicks_players_all_stats[[#This Row],[BLKPG]]+knicks_players_all_stats[[#This Row],[STLPG]]+knicks_players_all_stats[[#This Row],[REBPG]]</f>
        <v>#DIV/0!</v>
      </c>
    </row>
    <row r="983" spans="1:41" s="14" customFormat="1" x14ac:dyDescent="0.3">
      <c r="A983" s="13"/>
      <c r="B983" s="13"/>
      <c r="C983" s="13"/>
      <c r="D983" s="13"/>
      <c r="E983" s="14">
        <v>240</v>
      </c>
      <c r="O983" s="15"/>
      <c r="R983" s="16"/>
      <c r="X983" s="14">
        <v>1670</v>
      </c>
      <c r="Y983" s="24" t="e">
        <f>knicks_players_all_stats[[#This Row],[REB]]/knicks_players_all_stats[[#This Row],[GP]]</f>
        <v>#DIV/0!</v>
      </c>
      <c r="AI983" s="19" t="e">
        <f>knicks_players_all_stats[[#This Row],[BLKPG]]+knicks_players_all_stats[[#This Row],[STLPG]]+knicks_players_all_stats[[#This Row],[REBPG]]</f>
        <v>#DIV/0!</v>
      </c>
    </row>
    <row r="984" spans="1:41" s="14" customFormat="1" x14ac:dyDescent="0.3">
      <c r="A984" s="13"/>
      <c r="B984" s="13"/>
      <c r="C984" s="13"/>
      <c r="D984" s="13"/>
      <c r="E984" s="14">
        <v>250</v>
      </c>
      <c r="O984" s="15"/>
      <c r="R984" s="16"/>
      <c r="X984" s="14">
        <v>750</v>
      </c>
      <c r="Y984" s="24" t="e">
        <f>knicks_players_all_stats[[#This Row],[REB]]/knicks_players_all_stats[[#This Row],[GP]]</f>
        <v>#DIV/0!</v>
      </c>
      <c r="AI984" s="19" t="e">
        <f>knicks_players_all_stats[[#This Row],[BLKPG]]+knicks_players_all_stats[[#This Row],[STLPG]]+knicks_players_all_stats[[#This Row],[REBPG]]</f>
        <v>#DIV/0!</v>
      </c>
    </row>
    <row r="985" spans="1:41" s="14" customFormat="1" x14ac:dyDescent="0.3">
      <c r="A985" s="13"/>
      <c r="B985" s="13"/>
      <c r="C985" s="13"/>
      <c r="D985" s="13"/>
      <c r="E985" s="14">
        <v>240</v>
      </c>
      <c r="O985" s="15"/>
      <c r="R985" s="16"/>
      <c r="V985" s="14">
        <v>700</v>
      </c>
      <c r="W985" s="14">
        <v>860</v>
      </c>
      <c r="X985" s="14">
        <v>1560</v>
      </c>
      <c r="Y985" s="24" t="e">
        <f>knicks_players_all_stats[[#This Row],[REB]]/knicks_players_all_stats[[#This Row],[GP]]</f>
        <v>#DIV/0!</v>
      </c>
      <c r="AC985" s="14">
        <v>610</v>
      </c>
      <c r="AE985" s="14">
        <v>250</v>
      </c>
      <c r="AH985" s="14">
        <v>840</v>
      </c>
      <c r="AI985" s="19" t="e">
        <f>knicks_players_all_stats[[#This Row],[BLKPG]]+knicks_players_all_stats[[#This Row],[STLPG]]+knicks_players_all_stats[[#This Row],[REBPG]]</f>
        <v>#DIV/0!</v>
      </c>
    </row>
    <row r="986" spans="1:41" s="17" customFormat="1" x14ac:dyDescent="0.3">
      <c r="A986" s="13"/>
      <c r="B986" s="13"/>
      <c r="C986" s="13"/>
      <c r="D986" s="13"/>
      <c r="E986" s="14">
        <v>260</v>
      </c>
      <c r="F986" s="14"/>
      <c r="G986" s="14"/>
      <c r="H986" s="14"/>
      <c r="I986" s="14"/>
      <c r="J986" s="14"/>
      <c r="K986" s="14"/>
      <c r="L986" s="14"/>
      <c r="M986" s="14"/>
      <c r="N986" s="14"/>
      <c r="O986" s="15"/>
      <c r="P986" s="14"/>
      <c r="Q986" s="14"/>
      <c r="R986" s="16"/>
      <c r="S986" s="14"/>
      <c r="T986" s="14"/>
      <c r="U986" s="14"/>
      <c r="V986" s="14">
        <v>30</v>
      </c>
      <c r="W986" s="14">
        <v>20</v>
      </c>
      <c r="X986" s="14">
        <v>50</v>
      </c>
      <c r="Y986" s="24" t="e">
        <f>knicks_players_all_stats[[#This Row],[REB]]/knicks_players_all_stats[[#This Row],[GP]]</f>
        <v>#DIV/0!</v>
      </c>
      <c r="Z986" s="14"/>
      <c r="AA986" s="14"/>
      <c r="AB986" s="14"/>
      <c r="AC986" s="14">
        <v>40</v>
      </c>
      <c r="AD986" s="14"/>
      <c r="AE986" s="14">
        <v>20</v>
      </c>
      <c r="AF986" s="14"/>
      <c r="AG986" s="14"/>
      <c r="AH986" s="14">
        <v>40</v>
      </c>
      <c r="AI986" s="19" t="e">
        <f>knicks_players_all_stats[[#This Row],[BLKPG]]+knicks_players_all_stats[[#This Row],[STLPG]]+knicks_players_all_stats[[#This Row],[REBPG]]</f>
        <v>#DIV/0!</v>
      </c>
      <c r="AJ986" s="14"/>
      <c r="AK986" s="14"/>
      <c r="AL986" s="14"/>
      <c r="AM986" s="14"/>
      <c r="AN986" s="14"/>
      <c r="AO986" s="14"/>
    </row>
    <row r="987" spans="1:41" s="17" customFormat="1" x14ac:dyDescent="0.3">
      <c r="A987" s="13"/>
      <c r="B987" s="13"/>
      <c r="C987" s="13"/>
      <c r="D987" s="13"/>
      <c r="E987" s="14">
        <v>280</v>
      </c>
      <c r="F987" s="14"/>
      <c r="G987" s="14"/>
      <c r="H987" s="14"/>
      <c r="I987" s="14"/>
      <c r="J987" s="14"/>
      <c r="K987" s="14"/>
      <c r="L987" s="14"/>
      <c r="M987" s="14"/>
      <c r="N987" s="14"/>
      <c r="O987" s="15"/>
      <c r="P987" s="14"/>
      <c r="Q987" s="14"/>
      <c r="R987" s="16"/>
      <c r="S987" s="14"/>
      <c r="T987" s="14"/>
      <c r="U987" s="14"/>
      <c r="V987" s="14">
        <v>1650</v>
      </c>
      <c r="W987" s="14">
        <v>2280</v>
      </c>
      <c r="X987" s="14">
        <v>3930</v>
      </c>
      <c r="Y987" s="24" t="e">
        <f>knicks_players_all_stats[[#This Row],[REB]]/knicks_players_all_stats[[#This Row],[GP]]</f>
        <v>#DIV/0!</v>
      </c>
      <c r="Z987" s="14"/>
      <c r="AA987" s="14"/>
      <c r="AB987" s="14"/>
      <c r="AC987" s="14">
        <v>640</v>
      </c>
      <c r="AD987" s="14"/>
      <c r="AE987" s="14">
        <v>360</v>
      </c>
      <c r="AF987" s="14"/>
      <c r="AG987" s="14"/>
      <c r="AH987" s="14">
        <v>1360</v>
      </c>
      <c r="AI987" s="19" t="e">
        <f>knicks_players_all_stats[[#This Row],[BLKPG]]+knicks_players_all_stats[[#This Row],[STLPG]]+knicks_players_all_stats[[#This Row],[REBPG]]</f>
        <v>#DIV/0!</v>
      </c>
      <c r="AJ987" s="14"/>
      <c r="AK987" s="14"/>
      <c r="AL987" s="14"/>
      <c r="AM987" s="14"/>
      <c r="AN987" s="14"/>
      <c r="AO987" s="14"/>
    </row>
    <row r="988" spans="1:41" s="17" customFormat="1" x14ac:dyDescent="0.3">
      <c r="A988" s="13"/>
      <c r="B988" s="13"/>
      <c r="C988" s="13"/>
      <c r="D988" s="13"/>
      <c r="E988" s="14">
        <v>290</v>
      </c>
      <c r="F988" s="14"/>
      <c r="G988" s="14"/>
      <c r="H988" s="14"/>
      <c r="I988" s="14"/>
      <c r="J988" s="14"/>
      <c r="K988" s="14"/>
      <c r="L988" s="14"/>
      <c r="M988" s="14"/>
      <c r="N988" s="14"/>
      <c r="O988" s="15"/>
      <c r="P988" s="14"/>
      <c r="Q988" s="14"/>
      <c r="R988" s="16"/>
      <c r="S988" s="14"/>
      <c r="T988" s="14"/>
      <c r="U988" s="14"/>
      <c r="V988" s="14">
        <v>1750</v>
      </c>
      <c r="W988" s="14">
        <v>2260</v>
      </c>
      <c r="X988" s="14">
        <v>4010</v>
      </c>
      <c r="Y988" s="24" t="e">
        <f>knicks_players_all_stats[[#This Row],[REB]]/knicks_players_all_stats[[#This Row],[GP]]</f>
        <v>#DIV/0!</v>
      </c>
      <c r="Z988" s="14"/>
      <c r="AA988" s="14"/>
      <c r="AB988" s="14"/>
      <c r="AC988" s="14">
        <v>400</v>
      </c>
      <c r="AD988" s="14"/>
      <c r="AE988" s="14">
        <v>130</v>
      </c>
      <c r="AF988" s="14"/>
      <c r="AG988" s="14"/>
      <c r="AH988" s="14">
        <v>1270</v>
      </c>
      <c r="AI988" s="19" t="e">
        <f>knicks_players_all_stats[[#This Row],[BLKPG]]+knicks_players_all_stats[[#This Row],[STLPG]]+knicks_players_all_stats[[#This Row],[REBPG]]</f>
        <v>#DIV/0!</v>
      </c>
      <c r="AJ988" s="14"/>
      <c r="AK988" s="14"/>
      <c r="AL988" s="14"/>
      <c r="AM988" s="14"/>
      <c r="AN988" s="14"/>
      <c r="AO988" s="14"/>
    </row>
    <row r="989" spans="1:41" s="17" customFormat="1" x14ac:dyDescent="0.3">
      <c r="A989" s="13"/>
      <c r="B989" s="13"/>
      <c r="C989" s="13"/>
      <c r="D989" s="13"/>
      <c r="E989" s="14">
        <v>300</v>
      </c>
      <c r="F989" s="14"/>
      <c r="G989" s="14"/>
      <c r="H989" s="14"/>
      <c r="I989" s="14"/>
      <c r="J989" s="14"/>
      <c r="K989" s="14"/>
      <c r="L989" s="14"/>
      <c r="M989" s="14"/>
      <c r="N989" s="14"/>
      <c r="O989" s="15"/>
      <c r="P989" s="14"/>
      <c r="Q989" s="14"/>
      <c r="R989" s="16"/>
      <c r="S989" s="14"/>
      <c r="T989" s="14"/>
      <c r="U989" s="14"/>
      <c r="V989" s="14">
        <v>910</v>
      </c>
      <c r="W989" s="14">
        <v>1930</v>
      </c>
      <c r="X989" s="14">
        <v>2840</v>
      </c>
      <c r="Y989" s="24" t="e">
        <f>knicks_players_all_stats[[#This Row],[REB]]/knicks_players_all_stats[[#This Row],[GP]]</f>
        <v>#DIV/0!</v>
      </c>
      <c r="Z989" s="14"/>
      <c r="AA989" s="14"/>
      <c r="AB989" s="14"/>
      <c r="AC989" s="14">
        <v>340</v>
      </c>
      <c r="AD989" s="14"/>
      <c r="AE989" s="14">
        <v>100</v>
      </c>
      <c r="AF989" s="14"/>
      <c r="AG989" s="14"/>
      <c r="AH989" s="14">
        <v>890</v>
      </c>
      <c r="AI989" s="19" t="e">
        <f>knicks_players_all_stats[[#This Row],[BLKPG]]+knicks_players_all_stats[[#This Row],[STLPG]]+knicks_players_all_stats[[#This Row],[REBPG]]</f>
        <v>#DIV/0!</v>
      </c>
      <c r="AJ989" s="14"/>
      <c r="AK989" s="14"/>
      <c r="AL989" s="14"/>
      <c r="AM989" s="14"/>
      <c r="AN989" s="14"/>
      <c r="AO989" s="14"/>
    </row>
    <row r="990" spans="1:41" s="14" customFormat="1" x14ac:dyDescent="0.3">
      <c r="A990" s="13"/>
      <c r="B990" s="13"/>
      <c r="C990" s="13"/>
      <c r="D990" s="13"/>
      <c r="E990" s="14">
        <v>310</v>
      </c>
      <c r="O990" s="15"/>
      <c r="R990" s="16"/>
      <c r="V990" s="14">
        <v>870</v>
      </c>
      <c r="W990" s="14">
        <v>2930</v>
      </c>
      <c r="X990" s="14">
        <v>3800</v>
      </c>
      <c r="Y990" s="24" t="e">
        <f>knicks_players_all_stats[[#This Row],[REB]]/knicks_players_all_stats[[#This Row],[GP]]</f>
        <v>#DIV/0!</v>
      </c>
      <c r="AC990" s="14">
        <v>420</v>
      </c>
      <c r="AE990" s="14">
        <v>70</v>
      </c>
      <c r="AH990" s="14">
        <v>940</v>
      </c>
      <c r="AI990" s="19" t="e">
        <f>knicks_players_all_stats[[#This Row],[BLKPG]]+knicks_players_all_stats[[#This Row],[STLPG]]+knicks_players_all_stats[[#This Row],[REBPG]]</f>
        <v>#DIV/0!</v>
      </c>
    </row>
    <row r="991" spans="1:41" s="14" customFormat="1" x14ac:dyDescent="0.3">
      <c r="A991" s="18"/>
      <c r="B991" s="18"/>
      <c r="C991" s="18"/>
      <c r="D991" s="18"/>
      <c r="E991" s="14">
        <v>220</v>
      </c>
      <c r="F991" s="17"/>
      <c r="G991" s="17"/>
      <c r="H991" s="17"/>
      <c r="I991" s="19"/>
      <c r="J991" s="17"/>
      <c r="K991" s="17"/>
      <c r="L991" s="20"/>
      <c r="M991" s="17"/>
      <c r="N991" s="17"/>
      <c r="O991" s="20"/>
      <c r="P991" s="17"/>
      <c r="Q991" s="17"/>
      <c r="R991" s="21"/>
      <c r="S991" s="17"/>
      <c r="T991" s="17"/>
      <c r="U991" s="17"/>
      <c r="V991" s="14">
        <v>210</v>
      </c>
      <c r="W991" s="14">
        <v>570</v>
      </c>
      <c r="X991" s="14">
        <v>780</v>
      </c>
      <c r="Y991" s="24" t="e">
        <f>knicks_players_all_stats[[#This Row],[REB]]/knicks_players_all_stats[[#This Row],[GP]]</f>
        <v>#DIV/0!</v>
      </c>
      <c r="Z991" s="17"/>
      <c r="AA991" s="17"/>
      <c r="AB991" s="17"/>
      <c r="AC991" s="17">
        <v>280</v>
      </c>
      <c r="AD991" s="17"/>
      <c r="AE991" s="14">
        <v>80</v>
      </c>
      <c r="AF991" s="17"/>
      <c r="AG991" s="17"/>
      <c r="AH991" s="14">
        <v>580</v>
      </c>
      <c r="AI991" s="19" t="e">
        <f>knicks_players_all_stats[[#This Row],[BLKPG]]+knicks_players_all_stats[[#This Row],[STLPG]]+knicks_players_all_stats[[#This Row],[REBPG]]</f>
        <v>#DIV/0!</v>
      </c>
      <c r="AJ991" s="17"/>
      <c r="AK991" s="17"/>
      <c r="AL991" s="17"/>
      <c r="AM991" s="17"/>
      <c r="AN991" s="17"/>
      <c r="AO991" s="17"/>
    </row>
    <row r="992" spans="1:41" s="17" customFormat="1" x14ac:dyDescent="0.3">
      <c r="A992" s="13"/>
      <c r="B992" s="13"/>
      <c r="C992" s="13"/>
      <c r="D992" s="13"/>
      <c r="E992" s="14">
        <v>230</v>
      </c>
      <c r="F992" s="14"/>
      <c r="G992" s="14"/>
      <c r="H992" s="14"/>
      <c r="I992" s="14"/>
      <c r="J992" s="14"/>
      <c r="K992" s="14"/>
      <c r="L992" s="14"/>
      <c r="M992" s="14"/>
      <c r="N992" s="14"/>
      <c r="O992" s="15"/>
      <c r="P992" s="14"/>
      <c r="Q992" s="14"/>
      <c r="R992" s="16"/>
      <c r="S992" s="14"/>
      <c r="T992" s="14"/>
      <c r="U992" s="14"/>
      <c r="V992" s="14"/>
      <c r="W992" s="14"/>
      <c r="X992" s="14">
        <v>1500</v>
      </c>
      <c r="Y992" s="24" t="e">
        <f>knicks_players_all_stats[[#This Row],[REB]]/knicks_players_all_stats[[#This Row],[GP]]</f>
        <v>#DIV/0!</v>
      </c>
      <c r="Z992" s="14"/>
      <c r="AA992" s="14"/>
      <c r="AB992" s="14"/>
      <c r="AC992" s="14"/>
      <c r="AD992" s="14"/>
      <c r="AE992" s="14"/>
      <c r="AF992" s="14"/>
      <c r="AG992" s="14"/>
      <c r="AH992" s="14"/>
      <c r="AI992" s="19" t="e">
        <f>knicks_players_all_stats[[#This Row],[BLKPG]]+knicks_players_all_stats[[#This Row],[STLPG]]+knicks_players_all_stats[[#This Row],[REBPG]]</f>
        <v>#DIV/0!</v>
      </c>
      <c r="AJ992" s="14"/>
      <c r="AK992" s="14"/>
      <c r="AL992" s="14"/>
      <c r="AM992" s="14"/>
      <c r="AN992" s="14"/>
      <c r="AO992" s="14"/>
    </row>
    <row r="993" spans="1:41" s="14" customFormat="1" x14ac:dyDescent="0.3">
      <c r="A993" s="13"/>
      <c r="B993" s="13"/>
      <c r="C993" s="13"/>
      <c r="D993" s="13"/>
      <c r="E993" s="14">
        <v>240</v>
      </c>
      <c r="O993" s="15"/>
      <c r="R993" s="16"/>
      <c r="V993" s="14">
        <v>1100</v>
      </c>
      <c r="W993" s="14">
        <v>2330</v>
      </c>
      <c r="X993" s="14">
        <v>3430</v>
      </c>
      <c r="Y993" s="24" t="e">
        <f>knicks_players_all_stats[[#This Row],[REB]]/knicks_players_all_stats[[#This Row],[GP]]</f>
        <v>#DIV/0!</v>
      </c>
      <c r="AC993" s="14">
        <v>230</v>
      </c>
      <c r="AE993" s="14">
        <v>420</v>
      </c>
      <c r="AI993" s="19" t="e">
        <f>knicks_players_all_stats[[#This Row],[BLKPG]]+knicks_players_all_stats[[#This Row],[STLPG]]+knicks_players_all_stats[[#This Row],[REBPG]]</f>
        <v>#DIV/0!</v>
      </c>
    </row>
    <row r="994" spans="1:41" s="14" customFormat="1" x14ac:dyDescent="0.3">
      <c r="A994" s="13"/>
      <c r="B994" s="13"/>
      <c r="C994" s="13"/>
      <c r="D994" s="13"/>
      <c r="E994" s="14">
        <v>250</v>
      </c>
      <c r="O994" s="15"/>
      <c r="R994" s="16"/>
      <c r="V994" s="14">
        <v>2140</v>
      </c>
      <c r="W994" s="14">
        <v>4750</v>
      </c>
      <c r="X994" s="14">
        <v>6890</v>
      </c>
      <c r="Y994" s="24" t="e">
        <f>knicks_players_all_stats[[#This Row],[REB]]/knicks_players_all_stats[[#This Row],[GP]]</f>
        <v>#DIV/0!</v>
      </c>
      <c r="AC994" s="14">
        <v>380</v>
      </c>
      <c r="AE994" s="14">
        <v>1180</v>
      </c>
      <c r="AI994" s="19" t="e">
        <f>knicks_players_all_stats[[#This Row],[BLKPG]]+knicks_players_all_stats[[#This Row],[STLPG]]+knicks_players_all_stats[[#This Row],[REBPG]]</f>
        <v>#DIV/0!</v>
      </c>
    </row>
    <row r="995" spans="1:41" s="14" customFormat="1" x14ac:dyDescent="0.3">
      <c r="A995" s="13"/>
      <c r="B995" s="13"/>
      <c r="C995" s="13"/>
      <c r="D995" s="13"/>
      <c r="E995" s="14">
        <v>260</v>
      </c>
      <c r="O995" s="15"/>
      <c r="R995" s="16"/>
      <c r="V995" s="14">
        <v>1870</v>
      </c>
      <c r="W995" s="14">
        <v>3650</v>
      </c>
      <c r="X995" s="14">
        <v>5520</v>
      </c>
      <c r="Y995" s="24" t="e">
        <f>knicks_players_all_stats[[#This Row],[REB]]/knicks_players_all_stats[[#This Row],[GP]]</f>
        <v>#DIV/0!</v>
      </c>
      <c r="AC995" s="14">
        <v>250</v>
      </c>
      <c r="AE995" s="14">
        <v>620</v>
      </c>
      <c r="AI995" s="19" t="e">
        <f>knicks_players_all_stats[[#This Row],[BLKPG]]+knicks_players_all_stats[[#This Row],[STLPG]]+knicks_players_all_stats[[#This Row],[REBPG]]</f>
        <v>#DIV/0!</v>
      </c>
    </row>
    <row r="996" spans="1:41" s="14" customFormat="1" x14ac:dyDescent="0.3">
      <c r="A996" s="13"/>
      <c r="B996" s="13"/>
      <c r="C996" s="13"/>
      <c r="D996" s="13"/>
      <c r="E996" s="14">
        <v>270</v>
      </c>
      <c r="O996" s="15"/>
      <c r="R996" s="16"/>
      <c r="V996" s="14">
        <v>600</v>
      </c>
      <c r="W996" s="14">
        <v>1180</v>
      </c>
      <c r="X996" s="14">
        <v>1780</v>
      </c>
      <c r="Y996" s="24" t="e">
        <f>knicks_players_all_stats[[#This Row],[REB]]/knicks_players_all_stats[[#This Row],[GP]]</f>
        <v>#DIV/0!</v>
      </c>
      <c r="AC996" s="14">
        <v>140</v>
      </c>
      <c r="AE996" s="14">
        <v>280</v>
      </c>
      <c r="AI996" s="19" t="e">
        <f>knicks_players_all_stats[[#This Row],[BLKPG]]+knicks_players_all_stats[[#This Row],[STLPG]]+knicks_players_all_stats[[#This Row],[REBPG]]</f>
        <v>#DIV/0!</v>
      </c>
    </row>
    <row r="997" spans="1:41" s="17" customFormat="1" x14ac:dyDescent="0.3">
      <c r="A997" s="13"/>
      <c r="B997" s="13"/>
      <c r="C997" s="13"/>
      <c r="D997" s="13"/>
      <c r="E997" s="14">
        <v>260</v>
      </c>
      <c r="F997" s="14"/>
      <c r="G997" s="14"/>
      <c r="H997" s="14"/>
      <c r="I997" s="14"/>
      <c r="J997" s="14"/>
      <c r="K997" s="14"/>
      <c r="L997" s="14"/>
      <c r="M997" s="14"/>
      <c r="N997" s="14"/>
      <c r="O997" s="15"/>
      <c r="P997" s="14"/>
      <c r="Q997" s="14"/>
      <c r="R997" s="16"/>
      <c r="S997" s="14"/>
      <c r="T997" s="14"/>
      <c r="U997" s="14"/>
      <c r="V997" s="14"/>
      <c r="W997" s="14"/>
      <c r="X997" s="14">
        <v>720</v>
      </c>
      <c r="Y997" s="24" t="e">
        <f>knicks_players_all_stats[[#This Row],[REB]]/knicks_players_all_stats[[#This Row],[GP]]</f>
        <v>#DIV/0!</v>
      </c>
      <c r="Z997" s="14"/>
      <c r="AA997" s="14"/>
      <c r="AB997" s="14"/>
      <c r="AC997" s="14"/>
      <c r="AD997" s="14"/>
      <c r="AE997" s="14"/>
      <c r="AF997" s="14"/>
      <c r="AG997" s="14"/>
      <c r="AH997" s="14"/>
      <c r="AI997" s="19" t="e">
        <f>knicks_players_all_stats[[#This Row],[BLKPG]]+knicks_players_all_stats[[#This Row],[STLPG]]+knicks_players_all_stats[[#This Row],[REBPG]]</f>
        <v>#DIV/0!</v>
      </c>
      <c r="AJ997" s="14"/>
      <c r="AK997" s="14"/>
      <c r="AL997" s="14"/>
      <c r="AM997" s="14"/>
      <c r="AN997" s="14"/>
      <c r="AO997" s="14"/>
    </row>
    <row r="998" spans="1:41" s="14" customFormat="1" x14ac:dyDescent="0.3">
      <c r="A998" s="13"/>
      <c r="B998" s="13"/>
      <c r="C998" s="13"/>
      <c r="D998" s="13"/>
      <c r="E998" s="14">
        <v>240</v>
      </c>
      <c r="O998" s="15"/>
      <c r="R998" s="16"/>
      <c r="V998" s="14">
        <v>30</v>
      </c>
      <c r="W998" s="14">
        <v>40</v>
      </c>
      <c r="X998" s="14">
        <v>70</v>
      </c>
      <c r="Y998" s="24" t="e">
        <f>knicks_players_all_stats[[#This Row],[REB]]/knicks_players_all_stats[[#This Row],[GP]]</f>
        <v>#DIV/0!</v>
      </c>
      <c r="AC998" s="14">
        <v>10</v>
      </c>
      <c r="AE998" s="14">
        <v>0</v>
      </c>
      <c r="AH998" s="14">
        <v>30</v>
      </c>
      <c r="AI998" s="19" t="e">
        <f>knicks_players_all_stats[[#This Row],[BLKPG]]+knicks_players_all_stats[[#This Row],[STLPG]]+knicks_players_all_stats[[#This Row],[REBPG]]</f>
        <v>#DIV/0!</v>
      </c>
    </row>
    <row r="999" spans="1:41" s="14" customFormat="1" x14ac:dyDescent="0.3">
      <c r="A999" s="13"/>
      <c r="B999" s="13"/>
      <c r="C999" s="13"/>
      <c r="D999" s="13"/>
      <c r="E999" s="14">
        <v>310</v>
      </c>
      <c r="O999" s="15"/>
      <c r="R999" s="16"/>
      <c r="X999" s="14">
        <v>1970</v>
      </c>
      <c r="Y999" s="24" t="e">
        <f>knicks_players_all_stats[[#This Row],[REB]]/knicks_players_all_stats[[#This Row],[GP]]</f>
        <v>#DIV/0!</v>
      </c>
      <c r="AI999" s="19" t="e">
        <f>knicks_players_all_stats[[#This Row],[BLKPG]]+knicks_players_all_stats[[#This Row],[STLPG]]+knicks_players_all_stats[[#This Row],[REBPG]]</f>
        <v>#DIV/0!</v>
      </c>
    </row>
    <row r="1000" spans="1:41" s="14" customFormat="1" x14ac:dyDescent="0.3">
      <c r="A1000" s="13"/>
      <c r="B1000" s="13"/>
      <c r="C1000" s="13"/>
      <c r="D1000" s="13"/>
      <c r="E1000" s="14">
        <v>320</v>
      </c>
      <c r="O1000" s="15"/>
      <c r="R1000" s="16"/>
      <c r="X1000" s="14">
        <v>320</v>
      </c>
      <c r="Y1000" s="24" t="e">
        <f>knicks_players_all_stats[[#This Row],[REB]]/knicks_players_all_stats[[#This Row],[GP]]</f>
        <v>#DIV/0!</v>
      </c>
      <c r="AI1000" s="19" t="e">
        <f>knicks_players_all_stats[[#This Row],[BLKPG]]+knicks_players_all_stats[[#This Row],[STLPG]]+knicks_players_all_stats[[#This Row],[REBPG]]</f>
        <v>#DIV/0!</v>
      </c>
    </row>
    <row r="1001" spans="1:41" s="14" customFormat="1" x14ac:dyDescent="0.3">
      <c r="A1001" s="13"/>
      <c r="B1001" s="13"/>
      <c r="C1001" s="13"/>
      <c r="D1001" s="13"/>
      <c r="E1001" s="14">
        <v>320</v>
      </c>
      <c r="O1001" s="15"/>
      <c r="R1001" s="16"/>
      <c r="X1001" s="14">
        <v>4690</v>
      </c>
      <c r="Y1001" s="24" t="e">
        <f>knicks_players_all_stats[[#This Row],[REB]]/knicks_players_all_stats[[#This Row],[GP]]</f>
        <v>#DIV/0!</v>
      </c>
      <c r="AI1001" s="19" t="e">
        <f>knicks_players_all_stats[[#This Row],[BLKPG]]+knicks_players_all_stats[[#This Row],[STLPG]]+knicks_players_all_stats[[#This Row],[REBPG]]</f>
        <v>#DIV/0!</v>
      </c>
    </row>
    <row r="1002" spans="1:41" s="17" customFormat="1" x14ac:dyDescent="0.3">
      <c r="A1002" s="13"/>
      <c r="B1002" s="13"/>
      <c r="C1002" s="13"/>
      <c r="D1002" s="13"/>
      <c r="E1002" s="14">
        <v>330</v>
      </c>
      <c r="F1002" s="14"/>
      <c r="G1002" s="14"/>
      <c r="H1002" s="14"/>
      <c r="I1002" s="14"/>
      <c r="J1002" s="14"/>
      <c r="K1002" s="14"/>
      <c r="L1002" s="14"/>
      <c r="M1002" s="14"/>
      <c r="N1002" s="14"/>
      <c r="O1002" s="15"/>
      <c r="P1002" s="14"/>
      <c r="Q1002" s="14"/>
      <c r="R1002" s="16"/>
      <c r="S1002" s="14"/>
      <c r="T1002" s="14"/>
      <c r="U1002" s="14"/>
      <c r="V1002" s="14"/>
      <c r="W1002" s="14"/>
      <c r="X1002" s="14">
        <v>1560</v>
      </c>
      <c r="Y1002" s="24" t="e">
        <f>knicks_players_all_stats[[#This Row],[REB]]/knicks_players_all_stats[[#This Row],[GP]]</f>
        <v>#DIV/0!</v>
      </c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9" t="e">
        <f>knicks_players_all_stats[[#This Row],[BLKPG]]+knicks_players_all_stats[[#This Row],[STLPG]]+knicks_players_all_stats[[#This Row],[REBPG]]</f>
        <v>#DIV/0!</v>
      </c>
      <c r="AJ1002" s="14"/>
      <c r="AK1002" s="14"/>
      <c r="AL1002" s="14"/>
      <c r="AM1002" s="14"/>
      <c r="AN1002" s="14"/>
      <c r="AO1002" s="14"/>
    </row>
    <row r="1003" spans="1:41" s="14" customFormat="1" x14ac:dyDescent="0.3">
      <c r="A1003" s="13"/>
      <c r="B1003" s="13"/>
      <c r="C1003" s="13"/>
      <c r="D1003" s="13"/>
      <c r="E1003" s="14">
        <v>270</v>
      </c>
      <c r="O1003" s="15"/>
      <c r="R1003" s="16"/>
      <c r="V1003" s="14">
        <v>10</v>
      </c>
      <c r="W1003" s="14">
        <v>0</v>
      </c>
      <c r="X1003" s="14">
        <v>10</v>
      </c>
      <c r="Y1003" s="24" t="e">
        <f>knicks_players_all_stats[[#This Row],[REB]]/knicks_players_all_stats[[#This Row],[GP]]</f>
        <v>#DIV/0!</v>
      </c>
      <c r="AC1003" s="14">
        <v>0</v>
      </c>
      <c r="AE1003" s="14">
        <v>0</v>
      </c>
      <c r="AH1003" s="14">
        <v>0</v>
      </c>
      <c r="AI1003" s="19" t="e">
        <f>knicks_players_all_stats[[#This Row],[BLKPG]]+knicks_players_all_stats[[#This Row],[STLPG]]+knicks_players_all_stats[[#This Row],[REBPG]]</f>
        <v>#DIV/0!</v>
      </c>
    </row>
    <row r="1004" spans="1:41" s="14" customFormat="1" x14ac:dyDescent="0.3">
      <c r="A1004" s="13"/>
      <c r="B1004" s="13"/>
      <c r="C1004" s="13"/>
      <c r="D1004" s="13"/>
      <c r="E1004" s="14">
        <v>270</v>
      </c>
      <c r="O1004" s="15"/>
      <c r="R1004" s="16"/>
      <c r="V1004" s="14">
        <v>100</v>
      </c>
      <c r="W1004" s="14">
        <v>160</v>
      </c>
      <c r="X1004" s="14">
        <v>260</v>
      </c>
      <c r="Y1004" s="24" t="e">
        <f>knicks_players_all_stats[[#This Row],[REB]]/knicks_players_all_stats[[#This Row],[GP]]</f>
        <v>#DIV/0!</v>
      </c>
      <c r="AC1004" s="14">
        <v>70</v>
      </c>
      <c r="AE1004" s="14">
        <v>10</v>
      </c>
      <c r="AI1004" s="19" t="e">
        <f>knicks_players_all_stats[[#This Row],[BLKPG]]+knicks_players_all_stats[[#This Row],[STLPG]]+knicks_players_all_stats[[#This Row],[REBPG]]</f>
        <v>#DIV/0!</v>
      </c>
    </row>
    <row r="1005" spans="1:41" s="14" customFormat="1" x14ac:dyDescent="0.3">
      <c r="A1005" s="13"/>
      <c r="B1005" s="13"/>
      <c r="C1005" s="13"/>
      <c r="D1005" s="13"/>
      <c r="E1005" s="14">
        <v>230</v>
      </c>
      <c r="O1005" s="15"/>
      <c r="R1005" s="16"/>
      <c r="Y1005" s="24" t="e">
        <f>knicks_players_all_stats[[#This Row],[REB]]/knicks_players_all_stats[[#This Row],[GP]]</f>
        <v>#DIV/0!</v>
      </c>
      <c r="AI1005" s="19" t="e">
        <f>knicks_players_all_stats[[#This Row],[BLKPG]]+knicks_players_all_stats[[#This Row],[STLPG]]+knicks_players_all_stats[[#This Row],[REBPG]]</f>
        <v>#DIV/0!</v>
      </c>
    </row>
    <row r="1006" spans="1:41" s="14" customFormat="1" x14ac:dyDescent="0.3">
      <c r="A1006" s="13"/>
      <c r="B1006" s="13"/>
      <c r="C1006" s="13"/>
      <c r="D1006" s="13"/>
      <c r="E1006" s="14">
        <v>250</v>
      </c>
      <c r="O1006" s="15"/>
      <c r="R1006" s="16"/>
      <c r="X1006" s="14">
        <v>4610</v>
      </c>
      <c r="Y1006" s="24" t="e">
        <f>knicks_players_all_stats[[#This Row],[REB]]/knicks_players_all_stats[[#This Row],[GP]]</f>
        <v>#DIV/0!</v>
      </c>
      <c r="AI1006" s="19" t="e">
        <f>knicks_players_all_stats[[#This Row],[BLKPG]]+knicks_players_all_stats[[#This Row],[STLPG]]+knicks_players_all_stats[[#This Row],[REBPG]]</f>
        <v>#DIV/0!</v>
      </c>
    </row>
    <row r="1007" spans="1:41" s="14" customFormat="1" x14ac:dyDescent="0.3">
      <c r="A1007" s="13"/>
      <c r="B1007" s="13"/>
      <c r="C1007" s="13"/>
      <c r="D1007" s="13"/>
      <c r="E1007" s="14">
        <v>260</v>
      </c>
      <c r="O1007" s="15"/>
      <c r="R1007" s="16"/>
      <c r="X1007" s="14">
        <v>2440</v>
      </c>
      <c r="Y1007" s="24" t="e">
        <f>knicks_players_all_stats[[#This Row],[REB]]/knicks_players_all_stats[[#This Row],[GP]]</f>
        <v>#DIV/0!</v>
      </c>
      <c r="AI1007" s="19" t="e">
        <f>knicks_players_all_stats[[#This Row],[BLKPG]]+knicks_players_all_stats[[#This Row],[STLPG]]+knicks_players_all_stats[[#This Row],[REBPG]]</f>
        <v>#DIV/0!</v>
      </c>
    </row>
    <row r="1008" spans="1:41" s="14" customFormat="1" x14ac:dyDescent="0.3">
      <c r="A1008" s="18"/>
      <c r="B1008" s="18"/>
      <c r="C1008" s="18"/>
      <c r="D1008" s="18"/>
      <c r="E1008" s="14">
        <v>310</v>
      </c>
      <c r="F1008" s="17"/>
      <c r="G1008" s="17"/>
      <c r="H1008" s="17"/>
      <c r="I1008" s="19"/>
      <c r="J1008" s="17"/>
      <c r="K1008" s="17"/>
      <c r="L1008" s="17"/>
      <c r="M1008" s="17"/>
      <c r="N1008" s="17"/>
      <c r="O1008" s="20"/>
      <c r="P1008" s="17"/>
      <c r="Q1008" s="17"/>
      <c r="R1008" s="21"/>
      <c r="S1008" s="17"/>
      <c r="T1008" s="17"/>
      <c r="U1008" s="17"/>
      <c r="V1008" s="14">
        <v>210</v>
      </c>
      <c r="W1008" s="14">
        <v>960</v>
      </c>
      <c r="X1008" s="14">
        <v>1170</v>
      </c>
      <c r="Y1008" s="24" t="e">
        <f>knicks_players_all_stats[[#This Row],[REB]]/knicks_players_all_stats[[#This Row],[GP]]</f>
        <v>#DIV/0!</v>
      </c>
      <c r="Z1008" s="17"/>
      <c r="AA1008" s="17"/>
      <c r="AB1008" s="17"/>
      <c r="AC1008" s="17">
        <v>170</v>
      </c>
      <c r="AD1008" s="17"/>
      <c r="AE1008" s="14">
        <v>70</v>
      </c>
      <c r="AF1008" s="17"/>
      <c r="AG1008" s="17"/>
      <c r="AH1008" s="14">
        <v>240</v>
      </c>
      <c r="AI1008" s="19" t="e">
        <f>knicks_players_all_stats[[#This Row],[BLKPG]]+knicks_players_all_stats[[#This Row],[STLPG]]+knicks_players_all_stats[[#This Row],[REBPG]]</f>
        <v>#DIV/0!</v>
      </c>
      <c r="AJ1008" s="17"/>
      <c r="AK1008" s="17"/>
      <c r="AL1008" s="17"/>
      <c r="AM1008" s="17"/>
      <c r="AN1008" s="17"/>
      <c r="AO1008" s="17"/>
    </row>
    <row r="1009" spans="1:41" s="14" customFormat="1" x14ac:dyDescent="0.3">
      <c r="A1009" s="13"/>
      <c r="B1009" s="13"/>
      <c r="C1009" s="13"/>
      <c r="D1009" s="13"/>
      <c r="E1009" s="14">
        <v>280</v>
      </c>
      <c r="O1009" s="15"/>
      <c r="R1009" s="16"/>
      <c r="X1009" s="14">
        <v>2770</v>
      </c>
      <c r="Y1009" s="24" t="e">
        <f>knicks_players_all_stats[[#This Row],[REB]]/knicks_players_all_stats[[#This Row],[GP]]</f>
        <v>#DIV/0!</v>
      </c>
      <c r="AI1009" s="19" t="e">
        <f>knicks_players_all_stats[[#This Row],[BLKPG]]+knicks_players_all_stats[[#This Row],[STLPG]]+knicks_players_all_stats[[#This Row],[REBPG]]</f>
        <v>#DIV/0!</v>
      </c>
    </row>
    <row r="1010" spans="1:41" s="14" customFormat="1" x14ac:dyDescent="0.3">
      <c r="A1010" s="13"/>
      <c r="B1010" s="13"/>
      <c r="C1010" s="13"/>
      <c r="D1010" s="13"/>
      <c r="E1010" s="14">
        <v>240</v>
      </c>
      <c r="O1010" s="15"/>
      <c r="R1010" s="16"/>
      <c r="V1010" s="14">
        <v>60</v>
      </c>
      <c r="W1010" s="14">
        <v>400</v>
      </c>
      <c r="X1010" s="14">
        <v>460</v>
      </c>
      <c r="Y1010" s="24" t="e">
        <f>knicks_players_all_stats[[#This Row],[REB]]/knicks_players_all_stats[[#This Row],[GP]]</f>
        <v>#DIV/0!</v>
      </c>
      <c r="AC1010" s="14">
        <v>200</v>
      </c>
      <c r="AE1010" s="14">
        <v>30</v>
      </c>
      <c r="AH1010" s="14">
        <v>490</v>
      </c>
      <c r="AI1010" s="19" t="e">
        <f>knicks_players_all_stats[[#This Row],[BLKPG]]+knicks_players_all_stats[[#This Row],[STLPG]]+knicks_players_all_stats[[#This Row],[REBPG]]</f>
        <v>#DIV/0!</v>
      </c>
    </row>
    <row r="1011" spans="1:41" s="14" customFormat="1" x14ac:dyDescent="0.3">
      <c r="A1011" s="13"/>
      <c r="B1011" s="13"/>
      <c r="C1011" s="13"/>
      <c r="D1011" s="13"/>
      <c r="E1011" s="14">
        <v>230</v>
      </c>
      <c r="O1011" s="15"/>
      <c r="R1011" s="16"/>
      <c r="X1011" s="14">
        <v>570</v>
      </c>
      <c r="Y1011" s="24" t="e">
        <f>knicks_players_all_stats[[#This Row],[REB]]/knicks_players_all_stats[[#This Row],[GP]]</f>
        <v>#DIV/0!</v>
      </c>
      <c r="AI1011" s="19" t="e">
        <f>knicks_players_all_stats[[#This Row],[BLKPG]]+knicks_players_all_stats[[#This Row],[STLPG]]+knicks_players_all_stats[[#This Row],[REBPG]]</f>
        <v>#DIV/0!</v>
      </c>
    </row>
    <row r="1012" spans="1:41" s="14" customFormat="1" x14ac:dyDescent="0.3">
      <c r="A1012" s="13"/>
      <c r="B1012" s="13"/>
      <c r="C1012" s="13"/>
      <c r="D1012" s="13"/>
      <c r="E1012" s="14">
        <v>240</v>
      </c>
      <c r="O1012" s="15"/>
      <c r="R1012" s="16"/>
      <c r="X1012" s="14">
        <v>1940</v>
      </c>
      <c r="Y1012" s="24" t="e">
        <f>knicks_players_all_stats[[#This Row],[REB]]/knicks_players_all_stats[[#This Row],[GP]]</f>
        <v>#DIV/0!</v>
      </c>
      <c r="AI1012" s="19" t="e">
        <f>knicks_players_all_stats[[#This Row],[BLKPG]]+knicks_players_all_stats[[#This Row],[STLPG]]+knicks_players_all_stats[[#This Row],[REBPG]]</f>
        <v>#DIV/0!</v>
      </c>
    </row>
    <row r="1013" spans="1:41" s="17" customFormat="1" x14ac:dyDescent="0.3">
      <c r="A1013" s="13"/>
      <c r="B1013" s="13"/>
      <c r="C1013" s="13"/>
      <c r="D1013" s="13"/>
      <c r="E1013" s="14">
        <v>250</v>
      </c>
      <c r="F1013" s="14"/>
      <c r="G1013" s="14"/>
      <c r="H1013" s="14"/>
      <c r="I1013" s="14"/>
      <c r="J1013" s="14"/>
      <c r="K1013" s="14"/>
      <c r="L1013" s="14"/>
      <c r="M1013" s="14"/>
      <c r="N1013" s="14"/>
      <c r="O1013" s="15"/>
      <c r="P1013" s="14"/>
      <c r="Q1013" s="14"/>
      <c r="R1013" s="16"/>
      <c r="S1013" s="14"/>
      <c r="T1013" s="14"/>
      <c r="U1013" s="14"/>
      <c r="V1013" s="14"/>
      <c r="W1013" s="14"/>
      <c r="X1013" s="14">
        <v>1690</v>
      </c>
      <c r="Y1013" s="24" t="e">
        <f>knicks_players_all_stats[[#This Row],[REB]]/knicks_players_all_stats[[#This Row],[GP]]</f>
        <v>#DIV/0!</v>
      </c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9" t="e">
        <f>knicks_players_all_stats[[#This Row],[BLKPG]]+knicks_players_all_stats[[#This Row],[STLPG]]+knicks_players_all_stats[[#This Row],[REBPG]]</f>
        <v>#DIV/0!</v>
      </c>
      <c r="AJ1013" s="14"/>
      <c r="AK1013" s="14"/>
      <c r="AL1013" s="14"/>
      <c r="AM1013" s="14"/>
      <c r="AN1013" s="14"/>
      <c r="AO1013" s="14"/>
    </row>
    <row r="1014" spans="1:41" s="17" customFormat="1" x14ac:dyDescent="0.3">
      <c r="A1014" s="13"/>
      <c r="B1014" s="13"/>
      <c r="C1014" s="13"/>
      <c r="D1014" s="13"/>
      <c r="E1014" s="14">
        <v>260</v>
      </c>
      <c r="F1014" s="14"/>
      <c r="G1014" s="14"/>
      <c r="H1014" s="14"/>
      <c r="I1014" s="14"/>
      <c r="J1014" s="14"/>
      <c r="K1014" s="14"/>
      <c r="L1014" s="14"/>
      <c r="M1014" s="14"/>
      <c r="N1014" s="14"/>
      <c r="O1014" s="15"/>
      <c r="P1014" s="14"/>
      <c r="Q1014" s="14"/>
      <c r="R1014" s="16"/>
      <c r="S1014" s="14"/>
      <c r="T1014" s="14"/>
      <c r="U1014" s="14"/>
      <c r="V1014" s="14"/>
      <c r="W1014" s="14"/>
      <c r="X1014" s="14">
        <v>10</v>
      </c>
      <c r="Y1014" s="24" t="e">
        <f>knicks_players_all_stats[[#This Row],[REB]]/knicks_players_all_stats[[#This Row],[GP]]</f>
        <v>#DIV/0!</v>
      </c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9" t="e">
        <f>knicks_players_all_stats[[#This Row],[BLKPG]]+knicks_players_all_stats[[#This Row],[STLPG]]+knicks_players_all_stats[[#This Row],[REBPG]]</f>
        <v>#DIV/0!</v>
      </c>
      <c r="AJ1014" s="14"/>
      <c r="AK1014" s="14"/>
      <c r="AL1014" s="14"/>
      <c r="AM1014" s="14"/>
      <c r="AN1014" s="14"/>
      <c r="AO1014" s="14"/>
    </row>
    <row r="1015" spans="1:41" s="17" customFormat="1" x14ac:dyDescent="0.3">
      <c r="A1015" s="13"/>
      <c r="B1015" s="13"/>
      <c r="C1015" s="13"/>
      <c r="D1015" s="13"/>
      <c r="E1015" s="14">
        <v>260</v>
      </c>
      <c r="F1015" s="14"/>
      <c r="G1015" s="14"/>
      <c r="H1015" s="14"/>
      <c r="I1015" s="14"/>
      <c r="J1015" s="14"/>
      <c r="K1015" s="14"/>
      <c r="L1015" s="14"/>
      <c r="M1015" s="14"/>
      <c r="N1015" s="14"/>
      <c r="O1015" s="15"/>
      <c r="P1015" s="14"/>
      <c r="Q1015" s="14"/>
      <c r="R1015" s="16"/>
      <c r="S1015" s="14"/>
      <c r="T1015" s="14"/>
      <c r="U1015" s="14"/>
      <c r="V1015" s="14"/>
      <c r="W1015" s="14"/>
      <c r="X1015" s="14">
        <v>1870</v>
      </c>
      <c r="Y1015" s="24" t="e">
        <f>knicks_players_all_stats[[#This Row],[REB]]/knicks_players_all_stats[[#This Row],[GP]]</f>
        <v>#DIV/0!</v>
      </c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9" t="e">
        <f>knicks_players_all_stats[[#This Row],[BLKPG]]+knicks_players_all_stats[[#This Row],[STLPG]]+knicks_players_all_stats[[#This Row],[REBPG]]</f>
        <v>#DIV/0!</v>
      </c>
      <c r="AJ1015" s="14"/>
      <c r="AK1015" s="14"/>
      <c r="AL1015" s="14"/>
      <c r="AM1015" s="14"/>
      <c r="AN1015" s="14"/>
      <c r="AO1015" s="14"/>
    </row>
    <row r="1016" spans="1:41" s="17" customFormat="1" x14ac:dyDescent="0.3">
      <c r="A1016" s="13"/>
      <c r="B1016" s="13"/>
      <c r="C1016" s="13"/>
      <c r="D1016" s="13"/>
      <c r="E1016" s="14">
        <v>270</v>
      </c>
      <c r="F1016" s="14"/>
      <c r="G1016" s="14"/>
      <c r="H1016" s="14"/>
      <c r="I1016" s="14"/>
      <c r="J1016" s="14"/>
      <c r="K1016" s="14"/>
      <c r="L1016" s="14"/>
      <c r="M1016" s="14"/>
      <c r="N1016" s="14"/>
      <c r="O1016" s="15"/>
      <c r="P1016" s="14"/>
      <c r="Q1016" s="14"/>
      <c r="R1016" s="16"/>
      <c r="S1016" s="14"/>
      <c r="T1016" s="14"/>
      <c r="U1016" s="14"/>
      <c r="V1016" s="14"/>
      <c r="W1016" s="14"/>
      <c r="X1016" s="14">
        <v>10</v>
      </c>
      <c r="Y1016" s="24" t="e">
        <f>knicks_players_all_stats[[#This Row],[REB]]/knicks_players_all_stats[[#This Row],[GP]]</f>
        <v>#DIV/0!</v>
      </c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9" t="e">
        <f>knicks_players_all_stats[[#This Row],[BLKPG]]+knicks_players_all_stats[[#This Row],[STLPG]]+knicks_players_all_stats[[#This Row],[REBPG]]</f>
        <v>#DIV/0!</v>
      </c>
      <c r="AJ1016" s="14"/>
      <c r="AK1016" s="14"/>
      <c r="AL1016" s="14"/>
      <c r="AM1016" s="14"/>
      <c r="AN1016" s="14"/>
      <c r="AO1016" s="14"/>
    </row>
    <row r="1017" spans="1:41" s="17" customFormat="1" x14ac:dyDescent="0.3">
      <c r="A1017" s="13"/>
      <c r="B1017" s="13"/>
      <c r="C1017" s="13"/>
      <c r="D1017" s="13"/>
      <c r="E1017" s="14">
        <v>290</v>
      </c>
      <c r="F1017" s="14"/>
      <c r="G1017" s="14"/>
      <c r="H1017" s="14"/>
      <c r="I1017" s="14"/>
      <c r="J1017" s="14"/>
      <c r="K1017" s="14"/>
      <c r="L1017" s="14"/>
      <c r="M1017" s="14"/>
      <c r="N1017" s="14"/>
      <c r="O1017" s="15"/>
      <c r="P1017" s="14"/>
      <c r="Q1017" s="14"/>
      <c r="R1017" s="16"/>
      <c r="S1017" s="14"/>
      <c r="T1017" s="14"/>
      <c r="U1017" s="14"/>
      <c r="V1017" s="14"/>
      <c r="W1017" s="14"/>
      <c r="X1017" s="14"/>
      <c r="Y1017" s="24" t="e">
        <f>knicks_players_all_stats[[#This Row],[REB]]/knicks_players_all_stats[[#This Row],[GP]]</f>
        <v>#DIV/0!</v>
      </c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9" t="e">
        <f>knicks_players_all_stats[[#This Row],[BLKPG]]+knicks_players_all_stats[[#This Row],[STLPG]]+knicks_players_all_stats[[#This Row],[REBPG]]</f>
        <v>#DIV/0!</v>
      </c>
      <c r="AJ1017" s="14"/>
      <c r="AK1017" s="14"/>
      <c r="AL1017" s="14"/>
      <c r="AM1017" s="14"/>
      <c r="AN1017" s="14"/>
      <c r="AO1017" s="14"/>
    </row>
    <row r="1018" spans="1:41" s="17" customFormat="1" x14ac:dyDescent="0.3">
      <c r="A1018" s="13"/>
      <c r="B1018" s="13"/>
      <c r="C1018" s="13"/>
      <c r="D1018" s="13"/>
      <c r="E1018" s="14">
        <v>220</v>
      </c>
      <c r="F1018" s="14"/>
      <c r="G1018" s="14"/>
      <c r="H1018" s="14"/>
      <c r="I1018" s="14"/>
      <c r="J1018" s="14"/>
      <c r="K1018" s="14"/>
      <c r="L1018" s="14"/>
      <c r="M1018" s="14"/>
      <c r="N1018" s="14"/>
      <c r="O1018" s="15"/>
      <c r="P1018" s="14"/>
      <c r="Q1018" s="14"/>
      <c r="R1018" s="16"/>
      <c r="S1018" s="14"/>
      <c r="T1018" s="14"/>
      <c r="U1018" s="14"/>
      <c r="V1018" s="14">
        <v>310</v>
      </c>
      <c r="W1018" s="14">
        <v>340</v>
      </c>
      <c r="X1018" s="14">
        <v>650</v>
      </c>
      <c r="Y1018" s="24" t="e">
        <f>knicks_players_all_stats[[#This Row],[REB]]/knicks_players_all_stats[[#This Row],[GP]]</f>
        <v>#DIV/0!</v>
      </c>
      <c r="Z1018" s="14"/>
      <c r="AA1018" s="14"/>
      <c r="AB1018" s="14"/>
      <c r="AC1018" s="14">
        <v>120</v>
      </c>
      <c r="AD1018" s="14"/>
      <c r="AE1018" s="14">
        <v>50</v>
      </c>
      <c r="AF1018" s="14"/>
      <c r="AG1018" s="14"/>
      <c r="AH1018" s="14">
        <v>280</v>
      </c>
      <c r="AI1018" s="19" t="e">
        <f>knicks_players_all_stats[[#This Row],[BLKPG]]+knicks_players_all_stats[[#This Row],[STLPG]]+knicks_players_all_stats[[#This Row],[REBPG]]</f>
        <v>#DIV/0!</v>
      </c>
      <c r="AJ1018" s="14"/>
      <c r="AK1018" s="14"/>
      <c r="AL1018" s="14"/>
      <c r="AM1018" s="14"/>
      <c r="AN1018" s="14"/>
      <c r="AO1018" s="14"/>
    </row>
    <row r="1019" spans="1:41" s="17" customFormat="1" x14ac:dyDescent="0.3">
      <c r="A1019" s="13"/>
      <c r="B1019" s="13"/>
      <c r="C1019" s="13"/>
      <c r="D1019" s="13"/>
      <c r="E1019" s="14">
        <v>280</v>
      </c>
      <c r="F1019" s="14"/>
      <c r="G1019" s="14"/>
      <c r="H1019" s="14"/>
      <c r="I1019" s="14"/>
      <c r="J1019" s="14"/>
      <c r="K1019" s="14"/>
      <c r="L1019" s="14"/>
      <c r="M1019" s="14"/>
      <c r="N1019" s="14"/>
      <c r="O1019" s="15"/>
      <c r="P1019" s="14"/>
      <c r="Q1019" s="14"/>
      <c r="R1019" s="16"/>
      <c r="S1019" s="14"/>
      <c r="T1019" s="14"/>
      <c r="U1019" s="14"/>
      <c r="V1019" s="14"/>
      <c r="W1019" s="14"/>
      <c r="X1019" s="14">
        <v>4910</v>
      </c>
      <c r="Y1019" s="24" t="e">
        <f>knicks_players_all_stats[[#This Row],[REB]]/knicks_players_all_stats[[#This Row],[GP]]</f>
        <v>#DIV/0!</v>
      </c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9" t="e">
        <f>knicks_players_all_stats[[#This Row],[BLKPG]]+knicks_players_all_stats[[#This Row],[STLPG]]+knicks_players_all_stats[[#This Row],[REBPG]]</f>
        <v>#DIV/0!</v>
      </c>
      <c r="AJ1019" s="14"/>
      <c r="AK1019" s="14"/>
      <c r="AL1019" s="14"/>
      <c r="AM1019" s="14"/>
      <c r="AN1019" s="14"/>
      <c r="AO1019" s="14"/>
    </row>
    <row r="1020" spans="1:41" s="17" customFormat="1" x14ac:dyDescent="0.3">
      <c r="A1020" s="13"/>
      <c r="B1020" s="13"/>
      <c r="C1020" s="13"/>
      <c r="D1020" s="13"/>
      <c r="E1020" s="14">
        <v>290</v>
      </c>
      <c r="F1020" s="14"/>
      <c r="G1020" s="14"/>
      <c r="H1020" s="14"/>
      <c r="I1020" s="14"/>
      <c r="J1020" s="14"/>
      <c r="K1020" s="14"/>
      <c r="L1020" s="14"/>
      <c r="M1020" s="14"/>
      <c r="N1020" s="14"/>
      <c r="O1020" s="15"/>
      <c r="P1020" s="14"/>
      <c r="Q1020" s="14"/>
      <c r="R1020" s="16"/>
      <c r="S1020" s="14"/>
      <c r="T1020" s="14"/>
      <c r="U1020" s="14"/>
      <c r="V1020" s="14"/>
      <c r="W1020" s="14"/>
      <c r="X1020" s="14">
        <v>7310</v>
      </c>
      <c r="Y1020" s="24" t="e">
        <f>knicks_players_all_stats[[#This Row],[REB]]/knicks_players_all_stats[[#This Row],[GP]]</f>
        <v>#DIV/0!</v>
      </c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9" t="e">
        <f>knicks_players_all_stats[[#This Row],[BLKPG]]+knicks_players_all_stats[[#This Row],[STLPG]]+knicks_players_all_stats[[#This Row],[REBPG]]</f>
        <v>#DIV/0!</v>
      </c>
      <c r="AJ1020" s="14"/>
      <c r="AK1020" s="14"/>
      <c r="AL1020" s="14"/>
      <c r="AM1020" s="14"/>
      <c r="AN1020" s="14"/>
      <c r="AO1020" s="14"/>
    </row>
    <row r="1021" spans="1:41" s="17" customFormat="1" x14ac:dyDescent="0.3">
      <c r="A1021" s="13"/>
      <c r="B1021" s="13"/>
      <c r="C1021" s="13"/>
      <c r="D1021" s="13"/>
      <c r="E1021" s="14">
        <v>300</v>
      </c>
      <c r="F1021" s="14"/>
      <c r="G1021" s="14"/>
      <c r="H1021" s="14"/>
      <c r="I1021" s="14"/>
      <c r="J1021" s="14"/>
      <c r="K1021" s="14"/>
      <c r="L1021" s="14"/>
      <c r="M1021" s="14"/>
      <c r="N1021" s="14"/>
      <c r="O1021" s="15"/>
      <c r="P1021" s="14"/>
      <c r="Q1021" s="14"/>
      <c r="R1021" s="16"/>
      <c r="S1021" s="14"/>
      <c r="T1021" s="14"/>
      <c r="U1021" s="14"/>
      <c r="V1021" s="14"/>
      <c r="W1021" s="14"/>
      <c r="X1021" s="14">
        <v>7610</v>
      </c>
      <c r="Y1021" s="24" t="e">
        <f>knicks_players_all_stats[[#This Row],[REB]]/knicks_players_all_stats[[#This Row],[GP]]</f>
        <v>#DIV/0!</v>
      </c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9" t="e">
        <f>knicks_players_all_stats[[#This Row],[BLKPG]]+knicks_players_all_stats[[#This Row],[STLPG]]+knicks_players_all_stats[[#This Row],[REBPG]]</f>
        <v>#DIV/0!</v>
      </c>
      <c r="AJ1021" s="14"/>
      <c r="AK1021" s="14"/>
      <c r="AL1021" s="14"/>
      <c r="AM1021" s="14"/>
      <c r="AN1021" s="14"/>
      <c r="AO1021" s="14"/>
    </row>
    <row r="1022" spans="1:41" s="17" customFormat="1" x14ac:dyDescent="0.3">
      <c r="A1022" s="13"/>
      <c r="B1022" s="13"/>
      <c r="C1022" s="13"/>
      <c r="D1022" s="13"/>
      <c r="E1022" s="14">
        <v>310</v>
      </c>
      <c r="F1022" s="14"/>
      <c r="G1022" s="14"/>
      <c r="H1022" s="14"/>
      <c r="I1022" s="14"/>
      <c r="J1022" s="14"/>
      <c r="K1022" s="14"/>
      <c r="L1022" s="14"/>
      <c r="M1022" s="14"/>
      <c r="N1022" s="14"/>
      <c r="O1022" s="15"/>
      <c r="P1022" s="14"/>
      <c r="Q1022" s="14"/>
      <c r="R1022" s="16"/>
      <c r="S1022" s="14"/>
      <c r="T1022" s="14"/>
      <c r="U1022" s="14"/>
      <c r="V1022" s="14"/>
      <c r="W1022" s="14"/>
      <c r="X1022" s="14">
        <v>5280</v>
      </c>
      <c r="Y1022" s="24" t="e">
        <f>knicks_players_all_stats[[#This Row],[REB]]/knicks_players_all_stats[[#This Row],[GP]]</f>
        <v>#DIV/0!</v>
      </c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9" t="e">
        <f>knicks_players_all_stats[[#This Row],[BLKPG]]+knicks_players_all_stats[[#This Row],[STLPG]]+knicks_players_all_stats[[#This Row],[REBPG]]</f>
        <v>#DIV/0!</v>
      </c>
      <c r="AJ1022" s="14"/>
      <c r="AK1022" s="14"/>
      <c r="AL1022" s="14"/>
      <c r="AM1022" s="14"/>
      <c r="AN1022" s="14"/>
      <c r="AO1022" s="14"/>
    </row>
    <row r="1023" spans="1:41" s="17" customFormat="1" x14ac:dyDescent="0.3">
      <c r="A1023" s="13"/>
      <c r="B1023" s="13"/>
      <c r="C1023" s="13"/>
      <c r="D1023" s="13"/>
      <c r="E1023" s="14">
        <v>320</v>
      </c>
      <c r="F1023" s="14"/>
      <c r="G1023" s="14"/>
      <c r="H1023" s="14"/>
      <c r="I1023" s="14"/>
      <c r="J1023" s="14"/>
      <c r="K1023" s="14"/>
      <c r="L1023" s="14"/>
      <c r="M1023" s="14"/>
      <c r="N1023" s="14"/>
      <c r="O1023" s="15"/>
      <c r="P1023" s="14"/>
      <c r="Q1023" s="14"/>
      <c r="R1023" s="16"/>
      <c r="S1023" s="14"/>
      <c r="T1023" s="14"/>
      <c r="U1023" s="14"/>
      <c r="V1023" s="14"/>
      <c r="W1023" s="14"/>
      <c r="X1023" s="14">
        <v>6120</v>
      </c>
      <c r="Y1023" s="24" t="e">
        <f>knicks_players_all_stats[[#This Row],[REB]]/knicks_players_all_stats[[#This Row],[GP]]</f>
        <v>#DIV/0!</v>
      </c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9" t="e">
        <f>knicks_players_all_stats[[#This Row],[BLKPG]]+knicks_players_all_stats[[#This Row],[STLPG]]+knicks_players_all_stats[[#This Row],[REBPG]]</f>
        <v>#DIV/0!</v>
      </c>
      <c r="AJ1023" s="14"/>
      <c r="AK1023" s="14"/>
      <c r="AL1023" s="14"/>
      <c r="AM1023" s="14"/>
      <c r="AN1023" s="14"/>
      <c r="AO1023" s="14"/>
    </row>
    <row r="1024" spans="1:41" s="17" customFormat="1" x14ac:dyDescent="0.3">
      <c r="A1024" s="13"/>
      <c r="B1024" s="13"/>
      <c r="C1024" s="13"/>
      <c r="D1024" s="13"/>
      <c r="E1024" s="14">
        <v>330</v>
      </c>
      <c r="F1024" s="14"/>
      <c r="G1024" s="14"/>
      <c r="H1024" s="14"/>
      <c r="I1024" s="14"/>
      <c r="J1024" s="14"/>
      <c r="K1024" s="14"/>
      <c r="L1024" s="14"/>
      <c r="M1024" s="14"/>
      <c r="N1024" s="14"/>
      <c r="O1024" s="15"/>
      <c r="P1024" s="14"/>
      <c r="Q1024" s="14"/>
      <c r="R1024" s="16"/>
      <c r="S1024" s="14"/>
      <c r="T1024" s="14"/>
      <c r="U1024" s="14"/>
      <c r="V1024" s="14"/>
      <c r="W1024" s="14"/>
      <c r="X1024" s="14">
        <v>3860</v>
      </c>
      <c r="Y1024" s="24" t="e">
        <f>knicks_players_all_stats[[#This Row],[REB]]/knicks_players_all_stats[[#This Row],[GP]]</f>
        <v>#DIV/0!</v>
      </c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9" t="e">
        <f>knicks_players_all_stats[[#This Row],[BLKPG]]+knicks_players_all_stats[[#This Row],[STLPG]]+knicks_players_all_stats[[#This Row],[REBPG]]</f>
        <v>#DIV/0!</v>
      </c>
      <c r="AJ1024" s="14"/>
      <c r="AK1024" s="14"/>
      <c r="AL1024" s="14"/>
      <c r="AM1024" s="14"/>
      <c r="AN1024" s="14"/>
      <c r="AO1024" s="14"/>
    </row>
    <row r="1025" spans="1:41" s="17" customFormat="1" x14ac:dyDescent="0.3">
      <c r="A1025" s="13"/>
      <c r="B1025" s="13"/>
      <c r="C1025" s="13"/>
      <c r="D1025" s="13"/>
      <c r="E1025" s="14">
        <v>340</v>
      </c>
      <c r="F1025" s="14"/>
      <c r="G1025" s="14"/>
      <c r="H1025" s="14"/>
      <c r="I1025" s="14"/>
      <c r="J1025" s="14"/>
      <c r="K1025" s="14"/>
      <c r="L1025" s="14"/>
      <c r="M1025" s="14"/>
      <c r="N1025" s="14"/>
      <c r="O1025" s="15"/>
      <c r="P1025" s="14"/>
      <c r="Q1025" s="14"/>
      <c r="R1025" s="16"/>
      <c r="S1025" s="14"/>
      <c r="T1025" s="14"/>
      <c r="U1025" s="14"/>
      <c r="V1025" s="14"/>
      <c r="W1025" s="14"/>
      <c r="X1025" s="14">
        <v>5570</v>
      </c>
      <c r="Y1025" s="24" t="e">
        <f>knicks_players_all_stats[[#This Row],[REB]]/knicks_players_all_stats[[#This Row],[GP]]</f>
        <v>#DIV/0!</v>
      </c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9" t="e">
        <f>knicks_players_all_stats[[#This Row],[BLKPG]]+knicks_players_all_stats[[#This Row],[STLPG]]+knicks_players_all_stats[[#This Row],[REBPG]]</f>
        <v>#DIV/0!</v>
      </c>
      <c r="AJ1025" s="14"/>
      <c r="AK1025" s="14"/>
      <c r="AL1025" s="14"/>
      <c r="AM1025" s="14"/>
      <c r="AN1025" s="14"/>
      <c r="AO1025" s="14"/>
    </row>
    <row r="1026" spans="1:41" s="14" customFormat="1" x14ac:dyDescent="0.3">
      <c r="A1026" s="13"/>
      <c r="B1026" s="13"/>
      <c r="C1026" s="13"/>
      <c r="D1026" s="13"/>
      <c r="E1026" s="14">
        <v>220</v>
      </c>
      <c r="O1026" s="15"/>
      <c r="R1026" s="16"/>
      <c r="X1026" s="14">
        <v>360</v>
      </c>
      <c r="Y1026" s="24" t="e">
        <f>knicks_players_all_stats[[#This Row],[REB]]/knicks_players_all_stats[[#This Row],[GP]]</f>
        <v>#DIV/0!</v>
      </c>
      <c r="AI1026" s="19" t="e">
        <f>knicks_players_all_stats[[#This Row],[BLKPG]]+knicks_players_all_stats[[#This Row],[STLPG]]+knicks_players_all_stats[[#This Row],[REBPG]]</f>
        <v>#DIV/0!</v>
      </c>
    </row>
    <row r="1027" spans="1:41" s="14" customFormat="1" x14ac:dyDescent="0.3">
      <c r="A1027" s="13"/>
      <c r="B1027" s="13"/>
      <c r="C1027" s="13"/>
      <c r="D1027" s="13"/>
      <c r="E1027" s="14">
        <v>220</v>
      </c>
      <c r="O1027" s="15"/>
      <c r="R1027" s="16"/>
      <c r="Y1027" s="24" t="e">
        <f>knicks_players_all_stats[[#This Row],[REB]]/knicks_players_all_stats[[#This Row],[GP]]</f>
        <v>#DIV/0!</v>
      </c>
      <c r="AI1027" s="19" t="e">
        <f>knicks_players_all_stats[[#This Row],[BLKPG]]+knicks_players_all_stats[[#This Row],[STLPG]]+knicks_players_all_stats[[#This Row],[REBPG]]</f>
        <v>#DIV/0!</v>
      </c>
    </row>
    <row r="1028" spans="1:41" s="14" customFormat="1" x14ac:dyDescent="0.3">
      <c r="A1028" s="13"/>
      <c r="B1028" s="13"/>
      <c r="C1028" s="13"/>
      <c r="D1028" s="13"/>
      <c r="E1028" s="14">
        <v>230</v>
      </c>
      <c r="O1028" s="15"/>
      <c r="R1028" s="16"/>
      <c r="Y1028" s="24" t="e">
        <f>knicks_players_all_stats[[#This Row],[REB]]/knicks_players_all_stats[[#This Row],[GP]]</f>
        <v>#DIV/0!</v>
      </c>
      <c r="AI1028" s="19" t="e">
        <f>knicks_players_all_stats[[#This Row],[BLKPG]]+knicks_players_all_stats[[#This Row],[STLPG]]+knicks_players_all_stats[[#This Row],[REBPG]]</f>
        <v>#DIV/0!</v>
      </c>
    </row>
    <row r="1029" spans="1:41" s="14" customFormat="1" x14ac:dyDescent="0.3">
      <c r="A1029" s="13"/>
      <c r="B1029" s="13"/>
      <c r="C1029" s="13"/>
      <c r="D1029" s="13"/>
      <c r="E1029" s="14">
        <v>240</v>
      </c>
      <c r="O1029" s="15"/>
      <c r="R1029" s="16"/>
      <c r="X1029" s="14">
        <v>8000</v>
      </c>
      <c r="Y1029" s="24" t="e">
        <f>knicks_players_all_stats[[#This Row],[REB]]/knicks_players_all_stats[[#This Row],[GP]]</f>
        <v>#DIV/0!</v>
      </c>
      <c r="AI1029" s="19" t="e">
        <f>knicks_players_all_stats[[#This Row],[BLKPG]]+knicks_players_all_stats[[#This Row],[STLPG]]+knicks_players_all_stats[[#This Row],[REBPG]]</f>
        <v>#DIV/0!</v>
      </c>
    </row>
    <row r="1030" spans="1:41" s="17" customFormat="1" x14ac:dyDescent="0.3">
      <c r="A1030" s="13"/>
      <c r="B1030" s="13"/>
      <c r="C1030" s="13"/>
      <c r="D1030" s="13"/>
      <c r="E1030" s="14">
        <v>250</v>
      </c>
      <c r="F1030" s="14"/>
      <c r="G1030" s="14"/>
      <c r="H1030" s="14"/>
      <c r="I1030" s="14"/>
      <c r="J1030" s="14"/>
      <c r="K1030" s="14"/>
      <c r="L1030" s="14"/>
      <c r="M1030" s="14"/>
      <c r="N1030" s="14"/>
      <c r="O1030" s="15"/>
      <c r="P1030" s="14"/>
      <c r="Q1030" s="14"/>
      <c r="R1030" s="16"/>
      <c r="S1030" s="14"/>
      <c r="T1030" s="14"/>
      <c r="U1030" s="14"/>
      <c r="V1030" s="14"/>
      <c r="W1030" s="14"/>
      <c r="X1030" s="14">
        <v>6610</v>
      </c>
      <c r="Y1030" s="24" t="e">
        <f>knicks_players_all_stats[[#This Row],[REB]]/knicks_players_all_stats[[#This Row],[GP]]</f>
        <v>#DIV/0!</v>
      </c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9" t="e">
        <f>knicks_players_all_stats[[#This Row],[BLKPG]]+knicks_players_all_stats[[#This Row],[STLPG]]+knicks_players_all_stats[[#This Row],[REBPG]]</f>
        <v>#DIV/0!</v>
      </c>
      <c r="AJ1030" s="14"/>
      <c r="AK1030" s="14"/>
      <c r="AL1030" s="14"/>
      <c r="AM1030" s="14"/>
      <c r="AN1030" s="14"/>
      <c r="AO1030" s="14"/>
    </row>
    <row r="1031" spans="1:41" s="14" customFormat="1" x14ac:dyDescent="0.3">
      <c r="A1031" s="13"/>
      <c r="B1031" s="13"/>
      <c r="C1031" s="13"/>
      <c r="D1031" s="13"/>
      <c r="E1031" s="14">
        <v>260</v>
      </c>
      <c r="O1031" s="15"/>
      <c r="R1031" s="16"/>
      <c r="X1031" s="14">
        <v>9160</v>
      </c>
      <c r="Y1031" s="24" t="e">
        <f>knicks_players_all_stats[[#This Row],[REB]]/knicks_players_all_stats[[#This Row],[GP]]</f>
        <v>#DIV/0!</v>
      </c>
      <c r="AI1031" s="19" t="e">
        <f>knicks_players_all_stats[[#This Row],[BLKPG]]+knicks_players_all_stats[[#This Row],[STLPG]]+knicks_players_all_stats[[#This Row],[REBPG]]</f>
        <v>#DIV/0!</v>
      </c>
    </row>
    <row r="1032" spans="1:41" s="14" customFormat="1" x14ac:dyDescent="0.3">
      <c r="A1032" s="13"/>
      <c r="B1032" s="13"/>
      <c r="C1032" s="13"/>
      <c r="D1032" s="13"/>
      <c r="E1032" s="14">
        <v>270</v>
      </c>
      <c r="O1032" s="15"/>
      <c r="R1032" s="16"/>
      <c r="X1032" s="14">
        <v>10980</v>
      </c>
      <c r="Y1032" s="24" t="e">
        <f>knicks_players_all_stats[[#This Row],[REB]]/knicks_players_all_stats[[#This Row],[GP]]</f>
        <v>#DIV/0!</v>
      </c>
      <c r="AI1032" s="19" t="e">
        <f>knicks_players_all_stats[[#This Row],[BLKPG]]+knicks_players_all_stats[[#This Row],[STLPG]]+knicks_players_all_stats[[#This Row],[REBPG]]</f>
        <v>#DIV/0!</v>
      </c>
    </row>
    <row r="1033" spans="1:41" s="14" customFormat="1" x14ac:dyDescent="0.3">
      <c r="A1033" s="13"/>
      <c r="B1033" s="13"/>
      <c r="C1033" s="13"/>
      <c r="D1033" s="13"/>
      <c r="E1033" s="14">
        <v>280</v>
      </c>
      <c r="O1033" s="15"/>
      <c r="R1033" s="16"/>
      <c r="X1033" s="14">
        <v>9950</v>
      </c>
      <c r="Y1033" s="24" t="e">
        <f>knicks_players_all_stats[[#This Row],[REB]]/knicks_players_all_stats[[#This Row],[GP]]</f>
        <v>#DIV/0!</v>
      </c>
      <c r="AI1033" s="19" t="e">
        <f>knicks_players_all_stats[[#This Row],[BLKPG]]+knicks_players_all_stats[[#This Row],[STLPG]]+knicks_players_all_stats[[#This Row],[REBPG]]</f>
        <v>#DIV/0!</v>
      </c>
    </row>
    <row r="1034" spans="1:41" s="14" customFormat="1" x14ac:dyDescent="0.3">
      <c r="A1034" s="13"/>
      <c r="B1034" s="13"/>
      <c r="C1034" s="13"/>
      <c r="D1034" s="13"/>
      <c r="E1034" s="14">
        <v>290</v>
      </c>
      <c r="O1034" s="15"/>
      <c r="R1034" s="16"/>
      <c r="X1034" s="14">
        <v>7400</v>
      </c>
      <c r="Y1034" s="24" t="e">
        <f>knicks_players_all_stats[[#This Row],[REB]]/knicks_players_all_stats[[#This Row],[GP]]</f>
        <v>#DIV/0!</v>
      </c>
      <c r="AI1034" s="19" t="e">
        <f>knicks_players_all_stats[[#This Row],[BLKPG]]+knicks_players_all_stats[[#This Row],[STLPG]]+knicks_players_all_stats[[#This Row],[REBPG]]</f>
        <v>#DIV/0!</v>
      </c>
    </row>
    <row r="1035" spans="1:41" s="14" customFormat="1" x14ac:dyDescent="0.3">
      <c r="A1035" s="13"/>
      <c r="B1035" s="13"/>
      <c r="C1035" s="13"/>
      <c r="D1035" s="13"/>
      <c r="E1035" s="14">
        <v>300</v>
      </c>
      <c r="O1035" s="15"/>
      <c r="R1035" s="16"/>
      <c r="X1035" s="14">
        <v>7250</v>
      </c>
      <c r="Y1035" s="24" t="e">
        <f>knicks_players_all_stats[[#This Row],[REB]]/knicks_players_all_stats[[#This Row],[GP]]</f>
        <v>#DIV/0!</v>
      </c>
      <c r="AI1035" s="19" t="e">
        <f>knicks_players_all_stats[[#This Row],[BLKPG]]+knicks_players_all_stats[[#This Row],[STLPG]]+knicks_players_all_stats[[#This Row],[REBPG]]</f>
        <v>#DIV/0!</v>
      </c>
    </row>
    <row r="1036" spans="1:41" s="14" customFormat="1" x14ac:dyDescent="0.3">
      <c r="A1036" s="13"/>
      <c r="B1036" s="13"/>
      <c r="C1036" s="13"/>
      <c r="D1036" s="13"/>
      <c r="E1036" s="14">
        <v>230</v>
      </c>
      <c r="O1036" s="15"/>
      <c r="R1036" s="16"/>
      <c r="X1036" s="14">
        <v>1830</v>
      </c>
      <c r="Y1036" s="24" t="e">
        <f>knicks_players_all_stats[[#This Row],[REB]]/knicks_players_all_stats[[#This Row],[GP]]</f>
        <v>#DIV/0!</v>
      </c>
      <c r="AI1036" s="19" t="e">
        <f>knicks_players_all_stats[[#This Row],[BLKPG]]+knicks_players_all_stats[[#This Row],[STLPG]]+knicks_players_all_stats[[#This Row],[REBPG]]</f>
        <v>#DIV/0!</v>
      </c>
    </row>
    <row r="1037" spans="1:41" s="14" customFormat="1" x14ac:dyDescent="0.3">
      <c r="A1037" s="13"/>
      <c r="B1037" s="13"/>
      <c r="C1037" s="13"/>
      <c r="D1037" s="13"/>
      <c r="E1037" s="14">
        <v>230</v>
      </c>
      <c r="O1037" s="15"/>
      <c r="R1037" s="16"/>
      <c r="X1037" s="14">
        <v>820</v>
      </c>
      <c r="Y1037" s="24" t="e">
        <f>knicks_players_all_stats[[#This Row],[REB]]/knicks_players_all_stats[[#This Row],[GP]]</f>
        <v>#DIV/0!</v>
      </c>
      <c r="AI1037" s="19" t="e">
        <f>knicks_players_all_stats[[#This Row],[BLKPG]]+knicks_players_all_stats[[#This Row],[STLPG]]+knicks_players_all_stats[[#This Row],[REBPG]]</f>
        <v>#DIV/0!</v>
      </c>
    </row>
    <row r="1038" spans="1:41" s="14" customFormat="1" x14ac:dyDescent="0.3">
      <c r="A1038" s="13"/>
      <c r="B1038" s="13"/>
      <c r="C1038" s="13"/>
      <c r="D1038" s="13"/>
      <c r="E1038" s="14">
        <v>240</v>
      </c>
      <c r="O1038" s="15"/>
      <c r="R1038" s="16"/>
      <c r="V1038" s="14">
        <v>480</v>
      </c>
      <c r="W1038" s="14">
        <v>850</v>
      </c>
      <c r="X1038" s="14">
        <v>1330</v>
      </c>
      <c r="Y1038" s="24" t="e">
        <f>knicks_players_all_stats[[#This Row],[REB]]/knicks_players_all_stats[[#This Row],[GP]]</f>
        <v>#DIV/0!</v>
      </c>
      <c r="AC1038" s="14">
        <v>650</v>
      </c>
      <c r="AE1038" s="14">
        <v>20</v>
      </c>
      <c r="AI1038" s="19" t="e">
        <f>knicks_players_all_stats[[#This Row],[BLKPG]]+knicks_players_all_stats[[#This Row],[STLPG]]+knicks_players_all_stats[[#This Row],[REBPG]]</f>
        <v>#DIV/0!</v>
      </c>
    </row>
    <row r="1039" spans="1:41" s="14" customFormat="1" x14ac:dyDescent="0.3">
      <c r="A1039" s="13"/>
      <c r="B1039" s="13"/>
      <c r="C1039" s="13"/>
      <c r="D1039" s="13"/>
      <c r="E1039" s="14">
        <v>250</v>
      </c>
      <c r="O1039" s="15"/>
      <c r="R1039" s="16"/>
      <c r="V1039" s="14">
        <v>290</v>
      </c>
      <c r="W1039" s="14">
        <v>580</v>
      </c>
      <c r="X1039" s="14">
        <v>870</v>
      </c>
      <c r="Y1039" s="24" t="e">
        <f>knicks_players_all_stats[[#This Row],[REB]]/knicks_players_all_stats[[#This Row],[GP]]</f>
        <v>#DIV/0!</v>
      </c>
      <c r="AC1039" s="14">
        <v>290</v>
      </c>
      <c r="AE1039" s="14">
        <v>30</v>
      </c>
      <c r="AI1039" s="19" t="e">
        <f>knicks_players_all_stats[[#This Row],[BLKPG]]+knicks_players_all_stats[[#This Row],[STLPG]]+knicks_players_all_stats[[#This Row],[REBPG]]</f>
        <v>#DIV/0!</v>
      </c>
    </row>
    <row r="1040" spans="1:41" s="17" customFormat="1" x14ac:dyDescent="0.3">
      <c r="A1040" s="13"/>
      <c r="B1040" s="13"/>
      <c r="C1040" s="13"/>
      <c r="D1040" s="13"/>
      <c r="E1040" s="14">
        <v>270</v>
      </c>
      <c r="F1040" s="14"/>
      <c r="G1040" s="14"/>
      <c r="H1040" s="14"/>
      <c r="I1040" s="14"/>
      <c r="J1040" s="14"/>
      <c r="K1040" s="14"/>
      <c r="L1040" s="14"/>
      <c r="M1040" s="14"/>
      <c r="N1040" s="14"/>
      <c r="O1040" s="15"/>
      <c r="P1040" s="14"/>
      <c r="Q1040" s="14"/>
      <c r="R1040" s="16"/>
      <c r="S1040" s="14"/>
      <c r="T1040" s="14"/>
      <c r="U1040" s="14"/>
      <c r="V1040" s="14">
        <v>10</v>
      </c>
      <c r="W1040" s="14">
        <v>0</v>
      </c>
      <c r="X1040" s="14">
        <v>10</v>
      </c>
      <c r="Y1040" s="24" t="e">
        <f>knicks_players_all_stats[[#This Row],[REB]]/knicks_players_all_stats[[#This Row],[GP]]</f>
        <v>#DIV/0!</v>
      </c>
      <c r="Z1040" s="14"/>
      <c r="AA1040" s="14"/>
      <c r="AB1040" s="14"/>
      <c r="AC1040" s="14">
        <v>0</v>
      </c>
      <c r="AD1040" s="14"/>
      <c r="AE1040" s="14">
        <v>0</v>
      </c>
      <c r="AF1040" s="14"/>
      <c r="AG1040" s="14"/>
      <c r="AH1040" s="14">
        <v>20</v>
      </c>
      <c r="AI1040" s="19" t="e">
        <f>knicks_players_all_stats[[#This Row],[BLKPG]]+knicks_players_all_stats[[#This Row],[STLPG]]+knicks_players_all_stats[[#This Row],[REBPG]]</f>
        <v>#DIV/0!</v>
      </c>
      <c r="AJ1040" s="14"/>
      <c r="AK1040" s="14"/>
      <c r="AL1040" s="14"/>
      <c r="AM1040" s="14"/>
      <c r="AN1040" s="14"/>
      <c r="AO1040" s="14"/>
    </row>
    <row r="1041" spans="1:41" s="17" customFormat="1" x14ac:dyDescent="0.3">
      <c r="A1041" s="13"/>
      <c r="B1041" s="13"/>
      <c r="C1041" s="13"/>
      <c r="D1041" s="13"/>
      <c r="E1041" s="14">
        <v>240</v>
      </c>
      <c r="F1041" s="14"/>
      <c r="G1041" s="14"/>
      <c r="H1041" s="14"/>
      <c r="I1041" s="14"/>
      <c r="J1041" s="14"/>
      <c r="K1041" s="14"/>
      <c r="L1041" s="14"/>
      <c r="M1041" s="14"/>
      <c r="N1041" s="14"/>
      <c r="O1041" s="15"/>
      <c r="P1041" s="14"/>
      <c r="Q1041" s="14"/>
      <c r="R1041" s="16"/>
      <c r="S1041" s="14"/>
      <c r="T1041" s="14"/>
      <c r="U1041" s="14"/>
      <c r="V1041" s="14"/>
      <c r="W1041" s="14"/>
      <c r="X1041" s="14"/>
      <c r="Y1041" s="24" t="e">
        <f>knicks_players_all_stats[[#This Row],[REB]]/knicks_players_all_stats[[#This Row],[GP]]</f>
        <v>#DIV/0!</v>
      </c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9" t="e">
        <f>knicks_players_all_stats[[#This Row],[BLKPG]]+knicks_players_all_stats[[#This Row],[STLPG]]+knicks_players_all_stats[[#This Row],[REBPG]]</f>
        <v>#DIV/0!</v>
      </c>
      <c r="AJ1041" s="14"/>
      <c r="AK1041" s="14"/>
      <c r="AL1041" s="14"/>
      <c r="AM1041" s="14"/>
      <c r="AN1041" s="14"/>
      <c r="AO1041" s="14"/>
    </row>
    <row r="1042" spans="1:41" s="14" customFormat="1" x14ac:dyDescent="0.3">
      <c r="A1042" s="13"/>
      <c r="B1042" s="13"/>
      <c r="C1042" s="13"/>
      <c r="D1042" s="13"/>
      <c r="E1042" s="14">
        <v>250</v>
      </c>
      <c r="O1042" s="15"/>
      <c r="R1042" s="16"/>
      <c r="Y1042" s="24" t="e">
        <f>knicks_players_all_stats[[#This Row],[REB]]/knicks_players_all_stats[[#This Row],[GP]]</f>
        <v>#DIV/0!</v>
      </c>
      <c r="AI1042" s="19" t="e">
        <f>knicks_players_all_stats[[#This Row],[BLKPG]]+knicks_players_all_stats[[#This Row],[STLPG]]+knicks_players_all_stats[[#This Row],[REBPG]]</f>
        <v>#DIV/0!</v>
      </c>
    </row>
    <row r="1043" spans="1:41" s="17" customFormat="1" x14ac:dyDescent="0.3">
      <c r="A1043" s="13"/>
      <c r="B1043" s="13"/>
      <c r="C1043" s="13"/>
      <c r="D1043" s="13"/>
      <c r="E1043" s="14">
        <v>290</v>
      </c>
      <c r="F1043" s="14"/>
      <c r="G1043" s="14"/>
      <c r="H1043" s="14"/>
      <c r="I1043" s="14"/>
      <c r="J1043" s="14"/>
      <c r="K1043" s="14"/>
      <c r="L1043" s="14"/>
      <c r="M1043" s="14"/>
      <c r="N1043" s="14"/>
      <c r="O1043" s="15"/>
      <c r="P1043" s="14"/>
      <c r="Q1043" s="14"/>
      <c r="R1043" s="16"/>
      <c r="S1043" s="14"/>
      <c r="T1043" s="14"/>
      <c r="U1043" s="14"/>
      <c r="V1043" s="14">
        <v>30</v>
      </c>
      <c r="W1043" s="14">
        <v>100</v>
      </c>
      <c r="X1043" s="14">
        <v>130</v>
      </c>
      <c r="Y1043" s="24" t="e">
        <f>knicks_players_all_stats[[#This Row],[REB]]/knicks_players_all_stats[[#This Row],[GP]]</f>
        <v>#DIV/0!</v>
      </c>
      <c r="Z1043" s="14"/>
      <c r="AA1043" s="14"/>
      <c r="AB1043" s="14"/>
      <c r="AC1043" s="14">
        <v>20</v>
      </c>
      <c r="AD1043" s="14"/>
      <c r="AE1043" s="14">
        <v>0</v>
      </c>
      <c r="AF1043" s="14"/>
      <c r="AG1043" s="14"/>
      <c r="AH1043" s="14">
        <v>50</v>
      </c>
      <c r="AI1043" s="19" t="e">
        <f>knicks_players_all_stats[[#This Row],[BLKPG]]+knicks_players_all_stats[[#This Row],[STLPG]]+knicks_players_all_stats[[#This Row],[REBPG]]</f>
        <v>#DIV/0!</v>
      </c>
      <c r="AJ1043" s="14"/>
      <c r="AK1043" s="14"/>
      <c r="AL1043" s="14"/>
      <c r="AM1043" s="14"/>
      <c r="AN1043" s="14"/>
      <c r="AO1043" s="14"/>
    </row>
    <row r="1044" spans="1:41" s="17" customFormat="1" x14ac:dyDescent="0.3">
      <c r="A1044" s="13"/>
      <c r="B1044" s="13"/>
      <c r="C1044" s="13"/>
      <c r="D1044" s="13"/>
      <c r="E1044" s="14">
        <v>280</v>
      </c>
      <c r="F1044" s="14"/>
      <c r="G1044" s="14"/>
      <c r="H1044" s="14"/>
      <c r="I1044" s="14"/>
      <c r="J1044" s="14"/>
      <c r="K1044" s="14"/>
      <c r="L1044" s="14"/>
      <c r="M1044" s="14"/>
      <c r="N1044" s="14"/>
      <c r="O1044" s="15"/>
      <c r="P1044" s="14"/>
      <c r="Q1044" s="14"/>
      <c r="R1044" s="16"/>
      <c r="S1044" s="14"/>
      <c r="T1044" s="14"/>
      <c r="U1044" s="14"/>
      <c r="V1044" s="14">
        <v>690</v>
      </c>
      <c r="W1044" s="14">
        <v>1430</v>
      </c>
      <c r="X1044" s="14">
        <v>2120</v>
      </c>
      <c r="Y1044" s="24" t="e">
        <f>knicks_players_all_stats[[#This Row],[REB]]/knicks_players_all_stats[[#This Row],[GP]]</f>
        <v>#DIV/0!</v>
      </c>
      <c r="Z1044" s="14"/>
      <c r="AA1044" s="14"/>
      <c r="AB1044" s="14"/>
      <c r="AC1044" s="14">
        <v>680</v>
      </c>
      <c r="AD1044" s="14"/>
      <c r="AE1044" s="14">
        <v>170</v>
      </c>
      <c r="AF1044" s="14"/>
      <c r="AG1044" s="14"/>
      <c r="AH1044" s="14">
        <v>1130</v>
      </c>
      <c r="AI1044" s="19" t="e">
        <f>knicks_players_all_stats[[#This Row],[BLKPG]]+knicks_players_all_stats[[#This Row],[STLPG]]+knicks_players_all_stats[[#This Row],[REBPG]]</f>
        <v>#DIV/0!</v>
      </c>
      <c r="AJ1044" s="14"/>
      <c r="AK1044" s="14"/>
      <c r="AL1044" s="14"/>
      <c r="AM1044" s="14"/>
      <c r="AN1044" s="14"/>
      <c r="AO1044" s="14"/>
    </row>
    <row r="1045" spans="1:41" s="14" customFormat="1" x14ac:dyDescent="0.3">
      <c r="A1045" s="13"/>
      <c r="B1045" s="13"/>
      <c r="C1045" s="13"/>
      <c r="D1045" s="13"/>
      <c r="E1045" s="14">
        <v>290</v>
      </c>
      <c r="O1045" s="15"/>
      <c r="R1045" s="16"/>
      <c r="V1045" s="14">
        <v>650</v>
      </c>
      <c r="W1045" s="14">
        <v>1600</v>
      </c>
      <c r="X1045" s="14">
        <v>2250</v>
      </c>
      <c r="Y1045" s="24" t="e">
        <f>knicks_players_all_stats[[#This Row],[REB]]/knicks_players_all_stats[[#This Row],[GP]]</f>
        <v>#DIV/0!</v>
      </c>
      <c r="AC1045" s="14">
        <v>730</v>
      </c>
      <c r="AE1045" s="14">
        <v>110</v>
      </c>
      <c r="AH1045" s="14">
        <v>1420</v>
      </c>
      <c r="AI1045" s="19" t="e">
        <f>knicks_players_all_stats[[#This Row],[BLKPG]]+knicks_players_all_stats[[#This Row],[STLPG]]+knicks_players_all_stats[[#This Row],[REBPG]]</f>
        <v>#DIV/0!</v>
      </c>
    </row>
    <row r="1046" spans="1:41" s="14" customFormat="1" x14ac:dyDescent="0.3">
      <c r="A1046" s="13"/>
      <c r="B1046" s="13"/>
      <c r="C1046" s="13"/>
      <c r="D1046" s="13"/>
      <c r="E1046" s="14">
        <v>300</v>
      </c>
      <c r="O1046" s="15"/>
      <c r="R1046" s="16"/>
      <c r="V1046" s="14">
        <v>100</v>
      </c>
      <c r="W1046" s="14">
        <v>90</v>
      </c>
      <c r="X1046" s="14">
        <v>190</v>
      </c>
      <c r="Y1046" s="24" t="e">
        <f>knicks_players_all_stats[[#This Row],[REB]]/knicks_players_all_stats[[#This Row],[GP]]</f>
        <v>#DIV/0!</v>
      </c>
      <c r="AC1046" s="14">
        <v>130</v>
      </c>
      <c r="AE1046" s="14">
        <v>20</v>
      </c>
      <c r="AH1046" s="14">
        <v>170</v>
      </c>
      <c r="AI1046" s="19" t="e">
        <f>knicks_players_all_stats[[#This Row],[BLKPG]]+knicks_players_all_stats[[#This Row],[STLPG]]+knicks_players_all_stats[[#This Row],[REBPG]]</f>
        <v>#DIV/0!</v>
      </c>
    </row>
    <row r="1047" spans="1:41" s="17" customFormat="1" x14ac:dyDescent="0.3">
      <c r="A1047" s="13"/>
      <c r="B1047" s="13"/>
      <c r="C1047" s="13"/>
      <c r="D1047" s="13"/>
      <c r="E1047" s="14">
        <v>240</v>
      </c>
      <c r="F1047" s="14"/>
      <c r="G1047" s="14"/>
      <c r="H1047" s="14"/>
      <c r="I1047" s="14"/>
      <c r="J1047" s="14"/>
      <c r="K1047" s="14"/>
      <c r="L1047" s="14"/>
      <c r="M1047" s="14"/>
      <c r="N1047" s="14"/>
      <c r="O1047" s="15"/>
      <c r="P1047" s="14"/>
      <c r="Q1047" s="14"/>
      <c r="R1047" s="16"/>
      <c r="S1047" s="14"/>
      <c r="T1047" s="14"/>
      <c r="U1047" s="14"/>
      <c r="V1047" s="14"/>
      <c r="W1047" s="14"/>
      <c r="X1047" s="14">
        <v>80</v>
      </c>
      <c r="Y1047" s="24" t="e">
        <f>knicks_players_all_stats[[#This Row],[REB]]/knicks_players_all_stats[[#This Row],[GP]]</f>
        <v>#DIV/0!</v>
      </c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9" t="e">
        <f>knicks_players_all_stats[[#This Row],[BLKPG]]+knicks_players_all_stats[[#This Row],[STLPG]]+knicks_players_all_stats[[#This Row],[REBPG]]</f>
        <v>#DIV/0!</v>
      </c>
      <c r="AJ1047" s="14"/>
      <c r="AK1047" s="14"/>
      <c r="AL1047" s="14"/>
      <c r="AM1047" s="14"/>
      <c r="AN1047" s="14"/>
      <c r="AO1047" s="14"/>
    </row>
    <row r="1048" spans="1:41" s="17" customFormat="1" x14ac:dyDescent="0.3">
      <c r="A1048" s="13"/>
      <c r="B1048" s="13"/>
      <c r="C1048" s="13"/>
      <c r="D1048" s="13"/>
      <c r="E1048" s="14">
        <v>220</v>
      </c>
      <c r="F1048" s="14"/>
      <c r="G1048" s="14"/>
      <c r="H1048" s="14"/>
      <c r="I1048" s="14"/>
      <c r="J1048" s="14"/>
      <c r="K1048" s="14"/>
      <c r="L1048" s="14"/>
      <c r="M1048" s="14"/>
      <c r="N1048" s="14"/>
      <c r="O1048" s="15"/>
      <c r="P1048" s="14"/>
      <c r="Q1048" s="14"/>
      <c r="R1048" s="16"/>
      <c r="S1048" s="14"/>
      <c r="T1048" s="14"/>
      <c r="U1048" s="14"/>
      <c r="V1048" s="14"/>
      <c r="W1048" s="14"/>
      <c r="X1048" s="14">
        <v>3380</v>
      </c>
      <c r="Y1048" s="24" t="e">
        <f>knicks_players_all_stats[[#This Row],[REB]]/knicks_players_all_stats[[#This Row],[GP]]</f>
        <v>#DIV/0!</v>
      </c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9" t="e">
        <f>knicks_players_all_stats[[#This Row],[BLKPG]]+knicks_players_all_stats[[#This Row],[STLPG]]+knicks_players_all_stats[[#This Row],[REBPG]]</f>
        <v>#DIV/0!</v>
      </c>
      <c r="AJ1048" s="14"/>
      <c r="AK1048" s="14"/>
      <c r="AL1048" s="14"/>
      <c r="AM1048" s="14"/>
      <c r="AN1048" s="14"/>
      <c r="AO1048" s="14"/>
    </row>
    <row r="1049" spans="1:41" s="14" customFormat="1" x14ac:dyDescent="0.3">
      <c r="A1049" s="13"/>
      <c r="B1049" s="13"/>
      <c r="C1049" s="13"/>
      <c r="D1049" s="13"/>
      <c r="E1049" s="14">
        <v>230</v>
      </c>
      <c r="O1049" s="15"/>
      <c r="R1049" s="16"/>
      <c r="X1049" s="14">
        <v>2460</v>
      </c>
      <c r="Y1049" s="24" t="e">
        <f>knicks_players_all_stats[[#This Row],[REB]]/knicks_players_all_stats[[#This Row],[GP]]</f>
        <v>#DIV/0!</v>
      </c>
      <c r="AI1049" s="19" t="e">
        <f>knicks_players_all_stats[[#This Row],[BLKPG]]+knicks_players_all_stats[[#This Row],[STLPG]]+knicks_players_all_stats[[#This Row],[REBPG]]</f>
        <v>#DIV/0!</v>
      </c>
    </row>
    <row r="1050" spans="1:41" s="14" customFormat="1" x14ac:dyDescent="0.3">
      <c r="A1050" s="13"/>
      <c r="B1050" s="13"/>
      <c r="C1050" s="13"/>
      <c r="D1050" s="13"/>
      <c r="E1050" s="14">
        <v>250</v>
      </c>
      <c r="O1050" s="15"/>
      <c r="R1050" s="16"/>
      <c r="X1050" s="14">
        <v>2380</v>
      </c>
      <c r="Y1050" s="24" t="e">
        <f>knicks_players_all_stats[[#This Row],[REB]]/knicks_players_all_stats[[#This Row],[GP]]</f>
        <v>#DIV/0!</v>
      </c>
      <c r="AI1050" s="19" t="e">
        <f>knicks_players_all_stats[[#This Row],[BLKPG]]+knicks_players_all_stats[[#This Row],[STLPG]]+knicks_players_all_stats[[#This Row],[REBPG]]</f>
        <v>#DIV/0!</v>
      </c>
    </row>
    <row r="1051" spans="1:41" s="14" customFormat="1" x14ac:dyDescent="0.3">
      <c r="A1051" s="13"/>
      <c r="B1051" s="13"/>
      <c r="C1051" s="13"/>
      <c r="D1051" s="13"/>
      <c r="E1051" s="14">
        <v>260</v>
      </c>
      <c r="O1051" s="15"/>
      <c r="R1051" s="16"/>
      <c r="X1051" s="14">
        <v>3260</v>
      </c>
      <c r="Y1051" s="24" t="e">
        <f>knicks_players_all_stats[[#This Row],[REB]]/knicks_players_all_stats[[#This Row],[GP]]</f>
        <v>#DIV/0!</v>
      </c>
      <c r="AI1051" s="19" t="e">
        <f>knicks_players_all_stats[[#This Row],[BLKPG]]+knicks_players_all_stats[[#This Row],[STLPG]]+knicks_players_all_stats[[#This Row],[REBPG]]</f>
        <v>#DIV/0!</v>
      </c>
    </row>
    <row r="1052" spans="1:41" s="17" customFormat="1" x14ac:dyDescent="0.3">
      <c r="A1052" s="13"/>
      <c r="B1052" s="13"/>
      <c r="C1052" s="13"/>
      <c r="D1052" s="13"/>
      <c r="E1052" s="14">
        <v>270</v>
      </c>
      <c r="F1052" s="14"/>
      <c r="G1052" s="14"/>
      <c r="H1052" s="14"/>
      <c r="I1052" s="14"/>
      <c r="J1052" s="14"/>
      <c r="K1052" s="14"/>
      <c r="L1052" s="14"/>
      <c r="M1052" s="14"/>
      <c r="N1052" s="14"/>
      <c r="O1052" s="15"/>
      <c r="P1052" s="14"/>
      <c r="Q1052" s="14"/>
      <c r="R1052" s="16"/>
      <c r="S1052" s="14"/>
      <c r="T1052" s="14"/>
      <c r="U1052" s="14"/>
      <c r="V1052" s="14"/>
      <c r="W1052" s="14"/>
      <c r="X1052" s="14">
        <v>3440</v>
      </c>
      <c r="Y1052" s="24" t="e">
        <f>knicks_players_all_stats[[#This Row],[REB]]/knicks_players_all_stats[[#This Row],[GP]]</f>
        <v>#DIV/0!</v>
      </c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9" t="e">
        <f>knicks_players_all_stats[[#This Row],[BLKPG]]+knicks_players_all_stats[[#This Row],[STLPG]]+knicks_players_all_stats[[#This Row],[REBPG]]</f>
        <v>#DIV/0!</v>
      </c>
      <c r="AJ1052" s="14"/>
      <c r="AK1052" s="14"/>
      <c r="AL1052" s="14"/>
      <c r="AM1052" s="14"/>
      <c r="AN1052" s="14"/>
      <c r="AO1052" s="14"/>
    </row>
    <row r="1053" spans="1:41" s="17" customFormat="1" x14ac:dyDescent="0.3">
      <c r="A1053" s="13"/>
      <c r="B1053" s="13"/>
      <c r="C1053" s="13"/>
      <c r="D1053" s="13"/>
      <c r="E1053" s="14">
        <v>280</v>
      </c>
      <c r="F1053" s="14"/>
      <c r="G1053" s="14"/>
      <c r="H1053" s="14"/>
      <c r="I1053" s="14"/>
      <c r="J1053" s="14"/>
      <c r="K1053" s="14"/>
      <c r="L1053" s="14"/>
      <c r="M1053" s="14"/>
      <c r="N1053" s="14"/>
      <c r="O1053" s="15"/>
      <c r="P1053" s="14"/>
      <c r="Q1053" s="14"/>
      <c r="R1053" s="16"/>
      <c r="S1053" s="14"/>
      <c r="T1053" s="14"/>
      <c r="U1053" s="14"/>
      <c r="V1053" s="14">
        <v>1230</v>
      </c>
      <c r="W1053" s="14">
        <v>3550</v>
      </c>
      <c r="X1053" s="14">
        <v>4780</v>
      </c>
      <c r="Y1053" s="24" t="e">
        <f>knicks_players_all_stats[[#This Row],[REB]]/knicks_players_all_stats[[#This Row],[GP]]</f>
        <v>#DIV/0!</v>
      </c>
      <c r="Z1053" s="14"/>
      <c r="AA1053" s="14"/>
      <c r="AB1053" s="14"/>
      <c r="AC1053" s="14">
        <v>420</v>
      </c>
      <c r="AD1053" s="14"/>
      <c r="AE1053" s="14">
        <v>670</v>
      </c>
      <c r="AF1053" s="14"/>
      <c r="AG1053" s="14"/>
      <c r="AH1053" s="14"/>
      <c r="AI1053" s="19" t="e">
        <f>knicks_players_all_stats[[#This Row],[BLKPG]]+knicks_players_all_stats[[#This Row],[STLPG]]+knicks_players_all_stats[[#This Row],[REBPG]]</f>
        <v>#DIV/0!</v>
      </c>
      <c r="AJ1053" s="14"/>
      <c r="AK1053" s="14"/>
      <c r="AL1053" s="14"/>
      <c r="AM1053" s="14"/>
      <c r="AN1053" s="14"/>
      <c r="AO1053" s="14"/>
    </row>
    <row r="1054" spans="1:41" s="17" customFormat="1" x14ac:dyDescent="0.3">
      <c r="A1054" s="13"/>
      <c r="B1054" s="13"/>
      <c r="C1054" s="13"/>
      <c r="D1054" s="13"/>
      <c r="E1054" s="14">
        <v>290</v>
      </c>
      <c r="F1054" s="14"/>
      <c r="G1054" s="14"/>
      <c r="H1054" s="14"/>
      <c r="I1054" s="14"/>
      <c r="J1054" s="14"/>
      <c r="K1054" s="14"/>
      <c r="L1054" s="14"/>
      <c r="M1054" s="14"/>
      <c r="N1054" s="14"/>
      <c r="O1054" s="15"/>
      <c r="P1054" s="14"/>
      <c r="Q1054" s="14"/>
      <c r="R1054" s="16"/>
      <c r="S1054" s="14"/>
      <c r="T1054" s="14"/>
      <c r="U1054" s="14"/>
      <c r="V1054" s="14">
        <v>1370</v>
      </c>
      <c r="W1054" s="14">
        <v>4630</v>
      </c>
      <c r="X1054" s="14">
        <v>6000</v>
      </c>
      <c r="Y1054" s="24" t="e">
        <f>knicks_players_all_stats[[#This Row],[REB]]/knicks_players_all_stats[[#This Row],[GP]]</f>
        <v>#DIV/0!</v>
      </c>
      <c r="Z1054" s="14"/>
      <c r="AA1054" s="14"/>
      <c r="AB1054" s="14"/>
      <c r="AC1054" s="14">
        <v>840</v>
      </c>
      <c r="AD1054" s="14"/>
      <c r="AE1054" s="14">
        <v>530</v>
      </c>
      <c r="AF1054" s="14"/>
      <c r="AG1054" s="14"/>
      <c r="AH1054" s="14"/>
      <c r="AI1054" s="19" t="e">
        <f>knicks_players_all_stats[[#This Row],[BLKPG]]+knicks_players_all_stats[[#This Row],[STLPG]]+knicks_players_all_stats[[#This Row],[REBPG]]</f>
        <v>#DIV/0!</v>
      </c>
      <c r="AJ1054" s="14"/>
      <c r="AK1054" s="14"/>
      <c r="AL1054" s="14"/>
      <c r="AM1054" s="14"/>
      <c r="AN1054" s="14"/>
      <c r="AO1054" s="14"/>
    </row>
    <row r="1055" spans="1:41" s="17" customFormat="1" x14ac:dyDescent="0.3">
      <c r="A1055" s="13"/>
      <c r="B1055" s="13"/>
      <c r="C1055" s="13"/>
      <c r="D1055" s="13"/>
      <c r="E1055" s="14">
        <v>300</v>
      </c>
      <c r="F1055" s="14"/>
      <c r="G1055" s="14"/>
      <c r="H1055" s="14"/>
      <c r="I1055" s="14"/>
      <c r="J1055" s="14"/>
      <c r="K1055" s="14"/>
      <c r="L1055" s="14"/>
      <c r="M1055" s="14"/>
      <c r="N1055" s="14"/>
      <c r="O1055" s="15"/>
      <c r="P1055" s="14"/>
      <c r="Q1055" s="14"/>
      <c r="R1055" s="16"/>
      <c r="S1055" s="14"/>
      <c r="T1055" s="14"/>
      <c r="U1055" s="14"/>
      <c r="V1055" s="14">
        <v>800</v>
      </c>
      <c r="W1055" s="14">
        <v>2630</v>
      </c>
      <c r="X1055" s="14">
        <v>3430</v>
      </c>
      <c r="Y1055" s="24" t="e">
        <f>knicks_players_all_stats[[#This Row],[REB]]/knicks_players_all_stats[[#This Row],[GP]]</f>
        <v>#DIV/0!</v>
      </c>
      <c r="Z1055" s="14"/>
      <c r="AA1055" s="14"/>
      <c r="AB1055" s="14"/>
      <c r="AC1055" s="14">
        <v>410</v>
      </c>
      <c r="AD1055" s="14"/>
      <c r="AE1055" s="14">
        <v>200</v>
      </c>
      <c r="AF1055" s="14"/>
      <c r="AG1055" s="14"/>
      <c r="AH1055" s="14"/>
      <c r="AI1055" s="19" t="e">
        <f>knicks_players_all_stats[[#This Row],[BLKPG]]+knicks_players_all_stats[[#This Row],[STLPG]]+knicks_players_all_stats[[#This Row],[REBPG]]</f>
        <v>#DIV/0!</v>
      </c>
      <c r="AJ1055" s="14"/>
      <c r="AK1055" s="14"/>
      <c r="AL1055" s="14"/>
      <c r="AM1055" s="14"/>
      <c r="AN1055" s="14"/>
      <c r="AO1055" s="14"/>
    </row>
    <row r="1056" spans="1:41" s="17" customFormat="1" x14ac:dyDescent="0.3">
      <c r="A1056" s="13"/>
      <c r="B1056" s="13"/>
      <c r="C1056" s="13"/>
      <c r="D1056" s="13"/>
      <c r="E1056" s="14">
        <v>310</v>
      </c>
      <c r="F1056" s="14"/>
      <c r="G1056" s="14"/>
      <c r="H1056" s="14"/>
      <c r="I1056" s="14"/>
      <c r="J1056" s="14"/>
      <c r="K1056" s="14"/>
      <c r="L1056" s="14"/>
      <c r="M1056" s="14"/>
      <c r="N1056" s="14"/>
      <c r="O1056" s="15"/>
      <c r="P1056" s="14"/>
      <c r="Q1056" s="14"/>
      <c r="R1056" s="16"/>
      <c r="S1056" s="14"/>
      <c r="T1056" s="14"/>
      <c r="U1056" s="14"/>
      <c r="V1056" s="14">
        <v>750</v>
      </c>
      <c r="W1056" s="14">
        <v>1540</v>
      </c>
      <c r="X1056" s="14">
        <v>2290</v>
      </c>
      <c r="Y1056" s="24" t="e">
        <f>knicks_players_all_stats[[#This Row],[REB]]/knicks_players_all_stats[[#This Row],[GP]]</f>
        <v>#DIV/0!</v>
      </c>
      <c r="Z1056" s="14"/>
      <c r="AA1056" s="14"/>
      <c r="AB1056" s="14"/>
      <c r="AC1056" s="14">
        <v>330</v>
      </c>
      <c r="AD1056" s="14"/>
      <c r="AE1056" s="14">
        <v>180</v>
      </c>
      <c r="AF1056" s="14"/>
      <c r="AG1056" s="14"/>
      <c r="AH1056" s="14"/>
      <c r="AI1056" s="19" t="e">
        <f>knicks_players_all_stats[[#This Row],[BLKPG]]+knicks_players_all_stats[[#This Row],[STLPG]]+knicks_players_all_stats[[#This Row],[REBPG]]</f>
        <v>#DIV/0!</v>
      </c>
      <c r="AJ1056" s="14"/>
      <c r="AK1056" s="14"/>
      <c r="AL1056" s="14"/>
      <c r="AM1056" s="14"/>
      <c r="AN1056" s="14"/>
      <c r="AO1056" s="14"/>
    </row>
    <row r="1057" spans="1:41" s="17" customFormat="1" x14ac:dyDescent="0.3">
      <c r="A1057" s="13"/>
      <c r="B1057" s="13"/>
      <c r="C1057" s="13"/>
      <c r="D1057" s="13"/>
      <c r="E1057" s="14">
        <v>320</v>
      </c>
      <c r="F1057" s="14"/>
      <c r="G1057" s="14"/>
      <c r="H1057" s="14"/>
      <c r="I1057" s="14"/>
      <c r="J1057" s="14"/>
      <c r="K1057" s="14"/>
      <c r="L1057" s="14"/>
      <c r="M1057" s="14"/>
      <c r="N1057" s="14"/>
      <c r="O1057" s="15"/>
      <c r="P1057" s="14"/>
      <c r="Q1057" s="14"/>
      <c r="R1057" s="16"/>
      <c r="S1057" s="14"/>
      <c r="T1057" s="14"/>
      <c r="U1057" s="14"/>
      <c r="V1057" s="14">
        <v>290</v>
      </c>
      <c r="W1057" s="14">
        <v>810</v>
      </c>
      <c r="X1057" s="14">
        <v>1100</v>
      </c>
      <c r="Y1057" s="24" t="e">
        <f>knicks_players_all_stats[[#This Row],[REB]]/knicks_players_all_stats[[#This Row],[GP]]</f>
        <v>#DIV/0!</v>
      </c>
      <c r="Z1057" s="14"/>
      <c r="AA1057" s="14"/>
      <c r="AB1057" s="14"/>
      <c r="AC1057" s="14">
        <v>310</v>
      </c>
      <c r="AD1057" s="14"/>
      <c r="AE1057" s="14">
        <v>150</v>
      </c>
      <c r="AF1057" s="14"/>
      <c r="AG1057" s="14"/>
      <c r="AH1057" s="14">
        <v>470</v>
      </c>
      <c r="AI1057" s="19" t="e">
        <f>knicks_players_all_stats[[#This Row],[BLKPG]]+knicks_players_all_stats[[#This Row],[STLPG]]+knicks_players_all_stats[[#This Row],[REBPG]]</f>
        <v>#DIV/0!</v>
      </c>
      <c r="AJ1057" s="14"/>
      <c r="AK1057" s="14"/>
      <c r="AL1057" s="14"/>
      <c r="AM1057" s="14"/>
      <c r="AN1057" s="14"/>
      <c r="AO1057" s="14"/>
    </row>
    <row r="1058" spans="1:41" s="17" customFormat="1" x14ac:dyDescent="0.3">
      <c r="A1058" s="13"/>
      <c r="B1058" s="13"/>
      <c r="C1058" s="13"/>
      <c r="D1058" s="13"/>
      <c r="E1058" s="14">
        <v>260</v>
      </c>
      <c r="F1058" s="14"/>
      <c r="G1058" s="14"/>
      <c r="H1058" s="14"/>
      <c r="I1058" s="14"/>
      <c r="J1058" s="14"/>
      <c r="K1058" s="14"/>
      <c r="L1058" s="14"/>
      <c r="M1058" s="14"/>
      <c r="N1058" s="14"/>
      <c r="O1058" s="15"/>
      <c r="P1058" s="14"/>
      <c r="Q1058" s="14"/>
      <c r="R1058" s="16"/>
      <c r="S1058" s="14"/>
      <c r="T1058" s="14"/>
      <c r="U1058" s="14"/>
      <c r="V1058" s="14">
        <v>1500</v>
      </c>
      <c r="W1058" s="14">
        <v>1940</v>
      </c>
      <c r="X1058" s="14">
        <v>3440</v>
      </c>
      <c r="Y1058" s="24" t="e">
        <f>knicks_players_all_stats[[#This Row],[REB]]/knicks_players_all_stats[[#This Row],[GP]]</f>
        <v>#DIV/0!</v>
      </c>
      <c r="Z1058" s="14"/>
      <c r="AA1058" s="14"/>
      <c r="AB1058" s="14"/>
      <c r="AC1058" s="14">
        <v>760</v>
      </c>
      <c r="AD1058" s="14"/>
      <c r="AE1058" s="14">
        <v>130</v>
      </c>
      <c r="AF1058" s="14"/>
      <c r="AG1058" s="14"/>
      <c r="AH1058" s="14">
        <v>890</v>
      </c>
      <c r="AI1058" s="19" t="e">
        <f>knicks_players_all_stats[[#This Row],[BLKPG]]+knicks_players_all_stats[[#This Row],[STLPG]]+knicks_players_all_stats[[#This Row],[REBPG]]</f>
        <v>#DIV/0!</v>
      </c>
      <c r="AJ1058" s="14"/>
      <c r="AK1058" s="14"/>
      <c r="AL1058" s="14"/>
      <c r="AM1058" s="14"/>
      <c r="AN1058" s="14"/>
      <c r="AO1058" s="14"/>
    </row>
    <row r="1059" spans="1:41" s="17" customFormat="1" x14ac:dyDescent="0.3">
      <c r="A1059" s="13"/>
      <c r="B1059" s="13"/>
      <c r="C1059" s="13"/>
      <c r="D1059" s="13"/>
      <c r="E1059" s="14">
        <v>270</v>
      </c>
      <c r="F1059" s="14"/>
      <c r="G1059" s="14"/>
      <c r="H1059" s="14"/>
      <c r="I1059" s="14"/>
      <c r="J1059" s="14"/>
      <c r="K1059" s="14"/>
      <c r="L1059" s="14"/>
      <c r="M1059" s="14"/>
      <c r="N1059" s="14"/>
      <c r="O1059" s="15"/>
      <c r="P1059" s="14"/>
      <c r="Q1059" s="14"/>
      <c r="R1059" s="16"/>
      <c r="S1059" s="14"/>
      <c r="T1059" s="14"/>
      <c r="U1059" s="14"/>
      <c r="V1059" s="14">
        <v>1130</v>
      </c>
      <c r="W1059" s="14">
        <v>1490</v>
      </c>
      <c r="X1059" s="14">
        <v>2620</v>
      </c>
      <c r="Y1059" s="24" t="e">
        <f>knicks_players_all_stats[[#This Row],[REB]]/knicks_players_all_stats[[#This Row],[GP]]</f>
        <v>#DIV/0!</v>
      </c>
      <c r="Z1059" s="14"/>
      <c r="AA1059" s="14"/>
      <c r="AB1059" s="14"/>
      <c r="AC1059" s="14">
        <v>480</v>
      </c>
      <c r="AD1059" s="14"/>
      <c r="AE1059" s="14">
        <v>230</v>
      </c>
      <c r="AF1059" s="14"/>
      <c r="AG1059" s="14"/>
      <c r="AH1059" s="14">
        <v>790</v>
      </c>
      <c r="AI1059" s="19" t="e">
        <f>knicks_players_all_stats[[#This Row],[BLKPG]]+knicks_players_all_stats[[#This Row],[STLPG]]+knicks_players_all_stats[[#This Row],[REBPG]]</f>
        <v>#DIV/0!</v>
      </c>
      <c r="AJ1059" s="14"/>
      <c r="AK1059" s="14"/>
      <c r="AL1059" s="14"/>
      <c r="AM1059" s="14"/>
      <c r="AN1059" s="14"/>
      <c r="AO1059" s="14"/>
    </row>
    <row r="1060" spans="1:41" s="17" customFormat="1" x14ac:dyDescent="0.3">
      <c r="A1060" s="13"/>
      <c r="B1060" s="13"/>
      <c r="C1060" s="13"/>
      <c r="D1060" s="13"/>
      <c r="E1060" s="14">
        <v>230</v>
      </c>
      <c r="F1060" s="14"/>
      <c r="G1060" s="14"/>
      <c r="H1060" s="14"/>
      <c r="I1060" s="14"/>
      <c r="J1060" s="14"/>
      <c r="K1060" s="14"/>
      <c r="L1060" s="14"/>
      <c r="M1060" s="14"/>
      <c r="N1060" s="14"/>
      <c r="O1060" s="15"/>
      <c r="P1060" s="14"/>
      <c r="Q1060" s="14"/>
      <c r="R1060" s="16"/>
      <c r="S1060" s="14"/>
      <c r="T1060" s="14"/>
      <c r="U1060" s="14"/>
      <c r="V1060" s="14">
        <v>1200</v>
      </c>
      <c r="W1060" s="14">
        <v>2760</v>
      </c>
      <c r="X1060" s="14">
        <v>3960</v>
      </c>
      <c r="Y1060" s="24" t="e">
        <f>knicks_players_all_stats[[#This Row],[REB]]/knicks_players_all_stats[[#This Row],[GP]]</f>
        <v>#DIV/0!</v>
      </c>
      <c r="Z1060" s="14"/>
      <c r="AA1060" s="14"/>
      <c r="AB1060" s="14"/>
      <c r="AC1060" s="14">
        <v>2050</v>
      </c>
      <c r="AD1060" s="14"/>
      <c r="AE1060" s="14">
        <v>60</v>
      </c>
      <c r="AF1060" s="14"/>
      <c r="AG1060" s="14"/>
      <c r="AH1060" s="14">
        <v>2580</v>
      </c>
      <c r="AI1060" s="19" t="e">
        <f>knicks_players_all_stats[[#This Row],[BLKPG]]+knicks_players_all_stats[[#This Row],[STLPG]]+knicks_players_all_stats[[#This Row],[REBPG]]</f>
        <v>#DIV/0!</v>
      </c>
      <c r="AJ1060" s="14"/>
      <c r="AK1060" s="14"/>
      <c r="AL1060" s="14"/>
      <c r="AM1060" s="14"/>
      <c r="AN1060" s="14"/>
      <c r="AO1060" s="14"/>
    </row>
    <row r="1061" spans="1:41" s="17" customFormat="1" x14ac:dyDescent="0.3">
      <c r="A1061" s="13"/>
      <c r="B1061" s="13"/>
      <c r="C1061" s="13"/>
      <c r="D1061" s="13"/>
      <c r="E1061" s="14">
        <v>240</v>
      </c>
      <c r="F1061" s="14"/>
      <c r="G1061" s="14"/>
      <c r="H1061" s="14"/>
      <c r="I1061" s="14"/>
      <c r="J1061" s="14"/>
      <c r="K1061" s="14"/>
      <c r="L1061" s="14"/>
      <c r="M1061" s="14"/>
      <c r="N1061" s="14"/>
      <c r="O1061" s="15"/>
      <c r="P1061" s="14"/>
      <c r="Q1061" s="14"/>
      <c r="R1061" s="16"/>
      <c r="S1061" s="14"/>
      <c r="T1061" s="14"/>
      <c r="U1061" s="14"/>
      <c r="V1061" s="14">
        <v>1060</v>
      </c>
      <c r="W1061" s="14">
        <v>2350</v>
      </c>
      <c r="X1061" s="14">
        <v>3410</v>
      </c>
      <c r="Y1061" s="24" t="e">
        <f>knicks_players_all_stats[[#This Row],[REB]]/knicks_players_all_stats[[#This Row],[GP]]</f>
        <v>#DIV/0!</v>
      </c>
      <c r="Z1061" s="14"/>
      <c r="AA1061" s="14"/>
      <c r="AB1061" s="14"/>
      <c r="AC1061" s="14">
        <v>1390</v>
      </c>
      <c r="AD1061" s="14"/>
      <c r="AE1061" s="14">
        <v>70</v>
      </c>
      <c r="AF1061" s="14"/>
      <c r="AG1061" s="14"/>
      <c r="AH1061" s="14">
        <v>2260</v>
      </c>
      <c r="AI1061" s="19" t="e">
        <f>knicks_players_all_stats[[#This Row],[BLKPG]]+knicks_players_all_stats[[#This Row],[STLPG]]+knicks_players_all_stats[[#This Row],[REBPG]]</f>
        <v>#DIV/0!</v>
      </c>
      <c r="AJ1061" s="14"/>
      <c r="AK1061" s="14"/>
      <c r="AL1061" s="14"/>
      <c r="AM1061" s="14"/>
      <c r="AN1061" s="14"/>
      <c r="AO1061" s="14"/>
    </row>
    <row r="1062" spans="1:41" s="17" customFormat="1" x14ac:dyDescent="0.3">
      <c r="A1062" s="13"/>
      <c r="B1062" s="13"/>
      <c r="C1062" s="13"/>
      <c r="D1062" s="13"/>
      <c r="E1062" s="14">
        <v>250</v>
      </c>
      <c r="F1062" s="14"/>
      <c r="G1062" s="14"/>
      <c r="H1062" s="14"/>
      <c r="I1062" s="14"/>
      <c r="J1062" s="14"/>
      <c r="K1062" s="14"/>
      <c r="L1062" s="14"/>
      <c r="M1062" s="14"/>
      <c r="N1062" s="14"/>
      <c r="O1062" s="15"/>
      <c r="P1062" s="14"/>
      <c r="Q1062" s="14"/>
      <c r="R1062" s="16"/>
      <c r="S1062" s="14"/>
      <c r="T1062" s="14"/>
      <c r="U1062" s="14"/>
      <c r="V1062" s="14">
        <v>1060</v>
      </c>
      <c r="W1062" s="14">
        <v>2120</v>
      </c>
      <c r="X1062" s="14">
        <v>3180</v>
      </c>
      <c r="Y1062" s="24" t="e">
        <f>knicks_players_all_stats[[#This Row],[REB]]/knicks_players_all_stats[[#This Row],[GP]]</f>
        <v>#DIV/0!</v>
      </c>
      <c r="Z1062" s="14"/>
      <c r="AA1062" s="14"/>
      <c r="AB1062" s="14"/>
      <c r="AC1062" s="14">
        <v>1090</v>
      </c>
      <c r="AD1062" s="14"/>
      <c r="AE1062" s="14">
        <v>40</v>
      </c>
      <c r="AF1062" s="14"/>
      <c r="AG1062" s="14"/>
      <c r="AH1062" s="14">
        <v>2110</v>
      </c>
      <c r="AI1062" s="19" t="e">
        <f>knicks_players_all_stats[[#This Row],[BLKPG]]+knicks_players_all_stats[[#This Row],[STLPG]]+knicks_players_all_stats[[#This Row],[REBPG]]</f>
        <v>#DIV/0!</v>
      </c>
      <c r="AJ1062" s="14"/>
      <c r="AK1062" s="14"/>
      <c r="AL1062" s="14"/>
      <c r="AM1062" s="14"/>
      <c r="AN1062" s="14"/>
      <c r="AO1062" s="14"/>
    </row>
    <row r="1063" spans="1:41" s="17" customFormat="1" x14ac:dyDescent="0.3">
      <c r="A1063" s="13"/>
      <c r="B1063" s="13"/>
      <c r="C1063" s="13"/>
      <c r="D1063" s="13"/>
      <c r="E1063" s="14">
        <v>260</v>
      </c>
      <c r="F1063" s="14"/>
      <c r="G1063" s="14"/>
      <c r="H1063" s="14"/>
      <c r="I1063" s="14"/>
      <c r="J1063" s="14"/>
      <c r="K1063" s="14"/>
      <c r="L1063" s="14"/>
      <c r="M1063" s="14"/>
      <c r="N1063" s="14"/>
      <c r="O1063" s="15"/>
      <c r="P1063" s="14"/>
      <c r="Q1063" s="14"/>
      <c r="R1063" s="16"/>
      <c r="S1063" s="14"/>
      <c r="T1063" s="14"/>
      <c r="U1063" s="14"/>
      <c r="V1063" s="14">
        <v>620</v>
      </c>
      <c r="W1063" s="14">
        <v>1350</v>
      </c>
      <c r="X1063" s="14">
        <v>1970</v>
      </c>
      <c r="Y1063" s="24" t="e">
        <f>knicks_players_all_stats[[#This Row],[REB]]/knicks_players_all_stats[[#This Row],[GP]]</f>
        <v>#DIV/0!</v>
      </c>
      <c r="Z1063" s="14"/>
      <c r="AA1063" s="14"/>
      <c r="AB1063" s="14"/>
      <c r="AC1063" s="14">
        <v>600</v>
      </c>
      <c r="AD1063" s="14"/>
      <c r="AE1063" s="14">
        <v>90</v>
      </c>
      <c r="AF1063" s="14"/>
      <c r="AG1063" s="14"/>
      <c r="AH1063" s="14">
        <v>1350</v>
      </c>
      <c r="AI1063" s="19" t="e">
        <f>knicks_players_all_stats[[#This Row],[BLKPG]]+knicks_players_all_stats[[#This Row],[STLPG]]+knicks_players_all_stats[[#This Row],[REBPG]]</f>
        <v>#DIV/0!</v>
      </c>
      <c r="AJ1063" s="14"/>
      <c r="AK1063" s="14"/>
      <c r="AL1063" s="14"/>
      <c r="AM1063" s="14"/>
      <c r="AN1063" s="14"/>
      <c r="AO1063" s="14"/>
    </row>
    <row r="1064" spans="1:41" s="17" customFormat="1" x14ac:dyDescent="0.3">
      <c r="A1064" s="13"/>
      <c r="B1064" s="13"/>
      <c r="C1064" s="13"/>
      <c r="D1064" s="13"/>
      <c r="E1064" s="14">
        <v>270</v>
      </c>
      <c r="F1064" s="14"/>
      <c r="G1064" s="14"/>
      <c r="H1064" s="14"/>
      <c r="I1064" s="14"/>
      <c r="J1064" s="14"/>
      <c r="K1064" s="14"/>
      <c r="L1064" s="14"/>
      <c r="M1064" s="14"/>
      <c r="N1064" s="14"/>
      <c r="O1064" s="15"/>
      <c r="P1064" s="14"/>
      <c r="Q1064" s="14"/>
      <c r="R1064" s="16"/>
      <c r="S1064" s="14"/>
      <c r="T1064" s="14"/>
      <c r="U1064" s="14"/>
      <c r="V1064" s="14">
        <v>950</v>
      </c>
      <c r="W1064" s="14">
        <v>2100</v>
      </c>
      <c r="X1064" s="14">
        <v>3050</v>
      </c>
      <c r="Y1064" s="24" t="e">
        <f>knicks_players_all_stats[[#This Row],[REB]]/knicks_players_all_stats[[#This Row],[GP]]</f>
        <v>#DIV/0!</v>
      </c>
      <c r="Z1064" s="14"/>
      <c r="AA1064" s="14"/>
      <c r="AB1064" s="14"/>
      <c r="AC1064" s="14">
        <v>1120</v>
      </c>
      <c r="AD1064" s="14"/>
      <c r="AE1064" s="14">
        <v>130</v>
      </c>
      <c r="AF1064" s="14"/>
      <c r="AG1064" s="14"/>
      <c r="AH1064" s="14">
        <v>2110</v>
      </c>
      <c r="AI1064" s="19" t="e">
        <f>knicks_players_all_stats[[#This Row],[BLKPG]]+knicks_players_all_stats[[#This Row],[STLPG]]+knicks_players_all_stats[[#This Row],[REBPG]]</f>
        <v>#DIV/0!</v>
      </c>
      <c r="AJ1064" s="14"/>
      <c r="AK1064" s="14"/>
      <c r="AL1064" s="14"/>
      <c r="AM1064" s="14"/>
      <c r="AN1064" s="14"/>
      <c r="AO1064" s="14"/>
    </row>
    <row r="1065" spans="1:41" s="17" customFormat="1" x14ac:dyDescent="0.3">
      <c r="A1065" s="13"/>
      <c r="B1065" s="13"/>
      <c r="C1065" s="13"/>
      <c r="D1065" s="13"/>
      <c r="E1065" s="14">
        <v>250</v>
      </c>
      <c r="F1065" s="14"/>
      <c r="G1065" s="14"/>
      <c r="H1065" s="14"/>
      <c r="I1065" s="14"/>
      <c r="J1065" s="14"/>
      <c r="K1065" s="14"/>
      <c r="L1065" s="14"/>
      <c r="M1065" s="14"/>
      <c r="N1065" s="14"/>
      <c r="O1065" s="15"/>
      <c r="P1065" s="14"/>
      <c r="Q1065" s="14"/>
      <c r="R1065" s="16"/>
      <c r="S1065" s="14"/>
      <c r="T1065" s="14"/>
      <c r="U1065" s="14"/>
      <c r="V1065" s="14">
        <v>30</v>
      </c>
      <c r="W1065" s="14">
        <v>100</v>
      </c>
      <c r="X1065" s="14">
        <v>130</v>
      </c>
      <c r="Y1065" s="24" t="e">
        <f>knicks_players_all_stats[[#This Row],[REB]]/knicks_players_all_stats[[#This Row],[GP]]</f>
        <v>#DIV/0!</v>
      </c>
      <c r="Z1065" s="14"/>
      <c r="AA1065" s="14"/>
      <c r="AB1065" s="14"/>
      <c r="AC1065" s="14">
        <v>20</v>
      </c>
      <c r="AD1065" s="14"/>
      <c r="AE1065" s="14">
        <v>10</v>
      </c>
      <c r="AF1065" s="14"/>
      <c r="AG1065" s="14"/>
      <c r="AH1065" s="14">
        <v>130</v>
      </c>
      <c r="AI1065" s="19" t="e">
        <f>knicks_players_all_stats[[#This Row],[BLKPG]]+knicks_players_all_stats[[#This Row],[STLPG]]+knicks_players_all_stats[[#This Row],[REBPG]]</f>
        <v>#DIV/0!</v>
      </c>
      <c r="AJ1065" s="14"/>
      <c r="AK1065" s="14"/>
      <c r="AL1065" s="14"/>
      <c r="AM1065" s="14"/>
      <c r="AN1065" s="14"/>
      <c r="AO1065" s="14"/>
    </row>
    <row r="1066" spans="1:41" s="14" customFormat="1" x14ac:dyDescent="0.3">
      <c r="A1066" s="13"/>
      <c r="B1066" s="13"/>
      <c r="C1066" s="13"/>
      <c r="D1066" s="13"/>
      <c r="E1066" s="14">
        <v>260</v>
      </c>
      <c r="O1066" s="15"/>
      <c r="R1066" s="16"/>
      <c r="V1066" s="14">
        <v>80</v>
      </c>
      <c r="W1066" s="14">
        <v>260</v>
      </c>
      <c r="X1066" s="14">
        <v>340</v>
      </c>
      <c r="Y1066" s="24" t="e">
        <f>knicks_players_all_stats[[#This Row],[REB]]/knicks_players_all_stats[[#This Row],[GP]]</f>
        <v>#DIV/0!</v>
      </c>
      <c r="AC1066" s="14">
        <v>120</v>
      </c>
      <c r="AE1066" s="14">
        <v>30</v>
      </c>
      <c r="AH1066" s="14">
        <v>190</v>
      </c>
      <c r="AI1066" s="19" t="e">
        <f>knicks_players_all_stats[[#This Row],[BLKPG]]+knicks_players_all_stats[[#This Row],[STLPG]]+knicks_players_all_stats[[#This Row],[REBPG]]</f>
        <v>#DIV/0!</v>
      </c>
    </row>
    <row r="1067" spans="1:41" s="14" customFormat="1" x14ac:dyDescent="0.3">
      <c r="A1067" s="13"/>
      <c r="B1067" s="13"/>
      <c r="C1067" s="13"/>
      <c r="D1067" s="13"/>
      <c r="E1067" s="14">
        <v>260</v>
      </c>
      <c r="O1067" s="15"/>
      <c r="R1067" s="16"/>
      <c r="X1067" s="14">
        <v>11520</v>
      </c>
      <c r="Y1067" s="24" t="e">
        <f>knicks_players_all_stats[[#This Row],[REB]]/knicks_players_all_stats[[#This Row],[GP]]</f>
        <v>#DIV/0!</v>
      </c>
      <c r="AI1067" s="19" t="e">
        <f>knicks_players_all_stats[[#This Row],[BLKPG]]+knicks_players_all_stats[[#This Row],[STLPG]]+knicks_players_all_stats[[#This Row],[REBPG]]</f>
        <v>#DIV/0!</v>
      </c>
    </row>
    <row r="1068" spans="1:41" s="14" customFormat="1" x14ac:dyDescent="0.3">
      <c r="A1068" s="13"/>
      <c r="B1068" s="13"/>
      <c r="C1068" s="13"/>
      <c r="D1068" s="13"/>
      <c r="E1068" s="14">
        <v>270</v>
      </c>
      <c r="O1068" s="15"/>
      <c r="R1068" s="16"/>
      <c r="X1068" s="14">
        <v>10640</v>
      </c>
      <c r="Y1068" s="24" t="e">
        <f>knicks_players_all_stats[[#This Row],[REB]]/knicks_players_all_stats[[#This Row],[GP]]</f>
        <v>#DIV/0!</v>
      </c>
      <c r="AI1068" s="19" t="e">
        <f>knicks_players_all_stats[[#This Row],[BLKPG]]+knicks_players_all_stats[[#This Row],[STLPG]]+knicks_players_all_stats[[#This Row],[REBPG]]</f>
        <v>#DIV/0!</v>
      </c>
    </row>
    <row r="1069" spans="1:41" s="14" customFormat="1" x14ac:dyDescent="0.3">
      <c r="A1069" s="13"/>
      <c r="B1069" s="13"/>
      <c r="C1069" s="13"/>
      <c r="D1069" s="13"/>
      <c r="E1069" s="14">
        <v>280</v>
      </c>
      <c r="O1069" s="15"/>
      <c r="R1069" s="16"/>
      <c r="X1069" s="14">
        <v>9610</v>
      </c>
      <c r="Y1069" s="24" t="e">
        <f>knicks_players_all_stats[[#This Row],[REB]]/knicks_players_all_stats[[#This Row],[GP]]</f>
        <v>#DIV/0!</v>
      </c>
      <c r="AI1069" s="19" t="e">
        <f>knicks_players_all_stats[[#This Row],[BLKPG]]+knicks_players_all_stats[[#This Row],[STLPG]]+knicks_players_all_stats[[#This Row],[REBPG]]</f>
        <v>#DIV/0!</v>
      </c>
    </row>
    <row r="1070" spans="1:41" s="14" customFormat="1" x14ac:dyDescent="0.3">
      <c r="A1070" s="13"/>
      <c r="B1070" s="13"/>
      <c r="C1070" s="13"/>
      <c r="D1070" s="13"/>
      <c r="E1070" s="14">
        <v>290</v>
      </c>
      <c r="O1070" s="15"/>
      <c r="R1070" s="16"/>
      <c r="X1070" s="14">
        <v>3850</v>
      </c>
      <c r="Y1070" s="24" t="e">
        <f>knicks_players_all_stats[[#This Row],[REB]]/knicks_players_all_stats[[#This Row],[GP]]</f>
        <v>#DIV/0!</v>
      </c>
      <c r="AI1070" s="19" t="e">
        <f>knicks_players_all_stats[[#This Row],[BLKPG]]+knicks_players_all_stats[[#This Row],[STLPG]]+knicks_players_all_stats[[#This Row],[REBPG]]</f>
        <v>#DIV/0!</v>
      </c>
    </row>
    <row r="1071" spans="1:41" s="14" customFormat="1" x14ac:dyDescent="0.3">
      <c r="A1071" s="13"/>
      <c r="B1071" s="13"/>
      <c r="C1071" s="13"/>
      <c r="D1071" s="13"/>
      <c r="E1071" s="14">
        <v>240</v>
      </c>
      <c r="O1071" s="15"/>
      <c r="R1071" s="16"/>
      <c r="X1071" s="14">
        <v>510</v>
      </c>
      <c r="Y1071" s="24" t="e">
        <f>knicks_players_all_stats[[#This Row],[REB]]/knicks_players_all_stats[[#This Row],[GP]]</f>
        <v>#DIV/0!</v>
      </c>
      <c r="AI1071" s="19" t="e">
        <f>knicks_players_all_stats[[#This Row],[BLKPG]]+knicks_players_all_stats[[#This Row],[STLPG]]+knicks_players_all_stats[[#This Row],[REBPG]]</f>
        <v>#DIV/0!</v>
      </c>
    </row>
    <row r="1072" spans="1:41" s="17" customFormat="1" x14ac:dyDescent="0.3">
      <c r="A1072" s="13"/>
      <c r="B1072" s="13"/>
      <c r="C1072" s="13"/>
      <c r="D1072" s="13"/>
      <c r="E1072" s="14">
        <v>230</v>
      </c>
      <c r="F1072" s="14"/>
      <c r="G1072" s="14"/>
      <c r="H1072" s="14"/>
      <c r="I1072" s="14"/>
      <c r="J1072" s="14"/>
      <c r="K1072" s="14"/>
      <c r="L1072" s="14"/>
      <c r="M1072" s="14"/>
      <c r="N1072" s="14"/>
      <c r="O1072" s="15"/>
      <c r="P1072" s="14"/>
      <c r="Q1072" s="14"/>
      <c r="R1072" s="16"/>
      <c r="S1072" s="14"/>
      <c r="T1072" s="14"/>
      <c r="U1072" s="14"/>
      <c r="V1072" s="14">
        <v>0</v>
      </c>
      <c r="W1072" s="14">
        <v>0</v>
      </c>
      <c r="X1072" s="14">
        <v>0</v>
      </c>
      <c r="Y1072" s="24" t="e">
        <f>knicks_players_all_stats[[#This Row],[REB]]/knicks_players_all_stats[[#This Row],[GP]]</f>
        <v>#DIV/0!</v>
      </c>
      <c r="Z1072" s="14"/>
      <c r="AA1072" s="14"/>
      <c r="AB1072" s="14"/>
      <c r="AC1072" s="14">
        <v>0</v>
      </c>
      <c r="AD1072" s="14"/>
      <c r="AE1072" s="14">
        <v>0</v>
      </c>
      <c r="AF1072" s="14"/>
      <c r="AG1072" s="14"/>
      <c r="AH1072" s="14"/>
      <c r="AI1072" s="19" t="e">
        <f>knicks_players_all_stats[[#This Row],[BLKPG]]+knicks_players_all_stats[[#This Row],[STLPG]]+knicks_players_all_stats[[#This Row],[REBPG]]</f>
        <v>#DIV/0!</v>
      </c>
      <c r="AJ1072" s="14"/>
      <c r="AK1072" s="14"/>
      <c r="AL1072" s="14"/>
      <c r="AM1072" s="14"/>
      <c r="AN1072" s="14"/>
      <c r="AO1072" s="14"/>
    </row>
    <row r="1073" spans="1:41" s="17" customFormat="1" x14ac:dyDescent="0.3">
      <c r="A1073" s="13"/>
      <c r="B1073" s="13"/>
      <c r="C1073" s="13"/>
      <c r="D1073" s="13"/>
      <c r="E1073" s="14">
        <v>240</v>
      </c>
      <c r="F1073" s="14"/>
      <c r="G1073" s="14"/>
      <c r="H1073" s="14"/>
      <c r="I1073" s="14"/>
      <c r="J1073" s="14"/>
      <c r="K1073" s="14"/>
      <c r="L1073" s="14"/>
      <c r="M1073" s="14"/>
      <c r="N1073" s="14"/>
      <c r="O1073" s="15"/>
      <c r="P1073" s="14"/>
      <c r="Q1073" s="14"/>
      <c r="R1073" s="16"/>
      <c r="S1073" s="14"/>
      <c r="T1073" s="14"/>
      <c r="U1073" s="14"/>
      <c r="V1073" s="14">
        <v>480</v>
      </c>
      <c r="W1073" s="14">
        <v>570</v>
      </c>
      <c r="X1073" s="14">
        <v>1050</v>
      </c>
      <c r="Y1073" s="24" t="e">
        <f>knicks_players_all_stats[[#This Row],[REB]]/knicks_players_all_stats[[#This Row],[GP]]</f>
        <v>#DIV/0!</v>
      </c>
      <c r="Z1073" s="14"/>
      <c r="AA1073" s="14"/>
      <c r="AB1073" s="14"/>
      <c r="AC1073" s="14">
        <v>220</v>
      </c>
      <c r="AD1073" s="14"/>
      <c r="AE1073" s="14">
        <v>90</v>
      </c>
      <c r="AF1073" s="14"/>
      <c r="AG1073" s="14"/>
      <c r="AH1073" s="14"/>
      <c r="AI1073" s="19" t="e">
        <f>knicks_players_all_stats[[#This Row],[BLKPG]]+knicks_players_all_stats[[#This Row],[STLPG]]+knicks_players_all_stats[[#This Row],[REBPG]]</f>
        <v>#DIV/0!</v>
      </c>
      <c r="AJ1073" s="14"/>
      <c r="AK1073" s="14"/>
      <c r="AL1073" s="14"/>
      <c r="AM1073" s="14"/>
      <c r="AN1073" s="14"/>
      <c r="AO1073" s="14"/>
    </row>
    <row r="1074" spans="1:41" s="17" customFormat="1" x14ac:dyDescent="0.3">
      <c r="A1074" s="13"/>
      <c r="B1074" s="13"/>
      <c r="C1074" s="13"/>
      <c r="D1074" s="13"/>
      <c r="E1074" s="14">
        <v>250</v>
      </c>
      <c r="F1074" s="14"/>
      <c r="G1074" s="14"/>
      <c r="H1074" s="14"/>
      <c r="I1074" s="14"/>
      <c r="J1074" s="14"/>
      <c r="K1074" s="14"/>
      <c r="L1074" s="14"/>
      <c r="M1074" s="14"/>
      <c r="N1074" s="14"/>
      <c r="O1074" s="15"/>
      <c r="P1074" s="14"/>
      <c r="Q1074" s="14"/>
      <c r="R1074" s="16"/>
      <c r="S1074" s="14"/>
      <c r="T1074" s="14"/>
      <c r="U1074" s="14"/>
      <c r="V1074" s="14">
        <v>40</v>
      </c>
      <c r="W1074" s="14">
        <v>100</v>
      </c>
      <c r="X1074" s="14">
        <v>140</v>
      </c>
      <c r="Y1074" s="24" t="e">
        <f>knicks_players_all_stats[[#This Row],[REB]]/knicks_players_all_stats[[#This Row],[GP]]</f>
        <v>#DIV/0!</v>
      </c>
      <c r="Z1074" s="14"/>
      <c r="AA1074" s="14"/>
      <c r="AB1074" s="14"/>
      <c r="AC1074" s="14">
        <v>60</v>
      </c>
      <c r="AD1074" s="14"/>
      <c r="AE1074" s="14">
        <v>10</v>
      </c>
      <c r="AF1074" s="14"/>
      <c r="AG1074" s="14"/>
      <c r="AH1074" s="14"/>
      <c r="AI1074" s="19" t="e">
        <f>knicks_players_all_stats[[#This Row],[BLKPG]]+knicks_players_all_stats[[#This Row],[STLPG]]+knicks_players_all_stats[[#This Row],[REBPG]]</f>
        <v>#DIV/0!</v>
      </c>
      <c r="AJ1074" s="14"/>
      <c r="AK1074" s="14"/>
      <c r="AL1074" s="14"/>
      <c r="AM1074" s="14"/>
      <c r="AN1074" s="14"/>
      <c r="AO1074" s="14"/>
    </row>
    <row r="1075" spans="1:41" s="17" customFormat="1" x14ac:dyDescent="0.3">
      <c r="A1075" s="18"/>
      <c r="B1075" s="18"/>
      <c r="C1075" s="18"/>
      <c r="D1075" s="18"/>
      <c r="E1075" s="14">
        <v>320</v>
      </c>
      <c r="I1075" s="19"/>
      <c r="L1075" s="20"/>
      <c r="O1075" s="20"/>
      <c r="R1075" s="21"/>
      <c r="V1075" s="14">
        <v>10</v>
      </c>
      <c r="W1075" s="14">
        <v>20</v>
      </c>
      <c r="X1075" s="14">
        <v>30</v>
      </c>
      <c r="Y1075" s="24" t="e">
        <f>knicks_players_all_stats[[#This Row],[REB]]/knicks_players_all_stats[[#This Row],[GP]]</f>
        <v>#DIV/0!</v>
      </c>
      <c r="AC1075" s="17">
        <v>10</v>
      </c>
      <c r="AE1075" s="14">
        <v>10</v>
      </c>
      <c r="AH1075" s="14">
        <v>20</v>
      </c>
      <c r="AI1075" s="19" t="e">
        <f>knicks_players_all_stats[[#This Row],[BLKPG]]+knicks_players_all_stats[[#This Row],[STLPG]]+knicks_players_all_stats[[#This Row],[REBPG]]</f>
        <v>#DIV/0!</v>
      </c>
    </row>
    <row r="1076" spans="1:41" s="17" customFormat="1" x14ac:dyDescent="0.3">
      <c r="A1076" s="13"/>
      <c r="B1076" s="13"/>
      <c r="C1076" s="13"/>
      <c r="D1076" s="13"/>
      <c r="E1076" s="14">
        <v>230</v>
      </c>
      <c r="F1076" s="14"/>
      <c r="G1076" s="14"/>
      <c r="H1076" s="14"/>
      <c r="I1076" s="14"/>
      <c r="J1076" s="14"/>
      <c r="K1076" s="14"/>
      <c r="L1076" s="14"/>
      <c r="M1076" s="14"/>
      <c r="N1076" s="14"/>
      <c r="O1076" s="15"/>
      <c r="P1076" s="14"/>
      <c r="Q1076" s="14"/>
      <c r="R1076" s="16"/>
      <c r="S1076" s="14"/>
      <c r="T1076" s="14"/>
      <c r="U1076" s="14"/>
      <c r="V1076" s="14"/>
      <c r="W1076" s="14"/>
      <c r="X1076" s="14">
        <v>1060</v>
      </c>
      <c r="Y1076" s="24" t="e">
        <f>knicks_players_all_stats[[#This Row],[REB]]/knicks_players_all_stats[[#This Row],[GP]]</f>
        <v>#DIV/0!</v>
      </c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9" t="e">
        <f>knicks_players_all_stats[[#This Row],[BLKPG]]+knicks_players_all_stats[[#This Row],[STLPG]]+knicks_players_all_stats[[#This Row],[REBPG]]</f>
        <v>#DIV/0!</v>
      </c>
      <c r="AJ1076" s="14"/>
      <c r="AK1076" s="14"/>
      <c r="AL1076" s="14"/>
      <c r="AM1076" s="14"/>
      <c r="AN1076" s="14"/>
      <c r="AO1076" s="14"/>
    </row>
    <row r="1077" spans="1:41" s="17" customFormat="1" x14ac:dyDescent="0.3">
      <c r="A1077" s="13"/>
      <c r="B1077" s="13"/>
      <c r="C1077" s="13"/>
      <c r="D1077" s="13"/>
      <c r="E1077" s="14">
        <v>240</v>
      </c>
      <c r="F1077" s="14"/>
      <c r="G1077" s="14"/>
      <c r="H1077" s="14"/>
      <c r="I1077" s="14"/>
      <c r="J1077" s="14"/>
      <c r="K1077" s="14"/>
      <c r="L1077" s="14"/>
      <c r="M1077" s="14"/>
      <c r="N1077" s="14"/>
      <c r="O1077" s="15"/>
      <c r="P1077" s="14"/>
      <c r="Q1077" s="14"/>
      <c r="R1077" s="16"/>
      <c r="S1077" s="14"/>
      <c r="T1077" s="14"/>
      <c r="U1077" s="14"/>
      <c r="V1077" s="14"/>
      <c r="W1077" s="14"/>
      <c r="X1077" s="14">
        <v>80</v>
      </c>
      <c r="Y1077" s="24" t="e">
        <f>knicks_players_all_stats[[#This Row],[REB]]/knicks_players_all_stats[[#This Row],[GP]]</f>
        <v>#DIV/0!</v>
      </c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9" t="e">
        <f>knicks_players_all_stats[[#This Row],[BLKPG]]+knicks_players_all_stats[[#This Row],[STLPG]]+knicks_players_all_stats[[#This Row],[REBPG]]</f>
        <v>#DIV/0!</v>
      </c>
      <c r="AJ1077" s="14"/>
      <c r="AK1077" s="14"/>
      <c r="AL1077" s="14"/>
      <c r="AM1077" s="14"/>
      <c r="AN1077" s="14"/>
      <c r="AO1077" s="14"/>
    </row>
    <row r="1078" spans="1:41" s="17" customFormat="1" x14ac:dyDescent="0.3">
      <c r="A1078" s="13"/>
      <c r="B1078" s="13"/>
      <c r="C1078" s="13"/>
      <c r="D1078" s="13"/>
      <c r="E1078" s="14">
        <v>270</v>
      </c>
      <c r="F1078" s="14"/>
      <c r="G1078" s="14"/>
      <c r="H1078" s="14"/>
      <c r="I1078" s="14"/>
      <c r="J1078" s="14"/>
      <c r="K1078" s="14"/>
      <c r="L1078" s="14"/>
      <c r="M1078" s="14"/>
      <c r="N1078" s="14"/>
      <c r="O1078" s="15"/>
      <c r="P1078" s="14"/>
      <c r="Q1078" s="14"/>
      <c r="R1078" s="16"/>
      <c r="S1078" s="14"/>
      <c r="T1078" s="14"/>
      <c r="U1078" s="14"/>
      <c r="V1078" s="14"/>
      <c r="W1078" s="14"/>
      <c r="X1078" s="14">
        <v>870</v>
      </c>
      <c r="Y1078" s="24" t="e">
        <f>knicks_players_all_stats[[#This Row],[REB]]/knicks_players_all_stats[[#This Row],[GP]]</f>
        <v>#DIV/0!</v>
      </c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9" t="e">
        <f>knicks_players_all_stats[[#This Row],[BLKPG]]+knicks_players_all_stats[[#This Row],[STLPG]]+knicks_players_all_stats[[#This Row],[REBPG]]</f>
        <v>#DIV/0!</v>
      </c>
      <c r="AJ1078" s="14"/>
      <c r="AK1078" s="14"/>
      <c r="AL1078" s="14"/>
      <c r="AM1078" s="14"/>
      <c r="AN1078" s="14"/>
      <c r="AO1078" s="14"/>
    </row>
    <row r="1079" spans="1:41" s="14" customFormat="1" x14ac:dyDescent="0.3">
      <c r="A1079" s="13"/>
      <c r="B1079" s="13"/>
      <c r="C1079" s="13"/>
      <c r="D1079" s="13"/>
      <c r="E1079" s="14">
        <v>280</v>
      </c>
      <c r="O1079" s="15"/>
      <c r="R1079" s="16"/>
      <c r="X1079" s="14">
        <v>70</v>
      </c>
      <c r="Y1079" s="24" t="e">
        <f>knicks_players_all_stats[[#This Row],[REB]]/knicks_players_all_stats[[#This Row],[GP]]</f>
        <v>#DIV/0!</v>
      </c>
      <c r="AI1079" s="19" t="e">
        <f>knicks_players_all_stats[[#This Row],[BLKPG]]+knicks_players_all_stats[[#This Row],[STLPG]]+knicks_players_all_stats[[#This Row],[REBPG]]</f>
        <v>#DIV/0!</v>
      </c>
    </row>
    <row r="1080" spans="1:41" s="14" customFormat="1" x14ac:dyDescent="0.3">
      <c r="A1080" s="13"/>
      <c r="B1080" s="13"/>
      <c r="C1080" s="13"/>
      <c r="D1080" s="13"/>
      <c r="E1080" s="14">
        <v>220</v>
      </c>
      <c r="O1080" s="15"/>
      <c r="R1080" s="16"/>
      <c r="V1080" s="14">
        <v>20</v>
      </c>
      <c r="W1080" s="14">
        <v>0</v>
      </c>
      <c r="X1080" s="14">
        <v>20</v>
      </c>
      <c r="Y1080" s="24" t="e">
        <f>knicks_players_all_stats[[#This Row],[REB]]/knicks_players_all_stats[[#This Row],[GP]]</f>
        <v>#DIV/0!</v>
      </c>
      <c r="AC1080" s="14">
        <v>0</v>
      </c>
      <c r="AE1080" s="14">
        <v>0</v>
      </c>
      <c r="AI1080" s="19" t="e">
        <f>knicks_players_all_stats[[#This Row],[BLKPG]]+knicks_players_all_stats[[#This Row],[STLPG]]+knicks_players_all_stats[[#This Row],[REBPG]]</f>
        <v>#DIV/0!</v>
      </c>
    </row>
    <row r="1081" spans="1:41" s="14" customFormat="1" x14ac:dyDescent="0.3">
      <c r="A1081" s="13"/>
      <c r="B1081" s="13"/>
      <c r="C1081" s="13"/>
      <c r="D1081" s="13"/>
      <c r="E1081" s="14">
        <v>250</v>
      </c>
      <c r="O1081" s="15"/>
      <c r="R1081" s="16"/>
      <c r="Y1081" s="24" t="e">
        <f>knicks_players_all_stats[[#This Row],[REB]]/knicks_players_all_stats[[#This Row],[GP]]</f>
        <v>#DIV/0!</v>
      </c>
      <c r="AI1081" s="19" t="e">
        <f>knicks_players_all_stats[[#This Row],[BLKPG]]+knicks_players_all_stats[[#This Row],[STLPG]]+knicks_players_all_stats[[#This Row],[REBPG]]</f>
        <v>#DIV/0!</v>
      </c>
    </row>
    <row r="1082" spans="1:41" s="14" customFormat="1" x14ac:dyDescent="0.3">
      <c r="A1082" s="13"/>
      <c r="B1082" s="13"/>
      <c r="C1082" s="13"/>
      <c r="D1082" s="13"/>
      <c r="E1082" s="14">
        <v>290</v>
      </c>
      <c r="O1082" s="15"/>
      <c r="R1082" s="16"/>
      <c r="V1082" s="14">
        <v>220</v>
      </c>
      <c r="W1082" s="14">
        <v>1690</v>
      </c>
      <c r="X1082" s="14">
        <v>1910</v>
      </c>
      <c r="Y1082" s="24" t="e">
        <f>knicks_players_all_stats[[#This Row],[REB]]/knicks_players_all_stats[[#This Row],[GP]]</f>
        <v>#DIV/0!</v>
      </c>
      <c r="AC1082" s="14">
        <v>780</v>
      </c>
      <c r="AE1082" s="14">
        <v>110</v>
      </c>
      <c r="AH1082" s="14">
        <v>1800</v>
      </c>
      <c r="AI1082" s="19" t="e">
        <f>knicks_players_all_stats[[#This Row],[BLKPG]]+knicks_players_all_stats[[#This Row],[STLPG]]+knicks_players_all_stats[[#This Row],[REBPG]]</f>
        <v>#DIV/0!</v>
      </c>
    </row>
    <row r="1083" spans="1:41" s="14" customFormat="1" x14ac:dyDescent="0.3">
      <c r="A1083" s="13"/>
      <c r="B1083" s="13"/>
      <c r="C1083" s="13"/>
      <c r="D1083" s="13"/>
      <c r="E1083" s="14">
        <v>300</v>
      </c>
      <c r="O1083" s="15"/>
      <c r="R1083" s="16"/>
      <c r="V1083" s="14">
        <v>290</v>
      </c>
      <c r="W1083" s="14">
        <v>1330</v>
      </c>
      <c r="X1083" s="14">
        <v>1620</v>
      </c>
      <c r="Y1083" s="24" t="e">
        <f>knicks_players_all_stats[[#This Row],[REB]]/knicks_players_all_stats[[#This Row],[GP]]</f>
        <v>#DIV/0!</v>
      </c>
      <c r="AC1083" s="14">
        <v>560</v>
      </c>
      <c r="AE1083" s="14">
        <v>60</v>
      </c>
      <c r="AH1083" s="14">
        <v>1030</v>
      </c>
      <c r="AI1083" s="19" t="e">
        <f>knicks_players_all_stats[[#This Row],[BLKPG]]+knicks_players_all_stats[[#This Row],[STLPG]]+knicks_players_all_stats[[#This Row],[REBPG]]</f>
        <v>#DIV/0!</v>
      </c>
    </row>
    <row r="1084" spans="1:41" s="14" customFormat="1" x14ac:dyDescent="0.3">
      <c r="A1084" s="13"/>
      <c r="B1084" s="13"/>
      <c r="C1084" s="13"/>
      <c r="D1084" s="13"/>
      <c r="E1084" s="14">
        <v>310</v>
      </c>
      <c r="O1084" s="15"/>
      <c r="R1084" s="16"/>
      <c r="V1084" s="14">
        <v>180</v>
      </c>
      <c r="W1084" s="14">
        <v>1150</v>
      </c>
      <c r="X1084" s="14">
        <v>1330</v>
      </c>
      <c r="Y1084" s="24" t="e">
        <f>knicks_players_all_stats[[#This Row],[REB]]/knicks_players_all_stats[[#This Row],[GP]]</f>
        <v>#DIV/0!</v>
      </c>
      <c r="AC1084" s="14">
        <v>440</v>
      </c>
      <c r="AE1084" s="14">
        <v>10</v>
      </c>
      <c r="AH1084" s="14">
        <v>850</v>
      </c>
      <c r="AI1084" s="19" t="e">
        <f>knicks_players_all_stats[[#This Row],[BLKPG]]+knicks_players_all_stats[[#This Row],[STLPG]]+knicks_players_all_stats[[#This Row],[REBPG]]</f>
        <v>#DIV/0!</v>
      </c>
    </row>
    <row r="1085" spans="1:41" s="14" customFormat="1" x14ac:dyDescent="0.3">
      <c r="A1085" s="13"/>
      <c r="B1085" s="13"/>
      <c r="C1085" s="13"/>
      <c r="D1085" s="13"/>
      <c r="E1085" s="14">
        <v>320</v>
      </c>
      <c r="O1085" s="15"/>
      <c r="R1085" s="16"/>
      <c r="V1085" s="14">
        <v>170</v>
      </c>
      <c r="W1085" s="14">
        <v>1300</v>
      </c>
      <c r="X1085" s="14">
        <v>1470</v>
      </c>
      <c r="Y1085" s="24" t="e">
        <f>knicks_players_all_stats[[#This Row],[REB]]/knicks_players_all_stats[[#This Row],[GP]]</f>
        <v>#DIV/0!</v>
      </c>
      <c r="AC1085" s="14">
        <v>360</v>
      </c>
      <c r="AE1085" s="14">
        <v>40</v>
      </c>
      <c r="AH1085" s="14">
        <v>1050</v>
      </c>
      <c r="AI1085" s="19" t="e">
        <f>knicks_players_all_stats[[#This Row],[BLKPG]]+knicks_players_all_stats[[#This Row],[STLPG]]+knicks_players_all_stats[[#This Row],[REBPG]]</f>
        <v>#DIV/0!</v>
      </c>
    </row>
    <row r="1086" spans="1:41" s="14" customFormat="1" x14ac:dyDescent="0.3">
      <c r="A1086" s="13"/>
      <c r="B1086" s="13"/>
      <c r="C1086" s="13"/>
      <c r="D1086" s="13"/>
      <c r="E1086" s="14">
        <v>330</v>
      </c>
      <c r="O1086" s="15"/>
      <c r="R1086" s="16"/>
      <c r="V1086" s="14">
        <v>110</v>
      </c>
      <c r="W1086" s="14">
        <v>620</v>
      </c>
      <c r="X1086" s="14">
        <v>730</v>
      </c>
      <c r="Y1086" s="24" t="e">
        <f>knicks_players_all_stats[[#This Row],[REB]]/knicks_players_all_stats[[#This Row],[GP]]</f>
        <v>#DIV/0!</v>
      </c>
      <c r="AC1086" s="14">
        <v>420</v>
      </c>
      <c r="AE1086" s="14">
        <v>50</v>
      </c>
      <c r="AH1086" s="14">
        <v>360</v>
      </c>
      <c r="AI1086" s="19" t="e">
        <f>knicks_players_all_stats[[#This Row],[BLKPG]]+knicks_players_all_stats[[#This Row],[STLPG]]+knicks_players_all_stats[[#This Row],[REBPG]]</f>
        <v>#DIV/0!</v>
      </c>
    </row>
    <row r="1087" spans="1:41" s="14" customFormat="1" x14ac:dyDescent="0.3">
      <c r="A1087" s="13"/>
      <c r="B1087" s="13"/>
      <c r="C1087" s="13"/>
      <c r="D1087" s="13"/>
      <c r="E1087" s="14">
        <v>340</v>
      </c>
      <c r="O1087" s="15"/>
      <c r="R1087" s="16"/>
      <c r="V1087" s="14">
        <v>220</v>
      </c>
      <c r="W1087" s="14">
        <v>1510</v>
      </c>
      <c r="X1087" s="14">
        <v>1730</v>
      </c>
      <c r="Y1087" s="24" t="e">
        <f>knicks_players_all_stats[[#This Row],[REB]]/knicks_players_all_stats[[#This Row],[GP]]</f>
        <v>#DIV/0!</v>
      </c>
      <c r="AC1087" s="14">
        <v>1280</v>
      </c>
      <c r="AE1087" s="14">
        <v>100</v>
      </c>
      <c r="AH1087" s="14">
        <v>1080</v>
      </c>
      <c r="AI1087" s="19" t="e">
        <f>knicks_players_all_stats[[#This Row],[BLKPG]]+knicks_players_all_stats[[#This Row],[STLPG]]+knicks_players_all_stats[[#This Row],[REBPG]]</f>
        <v>#DIV/0!</v>
      </c>
    </row>
    <row r="1088" spans="1:41" s="17" customFormat="1" x14ac:dyDescent="0.3">
      <c r="A1088" s="13"/>
      <c r="B1088" s="13"/>
      <c r="C1088" s="13"/>
      <c r="D1088" s="13"/>
      <c r="E1088" s="14">
        <v>270</v>
      </c>
      <c r="F1088" s="14"/>
      <c r="G1088" s="14"/>
      <c r="H1088" s="14"/>
      <c r="I1088" s="14"/>
      <c r="J1088" s="14"/>
      <c r="K1088" s="14"/>
      <c r="L1088" s="14"/>
      <c r="M1088" s="14"/>
      <c r="N1088" s="14"/>
      <c r="O1088" s="15"/>
      <c r="P1088" s="14"/>
      <c r="Q1088" s="14"/>
      <c r="R1088" s="16"/>
      <c r="S1088" s="14"/>
      <c r="T1088" s="14"/>
      <c r="U1088" s="14"/>
      <c r="V1088" s="14"/>
      <c r="W1088" s="14"/>
      <c r="X1088" s="14">
        <v>4180</v>
      </c>
      <c r="Y1088" s="24" t="e">
        <f>knicks_players_all_stats[[#This Row],[REB]]/knicks_players_all_stats[[#This Row],[GP]]</f>
        <v>#DIV/0!</v>
      </c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9" t="e">
        <f>knicks_players_all_stats[[#This Row],[BLKPG]]+knicks_players_all_stats[[#This Row],[STLPG]]+knicks_players_all_stats[[#This Row],[REBPG]]</f>
        <v>#DIV/0!</v>
      </c>
      <c r="AJ1088" s="14"/>
      <c r="AK1088" s="14"/>
      <c r="AL1088" s="14"/>
      <c r="AM1088" s="14"/>
      <c r="AN1088" s="14"/>
      <c r="AO1088" s="14"/>
    </row>
    <row r="1089" spans="1:41" s="14" customFormat="1" x14ac:dyDescent="0.3">
      <c r="A1089" s="13"/>
      <c r="B1089" s="13"/>
      <c r="C1089" s="13"/>
      <c r="D1089" s="13"/>
      <c r="E1089" s="14">
        <v>280</v>
      </c>
      <c r="O1089" s="15"/>
      <c r="R1089" s="16"/>
      <c r="X1089" s="14">
        <v>6040</v>
      </c>
      <c r="Y1089" s="24" t="e">
        <f>knicks_players_all_stats[[#This Row],[REB]]/knicks_players_all_stats[[#This Row],[GP]]</f>
        <v>#DIV/0!</v>
      </c>
      <c r="AI1089" s="19" t="e">
        <f>knicks_players_all_stats[[#This Row],[BLKPG]]+knicks_players_all_stats[[#This Row],[STLPG]]+knicks_players_all_stats[[#This Row],[REBPG]]</f>
        <v>#DIV/0!</v>
      </c>
    </row>
    <row r="1090" spans="1:41" s="14" customFormat="1" x14ac:dyDescent="0.3">
      <c r="A1090" s="13"/>
      <c r="B1090" s="13"/>
      <c r="C1090" s="13"/>
      <c r="D1090" s="13"/>
      <c r="E1090" s="14">
        <v>230</v>
      </c>
      <c r="O1090" s="15"/>
      <c r="R1090" s="16"/>
      <c r="X1090" s="14">
        <v>7670</v>
      </c>
      <c r="Y1090" s="24" t="e">
        <f>knicks_players_all_stats[[#This Row],[REB]]/knicks_players_all_stats[[#This Row],[GP]]</f>
        <v>#DIV/0!</v>
      </c>
      <c r="AI1090" s="19" t="e">
        <f>knicks_players_all_stats[[#This Row],[BLKPG]]+knicks_players_all_stats[[#This Row],[STLPG]]+knicks_players_all_stats[[#This Row],[REBPG]]</f>
        <v>#DIV/0!</v>
      </c>
    </row>
    <row r="1091" spans="1:41" s="17" customFormat="1" x14ac:dyDescent="0.3">
      <c r="A1091" s="13"/>
      <c r="B1091" s="13"/>
      <c r="C1091" s="13"/>
      <c r="D1091" s="13"/>
      <c r="E1091" s="14">
        <v>240</v>
      </c>
      <c r="F1091" s="14"/>
      <c r="G1091" s="14"/>
      <c r="H1091" s="14"/>
      <c r="I1091" s="14"/>
      <c r="J1091" s="14"/>
      <c r="K1091" s="14"/>
      <c r="L1091" s="14"/>
      <c r="M1091" s="14"/>
      <c r="N1091" s="14"/>
      <c r="O1091" s="15"/>
      <c r="P1091" s="14"/>
      <c r="Q1091" s="14"/>
      <c r="R1091" s="16"/>
      <c r="S1091" s="14"/>
      <c r="T1091" s="14"/>
      <c r="U1091" s="14"/>
      <c r="V1091" s="14"/>
      <c r="W1091" s="14"/>
      <c r="X1091" s="14">
        <v>1400</v>
      </c>
      <c r="Y1091" s="24" t="e">
        <f>knicks_players_all_stats[[#This Row],[REB]]/knicks_players_all_stats[[#This Row],[GP]]</f>
        <v>#DIV/0!</v>
      </c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9" t="e">
        <f>knicks_players_all_stats[[#This Row],[BLKPG]]+knicks_players_all_stats[[#This Row],[STLPG]]+knicks_players_all_stats[[#This Row],[REBPG]]</f>
        <v>#DIV/0!</v>
      </c>
      <c r="AJ1091" s="14"/>
      <c r="AK1091" s="14"/>
      <c r="AL1091" s="14"/>
      <c r="AM1091" s="14"/>
      <c r="AN1091" s="14"/>
      <c r="AO1091" s="14"/>
    </row>
    <row r="1092" spans="1:41" s="17" customFormat="1" x14ac:dyDescent="0.3">
      <c r="A1092" s="13"/>
      <c r="B1092" s="13"/>
      <c r="C1092" s="13"/>
      <c r="D1092" s="13"/>
      <c r="E1092" s="14">
        <v>250</v>
      </c>
      <c r="F1092" s="14"/>
      <c r="G1092" s="14"/>
      <c r="H1092" s="14"/>
      <c r="I1092" s="14"/>
      <c r="J1092" s="14"/>
      <c r="K1092" s="14"/>
      <c r="L1092" s="14"/>
      <c r="M1092" s="14"/>
      <c r="N1092" s="14"/>
      <c r="O1092" s="15"/>
      <c r="P1092" s="14"/>
      <c r="Q1092" s="14"/>
      <c r="R1092" s="16"/>
      <c r="S1092" s="14"/>
      <c r="T1092" s="14"/>
      <c r="U1092" s="14"/>
      <c r="V1092" s="14"/>
      <c r="W1092" s="14"/>
      <c r="X1092" s="14">
        <v>1270</v>
      </c>
      <c r="Y1092" s="24" t="e">
        <f>knicks_players_all_stats[[#This Row],[REB]]/knicks_players_all_stats[[#This Row],[GP]]</f>
        <v>#DIV/0!</v>
      </c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9" t="e">
        <f>knicks_players_all_stats[[#This Row],[BLKPG]]+knicks_players_all_stats[[#This Row],[STLPG]]+knicks_players_all_stats[[#This Row],[REBPG]]</f>
        <v>#DIV/0!</v>
      </c>
      <c r="AJ1092" s="14"/>
      <c r="AK1092" s="14"/>
      <c r="AL1092" s="14"/>
      <c r="AM1092" s="14"/>
      <c r="AN1092" s="14"/>
      <c r="AO1092" s="14"/>
    </row>
    <row r="1093" spans="1:41" s="17" customFormat="1" x14ac:dyDescent="0.3">
      <c r="A1093" s="13"/>
      <c r="B1093" s="13"/>
      <c r="C1093" s="13"/>
      <c r="D1093" s="13"/>
      <c r="E1093" s="14">
        <v>220</v>
      </c>
      <c r="F1093" s="14"/>
      <c r="G1093" s="14"/>
      <c r="H1093" s="14"/>
      <c r="I1093" s="14"/>
      <c r="J1093" s="14"/>
      <c r="K1093" s="14"/>
      <c r="L1093" s="14"/>
      <c r="M1093" s="14"/>
      <c r="N1093" s="14"/>
      <c r="O1093" s="15"/>
      <c r="P1093" s="14"/>
      <c r="Q1093" s="14"/>
      <c r="R1093" s="16"/>
      <c r="S1093" s="14"/>
      <c r="T1093" s="14"/>
      <c r="U1093" s="14"/>
      <c r="V1093" s="14"/>
      <c r="W1093" s="14"/>
      <c r="X1093" s="14">
        <v>2960</v>
      </c>
      <c r="Y1093" s="24" t="e">
        <f>knicks_players_all_stats[[#This Row],[REB]]/knicks_players_all_stats[[#This Row],[GP]]</f>
        <v>#DIV/0!</v>
      </c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9" t="e">
        <f>knicks_players_all_stats[[#This Row],[BLKPG]]+knicks_players_all_stats[[#This Row],[STLPG]]+knicks_players_all_stats[[#This Row],[REBPG]]</f>
        <v>#DIV/0!</v>
      </c>
      <c r="AJ1093" s="14"/>
      <c r="AK1093" s="14"/>
      <c r="AL1093" s="14"/>
      <c r="AM1093" s="14"/>
      <c r="AN1093" s="14"/>
      <c r="AO1093" s="14"/>
    </row>
    <row r="1094" spans="1:41" s="14" customFormat="1" x14ac:dyDescent="0.3">
      <c r="A1094" s="13"/>
      <c r="B1094" s="13"/>
      <c r="C1094" s="13"/>
      <c r="D1094" s="13"/>
      <c r="E1094" s="14">
        <v>230</v>
      </c>
      <c r="O1094" s="15"/>
      <c r="R1094" s="16"/>
      <c r="X1094" s="14">
        <v>4700</v>
      </c>
      <c r="Y1094" s="24" t="e">
        <f>knicks_players_all_stats[[#This Row],[REB]]/knicks_players_all_stats[[#This Row],[GP]]</f>
        <v>#DIV/0!</v>
      </c>
      <c r="AI1094" s="19" t="e">
        <f>knicks_players_all_stats[[#This Row],[BLKPG]]+knicks_players_all_stats[[#This Row],[STLPG]]+knicks_players_all_stats[[#This Row],[REBPG]]</f>
        <v>#DIV/0!</v>
      </c>
    </row>
    <row r="1095" spans="1:41" s="14" customFormat="1" x14ac:dyDescent="0.3">
      <c r="A1095" s="13"/>
      <c r="B1095" s="13"/>
      <c r="C1095" s="13"/>
      <c r="D1095" s="13"/>
      <c r="E1095" s="14">
        <v>220</v>
      </c>
      <c r="O1095" s="15"/>
      <c r="R1095" s="16"/>
      <c r="V1095" s="14">
        <v>510</v>
      </c>
      <c r="W1095" s="14">
        <v>1090</v>
      </c>
      <c r="X1095" s="14">
        <v>1600</v>
      </c>
      <c r="Y1095" s="24" t="e">
        <f>knicks_players_all_stats[[#This Row],[REB]]/knicks_players_all_stats[[#This Row],[GP]]</f>
        <v>#DIV/0!</v>
      </c>
      <c r="AC1095" s="14">
        <v>980</v>
      </c>
      <c r="AE1095" s="14">
        <v>30</v>
      </c>
      <c r="AH1095" s="14">
        <v>1480</v>
      </c>
      <c r="AI1095" s="19" t="e">
        <f>knicks_players_all_stats[[#This Row],[BLKPG]]+knicks_players_all_stats[[#This Row],[STLPG]]+knicks_players_all_stats[[#This Row],[REBPG]]</f>
        <v>#DIV/0!</v>
      </c>
    </row>
    <row r="1096" spans="1:41" s="14" customFormat="1" x14ac:dyDescent="0.3">
      <c r="A1096" s="13"/>
      <c r="B1096" s="13"/>
      <c r="C1096" s="13"/>
      <c r="D1096" s="13"/>
      <c r="E1096" s="14">
        <v>230</v>
      </c>
      <c r="O1096" s="15"/>
      <c r="R1096" s="16"/>
      <c r="V1096" s="14">
        <v>430</v>
      </c>
      <c r="W1096" s="14">
        <v>830</v>
      </c>
      <c r="X1096" s="14">
        <v>1260</v>
      </c>
      <c r="Y1096" s="24" t="e">
        <f>knicks_players_all_stats[[#This Row],[REB]]/knicks_players_all_stats[[#This Row],[GP]]</f>
        <v>#DIV/0!</v>
      </c>
      <c r="AC1096" s="14">
        <v>700</v>
      </c>
      <c r="AE1096" s="14">
        <v>80</v>
      </c>
      <c r="AH1096" s="14">
        <v>850</v>
      </c>
      <c r="AI1096" s="19" t="e">
        <f>knicks_players_all_stats[[#This Row],[BLKPG]]+knicks_players_all_stats[[#This Row],[STLPG]]+knicks_players_all_stats[[#This Row],[REBPG]]</f>
        <v>#DIV/0!</v>
      </c>
    </row>
    <row r="1097" spans="1:41" s="14" customFormat="1" x14ac:dyDescent="0.3">
      <c r="A1097" s="13"/>
      <c r="B1097" s="13"/>
      <c r="C1097" s="13"/>
      <c r="D1097" s="13"/>
      <c r="E1097" s="14">
        <v>270</v>
      </c>
      <c r="O1097" s="15"/>
      <c r="R1097" s="16"/>
      <c r="Y1097" s="24" t="e">
        <f>knicks_players_all_stats[[#This Row],[REB]]/knicks_players_all_stats[[#This Row],[GP]]</f>
        <v>#DIV/0!</v>
      </c>
      <c r="AI1097" s="19" t="e">
        <f>knicks_players_all_stats[[#This Row],[BLKPG]]+knicks_players_all_stats[[#This Row],[STLPG]]+knicks_players_all_stats[[#This Row],[REBPG]]</f>
        <v>#DIV/0!</v>
      </c>
    </row>
    <row r="1098" spans="1:41" s="14" customFormat="1" x14ac:dyDescent="0.3">
      <c r="A1098" s="13"/>
      <c r="B1098" s="13"/>
      <c r="C1098" s="13"/>
      <c r="D1098" s="13"/>
      <c r="E1098" s="14">
        <v>280</v>
      </c>
      <c r="O1098" s="15"/>
      <c r="R1098" s="16"/>
      <c r="Y1098" s="24" t="e">
        <f>knicks_players_all_stats[[#This Row],[REB]]/knicks_players_all_stats[[#This Row],[GP]]</f>
        <v>#DIV/0!</v>
      </c>
      <c r="AI1098" s="19" t="e">
        <f>knicks_players_all_stats[[#This Row],[BLKPG]]+knicks_players_all_stats[[#This Row],[STLPG]]+knicks_players_all_stats[[#This Row],[REBPG]]</f>
        <v>#DIV/0!</v>
      </c>
    </row>
    <row r="1099" spans="1:41" s="14" customFormat="1" x14ac:dyDescent="0.3">
      <c r="A1099" s="13"/>
      <c r="B1099" s="13"/>
      <c r="C1099" s="13"/>
      <c r="D1099" s="13"/>
      <c r="E1099" s="14">
        <v>230</v>
      </c>
      <c r="O1099" s="15"/>
      <c r="R1099" s="16"/>
      <c r="X1099" s="14">
        <v>250</v>
      </c>
      <c r="Y1099" s="24" t="e">
        <f>knicks_players_all_stats[[#This Row],[REB]]/knicks_players_all_stats[[#This Row],[GP]]</f>
        <v>#DIV/0!</v>
      </c>
      <c r="AI1099" s="19" t="e">
        <f>knicks_players_all_stats[[#This Row],[BLKPG]]+knicks_players_all_stats[[#This Row],[STLPG]]+knicks_players_all_stats[[#This Row],[REBPG]]</f>
        <v>#DIV/0!</v>
      </c>
    </row>
    <row r="1100" spans="1:41" s="14" customFormat="1" x14ac:dyDescent="0.3">
      <c r="A1100" s="13"/>
      <c r="B1100" s="13"/>
      <c r="C1100" s="13"/>
      <c r="D1100" s="13"/>
      <c r="E1100" s="14">
        <v>220</v>
      </c>
      <c r="O1100" s="15"/>
      <c r="R1100" s="16"/>
      <c r="Y1100" s="24" t="e">
        <f>knicks_players_all_stats[[#This Row],[REB]]/knicks_players_all_stats[[#This Row],[GP]]</f>
        <v>#DIV/0!</v>
      </c>
      <c r="AI1100" s="19" t="e">
        <f>knicks_players_all_stats[[#This Row],[BLKPG]]+knicks_players_all_stats[[#This Row],[STLPG]]+knicks_players_all_stats[[#This Row],[REBPG]]</f>
        <v>#DIV/0!</v>
      </c>
    </row>
    <row r="1101" spans="1:41" s="17" customFormat="1" x14ac:dyDescent="0.3">
      <c r="A1101" s="13"/>
      <c r="B1101" s="13"/>
      <c r="C1101" s="13"/>
      <c r="D1101" s="13"/>
      <c r="E1101" s="14">
        <v>230</v>
      </c>
      <c r="F1101" s="14"/>
      <c r="G1101" s="14"/>
      <c r="H1101" s="14"/>
      <c r="I1101" s="14"/>
      <c r="J1101" s="14"/>
      <c r="K1101" s="14"/>
      <c r="L1101" s="14"/>
      <c r="M1101" s="14"/>
      <c r="N1101" s="14"/>
      <c r="O1101" s="15"/>
      <c r="P1101" s="14"/>
      <c r="Q1101" s="14"/>
      <c r="R1101" s="16"/>
      <c r="S1101" s="14"/>
      <c r="T1101" s="14"/>
      <c r="U1101" s="14"/>
      <c r="V1101" s="14"/>
      <c r="W1101" s="14"/>
      <c r="X1101" s="14">
        <v>0</v>
      </c>
      <c r="Y1101" s="24" t="e">
        <f>knicks_players_all_stats[[#This Row],[REB]]/knicks_players_all_stats[[#This Row],[GP]]</f>
        <v>#DIV/0!</v>
      </c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9" t="e">
        <f>knicks_players_all_stats[[#This Row],[BLKPG]]+knicks_players_all_stats[[#This Row],[STLPG]]+knicks_players_all_stats[[#This Row],[REBPG]]</f>
        <v>#DIV/0!</v>
      </c>
      <c r="AJ1101" s="14"/>
      <c r="AK1101" s="14"/>
      <c r="AL1101" s="14"/>
      <c r="AM1101" s="14"/>
      <c r="AN1101" s="14"/>
      <c r="AO1101" s="14"/>
    </row>
    <row r="1102" spans="1:41" s="14" customFormat="1" x14ac:dyDescent="0.3">
      <c r="A1102" s="13"/>
      <c r="B1102" s="13"/>
      <c r="C1102" s="13"/>
      <c r="D1102" s="13"/>
      <c r="E1102" s="14">
        <v>220</v>
      </c>
      <c r="O1102" s="15"/>
      <c r="R1102" s="16"/>
      <c r="V1102" s="14">
        <v>190</v>
      </c>
      <c r="W1102" s="14">
        <v>170</v>
      </c>
      <c r="X1102" s="14">
        <v>360</v>
      </c>
      <c r="Y1102" s="24" t="e">
        <f>knicks_players_all_stats[[#This Row],[REB]]/knicks_players_all_stats[[#This Row],[GP]]</f>
        <v>#DIV/0!</v>
      </c>
      <c r="AC1102" s="14">
        <v>200</v>
      </c>
      <c r="AE1102" s="14">
        <v>20</v>
      </c>
      <c r="AH1102" s="14">
        <v>300</v>
      </c>
      <c r="AI1102" s="19" t="e">
        <f>knicks_players_all_stats[[#This Row],[BLKPG]]+knicks_players_all_stats[[#This Row],[STLPG]]+knicks_players_all_stats[[#This Row],[REBPG]]</f>
        <v>#DIV/0!</v>
      </c>
    </row>
    <row r="1103" spans="1:41" s="14" customFormat="1" x14ac:dyDescent="0.3">
      <c r="A1103" s="13"/>
      <c r="B1103" s="13"/>
      <c r="C1103" s="13"/>
      <c r="D1103" s="13"/>
      <c r="E1103" s="14">
        <v>260</v>
      </c>
      <c r="O1103" s="15"/>
      <c r="R1103" s="16"/>
      <c r="V1103" s="14">
        <v>820</v>
      </c>
      <c r="W1103" s="14">
        <v>2040</v>
      </c>
      <c r="X1103" s="14">
        <v>2860</v>
      </c>
      <c r="Y1103" s="24" t="e">
        <f>knicks_players_all_stats[[#This Row],[REB]]/knicks_players_all_stats[[#This Row],[GP]]</f>
        <v>#DIV/0!</v>
      </c>
      <c r="AC1103" s="14">
        <v>450</v>
      </c>
      <c r="AE1103" s="14">
        <v>170</v>
      </c>
      <c r="AH1103" s="14">
        <v>730</v>
      </c>
      <c r="AI1103" s="19" t="e">
        <f>knicks_players_all_stats[[#This Row],[BLKPG]]+knicks_players_all_stats[[#This Row],[STLPG]]+knicks_players_all_stats[[#This Row],[REBPG]]</f>
        <v>#DIV/0!</v>
      </c>
    </row>
    <row r="1104" spans="1:41" s="14" customFormat="1" x14ac:dyDescent="0.3">
      <c r="A1104" s="13"/>
      <c r="B1104" s="13"/>
      <c r="C1104" s="13"/>
      <c r="D1104" s="13"/>
      <c r="E1104" s="14">
        <v>270</v>
      </c>
      <c r="O1104" s="15"/>
      <c r="R1104" s="16"/>
      <c r="V1104" s="14">
        <v>1440</v>
      </c>
      <c r="W1104" s="14">
        <v>3610</v>
      </c>
      <c r="X1104" s="14">
        <v>5050</v>
      </c>
      <c r="Y1104" s="24" t="e">
        <f>knicks_players_all_stats[[#This Row],[REB]]/knicks_players_all_stats[[#This Row],[GP]]</f>
        <v>#DIV/0!</v>
      </c>
      <c r="AC1104" s="14">
        <v>510</v>
      </c>
      <c r="AE1104" s="14">
        <v>420</v>
      </c>
      <c r="AH1104" s="14">
        <v>1050</v>
      </c>
      <c r="AI1104" s="19" t="e">
        <f>knicks_players_all_stats[[#This Row],[BLKPG]]+knicks_players_all_stats[[#This Row],[STLPG]]+knicks_players_all_stats[[#This Row],[REBPG]]</f>
        <v>#DIV/0!</v>
      </c>
    </row>
    <row r="1105" spans="1:41" s="14" customFormat="1" x14ac:dyDescent="0.3">
      <c r="A1105" s="13"/>
      <c r="B1105" s="13"/>
      <c r="C1105" s="13"/>
      <c r="D1105" s="13"/>
      <c r="E1105" s="14">
        <v>270</v>
      </c>
      <c r="O1105" s="15"/>
      <c r="R1105" s="16"/>
      <c r="V1105" s="14">
        <v>0</v>
      </c>
      <c r="W1105" s="14">
        <v>100</v>
      </c>
      <c r="X1105" s="14">
        <v>100</v>
      </c>
      <c r="Y1105" s="24" t="e">
        <f>knicks_players_all_stats[[#This Row],[REB]]/knicks_players_all_stats[[#This Row],[GP]]</f>
        <v>#DIV/0!</v>
      </c>
      <c r="AC1105" s="14">
        <v>60</v>
      </c>
      <c r="AE1105" s="14">
        <v>10</v>
      </c>
      <c r="AH1105" s="14">
        <v>110</v>
      </c>
      <c r="AI1105" s="19" t="e">
        <f>knicks_players_all_stats[[#This Row],[BLKPG]]+knicks_players_all_stats[[#This Row],[STLPG]]+knicks_players_all_stats[[#This Row],[REBPG]]</f>
        <v>#DIV/0!</v>
      </c>
    </row>
    <row r="1106" spans="1:41" s="14" customFormat="1" x14ac:dyDescent="0.3">
      <c r="A1106" s="13"/>
      <c r="B1106" s="13"/>
      <c r="C1106" s="13"/>
      <c r="D1106" s="13"/>
      <c r="E1106" s="14">
        <v>230</v>
      </c>
      <c r="O1106" s="15"/>
      <c r="R1106" s="16"/>
      <c r="V1106" s="14">
        <v>1130</v>
      </c>
      <c r="W1106" s="14">
        <v>1770</v>
      </c>
      <c r="X1106" s="14">
        <v>2900</v>
      </c>
      <c r="Y1106" s="24" t="e">
        <f>knicks_players_all_stats[[#This Row],[REB]]/knicks_players_all_stats[[#This Row],[GP]]</f>
        <v>#DIV/0!</v>
      </c>
      <c r="AC1106" s="14">
        <v>300</v>
      </c>
      <c r="AE1106" s="14">
        <v>70</v>
      </c>
      <c r="AH1106" s="14">
        <v>830</v>
      </c>
      <c r="AI1106" s="19" t="e">
        <f>knicks_players_all_stats[[#This Row],[BLKPG]]+knicks_players_all_stats[[#This Row],[STLPG]]+knicks_players_all_stats[[#This Row],[REBPG]]</f>
        <v>#DIV/0!</v>
      </c>
    </row>
    <row r="1107" spans="1:41" s="14" customFormat="1" x14ac:dyDescent="0.3">
      <c r="A1107" s="13"/>
      <c r="B1107" s="13"/>
      <c r="C1107" s="13"/>
      <c r="D1107" s="13"/>
      <c r="E1107" s="14">
        <v>240</v>
      </c>
      <c r="O1107" s="15"/>
      <c r="R1107" s="16"/>
      <c r="V1107" s="14">
        <v>180</v>
      </c>
      <c r="W1107" s="14">
        <v>380</v>
      </c>
      <c r="X1107" s="14">
        <v>560</v>
      </c>
      <c r="Y1107" s="24" t="e">
        <f>knicks_players_all_stats[[#This Row],[REB]]/knicks_players_all_stats[[#This Row],[GP]]</f>
        <v>#DIV/0!</v>
      </c>
      <c r="AC1107" s="14">
        <v>40</v>
      </c>
      <c r="AE1107" s="14">
        <v>30</v>
      </c>
      <c r="AH1107" s="14">
        <v>240</v>
      </c>
      <c r="AI1107" s="19" t="e">
        <f>knicks_players_all_stats[[#This Row],[BLKPG]]+knicks_players_all_stats[[#This Row],[STLPG]]+knicks_players_all_stats[[#This Row],[REBPG]]</f>
        <v>#DIV/0!</v>
      </c>
    </row>
    <row r="1108" spans="1:41" s="14" customFormat="1" x14ac:dyDescent="0.3">
      <c r="A1108" s="13"/>
      <c r="B1108" s="13"/>
      <c r="C1108" s="13"/>
      <c r="D1108" s="13"/>
      <c r="E1108" s="14">
        <v>250</v>
      </c>
      <c r="O1108" s="15"/>
      <c r="R1108" s="16"/>
      <c r="V1108" s="14">
        <v>50</v>
      </c>
      <c r="W1108" s="14">
        <v>80</v>
      </c>
      <c r="X1108" s="14">
        <v>130</v>
      </c>
      <c r="Y1108" s="24" t="e">
        <f>knicks_players_all_stats[[#This Row],[REB]]/knicks_players_all_stats[[#This Row],[GP]]</f>
        <v>#DIV/0!</v>
      </c>
      <c r="AC1108" s="14">
        <v>20</v>
      </c>
      <c r="AE1108" s="14">
        <v>0</v>
      </c>
      <c r="AH1108" s="14">
        <v>80</v>
      </c>
      <c r="AI1108" s="19" t="e">
        <f>knicks_players_all_stats[[#This Row],[BLKPG]]+knicks_players_all_stats[[#This Row],[STLPG]]+knicks_players_all_stats[[#This Row],[REBPG]]</f>
        <v>#DIV/0!</v>
      </c>
    </row>
    <row r="1109" spans="1:41" s="14" customFormat="1" x14ac:dyDescent="0.3">
      <c r="A1109" s="13"/>
      <c r="B1109" s="13"/>
      <c r="C1109" s="13"/>
      <c r="D1109" s="13"/>
      <c r="E1109" s="14">
        <v>290</v>
      </c>
      <c r="O1109" s="15"/>
      <c r="R1109" s="16"/>
      <c r="V1109" s="14">
        <v>140</v>
      </c>
      <c r="W1109" s="14">
        <v>210</v>
      </c>
      <c r="X1109" s="14">
        <v>350</v>
      </c>
      <c r="Y1109" s="24" t="e">
        <f>knicks_players_all_stats[[#This Row],[REB]]/knicks_players_all_stats[[#This Row],[GP]]</f>
        <v>#DIV/0!</v>
      </c>
      <c r="AC1109" s="14">
        <v>50</v>
      </c>
      <c r="AE1109" s="14">
        <v>20</v>
      </c>
      <c r="AH1109" s="14">
        <v>100</v>
      </c>
      <c r="AI1109" s="19" t="e">
        <f>knicks_players_all_stats[[#This Row],[BLKPG]]+knicks_players_all_stats[[#This Row],[STLPG]]+knicks_players_all_stats[[#This Row],[REBPG]]</f>
        <v>#DIV/0!</v>
      </c>
    </row>
    <row r="1110" spans="1:41" s="14" customFormat="1" x14ac:dyDescent="0.3">
      <c r="A1110" s="13"/>
      <c r="B1110" s="13"/>
      <c r="C1110" s="13"/>
      <c r="D1110" s="13"/>
      <c r="E1110" s="14">
        <v>260</v>
      </c>
      <c r="O1110" s="15"/>
      <c r="R1110" s="16"/>
      <c r="V1110" s="14">
        <v>30</v>
      </c>
      <c r="W1110" s="14">
        <v>50</v>
      </c>
      <c r="X1110" s="14">
        <v>80</v>
      </c>
      <c r="Y1110" s="24" t="e">
        <f>knicks_players_all_stats[[#This Row],[REB]]/knicks_players_all_stats[[#This Row],[GP]]</f>
        <v>#DIV/0!</v>
      </c>
      <c r="AC1110" s="14">
        <v>90</v>
      </c>
      <c r="AE1110" s="14">
        <v>10</v>
      </c>
      <c r="AH1110" s="14">
        <v>120</v>
      </c>
      <c r="AI1110" s="19" t="e">
        <f>knicks_players_all_stats[[#This Row],[BLKPG]]+knicks_players_all_stats[[#This Row],[STLPG]]+knicks_players_all_stats[[#This Row],[REBPG]]</f>
        <v>#DIV/0!</v>
      </c>
    </row>
    <row r="1111" spans="1:41" s="14" customFormat="1" x14ac:dyDescent="0.3">
      <c r="A1111" s="18"/>
      <c r="B1111" s="18"/>
      <c r="C1111" s="18"/>
      <c r="D1111" s="18"/>
      <c r="E1111" s="14">
        <v>260</v>
      </c>
      <c r="F1111" s="17"/>
      <c r="G1111" s="17"/>
      <c r="H1111" s="17"/>
      <c r="I1111" s="19"/>
      <c r="J1111" s="17"/>
      <c r="K1111" s="17"/>
      <c r="L1111" s="20"/>
      <c r="M1111" s="17"/>
      <c r="N1111" s="17"/>
      <c r="O1111" s="20"/>
      <c r="P1111" s="17"/>
      <c r="Q1111" s="17"/>
      <c r="R1111" s="21"/>
      <c r="S1111" s="17"/>
      <c r="T1111" s="17"/>
      <c r="U1111" s="17"/>
      <c r="V1111" s="14">
        <v>10</v>
      </c>
      <c r="W1111" s="14">
        <v>60</v>
      </c>
      <c r="X1111" s="14">
        <v>70</v>
      </c>
      <c r="Y1111" s="24" t="e">
        <f>knicks_players_all_stats[[#This Row],[REB]]/knicks_players_all_stats[[#This Row],[GP]]</f>
        <v>#DIV/0!</v>
      </c>
      <c r="Z1111" s="17"/>
      <c r="AA1111" s="17"/>
      <c r="AB1111" s="17"/>
      <c r="AC1111" s="17">
        <v>50</v>
      </c>
      <c r="AD1111" s="17"/>
      <c r="AE1111" s="14">
        <v>0</v>
      </c>
      <c r="AF1111" s="17"/>
      <c r="AG1111" s="17"/>
      <c r="AH1111" s="14">
        <v>30</v>
      </c>
      <c r="AI1111" s="19" t="e">
        <f>knicks_players_all_stats[[#This Row],[BLKPG]]+knicks_players_all_stats[[#This Row],[STLPG]]+knicks_players_all_stats[[#This Row],[REBPG]]</f>
        <v>#DIV/0!</v>
      </c>
      <c r="AJ1111" s="17"/>
      <c r="AK1111" s="17"/>
      <c r="AL1111" s="17"/>
      <c r="AM1111" s="17"/>
      <c r="AN1111" s="17"/>
      <c r="AO1111" s="17"/>
    </row>
    <row r="1112" spans="1:41" s="17" customFormat="1" x14ac:dyDescent="0.3">
      <c r="A1112" s="13"/>
      <c r="B1112" s="13"/>
      <c r="C1112" s="13"/>
      <c r="D1112" s="13"/>
      <c r="E1112" s="14">
        <v>230</v>
      </c>
      <c r="F1112" s="14"/>
      <c r="G1112" s="14"/>
      <c r="H1112" s="14"/>
      <c r="I1112" s="14"/>
      <c r="J1112" s="14"/>
      <c r="K1112" s="14"/>
      <c r="L1112" s="14"/>
      <c r="M1112" s="14"/>
      <c r="N1112" s="14"/>
      <c r="O1112" s="15"/>
      <c r="P1112" s="14"/>
      <c r="Q1112" s="14"/>
      <c r="R1112" s="16"/>
      <c r="S1112" s="14"/>
      <c r="T1112" s="14"/>
      <c r="U1112" s="14"/>
      <c r="V1112" s="14">
        <v>750</v>
      </c>
      <c r="W1112" s="14">
        <v>1410</v>
      </c>
      <c r="X1112" s="14">
        <v>2160</v>
      </c>
      <c r="Y1112" s="24" t="e">
        <f>knicks_players_all_stats[[#This Row],[REB]]/knicks_players_all_stats[[#This Row],[GP]]</f>
        <v>#DIV/0!</v>
      </c>
      <c r="Z1112" s="14"/>
      <c r="AA1112" s="14"/>
      <c r="AB1112" s="14"/>
      <c r="AC1112" s="14">
        <v>560</v>
      </c>
      <c r="AD1112" s="14"/>
      <c r="AE1112" s="14">
        <v>60</v>
      </c>
      <c r="AF1112" s="14"/>
      <c r="AG1112" s="14"/>
      <c r="AH1112" s="14">
        <v>700</v>
      </c>
      <c r="AI1112" s="19" t="e">
        <f>knicks_players_all_stats[[#This Row],[BLKPG]]+knicks_players_all_stats[[#This Row],[STLPG]]+knicks_players_all_stats[[#This Row],[REBPG]]</f>
        <v>#DIV/0!</v>
      </c>
      <c r="AJ1112" s="14"/>
      <c r="AK1112" s="14"/>
      <c r="AL1112" s="14"/>
      <c r="AM1112" s="14"/>
      <c r="AN1112" s="14"/>
      <c r="AO1112" s="14"/>
    </row>
    <row r="1113" spans="1:41" s="17" customFormat="1" x14ac:dyDescent="0.3">
      <c r="A1113" s="13"/>
      <c r="B1113" s="13"/>
      <c r="C1113" s="13"/>
      <c r="D1113" s="13"/>
      <c r="E1113" s="14">
        <v>240</v>
      </c>
      <c r="F1113" s="14"/>
      <c r="G1113" s="14"/>
      <c r="H1113" s="14"/>
      <c r="I1113" s="14"/>
      <c r="J1113" s="14"/>
      <c r="K1113" s="14"/>
      <c r="L1113" s="14"/>
      <c r="M1113" s="14"/>
      <c r="N1113" s="14"/>
      <c r="O1113" s="15"/>
      <c r="P1113" s="14"/>
      <c r="Q1113" s="14"/>
      <c r="R1113" s="16"/>
      <c r="S1113" s="14"/>
      <c r="T1113" s="14"/>
      <c r="U1113" s="14"/>
      <c r="V1113" s="14">
        <v>430</v>
      </c>
      <c r="W1113" s="14">
        <v>870</v>
      </c>
      <c r="X1113" s="14">
        <v>1300</v>
      </c>
      <c r="Y1113" s="24" t="e">
        <f>knicks_players_all_stats[[#This Row],[REB]]/knicks_players_all_stats[[#This Row],[GP]]</f>
        <v>#DIV/0!</v>
      </c>
      <c r="Z1113" s="14"/>
      <c r="AA1113" s="14"/>
      <c r="AB1113" s="14"/>
      <c r="AC1113" s="14">
        <v>630</v>
      </c>
      <c r="AD1113" s="14"/>
      <c r="AE1113" s="14">
        <v>80</v>
      </c>
      <c r="AF1113" s="14"/>
      <c r="AG1113" s="14"/>
      <c r="AH1113" s="14">
        <v>540</v>
      </c>
      <c r="AI1113" s="19" t="e">
        <f>knicks_players_all_stats[[#This Row],[BLKPG]]+knicks_players_all_stats[[#This Row],[STLPG]]+knicks_players_all_stats[[#This Row],[REBPG]]</f>
        <v>#DIV/0!</v>
      </c>
      <c r="AJ1113" s="14"/>
      <c r="AK1113" s="14"/>
      <c r="AL1113" s="14"/>
      <c r="AM1113" s="14"/>
      <c r="AN1113" s="14"/>
      <c r="AO1113" s="14"/>
    </row>
    <row r="1114" spans="1:41" s="17" customFormat="1" x14ac:dyDescent="0.3">
      <c r="A1114" s="13"/>
      <c r="B1114" s="13"/>
      <c r="C1114" s="13"/>
      <c r="D1114" s="13"/>
      <c r="E1114" s="14">
        <v>250</v>
      </c>
      <c r="F1114" s="14"/>
      <c r="G1114" s="14"/>
      <c r="H1114" s="14"/>
      <c r="I1114" s="14"/>
      <c r="J1114" s="14"/>
      <c r="K1114" s="14"/>
      <c r="L1114" s="14"/>
      <c r="M1114" s="14"/>
      <c r="N1114" s="14"/>
      <c r="O1114" s="15"/>
      <c r="P1114" s="14"/>
      <c r="Q1114" s="14"/>
      <c r="R1114" s="16"/>
      <c r="S1114" s="14"/>
      <c r="T1114" s="14"/>
      <c r="U1114" s="14"/>
      <c r="V1114" s="14">
        <v>740</v>
      </c>
      <c r="W1114" s="14">
        <v>1140</v>
      </c>
      <c r="X1114" s="14">
        <v>1880</v>
      </c>
      <c r="Y1114" s="24" t="e">
        <f>knicks_players_all_stats[[#This Row],[REB]]/knicks_players_all_stats[[#This Row],[GP]]</f>
        <v>#DIV/0!</v>
      </c>
      <c r="Z1114" s="14"/>
      <c r="AA1114" s="14"/>
      <c r="AB1114" s="14"/>
      <c r="AC1114" s="14">
        <v>750</v>
      </c>
      <c r="AD1114" s="14"/>
      <c r="AE1114" s="14">
        <v>150</v>
      </c>
      <c r="AF1114" s="14"/>
      <c r="AG1114" s="14"/>
      <c r="AH1114" s="14">
        <v>640</v>
      </c>
      <c r="AI1114" s="19" t="e">
        <f>knicks_players_all_stats[[#This Row],[BLKPG]]+knicks_players_all_stats[[#This Row],[STLPG]]+knicks_players_all_stats[[#This Row],[REBPG]]</f>
        <v>#DIV/0!</v>
      </c>
      <c r="AJ1114" s="14"/>
      <c r="AK1114" s="14"/>
      <c r="AL1114" s="14"/>
      <c r="AM1114" s="14"/>
      <c r="AN1114" s="14"/>
      <c r="AO1114" s="14"/>
    </row>
    <row r="1115" spans="1:41" s="14" customFormat="1" x14ac:dyDescent="0.3">
      <c r="A1115" s="13"/>
      <c r="B1115" s="13"/>
      <c r="C1115" s="13"/>
      <c r="D1115" s="13"/>
      <c r="E1115" s="14">
        <v>260</v>
      </c>
      <c r="O1115" s="15"/>
      <c r="R1115" s="16"/>
      <c r="V1115" s="14">
        <v>700</v>
      </c>
      <c r="W1115" s="14">
        <v>990</v>
      </c>
      <c r="X1115" s="14">
        <v>1690</v>
      </c>
      <c r="Y1115" s="24" t="e">
        <f>knicks_players_all_stats[[#This Row],[REB]]/knicks_players_all_stats[[#This Row],[GP]]</f>
        <v>#DIV/0!</v>
      </c>
      <c r="AC1115" s="14">
        <v>650</v>
      </c>
      <c r="AE1115" s="14">
        <v>80</v>
      </c>
      <c r="AH1115" s="14">
        <v>700</v>
      </c>
      <c r="AI1115" s="19" t="e">
        <f>knicks_players_all_stats[[#This Row],[BLKPG]]+knicks_players_all_stats[[#This Row],[STLPG]]+knicks_players_all_stats[[#This Row],[REBPG]]</f>
        <v>#DIV/0!</v>
      </c>
    </row>
    <row r="1116" spans="1:41" s="14" customFormat="1" x14ac:dyDescent="0.3">
      <c r="A1116" s="13"/>
      <c r="B1116" s="13"/>
      <c r="C1116" s="13"/>
      <c r="D1116" s="13"/>
      <c r="E1116" s="14">
        <v>270</v>
      </c>
      <c r="O1116" s="15"/>
      <c r="R1116" s="16"/>
      <c r="V1116" s="14">
        <v>490</v>
      </c>
      <c r="W1116" s="14">
        <v>860</v>
      </c>
      <c r="X1116" s="14">
        <v>1350</v>
      </c>
      <c r="Y1116" s="24" t="e">
        <f>knicks_players_all_stats[[#This Row],[REB]]/knicks_players_all_stats[[#This Row],[GP]]</f>
        <v>#DIV/0!</v>
      </c>
      <c r="AC1116" s="14">
        <v>1160</v>
      </c>
      <c r="AE1116" s="14">
        <v>130</v>
      </c>
      <c r="AH1116" s="14">
        <v>780</v>
      </c>
      <c r="AI1116" s="19" t="e">
        <f>knicks_players_all_stats[[#This Row],[BLKPG]]+knicks_players_all_stats[[#This Row],[STLPG]]+knicks_players_all_stats[[#This Row],[REBPG]]</f>
        <v>#DIV/0!</v>
      </c>
    </row>
    <row r="1117" spans="1:41" s="14" customFormat="1" x14ac:dyDescent="0.3">
      <c r="A1117" s="13"/>
      <c r="B1117" s="13"/>
      <c r="C1117" s="13"/>
      <c r="D1117" s="13"/>
      <c r="E1117" s="14">
        <v>280</v>
      </c>
      <c r="O1117" s="15"/>
      <c r="R1117" s="16"/>
      <c r="V1117" s="14">
        <v>320</v>
      </c>
      <c r="W1117" s="14">
        <v>870</v>
      </c>
      <c r="X1117" s="14">
        <v>1190</v>
      </c>
      <c r="Y1117" s="24" t="e">
        <f>knicks_players_all_stats[[#This Row],[REB]]/knicks_players_all_stats[[#This Row],[GP]]</f>
        <v>#DIV/0!</v>
      </c>
      <c r="AC1117" s="14">
        <v>530</v>
      </c>
      <c r="AE1117" s="14">
        <v>60</v>
      </c>
      <c r="AH1117" s="14">
        <v>470</v>
      </c>
      <c r="AI1117" s="19" t="e">
        <f>knicks_players_all_stats[[#This Row],[BLKPG]]+knicks_players_all_stats[[#This Row],[STLPG]]+knicks_players_all_stats[[#This Row],[REBPG]]</f>
        <v>#DIV/0!</v>
      </c>
    </row>
    <row r="1118" spans="1:41" s="14" customFormat="1" x14ac:dyDescent="0.3">
      <c r="A1118" s="13"/>
      <c r="B1118" s="13"/>
      <c r="C1118" s="13"/>
      <c r="D1118" s="13"/>
      <c r="E1118" s="14">
        <v>290</v>
      </c>
      <c r="O1118" s="15"/>
      <c r="R1118" s="16"/>
      <c r="V1118" s="14">
        <v>550</v>
      </c>
      <c r="W1118" s="14">
        <v>1210</v>
      </c>
      <c r="X1118" s="14">
        <v>1760</v>
      </c>
      <c r="Y1118" s="24" t="e">
        <f>knicks_players_all_stats[[#This Row],[REB]]/knicks_players_all_stats[[#This Row],[GP]]</f>
        <v>#DIV/0!</v>
      </c>
      <c r="AC1118" s="14">
        <v>880</v>
      </c>
      <c r="AE1118" s="14">
        <v>60</v>
      </c>
      <c r="AH1118" s="14">
        <v>590</v>
      </c>
      <c r="AI1118" s="19" t="e">
        <f>knicks_players_all_stats[[#This Row],[BLKPG]]+knicks_players_all_stats[[#This Row],[STLPG]]+knicks_players_all_stats[[#This Row],[REBPG]]</f>
        <v>#DIV/0!</v>
      </c>
    </row>
    <row r="1119" spans="1:41" s="14" customFormat="1" x14ac:dyDescent="0.3">
      <c r="A1119" s="13"/>
      <c r="B1119" s="13"/>
      <c r="C1119" s="13"/>
      <c r="D1119" s="13"/>
      <c r="E1119" s="14">
        <v>300</v>
      </c>
      <c r="O1119" s="15"/>
      <c r="R1119" s="16"/>
      <c r="V1119" s="14">
        <v>570</v>
      </c>
      <c r="W1119" s="14">
        <v>1170</v>
      </c>
      <c r="X1119" s="14">
        <v>1740</v>
      </c>
      <c r="Y1119" s="24" t="e">
        <f>knicks_players_all_stats[[#This Row],[REB]]/knicks_players_all_stats[[#This Row],[GP]]</f>
        <v>#DIV/0!</v>
      </c>
      <c r="AC1119" s="14">
        <v>740</v>
      </c>
      <c r="AE1119" s="14">
        <v>80</v>
      </c>
      <c r="AH1119" s="14">
        <v>730</v>
      </c>
      <c r="AI1119" s="19" t="e">
        <f>knicks_players_all_stats[[#This Row],[BLKPG]]+knicks_players_all_stats[[#This Row],[STLPG]]+knicks_players_all_stats[[#This Row],[REBPG]]</f>
        <v>#DIV/0!</v>
      </c>
    </row>
    <row r="1120" spans="1:41" s="14" customFormat="1" x14ac:dyDescent="0.3">
      <c r="A1120" s="13"/>
      <c r="B1120" s="13"/>
      <c r="C1120" s="13"/>
      <c r="D1120" s="13"/>
      <c r="E1120" s="14">
        <v>310</v>
      </c>
      <c r="O1120" s="15"/>
      <c r="R1120" s="16"/>
      <c r="V1120" s="14">
        <v>330</v>
      </c>
      <c r="W1120" s="14">
        <v>720</v>
      </c>
      <c r="X1120" s="14">
        <v>1050</v>
      </c>
      <c r="Y1120" s="24" t="e">
        <f>knicks_players_all_stats[[#This Row],[REB]]/knicks_players_all_stats[[#This Row],[GP]]</f>
        <v>#DIV/0!</v>
      </c>
      <c r="AC1120" s="14">
        <v>440</v>
      </c>
      <c r="AE1120" s="14">
        <v>90</v>
      </c>
      <c r="AH1120" s="14">
        <v>460</v>
      </c>
      <c r="AI1120" s="19" t="e">
        <f>knicks_players_all_stats[[#This Row],[BLKPG]]+knicks_players_all_stats[[#This Row],[STLPG]]+knicks_players_all_stats[[#This Row],[REBPG]]</f>
        <v>#DIV/0!</v>
      </c>
    </row>
    <row r="1121" spans="1:41" s="14" customFormat="1" x14ac:dyDescent="0.3">
      <c r="A1121" s="18"/>
      <c r="B1121" s="18"/>
      <c r="C1121" s="18"/>
      <c r="D1121" s="18"/>
      <c r="E1121" s="14">
        <v>210</v>
      </c>
      <c r="F1121" s="17"/>
      <c r="G1121" s="17"/>
      <c r="H1121" s="17"/>
      <c r="I1121" s="19"/>
      <c r="J1121" s="17"/>
      <c r="K1121" s="17"/>
      <c r="L1121" s="20"/>
      <c r="M1121" s="17"/>
      <c r="N1121" s="17"/>
      <c r="O1121" s="20"/>
      <c r="P1121" s="17"/>
      <c r="Q1121" s="17"/>
      <c r="R1121" s="21"/>
      <c r="S1121" s="17"/>
      <c r="T1121" s="17"/>
      <c r="U1121" s="17"/>
      <c r="V1121" s="14">
        <v>20</v>
      </c>
      <c r="W1121" s="14">
        <v>30</v>
      </c>
      <c r="X1121" s="14">
        <v>50</v>
      </c>
      <c r="Y1121" s="24" t="e">
        <f>knicks_players_all_stats[[#This Row],[REB]]/knicks_players_all_stats[[#This Row],[GP]]</f>
        <v>#DIV/0!</v>
      </c>
      <c r="Z1121" s="17"/>
      <c r="AA1121" s="17"/>
      <c r="AB1121" s="17"/>
      <c r="AC1121" s="17">
        <v>0</v>
      </c>
      <c r="AD1121" s="17"/>
      <c r="AE1121" s="14">
        <v>10</v>
      </c>
      <c r="AF1121" s="17"/>
      <c r="AG1121" s="17"/>
      <c r="AH1121" s="14">
        <v>20</v>
      </c>
      <c r="AI1121" s="19" t="e">
        <f>knicks_players_all_stats[[#This Row],[BLKPG]]+knicks_players_all_stats[[#This Row],[STLPG]]+knicks_players_all_stats[[#This Row],[REBPG]]</f>
        <v>#DIV/0!</v>
      </c>
      <c r="AJ1121" s="17"/>
      <c r="AK1121" s="17"/>
      <c r="AL1121" s="17"/>
      <c r="AM1121" s="17"/>
      <c r="AN1121" s="17"/>
      <c r="AO1121" s="17"/>
    </row>
    <row r="1122" spans="1:41" s="17" customFormat="1" x14ac:dyDescent="0.3">
      <c r="A1122" s="13"/>
      <c r="B1122" s="13"/>
      <c r="C1122" s="13"/>
      <c r="D1122" s="13"/>
      <c r="E1122" s="14">
        <v>240</v>
      </c>
      <c r="F1122" s="14"/>
      <c r="G1122" s="14"/>
      <c r="H1122" s="14"/>
      <c r="I1122" s="14"/>
      <c r="J1122" s="14"/>
      <c r="K1122" s="14"/>
      <c r="L1122" s="14"/>
      <c r="M1122" s="14"/>
      <c r="N1122" s="14"/>
      <c r="O1122" s="15"/>
      <c r="P1122" s="14"/>
      <c r="Q1122" s="14"/>
      <c r="R1122" s="16"/>
      <c r="S1122" s="14"/>
      <c r="T1122" s="14"/>
      <c r="U1122" s="14"/>
      <c r="V1122" s="14">
        <v>20</v>
      </c>
      <c r="W1122" s="14">
        <v>80</v>
      </c>
      <c r="X1122" s="14">
        <v>100</v>
      </c>
      <c r="Y1122" s="24" t="e">
        <f>knicks_players_all_stats[[#This Row],[REB]]/knicks_players_all_stats[[#This Row],[GP]]</f>
        <v>#DIV/0!</v>
      </c>
      <c r="Z1122" s="14"/>
      <c r="AA1122" s="14"/>
      <c r="AB1122" s="14"/>
      <c r="AC1122" s="14">
        <v>20</v>
      </c>
      <c r="AD1122" s="14"/>
      <c r="AE1122" s="14">
        <v>0</v>
      </c>
      <c r="AF1122" s="14"/>
      <c r="AG1122" s="14"/>
      <c r="AH1122" s="14">
        <v>10</v>
      </c>
      <c r="AI1122" s="19" t="e">
        <f>knicks_players_all_stats[[#This Row],[BLKPG]]+knicks_players_all_stats[[#This Row],[STLPG]]+knicks_players_all_stats[[#This Row],[REBPG]]</f>
        <v>#DIV/0!</v>
      </c>
      <c r="AJ1122" s="14"/>
      <c r="AK1122" s="14"/>
      <c r="AL1122" s="14"/>
      <c r="AM1122" s="14"/>
      <c r="AN1122" s="14"/>
      <c r="AO1122" s="14"/>
    </row>
    <row r="1123" spans="1:41" s="17" customFormat="1" x14ac:dyDescent="0.3">
      <c r="A1123" s="13"/>
      <c r="B1123" s="13"/>
      <c r="C1123" s="13"/>
      <c r="D1123" s="13"/>
      <c r="E1123" s="14">
        <v>250</v>
      </c>
      <c r="F1123" s="14"/>
      <c r="G1123" s="14"/>
      <c r="H1123" s="14"/>
      <c r="I1123" s="14"/>
      <c r="J1123" s="14"/>
      <c r="K1123" s="14"/>
      <c r="L1123" s="14"/>
      <c r="M1123" s="14"/>
      <c r="N1123" s="14"/>
      <c r="O1123" s="15"/>
      <c r="P1123" s="14"/>
      <c r="Q1123" s="14"/>
      <c r="R1123" s="16"/>
      <c r="S1123" s="14"/>
      <c r="T1123" s="14"/>
      <c r="U1123" s="14"/>
      <c r="V1123" s="14"/>
      <c r="W1123" s="14"/>
      <c r="X1123" s="14">
        <v>1540</v>
      </c>
      <c r="Y1123" s="24" t="e">
        <f>knicks_players_all_stats[[#This Row],[REB]]/knicks_players_all_stats[[#This Row],[GP]]</f>
        <v>#DIV/0!</v>
      </c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9" t="e">
        <f>knicks_players_all_stats[[#This Row],[BLKPG]]+knicks_players_all_stats[[#This Row],[STLPG]]+knicks_players_all_stats[[#This Row],[REBPG]]</f>
        <v>#DIV/0!</v>
      </c>
      <c r="AJ1123" s="14"/>
      <c r="AK1123" s="14"/>
      <c r="AL1123" s="14"/>
      <c r="AM1123" s="14"/>
      <c r="AN1123" s="14"/>
      <c r="AO1123" s="14"/>
    </row>
    <row r="1124" spans="1:41" s="17" customFormat="1" x14ac:dyDescent="0.3">
      <c r="A1124" s="13"/>
      <c r="B1124" s="13"/>
      <c r="C1124" s="13"/>
      <c r="D1124" s="13"/>
      <c r="E1124" s="14">
        <v>230</v>
      </c>
      <c r="F1124" s="14"/>
      <c r="G1124" s="14"/>
      <c r="H1124" s="14"/>
      <c r="I1124" s="14"/>
      <c r="J1124" s="14"/>
      <c r="K1124" s="14"/>
      <c r="L1124" s="14"/>
      <c r="M1124" s="14"/>
      <c r="N1124" s="14"/>
      <c r="O1124" s="15"/>
      <c r="P1124" s="14"/>
      <c r="Q1124" s="14"/>
      <c r="R1124" s="16"/>
      <c r="S1124" s="14"/>
      <c r="T1124" s="14"/>
      <c r="U1124" s="14"/>
      <c r="V1124" s="14"/>
      <c r="W1124" s="14"/>
      <c r="X1124" s="14">
        <v>3760</v>
      </c>
      <c r="Y1124" s="24" t="e">
        <f>knicks_players_all_stats[[#This Row],[REB]]/knicks_players_all_stats[[#This Row],[GP]]</f>
        <v>#DIV/0!</v>
      </c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9" t="e">
        <f>knicks_players_all_stats[[#This Row],[BLKPG]]+knicks_players_all_stats[[#This Row],[STLPG]]+knicks_players_all_stats[[#This Row],[REBPG]]</f>
        <v>#DIV/0!</v>
      </c>
      <c r="AJ1124" s="14"/>
      <c r="AK1124" s="14"/>
      <c r="AL1124" s="14"/>
      <c r="AM1124" s="14"/>
      <c r="AN1124" s="14"/>
      <c r="AO1124" s="14"/>
    </row>
    <row r="1125" spans="1:41" s="17" customFormat="1" x14ac:dyDescent="0.3">
      <c r="A1125" s="13"/>
      <c r="B1125" s="13"/>
      <c r="C1125" s="13"/>
      <c r="D1125" s="13"/>
      <c r="E1125" s="14">
        <v>240</v>
      </c>
      <c r="F1125" s="14"/>
      <c r="G1125" s="14"/>
      <c r="H1125" s="14"/>
      <c r="I1125" s="14"/>
      <c r="J1125" s="14"/>
      <c r="K1125" s="14"/>
      <c r="L1125" s="14"/>
      <c r="M1125" s="14"/>
      <c r="N1125" s="14"/>
      <c r="O1125" s="15"/>
      <c r="P1125" s="14"/>
      <c r="Q1125" s="14"/>
      <c r="R1125" s="16"/>
      <c r="S1125" s="14"/>
      <c r="T1125" s="14"/>
      <c r="U1125" s="14"/>
      <c r="V1125" s="14"/>
      <c r="W1125" s="14"/>
      <c r="X1125" s="14">
        <v>5550</v>
      </c>
      <c r="Y1125" s="24" t="e">
        <f>knicks_players_all_stats[[#This Row],[REB]]/knicks_players_all_stats[[#This Row],[GP]]</f>
        <v>#DIV/0!</v>
      </c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9" t="e">
        <f>knicks_players_all_stats[[#This Row],[BLKPG]]+knicks_players_all_stats[[#This Row],[STLPG]]+knicks_players_all_stats[[#This Row],[REBPG]]</f>
        <v>#DIV/0!</v>
      </c>
      <c r="AJ1125" s="14"/>
      <c r="AK1125" s="14"/>
      <c r="AL1125" s="14"/>
      <c r="AM1125" s="14"/>
      <c r="AN1125" s="14"/>
      <c r="AO1125" s="14"/>
    </row>
    <row r="1126" spans="1:41" s="14" customFormat="1" x14ac:dyDescent="0.3">
      <c r="A1126" s="13"/>
      <c r="B1126" s="13"/>
      <c r="C1126" s="13"/>
      <c r="D1126" s="13"/>
      <c r="E1126" s="14">
        <v>250</v>
      </c>
      <c r="O1126" s="15"/>
      <c r="R1126" s="16"/>
      <c r="X1126" s="14">
        <v>4240</v>
      </c>
      <c r="Y1126" s="24" t="e">
        <f>knicks_players_all_stats[[#This Row],[REB]]/knicks_players_all_stats[[#This Row],[GP]]</f>
        <v>#DIV/0!</v>
      </c>
      <c r="AI1126" s="19" t="e">
        <f>knicks_players_all_stats[[#This Row],[BLKPG]]+knicks_players_all_stats[[#This Row],[STLPG]]+knicks_players_all_stats[[#This Row],[REBPG]]</f>
        <v>#DIV/0!</v>
      </c>
    </row>
    <row r="1127" spans="1:41" s="14" customFormat="1" x14ac:dyDescent="0.3">
      <c r="A1127" s="13"/>
      <c r="B1127" s="13"/>
      <c r="C1127" s="13"/>
      <c r="D1127" s="13"/>
      <c r="E1127" s="14">
        <v>240</v>
      </c>
      <c r="O1127" s="15"/>
      <c r="R1127" s="16"/>
      <c r="Y1127" s="24" t="e">
        <f>knicks_players_all_stats[[#This Row],[REB]]/knicks_players_all_stats[[#This Row],[GP]]</f>
        <v>#DIV/0!</v>
      </c>
      <c r="AI1127" s="19" t="e">
        <f>knicks_players_all_stats[[#This Row],[BLKPG]]+knicks_players_all_stats[[#This Row],[STLPG]]+knicks_players_all_stats[[#This Row],[REBPG]]</f>
        <v>#DIV/0!</v>
      </c>
    </row>
    <row r="1128" spans="1:41" s="14" customFormat="1" x14ac:dyDescent="0.3">
      <c r="A1128" s="13"/>
      <c r="B1128" s="13"/>
      <c r="C1128" s="13"/>
      <c r="D1128" s="13"/>
      <c r="E1128" s="14">
        <v>250</v>
      </c>
      <c r="O1128" s="15"/>
      <c r="R1128" s="16"/>
      <c r="Y1128" s="24" t="e">
        <f>knicks_players_all_stats[[#This Row],[REB]]/knicks_players_all_stats[[#This Row],[GP]]</f>
        <v>#DIV/0!</v>
      </c>
      <c r="AI1128" s="19" t="e">
        <f>knicks_players_all_stats[[#This Row],[BLKPG]]+knicks_players_all_stats[[#This Row],[STLPG]]+knicks_players_all_stats[[#This Row],[REBPG]]</f>
        <v>#DIV/0!</v>
      </c>
    </row>
    <row r="1129" spans="1:41" s="14" customFormat="1" x14ac:dyDescent="0.3">
      <c r="A1129" s="13"/>
      <c r="B1129" s="13"/>
      <c r="C1129" s="13"/>
      <c r="D1129" s="13"/>
      <c r="E1129" s="14">
        <v>260</v>
      </c>
      <c r="O1129" s="15"/>
      <c r="R1129" s="16"/>
      <c r="Y1129" s="24" t="e">
        <f>knicks_players_all_stats[[#This Row],[REB]]/knicks_players_all_stats[[#This Row],[GP]]</f>
        <v>#DIV/0!</v>
      </c>
      <c r="AI1129" s="19" t="e">
        <f>knicks_players_all_stats[[#This Row],[BLKPG]]+knicks_players_all_stats[[#This Row],[STLPG]]+knicks_players_all_stats[[#This Row],[REBPG]]</f>
        <v>#DIV/0!</v>
      </c>
    </row>
    <row r="1130" spans="1:41" s="14" customFormat="1" x14ac:dyDescent="0.3">
      <c r="A1130" s="13"/>
      <c r="B1130" s="13"/>
      <c r="C1130" s="13"/>
      <c r="D1130" s="13"/>
      <c r="E1130" s="14">
        <v>270</v>
      </c>
      <c r="O1130" s="15"/>
      <c r="R1130" s="16"/>
      <c r="Y1130" s="24" t="e">
        <f>knicks_players_all_stats[[#This Row],[REB]]/knicks_players_all_stats[[#This Row],[GP]]</f>
        <v>#DIV/0!</v>
      </c>
      <c r="AI1130" s="19" t="e">
        <f>knicks_players_all_stats[[#This Row],[BLKPG]]+knicks_players_all_stats[[#This Row],[STLPG]]+knicks_players_all_stats[[#This Row],[REBPG]]</f>
        <v>#DIV/0!</v>
      </c>
    </row>
    <row r="1131" spans="1:41" s="14" customFormat="1" x14ac:dyDescent="0.3">
      <c r="A1131" s="13"/>
      <c r="B1131" s="13"/>
      <c r="C1131" s="13"/>
      <c r="D1131" s="13"/>
      <c r="E1131" s="14">
        <v>210</v>
      </c>
      <c r="O1131" s="15"/>
      <c r="R1131" s="16"/>
      <c r="Y1131" s="24" t="e">
        <f>knicks_players_all_stats[[#This Row],[REB]]/knicks_players_all_stats[[#This Row],[GP]]</f>
        <v>#DIV/0!</v>
      </c>
      <c r="AI1131" s="19" t="e">
        <f>knicks_players_all_stats[[#This Row],[BLKPG]]+knicks_players_all_stats[[#This Row],[STLPG]]+knicks_players_all_stats[[#This Row],[REBPG]]</f>
        <v>#DIV/0!</v>
      </c>
    </row>
    <row r="1132" spans="1:41" s="14" customFormat="1" x14ac:dyDescent="0.3">
      <c r="A1132" s="13"/>
      <c r="B1132" s="13"/>
      <c r="C1132" s="13"/>
      <c r="D1132" s="13"/>
      <c r="E1132" s="14">
        <v>220</v>
      </c>
      <c r="O1132" s="15"/>
      <c r="R1132" s="16"/>
      <c r="X1132" s="14">
        <v>1950</v>
      </c>
      <c r="Y1132" s="24" t="e">
        <f>knicks_players_all_stats[[#This Row],[REB]]/knicks_players_all_stats[[#This Row],[GP]]</f>
        <v>#DIV/0!</v>
      </c>
      <c r="AI1132" s="19" t="e">
        <f>knicks_players_all_stats[[#This Row],[BLKPG]]+knicks_players_all_stats[[#This Row],[STLPG]]+knicks_players_all_stats[[#This Row],[REBPG]]</f>
        <v>#DIV/0!</v>
      </c>
    </row>
    <row r="1133" spans="1:41" s="17" customFormat="1" x14ac:dyDescent="0.3">
      <c r="A1133" s="13"/>
      <c r="B1133" s="13"/>
      <c r="C1133" s="13"/>
      <c r="D1133" s="13"/>
      <c r="E1133" s="14">
        <v>230</v>
      </c>
      <c r="F1133" s="14"/>
      <c r="G1133" s="14"/>
      <c r="H1133" s="14"/>
      <c r="I1133" s="14"/>
      <c r="J1133" s="14"/>
      <c r="K1133" s="14"/>
      <c r="L1133" s="14"/>
      <c r="M1133" s="14"/>
      <c r="N1133" s="14"/>
      <c r="O1133" s="15"/>
      <c r="P1133" s="14"/>
      <c r="Q1133" s="14"/>
      <c r="R1133" s="16"/>
      <c r="S1133" s="14"/>
      <c r="T1133" s="14"/>
      <c r="U1133" s="14"/>
      <c r="V1133" s="14"/>
      <c r="W1133" s="14"/>
      <c r="X1133" s="14">
        <v>2640</v>
      </c>
      <c r="Y1133" s="24" t="e">
        <f>knicks_players_all_stats[[#This Row],[REB]]/knicks_players_all_stats[[#This Row],[GP]]</f>
        <v>#DIV/0!</v>
      </c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9" t="e">
        <f>knicks_players_all_stats[[#This Row],[BLKPG]]+knicks_players_all_stats[[#This Row],[STLPG]]+knicks_players_all_stats[[#This Row],[REBPG]]</f>
        <v>#DIV/0!</v>
      </c>
      <c r="AJ1133" s="14"/>
      <c r="AK1133" s="14"/>
      <c r="AL1133" s="14"/>
      <c r="AM1133" s="14"/>
      <c r="AN1133" s="14"/>
      <c r="AO1133" s="14"/>
    </row>
    <row r="1134" spans="1:41" s="14" customFormat="1" x14ac:dyDescent="0.3">
      <c r="A1134" s="13"/>
      <c r="B1134" s="13"/>
      <c r="C1134" s="13"/>
      <c r="D1134" s="13"/>
      <c r="E1134" s="14">
        <v>240</v>
      </c>
      <c r="O1134" s="15"/>
      <c r="R1134" s="16"/>
      <c r="X1134" s="14">
        <v>3420</v>
      </c>
      <c r="Y1134" s="24" t="e">
        <f>knicks_players_all_stats[[#This Row],[REB]]/knicks_players_all_stats[[#This Row],[GP]]</f>
        <v>#DIV/0!</v>
      </c>
      <c r="AI1134" s="19" t="e">
        <f>knicks_players_all_stats[[#This Row],[BLKPG]]+knicks_players_all_stats[[#This Row],[STLPG]]+knicks_players_all_stats[[#This Row],[REBPG]]</f>
        <v>#DIV/0!</v>
      </c>
    </row>
    <row r="1135" spans="1:41" s="14" customFormat="1" x14ac:dyDescent="0.3">
      <c r="A1135" s="13"/>
      <c r="B1135" s="13"/>
      <c r="C1135" s="13"/>
      <c r="D1135" s="13"/>
      <c r="E1135" s="14">
        <v>250</v>
      </c>
      <c r="O1135" s="15"/>
      <c r="R1135" s="16"/>
      <c r="X1135" s="14">
        <v>390</v>
      </c>
      <c r="Y1135" s="24" t="e">
        <f>knicks_players_all_stats[[#This Row],[REB]]/knicks_players_all_stats[[#This Row],[GP]]</f>
        <v>#DIV/0!</v>
      </c>
      <c r="AI1135" s="19" t="e">
        <f>knicks_players_all_stats[[#This Row],[BLKPG]]+knicks_players_all_stats[[#This Row],[STLPG]]+knicks_players_all_stats[[#This Row],[REBPG]]</f>
        <v>#DIV/0!</v>
      </c>
    </row>
    <row r="1136" spans="1:41" s="14" customFormat="1" x14ac:dyDescent="0.3">
      <c r="A1136" s="13"/>
      <c r="B1136" s="13"/>
      <c r="C1136" s="13"/>
      <c r="D1136" s="13"/>
      <c r="E1136" s="14">
        <v>270</v>
      </c>
      <c r="O1136" s="15"/>
      <c r="R1136" s="16"/>
      <c r="X1136" s="14">
        <v>130</v>
      </c>
      <c r="Y1136" s="24" t="e">
        <f>knicks_players_all_stats[[#This Row],[REB]]/knicks_players_all_stats[[#This Row],[GP]]</f>
        <v>#DIV/0!</v>
      </c>
      <c r="AI1136" s="19" t="e">
        <f>knicks_players_all_stats[[#This Row],[BLKPG]]+knicks_players_all_stats[[#This Row],[STLPG]]+knicks_players_all_stats[[#This Row],[REBPG]]</f>
        <v>#DIV/0!</v>
      </c>
    </row>
    <row r="1137" spans="1:41" s="14" customFormat="1" x14ac:dyDescent="0.3">
      <c r="A1137" s="13"/>
      <c r="B1137" s="13"/>
      <c r="C1137" s="13"/>
      <c r="D1137" s="13"/>
      <c r="E1137" s="14">
        <v>220</v>
      </c>
      <c r="O1137" s="15"/>
      <c r="R1137" s="16"/>
      <c r="X1137" s="14">
        <v>4800</v>
      </c>
      <c r="Y1137" s="24" t="e">
        <f>knicks_players_all_stats[[#This Row],[REB]]/knicks_players_all_stats[[#This Row],[GP]]</f>
        <v>#DIV/0!</v>
      </c>
      <c r="AI1137" s="19" t="e">
        <f>knicks_players_all_stats[[#This Row],[BLKPG]]+knicks_players_all_stats[[#This Row],[STLPG]]+knicks_players_all_stats[[#This Row],[REBPG]]</f>
        <v>#DIV/0!</v>
      </c>
    </row>
    <row r="1138" spans="1:41" s="14" customFormat="1" x14ac:dyDescent="0.3">
      <c r="A1138" s="13"/>
      <c r="B1138" s="13"/>
      <c r="C1138" s="13"/>
      <c r="D1138" s="13"/>
      <c r="E1138" s="14">
        <v>230</v>
      </c>
      <c r="O1138" s="15"/>
      <c r="R1138" s="16"/>
      <c r="X1138" s="14">
        <v>4850</v>
      </c>
      <c r="Y1138" s="24" t="e">
        <f>knicks_players_all_stats[[#This Row],[REB]]/knicks_players_all_stats[[#This Row],[GP]]</f>
        <v>#DIV/0!</v>
      </c>
      <c r="AI1138" s="19" t="e">
        <f>knicks_players_all_stats[[#This Row],[BLKPG]]+knicks_players_all_stats[[#This Row],[STLPG]]+knicks_players_all_stats[[#This Row],[REBPG]]</f>
        <v>#DIV/0!</v>
      </c>
    </row>
    <row r="1139" spans="1:41" s="14" customFormat="1" x14ac:dyDescent="0.3">
      <c r="A1139" s="13"/>
      <c r="B1139" s="13"/>
      <c r="C1139" s="13"/>
      <c r="D1139" s="13"/>
      <c r="E1139" s="14">
        <v>240</v>
      </c>
      <c r="O1139" s="15"/>
      <c r="R1139" s="16"/>
      <c r="X1139" s="14">
        <v>5980</v>
      </c>
      <c r="Y1139" s="24" t="e">
        <f>knicks_players_all_stats[[#This Row],[REB]]/knicks_players_all_stats[[#This Row],[GP]]</f>
        <v>#DIV/0!</v>
      </c>
      <c r="AI1139" s="19" t="e">
        <f>knicks_players_all_stats[[#This Row],[BLKPG]]+knicks_players_all_stats[[#This Row],[STLPG]]+knicks_players_all_stats[[#This Row],[REBPG]]</f>
        <v>#DIV/0!</v>
      </c>
    </row>
    <row r="1140" spans="1:41" s="17" customFormat="1" x14ac:dyDescent="0.3">
      <c r="A1140" s="13"/>
      <c r="B1140" s="13"/>
      <c r="C1140" s="13"/>
      <c r="D1140" s="13"/>
      <c r="E1140" s="14">
        <v>250</v>
      </c>
      <c r="F1140" s="14"/>
      <c r="G1140" s="14"/>
      <c r="H1140" s="14"/>
      <c r="I1140" s="14"/>
      <c r="J1140" s="14"/>
      <c r="K1140" s="14"/>
      <c r="L1140" s="14"/>
      <c r="M1140" s="14"/>
      <c r="N1140" s="14"/>
      <c r="O1140" s="15"/>
      <c r="P1140" s="14"/>
      <c r="Q1140" s="14"/>
      <c r="R1140" s="16"/>
      <c r="S1140" s="14"/>
      <c r="T1140" s="14"/>
      <c r="U1140" s="14"/>
      <c r="V1140" s="14"/>
      <c r="W1140" s="14"/>
      <c r="X1140" s="14">
        <v>3940</v>
      </c>
      <c r="Y1140" s="24" t="e">
        <f>knicks_players_all_stats[[#This Row],[REB]]/knicks_players_all_stats[[#This Row],[GP]]</f>
        <v>#DIV/0!</v>
      </c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9" t="e">
        <f>knicks_players_all_stats[[#This Row],[BLKPG]]+knicks_players_all_stats[[#This Row],[STLPG]]+knicks_players_all_stats[[#This Row],[REBPG]]</f>
        <v>#DIV/0!</v>
      </c>
      <c r="AJ1140" s="14"/>
      <c r="AK1140" s="14"/>
      <c r="AL1140" s="14"/>
      <c r="AM1140" s="14"/>
      <c r="AN1140" s="14"/>
      <c r="AO1140" s="14"/>
    </row>
    <row r="1141" spans="1:41" s="17" customFormat="1" x14ac:dyDescent="0.3">
      <c r="A1141" s="13"/>
      <c r="B1141" s="13"/>
      <c r="C1141" s="13"/>
      <c r="D1141" s="13"/>
      <c r="E1141" s="14">
        <v>260</v>
      </c>
      <c r="F1141" s="14"/>
      <c r="G1141" s="14"/>
      <c r="H1141" s="14"/>
      <c r="I1141" s="14"/>
      <c r="J1141" s="14"/>
      <c r="K1141" s="14"/>
      <c r="L1141" s="14"/>
      <c r="M1141" s="14"/>
      <c r="N1141" s="14"/>
      <c r="O1141" s="15"/>
      <c r="P1141" s="14"/>
      <c r="Q1141" s="14"/>
      <c r="R1141" s="16"/>
      <c r="S1141" s="14"/>
      <c r="T1141" s="14"/>
      <c r="U1141" s="14"/>
      <c r="V1141" s="14">
        <v>180</v>
      </c>
      <c r="W1141" s="14">
        <v>590</v>
      </c>
      <c r="X1141" s="14">
        <v>770</v>
      </c>
      <c r="Y1141" s="24" t="e">
        <f>knicks_players_all_stats[[#This Row],[REB]]/knicks_players_all_stats[[#This Row],[GP]]</f>
        <v>#DIV/0!</v>
      </c>
      <c r="Z1141" s="14"/>
      <c r="AA1141" s="14"/>
      <c r="AB1141" s="14"/>
      <c r="AC1141" s="14">
        <v>70</v>
      </c>
      <c r="AD1141" s="14"/>
      <c r="AE1141" s="14">
        <v>30</v>
      </c>
      <c r="AF1141" s="14"/>
      <c r="AG1141" s="14"/>
      <c r="AH1141" s="14"/>
      <c r="AI1141" s="19" t="e">
        <f>knicks_players_all_stats[[#This Row],[BLKPG]]+knicks_players_all_stats[[#This Row],[STLPG]]+knicks_players_all_stats[[#This Row],[REBPG]]</f>
        <v>#DIV/0!</v>
      </c>
      <c r="AJ1141" s="14"/>
      <c r="AK1141" s="14"/>
      <c r="AL1141" s="14"/>
      <c r="AM1141" s="14"/>
      <c r="AN1141" s="14"/>
      <c r="AO1141" s="14"/>
    </row>
    <row r="1142" spans="1:41" s="17" customFormat="1" x14ac:dyDescent="0.3">
      <c r="A1142" s="13"/>
      <c r="B1142" s="13"/>
      <c r="C1142" s="13"/>
      <c r="D1142" s="13"/>
      <c r="E1142" s="14">
        <v>270</v>
      </c>
      <c r="F1142" s="14"/>
      <c r="G1142" s="14"/>
      <c r="H1142" s="14"/>
      <c r="I1142" s="14"/>
      <c r="J1142" s="14"/>
      <c r="K1142" s="14"/>
      <c r="L1142" s="14"/>
      <c r="M1142" s="14"/>
      <c r="N1142" s="14"/>
      <c r="O1142" s="15"/>
      <c r="P1142" s="14"/>
      <c r="Q1142" s="14"/>
      <c r="R1142" s="16"/>
      <c r="S1142" s="14"/>
      <c r="T1142" s="14"/>
      <c r="U1142" s="14"/>
      <c r="V1142" s="14">
        <v>980</v>
      </c>
      <c r="W1142" s="14">
        <v>2910</v>
      </c>
      <c r="X1142" s="14">
        <v>3890</v>
      </c>
      <c r="Y1142" s="24" t="e">
        <f>knicks_players_all_stats[[#This Row],[REB]]/knicks_players_all_stats[[#This Row],[GP]]</f>
        <v>#DIV/0!</v>
      </c>
      <c r="Z1142" s="14"/>
      <c r="AA1142" s="14"/>
      <c r="AB1142" s="14"/>
      <c r="AC1142" s="14">
        <v>260</v>
      </c>
      <c r="AD1142" s="14"/>
      <c r="AE1142" s="14">
        <v>220</v>
      </c>
      <c r="AF1142" s="14"/>
      <c r="AG1142" s="14"/>
      <c r="AH1142" s="14"/>
      <c r="AI1142" s="19" t="e">
        <f>knicks_players_all_stats[[#This Row],[BLKPG]]+knicks_players_all_stats[[#This Row],[STLPG]]+knicks_players_all_stats[[#This Row],[REBPG]]</f>
        <v>#DIV/0!</v>
      </c>
      <c r="AJ1142" s="14"/>
      <c r="AK1142" s="14"/>
      <c r="AL1142" s="14"/>
      <c r="AM1142" s="14"/>
      <c r="AN1142" s="14"/>
      <c r="AO1142" s="14"/>
    </row>
    <row r="1143" spans="1:41" s="17" customFormat="1" x14ac:dyDescent="0.3">
      <c r="A1143" s="13"/>
      <c r="B1143" s="13"/>
      <c r="C1143" s="13"/>
      <c r="D1143" s="13"/>
      <c r="E1143" s="14">
        <v>280</v>
      </c>
      <c r="F1143" s="14"/>
      <c r="G1143" s="14"/>
      <c r="H1143" s="14"/>
      <c r="I1143" s="14"/>
      <c r="J1143" s="14"/>
      <c r="K1143" s="14"/>
      <c r="L1143" s="14"/>
      <c r="M1143" s="14"/>
      <c r="N1143" s="14"/>
      <c r="O1143" s="15"/>
      <c r="P1143" s="14"/>
      <c r="Q1143" s="14"/>
      <c r="R1143" s="16"/>
      <c r="S1143" s="14"/>
      <c r="T1143" s="14"/>
      <c r="U1143" s="14"/>
      <c r="V1143" s="14">
        <v>50</v>
      </c>
      <c r="W1143" s="14">
        <v>220</v>
      </c>
      <c r="X1143" s="14">
        <v>270</v>
      </c>
      <c r="Y1143" s="24" t="e">
        <f>knicks_players_all_stats[[#This Row],[REB]]/knicks_players_all_stats[[#This Row],[GP]]</f>
        <v>#DIV/0!</v>
      </c>
      <c r="Z1143" s="14"/>
      <c r="AA1143" s="14"/>
      <c r="AB1143" s="14"/>
      <c r="AC1143" s="14">
        <v>40</v>
      </c>
      <c r="AD1143" s="14"/>
      <c r="AE1143" s="14">
        <v>30</v>
      </c>
      <c r="AF1143" s="14"/>
      <c r="AG1143" s="14"/>
      <c r="AH1143" s="14"/>
      <c r="AI1143" s="19" t="e">
        <f>knicks_players_all_stats[[#This Row],[BLKPG]]+knicks_players_all_stats[[#This Row],[STLPG]]+knicks_players_all_stats[[#This Row],[REBPG]]</f>
        <v>#DIV/0!</v>
      </c>
      <c r="AJ1143" s="14"/>
      <c r="AK1143" s="14"/>
      <c r="AL1143" s="14"/>
      <c r="AM1143" s="14"/>
      <c r="AN1143" s="14"/>
      <c r="AO1143" s="14"/>
    </row>
    <row r="1144" spans="1:41" s="14" customFormat="1" x14ac:dyDescent="0.3">
      <c r="A1144" s="13"/>
      <c r="B1144" s="13"/>
      <c r="C1144" s="13"/>
      <c r="D1144" s="13"/>
      <c r="E1144" s="14">
        <v>300</v>
      </c>
      <c r="O1144" s="15"/>
      <c r="R1144" s="16"/>
      <c r="V1144" s="14">
        <v>150</v>
      </c>
      <c r="W1144" s="14">
        <v>210</v>
      </c>
      <c r="X1144" s="14">
        <v>360</v>
      </c>
      <c r="Y1144" s="24" t="e">
        <f>knicks_players_all_stats[[#This Row],[REB]]/knicks_players_all_stats[[#This Row],[GP]]</f>
        <v>#DIV/0!</v>
      </c>
      <c r="AC1144" s="14">
        <v>120</v>
      </c>
      <c r="AE1144" s="14">
        <v>70</v>
      </c>
      <c r="AH1144" s="14">
        <v>230</v>
      </c>
      <c r="AI1144" s="19" t="e">
        <f>knicks_players_all_stats[[#This Row],[BLKPG]]+knicks_players_all_stats[[#This Row],[STLPG]]+knicks_players_all_stats[[#This Row],[REBPG]]</f>
        <v>#DIV/0!</v>
      </c>
    </row>
    <row r="1145" spans="1:41" s="17" customFormat="1" x14ac:dyDescent="0.3">
      <c r="A1145" s="13"/>
      <c r="B1145" s="13"/>
      <c r="C1145" s="13"/>
      <c r="D1145" s="13"/>
      <c r="E1145" s="14">
        <v>310</v>
      </c>
      <c r="F1145" s="14"/>
      <c r="G1145" s="14"/>
      <c r="H1145" s="14"/>
      <c r="I1145" s="14"/>
      <c r="J1145" s="14"/>
      <c r="K1145" s="14"/>
      <c r="L1145" s="14"/>
      <c r="M1145" s="14"/>
      <c r="N1145" s="14"/>
      <c r="O1145" s="15"/>
      <c r="P1145" s="14"/>
      <c r="Q1145" s="14"/>
      <c r="R1145" s="16"/>
      <c r="S1145" s="14"/>
      <c r="T1145" s="14"/>
      <c r="U1145" s="14"/>
      <c r="V1145" s="14">
        <v>150</v>
      </c>
      <c r="W1145" s="14">
        <v>380</v>
      </c>
      <c r="X1145" s="14">
        <v>530</v>
      </c>
      <c r="Y1145" s="24" t="e">
        <f>knicks_players_all_stats[[#This Row],[REB]]/knicks_players_all_stats[[#This Row],[GP]]</f>
        <v>#DIV/0!</v>
      </c>
      <c r="Z1145" s="14"/>
      <c r="AA1145" s="14"/>
      <c r="AB1145" s="14"/>
      <c r="AC1145" s="14">
        <v>150</v>
      </c>
      <c r="AD1145" s="14"/>
      <c r="AE1145" s="14">
        <v>30</v>
      </c>
      <c r="AF1145" s="14"/>
      <c r="AG1145" s="14"/>
      <c r="AH1145" s="14">
        <v>260</v>
      </c>
      <c r="AI1145" s="19" t="e">
        <f>knicks_players_all_stats[[#This Row],[BLKPG]]+knicks_players_all_stats[[#This Row],[STLPG]]+knicks_players_all_stats[[#This Row],[REBPG]]</f>
        <v>#DIV/0!</v>
      </c>
      <c r="AJ1145" s="14"/>
      <c r="AK1145" s="14"/>
      <c r="AL1145" s="14"/>
      <c r="AM1145" s="14"/>
      <c r="AN1145" s="14"/>
      <c r="AO1145" s="14"/>
    </row>
    <row r="1146" spans="1:41" s="17" customFormat="1" x14ac:dyDescent="0.3">
      <c r="A1146" s="13"/>
      <c r="B1146" s="13"/>
      <c r="C1146" s="13"/>
      <c r="D1146" s="13"/>
      <c r="E1146" s="14">
        <v>320</v>
      </c>
      <c r="F1146" s="14"/>
      <c r="G1146" s="14"/>
      <c r="H1146" s="14"/>
      <c r="I1146" s="14"/>
      <c r="J1146" s="14"/>
      <c r="K1146" s="14"/>
      <c r="L1146" s="14"/>
      <c r="M1146" s="14"/>
      <c r="N1146" s="14"/>
      <c r="O1146" s="15"/>
      <c r="P1146" s="14"/>
      <c r="Q1146" s="14"/>
      <c r="R1146" s="16"/>
      <c r="S1146" s="14"/>
      <c r="T1146" s="14"/>
      <c r="U1146" s="14"/>
      <c r="V1146" s="14">
        <v>780</v>
      </c>
      <c r="W1146" s="14">
        <v>1020</v>
      </c>
      <c r="X1146" s="14">
        <v>1800</v>
      </c>
      <c r="Y1146" s="24" t="e">
        <f>knicks_players_all_stats[[#This Row],[REB]]/knicks_players_all_stats[[#This Row],[GP]]</f>
        <v>#DIV/0!</v>
      </c>
      <c r="Z1146" s="14"/>
      <c r="AA1146" s="14"/>
      <c r="AB1146" s="14"/>
      <c r="AC1146" s="14">
        <v>420</v>
      </c>
      <c r="AD1146" s="14"/>
      <c r="AE1146" s="14">
        <v>100</v>
      </c>
      <c r="AF1146" s="14"/>
      <c r="AG1146" s="14"/>
      <c r="AH1146" s="14">
        <v>1080</v>
      </c>
      <c r="AI1146" s="19" t="e">
        <f>knicks_players_all_stats[[#This Row],[BLKPG]]+knicks_players_all_stats[[#This Row],[STLPG]]+knicks_players_all_stats[[#This Row],[REBPG]]</f>
        <v>#DIV/0!</v>
      </c>
      <c r="AJ1146" s="14"/>
      <c r="AK1146" s="14"/>
      <c r="AL1146" s="14"/>
      <c r="AM1146" s="14"/>
      <c r="AN1146" s="14"/>
      <c r="AO1146" s="14"/>
    </row>
    <row r="1147" spans="1:41" s="14" customFormat="1" x14ac:dyDescent="0.3">
      <c r="A1147" s="13"/>
      <c r="B1147" s="13"/>
      <c r="C1147" s="13"/>
      <c r="D1147" s="13"/>
      <c r="E1147" s="14">
        <v>330</v>
      </c>
      <c r="O1147" s="15"/>
      <c r="R1147" s="16"/>
      <c r="V1147" s="14">
        <v>310</v>
      </c>
      <c r="W1147" s="14">
        <v>570</v>
      </c>
      <c r="X1147" s="14">
        <v>880</v>
      </c>
      <c r="Y1147" s="24" t="e">
        <f>knicks_players_all_stats[[#This Row],[REB]]/knicks_players_all_stats[[#This Row],[GP]]</f>
        <v>#DIV/0!</v>
      </c>
      <c r="AC1147" s="14">
        <v>150</v>
      </c>
      <c r="AE1147" s="14">
        <v>80</v>
      </c>
      <c r="AH1147" s="14">
        <v>270</v>
      </c>
      <c r="AI1147" s="19" t="e">
        <f>knicks_players_all_stats[[#This Row],[BLKPG]]+knicks_players_all_stats[[#This Row],[STLPG]]+knicks_players_all_stats[[#This Row],[REBPG]]</f>
        <v>#DIV/0!</v>
      </c>
    </row>
    <row r="1148" spans="1:41" s="14" customFormat="1" x14ac:dyDescent="0.3">
      <c r="A1148" s="13"/>
      <c r="B1148" s="13"/>
      <c r="C1148" s="13"/>
      <c r="D1148" s="13"/>
      <c r="E1148" s="14">
        <v>220</v>
      </c>
      <c r="O1148" s="15"/>
      <c r="R1148" s="16"/>
      <c r="V1148" s="14">
        <v>1180</v>
      </c>
      <c r="W1148" s="14">
        <v>2200</v>
      </c>
      <c r="X1148" s="14">
        <v>3380</v>
      </c>
      <c r="Y1148" s="24" t="e">
        <f>knicks_players_all_stats[[#This Row],[REB]]/knicks_players_all_stats[[#This Row],[GP]]</f>
        <v>#DIV/0!</v>
      </c>
      <c r="AC1148" s="14">
        <v>490</v>
      </c>
      <c r="AE1148" s="14">
        <v>490</v>
      </c>
      <c r="AH1148" s="14">
        <v>750</v>
      </c>
      <c r="AI1148" s="19" t="e">
        <f>knicks_players_all_stats[[#This Row],[BLKPG]]+knicks_players_all_stats[[#This Row],[STLPG]]+knicks_players_all_stats[[#This Row],[REBPG]]</f>
        <v>#DIV/0!</v>
      </c>
    </row>
    <row r="1149" spans="1:41" s="14" customFormat="1" x14ac:dyDescent="0.3">
      <c r="A1149" s="13"/>
      <c r="B1149" s="13"/>
      <c r="C1149" s="13"/>
      <c r="D1149" s="13"/>
      <c r="E1149" s="14">
        <v>230</v>
      </c>
      <c r="O1149" s="15"/>
      <c r="R1149" s="16"/>
      <c r="V1149" s="14">
        <v>1920</v>
      </c>
      <c r="W1149" s="14">
        <v>1970</v>
      </c>
      <c r="X1149" s="14">
        <v>3890</v>
      </c>
      <c r="Y1149" s="24" t="e">
        <f>knicks_players_all_stats[[#This Row],[REB]]/knicks_players_all_stats[[#This Row],[GP]]</f>
        <v>#DIV/0!</v>
      </c>
      <c r="AC1149" s="14">
        <v>630</v>
      </c>
      <c r="AE1149" s="14">
        <v>590</v>
      </c>
      <c r="AH1149" s="14">
        <v>830</v>
      </c>
      <c r="AI1149" s="19" t="e">
        <f>knicks_players_all_stats[[#This Row],[BLKPG]]+knicks_players_all_stats[[#This Row],[STLPG]]+knicks_players_all_stats[[#This Row],[REBPG]]</f>
        <v>#DIV/0!</v>
      </c>
    </row>
    <row r="1150" spans="1:41" s="14" customFormat="1" x14ac:dyDescent="0.3">
      <c r="A1150" s="13"/>
      <c r="B1150" s="13"/>
      <c r="C1150" s="13"/>
      <c r="D1150" s="13"/>
      <c r="E1150" s="14">
        <v>240</v>
      </c>
      <c r="O1150" s="15"/>
      <c r="R1150" s="16"/>
      <c r="V1150" s="14">
        <v>1010</v>
      </c>
      <c r="W1150" s="14">
        <v>1290</v>
      </c>
      <c r="X1150" s="14">
        <v>2300</v>
      </c>
      <c r="Y1150" s="24" t="e">
        <f>knicks_players_all_stats[[#This Row],[REB]]/knicks_players_all_stats[[#This Row],[GP]]</f>
        <v>#DIV/0!</v>
      </c>
      <c r="AC1150" s="14">
        <v>410</v>
      </c>
      <c r="AE1150" s="14">
        <v>450</v>
      </c>
      <c r="AH1150" s="14">
        <v>440</v>
      </c>
      <c r="AI1150" s="19" t="e">
        <f>knicks_players_all_stats[[#This Row],[BLKPG]]+knicks_players_all_stats[[#This Row],[STLPG]]+knicks_players_all_stats[[#This Row],[REBPG]]</f>
        <v>#DIV/0!</v>
      </c>
    </row>
    <row r="1151" spans="1:41" s="14" customFormat="1" x14ac:dyDescent="0.3">
      <c r="A1151" s="13"/>
      <c r="B1151" s="13"/>
      <c r="C1151" s="13"/>
      <c r="D1151" s="13"/>
      <c r="E1151" s="14">
        <v>250</v>
      </c>
      <c r="O1151" s="15"/>
      <c r="R1151" s="16"/>
      <c r="V1151" s="14">
        <v>1310</v>
      </c>
      <c r="W1151" s="14">
        <v>2120</v>
      </c>
      <c r="X1151" s="14">
        <v>3430</v>
      </c>
      <c r="Y1151" s="24" t="e">
        <f>knicks_players_all_stats[[#This Row],[REB]]/knicks_players_all_stats[[#This Row],[GP]]</f>
        <v>#DIV/0!</v>
      </c>
      <c r="AC1151" s="14">
        <v>330</v>
      </c>
      <c r="AE1151" s="14">
        <v>520</v>
      </c>
      <c r="AH1151" s="14">
        <v>600</v>
      </c>
      <c r="AI1151" s="19" t="e">
        <f>knicks_players_all_stats[[#This Row],[BLKPG]]+knicks_players_all_stats[[#This Row],[STLPG]]+knicks_players_all_stats[[#This Row],[REBPG]]</f>
        <v>#DIV/0!</v>
      </c>
    </row>
    <row r="1152" spans="1:41" s="14" customFormat="1" x14ac:dyDescent="0.3">
      <c r="A1152" s="13"/>
      <c r="B1152" s="13"/>
      <c r="C1152" s="13"/>
      <c r="D1152" s="13"/>
      <c r="E1152" s="14">
        <v>260</v>
      </c>
      <c r="O1152" s="15"/>
      <c r="R1152" s="16"/>
      <c r="V1152" s="14">
        <v>630</v>
      </c>
      <c r="W1152" s="14">
        <v>940</v>
      </c>
      <c r="X1152" s="14">
        <v>1570</v>
      </c>
      <c r="Y1152" s="24" t="e">
        <f>knicks_players_all_stats[[#This Row],[REB]]/knicks_players_all_stats[[#This Row],[GP]]</f>
        <v>#DIV/0!</v>
      </c>
      <c r="AC1152" s="14">
        <v>180</v>
      </c>
      <c r="AE1152" s="14">
        <v>300</v>
      </c>
      <c r="AH1152" s="14">
        <v>300</v>
      </c>
      <c r="AI1152" s="19" t="e">
        <f>knicks_players_all_stats[[#This Row],[BLKPG]]+knicks_players_all_stats[[#This Row],[STLPG]]+knicks_players_all_stats[[#This Row],[REBPG]]</f>
        <v>#DIV/0!</v>
      </c>
    </row>
    <row r="1153" spans="1:41" s="14" customFormat="1" x14ac:dyDescent="0.3">
      <c r="A1153" s="13"/>
      <c r="B1153" s="13"/>
      <c r="C1153" s="13"/>
      <c r="D1153" s="13"/>
      <c r="E1153" s="14">
        <v>230</v>
      </c>
      <c r="O1153" s="15"/>
      <c r="R1153" s="16"/>
      <c r="V1153" s="14">
        <v>510</v>
      </c>
      <c r="W1153" s="14">
        <v>1040</v>
      </c>
      <c r="X1153" s="14">
        <v>1550</v>
      </c>
      <c r="Y1153" s="24" t="e">
        <f>knicks_players_all_stats[[#This Row],[REB]]/knicks_players_all_stats[[#This Row],[GP]]</f>
        <v>#DIV/0!</v>
      </c>
      <c r="AC1153" s="14">
        <v>210</v>
      </c>
      <c r="AE1153" s="14">
        <v>250</v>
      </c>
      <c r="AH1153" s="14">
        <v>760</v>
      </c>
      <c r="AI1153" s="19" t="e">
        <f>knicks_players_all_stats[[#This Row],[BLKPG]]+knicks_players_all_stats[[#This Row],[STLPG]]+knicks_players_all_stats[[#This Row],[REBPG]]</f>
        <v>#DIV/0!</v>
      </c>
    </row>
    <row r="1154" spans="1:41" s="14" customFormat="1" x14ac:dyDescent="0.3">
      <c r="A1154" s="13"/>
      <c r="B1154" s="13"/>
      <c r="C1154" s="13"/>
      <c r="D1154" s="13"/>
      <c r="E1154" s="14">
        <v>260</v>
      </c>
      <c r="O1154" s="15"/>
      <c r="R1154" s="16"/>
      <c r="V1154" s="14">
        <v>420</v>
      </c>
      <c r="W1154" s="14">
        <v>930</v>
      </c>
      <c r="X1154" s="14">
        <v>1350</v>
      </c>
      <c r="Y1154" s="24" t="e">
        <f>knicks_players_all_stats[[#This Row],[REB]]/knicks_players_all_stats[[#This Row],[GP]]</f>
        <v>#DIV/0!</v>
      </c>
      <c r="AC1154" s="14">
        <v>100</v>
      </c>
      <c r="AE1154" s="14">
        <v>140</v>
      </c>
      <c r="AH1154" s="14">
        <v>630</v>
      </c>
      <c r="AI1154" s="19" t="e">
        <f>knicks_players_all_stats[[#This Row],[BLKPG]]+knicks_players_all_stats[[#This Row],[STLPG]]+knicks_players_all_stats[[#This Row],[REBPG]]</f>
        <v>#DIV/0!</v>
      </c>
    </row>
    <row r="1155" spans="1:41" s="14" customFormat="1" x14ac:dyDescent="0.3">
      <c r="A1155" s="13"/>
      <c r="B1155" s="13"/>
      <c r="C1155" s="13"/>
      <c r="D1155" s="13"/>
      <c r="E1155" s="14">
        <v>240</v>
      </c>
      <c r="O1155" s="15"/>
      <c r="R1155" s="16"/>
      <c r="V1155" s="14">
        <v>10</v>
      </c>
      <c r="W1155" s="14">
        <v>50</v>
      </c>
      <c r="X1155" s="14">
        <v>60</v>
      </c>
      <c r="Y1155" s="24" t="e">
        <f>knicks_players_all_stats[[#This Row],[REB]]/knicks_players_all_stats[[#This Row],[GP]]</f>
        <v>#DIV/0!</v>
      </c>
      <c r="AC1155" s="14">
        <v>20</v>
      </c>
      <c r="AE1155" s="14">
        <v>0</v>
      </c>
      <c r="AH1155" s="14">
        <v>80</v>
      </c>
      <c r="AI1155" s="19" t="e">
        <f>knicks_players_all_stats[[#This Row],[BLKPG]]+knicks_players_all_stats[[#This Row],[STLPG]]+knicks_players_all_stats[[#This Row],[REBPG]]</f>
        <v>#DIV/0!</v>
      </c>
    </row>
    <row r="1156" spans="1:41" s="17" customFormat="1" x14ac:dyDescent="0.3">
      <c r="A1156" s="13"/>
      <c r="B1156" s="13"/>
      <c r="C1156" s="13"/>
      <c r="D1156" s="13"/>
      <c r="E1156" s="14">
        <v>250</v>
      </c>
      <c r="F1156" s="14"/>
      <c r="G1156" s="14"/>
      <c r="H1156" s="14"/>
      <c r="I1156" s="14"/>
      <c r="J1156" s="14"/>
      <c r="K1156" s="14"/>
      <c r="L1156" s="14"/>
      <c r="M1156" s="14"/>
      <c r="N1156" s="14"/>
      <c r="O1156" s="15"/>
      <c r="P1156" s="14"/>
      <c r="Q1156" s="14"/>
      <c r="R1156" s="16"/>
      <c r="S1156" s="14"/>
      <c r="T1156" s="14"/>
      <c r="U1156" s="14"/>
      <c r="V1156" s="14">
        <v>290</v>
      </c>
      <c r="W1156" s="14">
        <v>730</v>
      </c>
      <c r="X1156" s="14">
        <v>1020</v>
      </c>
      <c r="Y1156" s="24" t="e">
        <f>knicks_players_all_stats[[#This Row],[REB]]/knicks_players_all_stats[[#This Row],[GP]]</f>
        <v>#DIV/0!</v>
      </c>
      <c r="Z1156" s="14"/>
      <c r="AA1156" s="14"/>
      <c r="AB1156" s="14"/>
      <c r="AC1156" s="14">
        <v>540</v>
      </c>
      <c r="AD1156" s="14"/>
      <c r="AE1156" s="14">
        <v>60</v>
      </c>
      <c r="AF1156" s="14"/>
      <c r="AG1156" s="14"/>
      <c r="AH1156" s="14">
        <v>790</v>
      </c>
      <c r="AI1156" s="19" t="e">
        <f>knicks_players_all_stats[[#This Row],[BLKPG]]+knicks_players_all_stats[[#This Row],[STLPG]]+knicks_players_all_stats[[#This Row],[REBPG]]</f>
        <v>#DIV/0!</v>
      </c>
      <c r="AJ1156" s="14"/>
      <c r="AK1156" s="14"/>
      <c r="AL1156" s="14"/>
      <c r="AM1156" s="14"/>
      <c r="AN1156" s="14"/>
      <c r="AO1156" s="14"/>
    </row>
    <row r="1157" spans="1:41" s="14" customFormat="1" x14ac:dyDescent="0.3">
      <c r="A1157" s="13"/>
      <c r="B1157" s="13"/>
      <c r="C1157" s="13"/>
      <c r="D1157" s="13"/>
      <c r="E1157" s="14">
        <v>260</v>
      </c>
      <c r="O1157" s="15"/>
      <c r="R1157" s="16"/>
      <c r="V1157" s="14">
        <v>450</v>
      </c>
      <c r="W1157" s="14">
        <v>1750</v>
      </c>
      <c r="X1157" s="14">
        <v>2200</v>
      </c>
      <c r="Y1157" s="24" t="e">
        <f>knicks_players_all_stats[[#This Row],[REB]]/knicks_players_all_stats[[#This Row],[GP]]</f>
        <v>#DIV/0!</v>
      </c>
      <c r="AC1157" s="14">
        <v>830</v>
      </c>
      <c r="AE1157" s="14">
        <v>150</v>
      </c>
      <c r="AH1157" s="14">
        <v>1470</v>
      </c>
      <c r="AI1157" s="19" t="e">
        <f>knicks_players_all_stats[[#This Row],[BLKPG]]+knicks_players_all_stats[[#This Row],[STLPG]]+knicks_players_all_stats[[#This Row],[REBPG]]</f>
        <v>#DIV/0!</v>
      </c>
    </row>
    <row r="1158" spans="1:41" s="17" customFormat="1" x14ac:dyDescent="0.3">
      <c r="A1158" s="13"/>
      <c r="B1158" s="13"/>
      <c r="C1158" s="13"/>
      <c r="D1158" s="13"/>
      <c r="E1158" s="14">
        <v>270</v>
      </c>
      <c r="F1158" s="14"/>
      <c r="G1158" s="14"/>
      <c r="H1158" s="14"/>
      <c r="I1158" s="14"/>
      <c r="J1158" s="14"/>
      <c r="K1158" s="14"/>
      <c r="L1158" s="14"/>
      <c r="M1158" s="14"/>
      <c r="N1158" s="14"/>
      <c r="O1158" s="15"/>
      <c r="P1158" s="14"/>
      <c r="Q1158" s="14"/>
      <c r="R1158" s="16"/>
      <c r="S1158" s="14"/>
      <c r="T1158" s="14"/>
      <c r="U1158" s="14"/>
      <c r="V1158" s="14">
        <v>320</v>
      </c>
      <c r="W1158" s="14">
        <v>2420</v>
      </c>
      <c r="X1158" s="14">
        <v>2740</v>
      </c>
      <c r="Y1158" s="24" t="e">
        <f>knicks_players_all_stats[[#This Row],[REB]]/knicks_players_all_stats[[#This Row],[GP]]</f>
        <v>#DIV/0!</v>
      </c>
      <c r="Z1158" s="14"/>
      <c r="AA1158" s="14"/>
      <c r="AB1158" s="14"/>
      <c r="AC1158" s="14">
        <v>1440</v>
      </c>
      <c r="AD1158" s="14"/>
      <c r="AE1158" s="14">
        <v>370</v>
      </c>
      <c r="AF1158" s="14"/>
      <c r="AG1158" s="14"/>
      <c r="AH1158" s="14">
        <v>1750</v>
      </c>
      <c r="AI1158" s="19" t="e">
        <f>knicks_players_all_stats[[#This Row],[BLKPG]]+knicks_players_all_stats[[#This Row],[STLPG]]+knicks_players_all_stats[[#This Row],[REBPG]]</f>
        <v>#DIV/0!</v>
      </c>
      <c r="AJ1158" s="14"/>
      <c r="AK1158" s="14"/>
      <c r="AL1158" s="14"/>
      <c r="AM1158" s="14"/>
      <c r="AN1158" s="14"/>
      <c r="AO1158" s="14"/>
    </row>
    <row r="1159" spans="1:41" s="14" customFormat="1" x14ac:dyDescent="0.3">
      <c r="A1159" s="13"/>
      <c r="B1159" s="13"/>
      <c r="C1159" s="13"/>
      <c r="D1159" s="13"/>
      <c r="E1159" s="14">
        <v>280</v>
      </c>
      <c r="O1159" s="15"/>
      <c r="R1159" s="16"/>
      <c r="V1159" s="14">
        <v>230</v>
      </c>
      <c r="W1159" s="14">
        <v>1490</v>
      </c>
      <c r="X1159" s="14">
        <v>1720</v>
      </c>
      <c r="Y1159" s="24" t="e">
        <f>knicks_players_all_stats[[#This Row],[REB]]/knicks_players_all_stats[[#This Row],[GP]]</f>
        <v>#DIV/0!</v>
      </c>
      <c r="AC1159" s="14">
        <v>1030</v>
      </c>
      <c r="AE1159" s="14">
        <v>80</v>
      </c>
      <c r="AH1159" s="14">
        <v>1310</v>
      </c>
      <c r="AI1159" s="19" t="e">
        <f>knicks_players_all_stats[[#This Row],[BLKPG]]+knicks_players_all_stats[[#This Row],[STLPG]]+knicks_players_all_stats[[#This Row],[REBPG]]</f>
        <v>#DIV/0!</v>
      </c>
    </row>
    <row r="1160" spans="1:41" s="14" customFormat="1" x14ac:dyDescent="0.3">
      <c r="A1160" s="13"/>
      <c r="B1160" s="13"/>
      <c r="C1160" s="13"/>
      <c r="D1160" s="13"/>
      <c r="E1160" s="14">
        <v>290</v>
      </c>
      <c r="O1160" s="15"/>
      <c r="R1160" s="16"/>
      <c r="V1160" s="14">
        <v>220</v>
      </c>
      <c r="W1160" s="14">
        <v>2060</v>
      </c>
      <c r="X1160" s="14">
        <v>2280</v>
      </c>
      <c r="Y1160" s="24" t="e">
        <f>knicks_players_all_stats[[#This Row],[REB]]/knicks_players_all_stats[[#This Row],[GP]]</f>
        <v>#DIV/0!</v>
      </c>
      <c r="AC1160" s="14">
        <v>950</v>
      </c>
      <c r="AE1160" s="14">
        <v>160</v>
      </c>
      <c r="AH1160" s="14">
        <v>1020</v>
      </c>
      <c r="AI1160" s="19" t="e">
        <f>knicks_players_all_stats[[#This Row],[BLKPG]]+knicks_players_all_stats[[#This Row],[STLPG]]+knicks_players_all_stats[[#This Row],[REBPG]]</f>
        <v>#DIV/0!</v>
      </c>
    </row>
    <row r="1161" spans="1:41" s="14" customFormat="1" x14ac:dyDescent="0.3">
      <c r="A1161" s="13"/>
      <c r="B1161" s="13"/>
      <c r="C1161" s="13"/>
      <c r="D1161" s="13"/>
      <c r="E1161" s="14">
        <v>220</v>
      </c>
      <c r="O1161" s="15"/>
      <c r="R1161" s="16"/>
      <c r="X1161" s="14">
        <v>400</v>
      </c>
      <c r="Y1161" s="24" t="e">
        <f>knicks_players_all_stats[[#This Row],[REB]]/knicks_players_all_stats[[#This Row],[GP]]</f>
        <v>#DIV/0!</v>
      </c>
      <c r="AI1161" s="19" t="e">
        <f>knicks_players_all_stats[[#This Row],[BLKPG]]+knicks_players_all_stats[[#This Row],[STLPG]]+knicks_players_all_stats[[#This Row],[REBPG]]</f>
        <v>#DIV/0!</v>
      </c>
    </row>
    <row r="1162" spans="1:41" s="14" customFormat="1" x14ac:dyDescent="0.3">
      <c r="A1162" s="13"/>
      <c r="B1162" s="13"/>
      <c r="C1162" s="13"/>
      <c r="D1162" s="13"/>
      <c r="E1162" s="14">
        <v>290</v>
      </c>
      <c r="O1162" s="15"/>
      <c r="R1162" s="16"/>
      <c r="X1162" s="14">
        <v>0</v>
      </c>
      <c r="Y1162" s="24" t="e">
        <f>knicks_players_all_stats[[#This Row],[REB]]/knicks_players_all_stats[[#This Row],[GP]]</f>
        <v>#DIV/0!</v>
      </c>
      <c r="AI1162" s="19" t="e">
        <f>knicks_players_all_stats[[#This Row],[BLKPG]]+knicks_players_all_stats[[#This Row],[STLPG]]+knicks_players_all_stats[[#This Row],[REBPG]]</f>
        <v>#DIV/0!</v>
      </c>
    </row>
    <row r="1163" spans="1:41" s="14" customFormat="1" x14ac:dyDescent="0.3">
      <c r="A1163" s="13"/>
      <c r="B1163" s="13"/>
      <c r="C1163" s="13"/>
      <c r="D1163" s="13"/>
      <c r="E1163" s="14">
        <v>270</v>
      </c>
      <c r="O1163" s="15"/>
      <c r="R1163" s="16"/>
      <c r="V1163" s="14">
        <v>1980</v>
      </c>
      <c r="W1163" s="14">
        <v>4570</v>
      </c>
      <c r="X1163" s="14">
        <v>6550</v>
      </c>
      <c r="Y1163" s="24" t="e">
        <f>knicks_players_all_stats[[#This Row],[REB]]/knicks_players_all_stats[[#This Row],[GP]]</f>
        <v>#DIV/0!</v>
      </c>
      <c r="AC1163" s="14">
        <v>240</v>
      </c>
      <c r="AE1163" s="14">
        <v>1120</v>
      </c>
      <c r="AH1163" s="14">
        <v>1700</v>
      </c>
      <c r="AI1163" s="19" t="e">
        <f>knicks_players_all_stats[[#This Row],[BLKPG]]+knicks_players_all_stats[[#This Row],[STLPG]]+knicks_players_all_stats[[#This Row],[REBPG]]</f>
        <v>#DIV/0!</v>
      </c>
    </row>
    <row r="1164" spans="1:41" s="17" customFormat="1" x14ac:dyDescent="0.3">
      <c r="A1164" s="13"/>
      <c r="B1164" s="13"/>
      <c r="C1164" s="13"/>
      <c r="D1164" s="13"/>
      <c r="E1164" s="14">
        <v>280</v>
      </c>
      <c r="F1164" s="14"/>
      <c r="G1164" s="14"/>
      <c r="H1164" s="14"/>
      <c r="I1164" s="14"/>
      <c r="J1164" s="14"/>
      <c r="K1164" s="14"/>
      <c r="L1164" s="14"/>
      <c r="M1164" s="14"/>
      <c r="N1164" s="14"/>
      <c r="O1164" s="15"/>
      <c r="P1164" s="14"/>
      <c r="Q1164" s="14"/>
      <c r="R1164" s="16"/>
      <c r="S1164" s="14"/>
      <c r="T1164" s="14"/>
      <c r="U1164" s="14"/>
      <c r="V1164" s="14">
        <v>280</v>
      </c>
      <c r="W1164" s="14">
        <v>520</v>
      </c>
      <c r="X1164" s="14">
        <v>800</v>
      </c>
      <c r="Y1164" s="24" t="e">
        <f>knicks_players_all_stats[[#This Row],[REB]]/knicks_players_all_stats[[#This Row],[GP]]</f>
        <v>#DIV/0!</v>
      </c>
      <c r="Z1164" s="14"/>
      <c r="AA1164" s="14"/>
      <c r="AB1164" s="14"/>
      <c r="AC1164" s="14">
        <v>30</v>
      </c>
      <c r="AD1164" s="14"/>
      <c r="AE1164" s="14">
        <v>110</v>
      </c>
      <c r="AF1164" s="14"/>
      <c r="AG1164" s="14"/>
      <c r="AH1164" s="14">
        <v>200</v>
      </c>
      <c r="AI1164" s="19" t="e">
        <f>knicks_players_all_stats[[#This Row],[BLKPG]]+knicks_players_all_stats[[#This Row],[STLPG]]+knicks_players_all_stats[[#This Row],[REBPG]]</f>
        <v>#DIV/0!</v>
      </c>
      <c r="AJ1164" s="14"/>
      <c r="AK1164" s="14"/>
      <c r="AL1164" s="14"/>
      <c r="AM1164" s="14"/>
      <c r="AN1164" s="14"/>
      <c r="AO1164" s="14"/>
    </row>
    <row r="1165" spans="1:41" s="17" customFormat="1" x14ac:dyDescent="0.3">
      <c r="A1165" s="13"/>
      <c r="B1165" s="13"/>
      <c r="C1165" s="13"/>
      <c r="D1165" s="13"/>
      <c r="E1165" s="14">
        <v>290</v>
      </c>
      <c r="F1165" s="14"/>
      <c r="G1165" s="14"/>
      <c r="H1165" s="14"/>
      <c r="I1165" s="14"/>
      <c r="J1165" s="14"/>
      <c r="K1165" s="14"/>
      <c r="L1165" s="14"/>
      <c r="M1165" s="14"/>
      <c r="N1165" s="14"/>
      <c r="O1165" s="15"/>
      <c r="P1165" s="14"/>
      <c r="Q1165" s="14"/>
      <c r="R1165" s="16"/>
      <c r="S1165" s="14"/>
      <c r="T1165" s="14"/>
      <c r="U1165" s="14"/>
      <c r="V1165" s="14">
        <v>1620</v>
      </c>
      <c r="W1165" s="14">
        <v>3030</v>
      </c>
      <c r="X1165" s="14">
        <v>4650</v>
      </c>
      <c r="Y1165" s="24" t="e">
        <f>knicks_players_all_stats[[#This Row],[REB]]/knicks_players_all_stats[[#This Row],[GP]]</f>
        <v>#DIV/0!</v>
      </c>
      <c r="Z1165" s="14"/>
      <c r="AA1165" s="14"/>
      <c r="AB1165" s="14"/>
      <c r="AC1165" s="14">
        <v>270</v>
      </c>
      <c r="AD1165" s="14"/>
      <c r="AE1165" s="14">
        <v>970</v>
      </c>
      <c r="AF1165" s="14"/>
      <c r="AG1165" s="14"/>
      <c r="AH1165" s="14">
        <v>1030</v>
      </c>
      <c r="AI1165" s="19" t="e">
        <f>knicks_players_all_stats[[#This Row],[BLKPG]]+knicks_players_all_stats[[#This Row],[STLPG]]+knicks_players_all_stats[[#This Row],[REBPG]]</f>
        <v>#DIV/0!</v>
      </c>
      <c r="AJ1165" s="14"/>
      <c r="AK1165" s="14"/>
      <c r="AL1165" s="14"/>
      <c r="AM1165" s="14"/>
      <c r="AN1165" s="14"/>
      <c r="AO1165" s="14"/>
    </row>
    <row r="1166" spans="1:41" s="17" customFormat="1" x14ac:dyDescent="0.3">
      <c r="A1166" s="13"/>
      <c r="B1166" s="13"/>
      <c r="C1166" s="13"/>
      <c r="D1166" s="13"/>
      <c r="E1166" s="14">
        <v>300</v>
      </c>
      <c r="F1166" s="14"/>
      <c r="G1166" s="14"/>
      <c r="H1166" s="14"/>
      <c r="I1166" s="14"/>
      <c r="J1166" s="14"/>
      <c r="K1166" s="14"/>
      <c r="L1166" s="14"/>
      <c r="M1166" s="14"/>
      <c r="N1166" s="14"/>
      <c r="O1166" s="15"/>
      <c r="P1166" s="14"/>
      <c r="Q1166" s="14"/>
      <c r="R1166" s="16"/>
      <c r="S1166" s="14"/>
      <c r="T1166" s="14"/>
      <c r="U1166" s="14"/>
      <c r="V1166" s="14">
        <v>1840</v>
      </c>
      <c r="W1166" s="14">
        <v>3060</v>
      </c>
      <c r="X1166" s="14">
        <v>4900</v>
      </c>
      <c r="Y1166" s="24" t="e">
        <f>knicks_players_all_stats[[#This Row],[REB]]/knicks_players_all_stats[[#This Row],[GP]]</f>
        <v>#DIV/0!</v>
      </c>
      <c r="Z1166" s="14"/>
      <c r="AA1166" s="14"/>
      <c r="AB1166" s="14"/>
      <c r="AC1166" s="14">
        <v>220</v>
      </c>
      <c r="AD1166" s="14"/>
      <c r="AE1166" s="14">
        <v>900</v>
      </c>
      <c r="AF1166" s="14"/>
      <c r="AG1166" s="14"/>
      <c r="AH1166" s="14">
        <v>900</v>
      </c>
      <c r="AI1166" s="19" t="e">
        <f>knicks_players_all_stats[[#This Row],[BLKPG]]+knicks_players_all_stats[[#This Row],[STLPG]]+knicks_players_all_stats[[#This Row],[REBPG]]</f>
        <v>#DIV/0!</v>
      </c>
      <c r="AJ1166" s="14"/>
      <c r="AK1166" s="14"/>
      <c r="AL1166" s="14"/>
      <c r="AM1166" s="14"/>
      <c r="AN1166" s="14"/>
      <c r="AO1166" s="14"/>
    </row>
    <row r="1167" spans="1:41" s="14" customFormat="1" x14ac:dyDescent="0.3">
      <c r="A1167" s="13"/>
      <c r="B1167" s="13"/>
      <c r="C1167" s="13"/>
      <c r="D1167" s="13"/>
      <c r="E1167" s="14">
        <v>310</v>
      </c>
      <c r="O1167" s="15"/>
      <c r="R1167" s="16"/>
      <c r="V1167" s="14">
        <v>1760</v>
      </c>
      <c r="W1167" s="14">
        <v>2670</v>
      </c>
      <c r="X1167" s="14">
        <v>4430</v>
      </c>
      <c r="Y1167" s="24" t="e">
        <f>knicks_players_all_stats[[#This Row],[REB]]/knicks_players_all_stats[[#This Row],[GP]]</f>
        <v>#DIV/0!</v>
      </c>
      <c r="AC1167" s="14">
        <v>350</v>
      </c>
      <c r="AE1167" s="14">
        <v>1310</v>
      </c>
      <c r="AH1167" s="14">
        <v>1020</v>
      </c>
      <c r="AI1167" s="19" t="e">
        <f>knicks_players_all_stats[[#This Row],[BLKPG]]+knicks_players_all_stats[[#This Row],[STLPG]]+knicks_players_all_stats[[#This Row],[REBPG]]</f>
        <v>#DIV/0!</v>
      </c>
    </row>
    <row r="1168" spans="1:41" s="14" customFormat="1" x14ac:dyDescent="0.3">
      <c r="A1168" s="13"/>
      <c r="B1168" s="13"/>
      <c r="C1168" s="13"/>
      <c r="D1168" s="13"/>
      <c r="E1168" s="14">
        <v>320</v>
      </c>
      <c r="O1168" s="15"/>
      <c r="R1168" s="16"/>
      <c r="V1168" s="14">
        <v>1460</v>
      </c>
      <c r="W1168" s="14">
        <v>2200</v>
      </c>
      <c r="X1168" s="14">
        <v>3660</v>
      </c>
      <c r="Y1168" s="24" t="e">
        <f>knicks_players_all_stats[[#This Row],[REB]]/knicks_players_all_stats[[#This Row],[GP]]</f>
        <v>#DIV/0!</v>
      </c>
      <c r="AC1168" s="14">
        <v>340</v>
      </c>
      <c r="AE1168" s="14">
        <v>1000</v>
      </c>
      <c r="AH1168" s="14">
        <v>850</v>
      </c>
      <c r="AI1168" s="19" t="e">
        <f>knicks_players_all_stats[[#This Row],[BLKPG]]+knicks_players_all_stats[[#This Row],[STLPG]]+knicks_players_all_stats[[#This Row],[REBPG]]</f>
        <v>#DIV/0!</v>
      </c>
    </row>
    <row r="1169" spans="1:35" s="14" customFormat="1" x14ac:dyDescent="0.3">
      <c r="A1169" s="13"/>
      <c r="B1169" s="13"/>
      <c r="C1169" s="13"/>
      <c r="D1169" s="13"/>
      <c r="E1169" s="14">
        <v>310</v>
      </c>
      <c r="O1169" s="15"/>
      <c r="R1169" s="16"/>
      <c r="V1169" s="14">
        <v>90</v>
      </c>
      <c r="W1169" s="14">
        <v>130</v>
      </c>
      <c r="X1169" s="14">
        <v>220</v>
      </c>
      <c r="Y1169" s="24" t="e">
        <f>knicks_players_all_stats[[#This Row],[REB]]/knicks_players_all_stats[[#This Row],[GP]]</f>
        <v>#DIV/0!</v>
      </c>
      <c r="AC1169" s="14">
        <v>190</v>
      </c>
      <c r="AE1169" s="14">
        <v>80</v>
      </c>
      <c r="AH1169" s="14">
        <v>470</v>
      </c>
      <c r="AI1169" s="19" t="e">
        <f>knicks_players_all_stats[[#This Row],[BLKPG]]+knicks_players_all_stats[[#This Row],[STLPG]]+knicks_players_all_stats[[#This Row],[REBPG]]</f>
        <v>#DIV/0!</v>
      </c>
    </row>
    <row r="1170" spans="1:35" s="14" customFormat="1" x14ac:dyDescent="0.3">
      <c r="A1170" s="13"/>
      <c r="B1170" s="13"/>
      <c r="C1170" s="13"/>
      <c r="D1170" s="13"/>
      <c r="E1170" s="14">
        <v>320</v>
      </c>
      <c r="O1170" s="15"/>
      <c r="R1170" s="16"/>
      <c r="V1170" s="14">
        <v>190</v>
      </c>
      <c r="W1170" s="14">
        <v>960</v>
      </c>
      <c r="X1170" s="14">
        <v>1150</v>
      </c>
      <c r="Y1170" s="24" t="e">
        <f>knicks_players_all_stats[[#This Row],[REB]]/knicks_players_all_stats[[#This Row],[GP]]</f>
        <v>#DIV/0!</v>
      </c>
      <c r="AC1170" s="14">
        <v>870</v>
      </c>
      <c r="AE1170" s="14">
        <v>160</v>
      </c>
      <c r="AH1170" s="14">
        <v>1960</v>
      </c>
      <c r="AI1170" s="19" t="e">
        <f>knicks_players_all_stats[[#This Row],[BLKPG]]+knicks_players_all_stats[[#This Row],[STLPG]]+knicks_players_all_stats[[#This Row],[REBPG]]</f>
        <v>#DIV/0!</v>
      </c>
    </row>
    <row r="1171" spans="1:35" s="14" customFormat="1" x14ac:dyDescent="0.3">
      <c r="A1171" s="13"/>
      <c r="B1171" s="13"/>
      <c r="C1171" s="13"/>
      <c r="D1171" s="13"/>
      <c r="E1171" s="14">
        <v>230</v>
      </c>
      <c r="O1171" s="15"/>
      <c r="R1171" s="16"/>
      <c r="V1171" s="14">
        <v>10</v>
      </c>
      <c r="W1171" s="14">
        <v>20</v>
      </c>
      <c r="X1171" s="14">
        <v>30</v>
      </c>
      <c r="Y1171" s="24" t="e">
        <f>knicks_players_all_stats[[#This Row],[REB]]/knicks_players_all_stats[[#This Row],[GP]]</f>
        <v>#DIV/0!</v>
      </c>
      <c r="AC1171" s="14">
        <v>10</v>
      </c>
      <c r="AE1171" s="14">
        <v>0</v>
      </c>
      <c r="AH1171" s="14">
        <v>130</v>
      </c>
      <c r="AI1171" s="19" t="e">
        <f>knicks_players_all_stats[[#This Row],[BLKPG]]+knicks_players_all_stats[[#This Row],[STLPG]]+knicks_players_all_stats[[#This Row],[REBPG]]</f>
        <v>#DIV/0!</v>
      </c>
    </row>
    <row r="1172" spans="1:35" s="14" customFormat="1" x14ac:dyDescent="0.3">
      <c r="A1172" s="13"/>
      <c r="B1172" s="13"/>
      <c r="C1172" s="13"/>
      <c r="D1172" s="13"/>
      <c r="E1172" s="14">
        <v>230</v>
      </c>
      <c r="O1172" s="15"/>
      <c r="R1172" s="16"/>
      <c r="V1172" s="14">
        <v>860</v>
      </c>
      <c r="W1172" s="14">
        <v>1760</v>
      </c>
      <c r="X1172" s="14">
        <v>2620</v>
      </c>
      <c r="Y1172" s="24" t="e">
        <f>knicks_players_all_stats[[#This Row],[REB]]/knicks_players_all_stats[[#This Row],[GP]]</f>
        <v>#DIV/0!</v>
      </c>
      <c r="AC1172" s="14">
        <v>210</v>
      </c>
      <c r="AE1172" s="14">
        <v>160</v>
      </c>
      <c r="AH1172" s="14">
        <v>640</v>
      </c>
      <c r="AI1172" s="19" t="e">
        <f>knicks_players_all_stats[[#This Row],[BLKPG]]+knicks_players_all_stats[[#This Row],[STLPG]]+knicks_players_all_stats[[#This Row],[REBPG]]</f>
        <v>#DIV/0!</v>
      </c>
    </row>
    <row r="1173" spans="1:35" s="14" customFormat="1" x14ac:dyDescent="0.3">
      <c r="A1173" s="13"/>
      <c r="B1173" s="13"/>
      <c r="C1173" s="13"/>
      <c r="D1173" s="13"/>
      <c r="E1173" s="14">
        <v>250</v>
      </c>
      <c r="O1173" s="15"/>
      <c r="R1173" s="16"/>
      <c r="V1173" s="14">
        <v>450</v>
      </c>
      <c r="W1173" s="14">
        <v>620</v>
      </c>
      <c r="X1173" s="14">
        <v>1070</v>
      </c>
      <c r="Y1173" s="24" t="e">
        <f>knicks_players_all_stats[[#This Row],[REB]]/knicks_players_all_stats[[#This Row],[GP]]</f>
        <v>#DIV/0!</v>
      </c>
      <c r="AC1173" s="14">
        <v>90</v>
      </c>
      <c r="AE1173" s="14">
        <v>20</v>
      </c>
      <c r="AH1173" s="14">
        <v>280</v>
      </c>
      <c r="AI1173" s="19" t="e">
        <f>knicks_players_all_stats[[#This Row],[BLKPG]]+knicks_players_all_stats[[#This Row],[STLPG]]+knicks_players_all_stats[[#This Row],[REBPG]]</f>
        <v>#DIV/0!</v>
      </c>
    </row>
    <row r="1174" spans="1:35" s="14" customFormat="1" x14ac:dyDescent="0.3">
      <c r="A1174" s="13"/>
      <c r="B1174" s="13"/>
      <c r="C1174" s="13"/>
      <c r="D1174" s="13"/>
      <c r="E1174" s="14">
        <v>270</v>
      </c>
      <c r="O1174" s="15"/>
      <c r="R1174" s="16"/>
      <c r="V1174" s="14">
        <v>720</v>
      </c>
      <c r="W1174" s="14">
        <v>760</v>
      </c>
      <c r="X1174" s="14">
        <v>1480</v>
      </c>
      <c r="Y1174" s="24" t="e">
        <f>knicks_players_all_stats[[#This Row],[REB]]/knicks_players_all_stats[[#This Row],[GP]]</f>
        <v>#DIV/0!</v>
      </c>
      <c r="AC1174" s="14">
        <v>100</v>
      </c>
      <c r="AE1174" s="14">
        <v>160</v>
      </c>
      <c r="AH1174" s="14">
        <v>560</v>
      </c>
      <c r="AI1174" s="19" t="e">
        <f>knicks_players_all_stats[[#This Row],[BLKPG]]+knicks_players_all_stats[[#This Row],[STLPG]]+knicks_players_all_stats[[#This Row],[REBPG]]</f>
        <v>#DIV/0!</v>
      </c>
    </row>
    <row r="1175" spans="1:35" s="14" customFormat="1" x14ac:dyDescent="0.3">
      <c r="A1175" s="13"/>
      <c r="B1175" s="13"/>
      <c r="C1175" s="13"/>
      <c r="D1175" s="13"/>
      <c r="E1175" s="14">
        <v>280</v>
      </c>
      <c r="O1175" s="15"/>
      <c r="R1175" s="16"/>
      <c r="V1175" s="14">
        <v>1140</v>
      </c>
      <c r="W1175" s="14">
        <v>1510</v>
      </c>
      <c r="X1175" s="14">
        <v>2650</v>
      </c>
      <c r="Y1175" s="24" t="e">
        <f>knicks_players_all_stats[[#This Row],[REB]]/knicks_players_all_stats[[#This Row],[GP]]</f>
        <v>#DIV/0!</v>
      </c>
      <c r="AC1175" s="14">
        <v>180</v>
      </c>
      <c r="AE1175" s="14">
        <v>180</v>
      </c>
      <c r="AH1175" s="14">
        <v>730</v>
      </c>
      <c r="AI1175" s="19" t="e">
        <f>knicks_players_all_stats[[#This Row],[BLKPG]]+knicks_players_all_stats[[#This Row],[STLPG]]+knicks_players_all_stats[[#This Row],[REBPG]]</f>
        <v>#DIV/0!</v>
      </c>
    </row>
    <row r="1176" spans="1:35" s="14" customFormat="1" x14ac:dyDescent="0.3">
      <c r="A1176" s="13"/>
      <c r="B1176" s="13"/>
      <c r="C1176" s="13"/>
      <c r="D1176" s="13"/>
      <c r="E1176" s="14">
        <v>290</v>
      </c>
      <c r="O1176" s="15"/>
      <c r="R1176" s="16"/>
      <c r="V1176" s="14">
        <v>690</v>
      </c>
      <c r="W1176" s="14">
        <v>1110</v>
      </c>
      <c r="X1176" s="14">
        <v>1800</v>
      </c>
      <c r="Y1176" s="24" t="e">
        <f>knicks_players_all_stats[[#This Row],[REB]]/knicks_players_all_stats[[#This Row],[GP]]</f>
        <v>#DIV/0!</v>
      </c>
      <c r="AC1176" s="14">
        <v>170</v>
      </c>
      <c r="AE1176" s="14">
        <v>70</v>
      </c>
      <c r="AH1176" s="14">
        <v>500</v>
      </c>
      <c r="AI1176" s="19" t="e">
        <f>knicks_players_all_stats[[#This Row],[BLKPG]]+knicks_players_all_stats[[#This Row],[STLPG]]+knicks_players_all_stats[[#This Row],[REBPG]]</f>
        <v>#DIV/0!</v>
      </c>
    </row>
    <row r="1177" spans="1:35" s="14" customFormat="1" x14ac:dyDescent="0.3">
      <c r="A1177" s="13"/>
      <c r="B1177" s="13"/>
      <c r="C1177" s="13"/>
      <c r="D1177" s="13"/>
      <c r="E1177" s="14">
        <v>350</v>
      </c>
      <c r="O1177" s="15"/>
      <c r="R1177" s="16"/>
      <c r="V1177" s="14">
        <v>440</v>
      </c>
      <c r="W1177" s="14">
        <v>1020</v>
      </c>
      <c r="X1177" s="14">
        <v>1460</v>
      </c>
      <c r="Y1177" s="24" t="e">
        <f>knicks_players_all_stats[[#This Row],[REB]]/knicks_players_all_stats[[#This Row],[GP]]</f>
        <v>#DIV/0!</v>
      </c>
      <c r="AC1177" s="14">
        <v>210</v>
      </c>
      <c r="AE1177" s="14">
        <v>280</v>
      </c>
      <c r="AH1177" s="14">
        <v>220</v>
      </c>
      <c r="AI1177" s="19" t="e">
        <f>knicks_players_all_stats[[#This Row],[BLKPG]]+knicks_players_all_stats[[#This Row],[STLPG]]+knicks_players_all_stats[[#This Row],[REBPG]]</f>
        <v>#DIV/0!</v>
      </c>
    </row>
    <row r="1178" spans="1:35" s="14" customFormat="1" x14ac:dyDescent="0.3">
      <c r="A1178" s="13"/>
      <c r="B1178" s="13"/>
      <c r="C1178" s="13"/>
      <c r="D1178" s="13"/>
      <c r="E1178" s="14">
        <v>360</v>
      </c>
      <c r="O1178" s="15"/>
      <c r="R1178" s="16"/>
      <c r="V1178" s="14">
        <v>560</v>
      </c>
      <c r="W1178" s="14">
        <v>1260</v>
      </c>
      <c r="X1178" s="14">
        <v>1820</v>
      </c>
      <c r="Y1178" s="24" t="e">
        <f>knicks_players_all_stats[[#This Row],[REB]]/knicks_players_all_stats[[#This Row],[GP]]</f>
        <v>#DIV/0!</v>
      </c>
      <c r="AC1178" s="14">
        <v>180</v>
      </c>
      <c r="AE1178" s="14">
        <v>430</v>
      </c>
      <c r="AH1178" s="14">
        <v>390</v>
      </c>
      <c r="AI1178" s="19" t="e">
        <f>knicks_players_all_stats[[#This Row],[BLKPG]]+knicks_players_all_stats[[#This Row],[STLPG]]+knicks_players_all_stats[[#This Row],[REBPG]]</f>
        <v>#DIV/0!</v>
      </c>
    </row>
    <row r="1179" spans="1:35" s="14" customFormat="1" x14ac:dyDescent="0.3">
      <c r="A1179" s="13"/>
      <c r="B1179" s="13"/>
      <c r="C1179" s="13"/>
      <c r="D1179" s="13"/>
      <c r="E1179" s="14">
        <v>370</v>
      </c>
      <c r="O1179" s="15"/>
      <c r="R1179" s="16"/>
      <c r="V1179" s="14">
        <v>230</v>
      </c>
      <c r="W1179" s="14">
        <v>1090</v>
      </c>
      <c r="X1179" s="14">
        <v>1320</v>
      </c>
      <c r="Y1179" s="24" t="e">
        <f>knicks_players_all_stats[[#This Row],[REB]]/knicks_players_all_stats[[#This Row],[GP]]</f>
        <v>#DIV/0!</v>
      </c>
      <c r="AC1179" s="14">
        <v>130</v>
      </c>
      <c r="AE1179" s="14">
        <v>450</v>
      </c>
      <c r="AH1179" s="14">
        <v>400</v>
      </c>
      <c r="AI1179" s="19" t="e">
        <f>knicks_players_all_stats[[#This Row],[BLKPG]]+knicks_players_all_stats[[#This Row],[STLPG]]+knicks_players_all_stats[[#This Row],[REBPG]]</f>
        <v>#DIV/0!</v>
      </c>
    </row>
    <row r="1180" spans="1:35" s="14" customFormat="1" x14ac:dyDescent="0.3">
      <c r="A1180" s="13"/>
      <c r="B1180" s="13"/>
      <c r="C1180" s="13"/>
      <c r="D1180" s="13"/>
      <c r="E1180" s="14">
        <v>380</v>
      </c>
      <c r="O1180" s="15"/>
      <c r="R1180" s="16"/>
      <c r="V1180" s="14">
        <v>140</v>
      </c>
      <c r="W1180" s="14">
        <v>680</v>
      </c>
      <c r="X1180" s="14">
        <v>820</v>
      </c>
      <c r="Y1180" s="24" t="e">
        <f>knicks_players_all_stats[[#This Row],[REB]]/knicks_players_all_stats[[#This Row],[GP]]</f>
        <v>#DIV/0!</v>
      </c>
      <c r="AC1180" s="14">
        <v>130</v>
      </c>
      <c r="AE1180" s="14">
        <v>310</v>
      </c>
      <c r="AH1180" s="14">
        <v>220</v>
      </c>
      <c r="AI1180" s="19" t="e">
        <f>knicks_players_all_stats[[#This Row],[BLKPG]]+knicks_players_all_stats[[#This Row],[STLPG]]+knicks_players_all_stats[[#This Row],[REBPG]]</f>
        <v>#DIV/0!</v>
      </c>
    </row>
    <row r="1181" spans="1:35" s="14" customFormat="1" x14ac:dyDescent="0.3">
      <c r="A1181" s="13"/>
      <c r="B1181" s="13"/>
      <c r="C1181" s="13"/>
      <c r="D1181" s="13"/>
      <c r="E1181" s="14">
        <v>390</v>
      </c>
      <c r="O1181" s="15"/>
      <c r="R1181" s="16"/>
      <c r="V1181" s="14">
        <v>90</v>
      </c>
      <c r="W1181" s="14">
        <v>220</v>
      </c>
      <c r="X1181" s="14">
        <v>310</v>
      </c>
      <c r="Y1181" s="24" t="e">
        <f>knicks_players_all_stats[[#This Row],[REB]]/knicks_players_all_stats[[#This Row],[GP]]</f>
        <v>#DIV/0!</v>
      </c>
      <c r="AC1181" s="14">
        <v>40</v>
      </c>
      <c r="AE1181" s="14">
        <v>50</v>
      </c>
      <c r="AH1181" s="14">
        <v>50</v>
      </c>
      <c r="AI1181" s="19" t="e">
        <f>knicks_players_all_stats[[#This Row],[BLKPG]]+knicks_players_all_stats[[#This Row],[STLPG]]+knicks_players_all_stats[[#This Row],[REBPG]]</f>
        <v>#DIV/0!</v>
      </c>
    </row>
    <row r="1182" spans="1:35" s="14" customFormat="1" x14ac:dyDescent="0.3">
      <c r="A1182" s="13"/>
      <c r="B1182" s="13"/>
      <c r="C1182" s="13"/>
      <c r="D1182" s="13"/>
      <c r="E1182" s="14">
        <v>400</v>
      </c>
      <c r="O1182" s="15"/>
      <c r="R1182" s="16"/>
      <c r="V1182" s="14">
        <v>60</v>
      </c>
      <c r="W1182" s="14">
        <v>230</v>
      </c>
      <c r="X1182" s="14">
        <v>290</v>
      </c>
      <c r="Y1182" s="24" t="e">
        <f>knicks_players_all_stats[[#This Row],[REB]]/knicks_players_all_stats[[#This Row],[GP]]</f>
        <v>#DIV/0!</v>
      </c>
      <c r="AC1182" s="14">
        <v>60</v>
      </c>
      <c r="AE1182" s="14">
        <v>90</v>
      </c>
      <c r="AH1182" s="14">
        <v>50</v>
      </c>
      <c r="AI1182" s="19" t="e">
        <f>knicks_players_all_stats[[#This Row],[BLKPG]]+knicks_players_all_stats[[#This Row],[STLPG]]+knicks_players_all_stats[[#This Row],[REBPG]]</f>
        <v>#DIV/0!</v>
      </c>
    </row>
    <row r="1183" spans="1:35" s="14" customFormat="1" x14ac:dyDescent="0.3">
      <c r="A1183" s="13"/>
      <c r="B1183" s="13"/>
      <c r="C1183" s="13"/>
      <c r="D1183" s="13"/>
      <c r="E1183" s="14">
        <v>410</v>
      </c>
      <c r="O1183" s="15"/>
      <c r="R1183" s="16"/>
      <c r="V1183" s="14">
        <v>30</v>
      </c>
      <c r="W1183" s="14">
        <v>30</v>
      </c>
      <c r="X1183" s="14">
        <v>60</v>
      </c>
      <c r="Y1183" s="24" t="e">
        <f>knicks_players_all_stats[[#This Row],[REB]]/knicks_players_all_stats[[#This Row],[GP]]</f>
        <v>#DIV/0!</v>
      </c>
      <c r="AC1183" s="14">
        <v>0</v>
      </c>
      <c r="AE1183" s="14">
        <v>20</v>
      </c>
      <c r="AH1183" s="14">
        <v>20</v>
      </c>
      <c r="AI1183" s="19" t="e">
        <f>knicks_players_all_stats[[#This Row],[BLKPG]]+knicks_players_all_stats[[#This Row],[STLPG]]+knicks_players_all_stats[[#This Row],[REBPG]]</f>
        <v>#DIV/0!</v>
      </c>
    </row>
    <row r="1184" spans="1:35" s="14" customFormat="1" x14ac:dyDescent="0.3">
      <c r="A1184" s="13"/>
      <c r="B1184" s="13"/>
      <c r="C1184" s="13"/>
      <c r="D1184" s="13"/>
      <c r="E1184" s="14">
        <v>220</v>
      </c>
      <c r="O1184" s="15"/>
      <c r="R1184" s="16"/>
      <c r="V1184" s="14">
        <v>920</v>
      </c>
      <c r="W1184" s="14">
        <v>1160</v>
      </c>
      <c r="X1184" s="14">
        <v>2080</v>
      </c>
      <c r="Y1184" s="24" t="e">
        <f>knicks_players_all_stats[[#This Row],[REB]]/knicks_players_all_stats[[#This Row],[GP]]</f>
        <v>#DIV/0!</v>
      </c>
      <c r="AC1184" s="14">
        <v>680</v>
      </c>
      <c r="AE1184" s="14">
        <v>90</v>
      </c>
      <c r="AH1184" s="14">
        <v>1570</v>
      </c>
      <c r="AI1184" s="19" t="e">
        <f>knicks_players_all_stats[[#This Row],[BLKPG]]+knicks_players_all_stats[[#This Row],[STLPG]]+knicks_players_all_stats[[#This Row],[REBPG]]</f>
        <v>#DIV/0!</v>
      </c>
    </row>
    <row r="1185" spans="1:41" s="14" customFormat="1" x14ac:dyDescent="0.3">
      <c r="A1185" s="13"/>
      <c r="B1185" s="13"/>
      <c r="C1185" s="13"/>
      <c r="D1185" s="13"/>
      <c r="E1185" s="14">
        <v>230</v>
      </c>
      <c r="O1185" s="15"/>
      <c r="R1185" s="16"/>
      <c r="V1185" s="14">
        <v>1200</v>
      </c>
      <c r="W1185" s="14">
        <v>1740</v>
      </c>
      <c r="X1185" s="14">
        <v>2940</v>
      </c>
      <c r="Y1185" s="24" t="e">
        <f>knicks_players_all_stats[[#This Row],[REB]]/knicks_players_all_stats[[#This Row],[GP]]</f>
        <v>#DIV/0!</v>
      </c>
      <c r="AC1185" s="14">
        <v>880</v>
      </c>
      <c r="AE1185" s="14">
        <v>180</v>
      </c>
      <c r="AH1185" s="14">
        <v>2140</v>
      </c>
      <c r="AI1185" s="19" t="e">
        <f>knicks_players_all_stats[[#This Row],[BLKPG]]+knicks_players_all_stats[[#This Row],[STLPG]]+knicks_players_all_stats[[#This Row],[REBPG]]</f>
        <v>#DIV/0!</v>
      </c>
    </row>
    <row r="1186" spans="1:41" s="14" customFormat="1" x14ac:dyDescent="0.3">
      <c r="A1186" s="13"/>
      <c r="B1186" s="13"/>
      <c r="C1186" s="13"/>
      <c r="D1186" s="13"/>
      <c r="E1186" s="14">
        <v>240</v>
      </c>
      <c r="O1186" s="15"/>
      <c r="R1186" s="16"/>
      <c r="V1186" s="14">
        <v>1060</v>
      </c>
      <c r="W1186" s="14">
        <v>1640</v>
      </c>
      <c r="X1186" s="14">
        <v>2700</v>
      </c>
      <c r="Y1186" s="24" t="e">
        <f>knicks_players_all_stats[[#This Row],[REB]]/knicks_players_all_stats[[#This Row],[GP]]</f>
        <v>#DIV/0!</v>
      </c>
      <c r="AC1186" s="14">
        <v>900</v>
      </c>
      <c r="AE1186" s="14">
        <v>220</v>
      </c>
      <c r="AH1186" s="14">
        <v>2120</v>
      </c>
      <c r="AI1186" s="19" t="e">
        <f>knicks_players_all_stats[[#This Row],[BLKPG]]+knicks_players_all_stats[[#This Row],[STLPG]]+knicks_players_all_stats[[#This Row],[REBPG]]</f>
        <v>#DIV/0!</v>
      </c>
    </row>
    <row r="1187" spans="1:41" s="14" customFormat="1" x14ac:dyDescent="0.3">
      <c r="A1187" s="13"/>
      <c r="B1187" s="13"/>
      <c r="C1187" s="13"/>
      <c r="D1187" s="13"/>
      <c r="E1187" s="14">
        <v>250</v>
      </c>
      <c r="O1187" s="15"/>
      <c r="R1187" s="16"/>
      <c r="V1187" s="14">
        <v>950</v>
      </c>
      <c r="W1187" s="14">
        <v>1490</v>
      </c>
      <c r="X1187" s="14">
        <v>2440</v>
      </c>
      <c r="Y1187" s="24" t="e">
        <f>knicks_players_all_stats[[#This Row],[REB]]/knicks_players_all_stats[[#This Row],[GP]]</f>
        <v>#DIV/0!</v>
      </c>
      <c r="AC1187" s="14">
        <v>1150</v>
      </c>
      <c r="AE1187" s="14">
        <v>220</v>
      </c>
      <c r="AH1187" s="14">
        <v>1690</v>
      </c>
      <c r="AI1187" s="19" t="e">
        <f>knicks_players_all_stats[[#This Row],[BLKPG]]+knicks_players_all_stats[[#This Row],[STLPG]]+knicks_players_all_stats[[#This Row],[REBPG]]</f>
        <v>#DIV/0!</v>
      </c>
    </row>
    <row r="1188" spans="1:41" s="14" customFormat="1" x14ac:dyDescent="0.3">
      <c r="A1188" s="13"/>
      <c r="B1188" s="13"/>
      <c r="C1188" s="13"/>
      <c r="D1188" s="13"/>
      <c r="E1188" s="14">
        <v>260</v>
      </c>
      <c r="O1188" s="15"/>
      <c r="R1188" s="16"/>
      <c r="V1188" s="14">
        <v>1330</v>
      </c>
      <c r="W1188" s="14">
        <v>2380</v>
      </c>
      <c r="X1188" s="14">
        <v>3710</v>
      </c>
      <c r="Y1188" s="24" t="e">
        <f>knicks_players_all_stats[[#This Row],[REB]]/knicks_players_all_stats[[#This Row],[GP]]</f>
        <v>#DIV/0!</v>
      </c>
      <c r="AC1188" s="14">
        <v>950</v>
      </c>
      <c r="AE1188" s="14">
        <v>210</v>
      </c>
      <c r="AH1188" s="14">
        <v>1940</v>
      </c>
      <c r="AI1188" s="19" t="e">
        <f>knicks_players_all_stats[[#This Row],[BLKPG]]+knicks_players_all_stats[[#This Row],[STLPG]]+knicks_players_all_stats[[#This Row],[REBPG]]</f>
        <v>#DIV/0!</v>
      </c>
    </row>
    <row r="1189" spans="1:41" s="17" customFormat="1" x14ac:dyDescent="0.3">
      <c r="A1189" s="13"/>
      <c r="B1189" s="13"/>
      <c r="C1189" s="13"/>
      <c r="D1189" s="13"/>
      <c r="E1189" s="14">
        <v>270</v>
      </c>
      <c r="F1189" s="14"/>
      <c r="G1189" s="14"/>
      <c r="H1189" s="14"/>
      <c r="I1189" s="14"/>
      <c r="J1189" s="14"/>
      <c r="K1189" s="14"/>
      <c r="L1189" s="14"/>
      <c r="M1189" s="14"/>
      <c r="N1189" s="14"/>
      <c r="O1189" s="15"/>
      <c r="P1189" s="14"/>
      <c r="Q1189" s="14"/>
      <c r="R1189" s="16"/>
      <c r="S1189" s="14"/>
      <c r="T1189" s="14"/>
      <c r="U1189" s="14"/>
      <c r="V1189" s="14">
        <v>780</v>
      </c>
      <c r="W1189" s="14">
        <v>1290</v>
      </c>
      <c r="X1189" s="14">
        <v>2070</v>
      </c>
      <c r="Y1189" s="24" t="e">
        <f>knicks_players_all_stats[[#This Row],[REB]]/knicks_players_all_stats[[#This Row],[GP]]</f>
        <v>#DIV/0!</v>
      </c>
      <c r="Z1189" s="14"/>
      <c r="AA1189" s="14"/>
      <c r="AB1189" s="14"/>
      <c r="AC1189" s="14">
        <v>820</v>
      </c>
      <c r="AD1189" s="14"/>
      <c r="AE1189" s="14">
        <v>230</v>
      </c>
      <c r="AF1189" s="14"/>
      <c r="AG1189" s="14"/>
      <c r="AH1189" s="14">
        <v>1610</v>
      </c>
      <c r="AI1189" s="19" t="e">
        <f>knicks_players_all_stats[[#This Row],[BLKPG]]+knicks_players_all_stats[[#This Row],[STLPG]]+knicks_players_all_stats[[#This Row],[REBPG]]</f>
        <v>#DIV/0!</v>
      </c>
      <c r="AJ1189" s="14"/>
      <c r="AK1189" s="14"/>
      <c r="AL1189" s="14"/>
      <c r="AM1189" s="14"/>
      <c r="AN1189" s="14"/>
      <c r="AO1189" s="14"/>
    </row>
    <row r="1190" spans="1:41" s="17" customFormat="1" x14ac:dyDescent="0.3">
      <c r="A1190" s="13"/>
      <c r="B1190" s="13"/>
      <c r="C1190" s="13"/>
      <c r="D1190" s="13"/>
      <c r="E1190" s="14">
        <v>280</v>
      </c>
      <c r="F1190" s="14"/>
      <c r="G1190" s="14"/>
      <c r="H1190" s="14"/>
      <c r="I1190" s="14"/>
      <c r="J1190" s="14"/>
      <c r="K1190" s="14"/>
      <c r="L1190" s="14"/>
      <c r="M1190" s="14"/>
      <c r="N1190" s="14"/>
      <c r="O1190" s="15"/>
      <c r="P1190" s="14"/>
      <c r="Q1190" s="14"/>
      <c r="R1190" s="16"/>
      <c r="S1190" s="14"/>
      <c r="T1190" s="14"/>
      <c r="U1190" s="14"/>
      <c r="V1190" s="14">
        <v>740</v>
      </c>
      <c r="W1190" s="14">
        <v>1320</v>
      </c>
      <c r="X1190" s="14">
        <v>2060</v>
      </c>
      <c r="Y1190" s="24" t="e">
        <f>knicks_players_all_stats[[#This Row],[REB]]/knicks_players_all_stats[[#This Row],[GP]]</f>
        <v>#DIV/0!</v>
      </c>
      <c r="Z1190" s="14"/>
      <c r="AA1190" s="14"/>
      <c r="AB1190" s="14"/>
      <c r="AC1190" s="14">
        <v>760</v>
      </c>
      <c r="AD1190" s="14"/>
      <c r="AE1190" s="14">
        <v>170</v>
      </c>
      <c r="AF1190" s="14"/>
      <c r="AG1190" s="14"/>
      <c r="AH1190" s="14">
        <v>1130</v>
      </c>
      <c r="AI1190" s="19" t="e">
        <f>knicks_players_all_stats[[#This Row],[BLKPG]]+knicks_players_all_stats[[#This Row],[STLPG]]+knicks_players_all_stats[[#This Row],[REBPG]]</f>
        <v>#DIV/0!</v>
      </c>
      <c r="AJ1190" s="14"/>
      <c r="AK1190" s="14"/>
      <c r="AL1190" s="14"/>
      <c r="AM1190" s="14"/>
      <c r="AN1190" s="14"/>
      <c r="AO1190" s="14"/>
    </row>
    <row r="1191" spans="1:41" s="14" customFormat="1" x14ac:dyDescent="0.3">
      <c r="A1191" s="13"/>
      <c r="B1191" s="13"/>
      <c r="C1191" s="13"/>
      <c r="D1191" s="13"/>
      <c r="E1191" s="14">
        <v>250</v>
      </c>
      <c r="O1191" s="15"/>
      <c r="R1191" s="16"/>
      <c r="X1191" s="14">
        <v>0</v>
      </c>
      <c r="Y1191" s="24" t="e">
        <f>knicks_players_all_stats[[#This Row],[REB]]/knicks_players_all_stats[[#This Row],[GP]]</f>
        <v>#DIV/0!</v>
      </c>
      <c r="AI1191" s="19" t="e">
        <f>knicks_players_all_stats[[#This Row],[BLKPG]]+knicks_players_all_stats[[#This Row],[STLPG]]+knicks_players_all_stats[[#This Row],[REBPG]]</f>
        <v>#DIV/0!</v>
      </c>
    </row>
    <row r="1192" spans="1:41" s="14" customFormat="1" x14ac:dyDescent="0.3">
      <c r="A1192" s="13"/>
      <c r="B1192" s="13"/>
      <c r="C1192" s="13"/>
      <c r="D1192" s="13"/>
      <c r="E1192" s="14">
        <v>230</v>
      </c>
      <c r="O1192" s="15"/>
      <c r="R1192" s="16"/>
      <c r="V1192" s="14">
        <v>420</v>
      </c>
      <c r="W1192" s="14">
        <v>560</v>
      </c>
      <c r="X1192" s="14">
        <v>980</v>
      </c>
      <c r="Y1192" s="24" t="e">
        <f>knicks_players_all_stats[[#This Row],[REB]]/knicks_players_all_stats[[#This Row],[GP]]</f>
        <v>#DIV/0!</v>
      </c>
      <c r="AC1192" s="14">
        <v>200</v>
      </c>
      <c r="AE1192" s="14">
        <v>40</v>
      </c>
      <c r="AH1192" s="14">
        <v>410</v>
      </c>
      <c r="AI1192" s="19" t="e">
        <f>knicks_players_all_stats[[#This Row],[BLKPG]]+knicks_players_all_stats[[#This Row],[STLPG]]+knicks_players_all_stats[[#This Row],[REBPG]]</f>
        <v>#DIV/0!</v>
      </c>
    </row>
    <row r="1193" spans="1:41" s="14" customFormat="1" x14ac:dyDescent="0.3">
      <c r="A1193" s="13"/>
      <c r="B1193" s="13"/>
      <c r="C1193" s="13"/>
      <c r="D1193" s="13"/>
      <c r="E1193" s="14">
        <v>240</v>
      </c>
      <c r="O1193" s="15"/>
      <c r="R1193" s="16"/>
      <c r="V1193" s="14">
        <v>90</v>
      </c>
      <c r="W1193" s="14">
        <v>80</v>
      </c>
      <c r="X1193" s="14">
        <v>170</v>
      </c>
      <c r="Y1193" s="24" t="e">
        <f>knicks_players_all_stats[[#This Row],[REB]]/knicks_players_all_stats[[#This Row],[GP]]</f>
        <v>#DIV/0!</v>
      </c>
      <c r="AC1193" s="14">
        <v>20</v>
      </c>
      <c r="AE1193" s="14">
        <v>0</v>
      </c>
      <c r="AH1193" s="14">
        <v>50</v>
      </c>
      <c r="AI1193" s="19" t="e">
        <f>knicks_players_all_stats[[#This Row],[BLKPG]]+knicks_players_all_stats[[#This Row],[STLPG]]+knicks_players_all_stats[[#This Row],[REBPG]]</f>
        <v>#DIV/0!</v>
      </c>
    </row>
    <row r="1194" spans="1:41" s="14" customFormat="1" x14ac:dyDescent="0.3">
      <c r="A1194" s="13"/>
      <c r="B1194" s="13"/>
      <c r="C1194" s="13"/>
      <c r="D1194" s="13"/>
      <c r="E1194" s="14">
        <v>230</v>
      </c>
      <c r="O1194" s="15"/>
      <c r="R1194" s="16"/>
      <c r="V1194" s="14">
        <v>850</v>
      </c>
      <c r="W1194" s="14">
        <v>1240</v>
      </c>
      <c r="X1194" s="14">
        <v>2090</v>
      </c>
      <c r="Y1194" s="24" t="e">
        <f>knicks_players_all_stats[[#This Row],[REB]]/knicks_players_all_stats[[#This Row],[GP]]</f>
        <v>#DIV/0!</v>
      </c>
      <c r="AC1194" s="14">
        <v>1080</v>
      </c>
      <c r="AE1194" s="14">
        <v>150</v>
      </c>
      <c r="AH1194" s="14">
        <v>2420</v>
      </c>
      <c r="AI1194" s="19" t="e">
        <f>knicks_players_all_stats[[#This Row],[BLKPG]]+knicks_players_all_stats[[#This Row],[STLPG]]+knicks_players_all_stats[[#This Row],[REBPG]]</f>
        <v>#DIV/0!</v>
      </c>
    </row>
    <row r="1195" spans="1:41" s="17" customFormat="1" x14ac:dyDescent="0.3">
      <c r="A1195" s="13"/>
      <c r="B1195" s="13"/>
      <c r="C1195" s="13"/>
      <c r="D1195" s="13"/>
      <c r="E1195" s="14">
        <v>240</v>
      </c>
      <c r="F1195" s="14"/>
      <c r="G1195" s="14"/>
      <c r="H1195" s="14"/>
      <c r="I1195" s="14"/>
      <c r="J1195" s="14"/>
      <c r="K1195" s="14"/>
      <c r="L1195" s="14"/>
      <c r="M1195" s="14"/>
      <c r="N1195" s="14"/>
      <c r="O1195" s="15"/>
      <c r="P1195" s="14"/>
      <c r="Q1195" s="14"/>
      <c r="R1195" s="16"/>
      <c r="S1195" s="14"/>
      <c r="T1195" s="14"/>
      <c r="U1195" s="14"/>
      <c r="V1195" s="14">
        <v>1040</v>
      </c>
      <c r="W1195" s="14">
        <v>1870</v>
      </c>
      <c r="X1195" s="14">
        <v>2910</v>
      </c>
      <c r="Y1195" s="24" t="e">
        <f>knicks_players_all_stats[[#This Row],[REB]]/knicks_players_all_stats[[#This Row],[GP]]</f>
        <v>#DIV/0!</v>
      </c>
      <c r="Z1195" s="14"/>
      <c r="AA1195" s="14"/>
      <c r="AB1195" s="14"/>
      <c r="AC1195" s="14">
        <v>1280</v>
      </c>
      <c r="AD1195" s="14"/>
      <c r="AE1195" s="14">
        <v>190</v>
      </c>
      <c r="AF1195" s="14"/>
      <c r="AG1195" s="14"/>
      <c r="AH1195" s="14">
        <v>2850</v>
      </c>
      <c r="AI1195" s="19" t="e">
        <f>knicks_players_all_stats[[#This Row],[BLKPG]]+knicks_players_all_stats[[#This Row],[STLPG]]+knicks_players_all_stats[[#This Row],[REBPG]]</f>
        <v>#DIV/0!</v>
      </c>
      <c r="AJ1195" s="14"/>
      <c r="AK1195" s="14"/>
      <c r="AL1195" s="14"/>
      <c r="AM1195" s="14"/>
      <c r="AN1195" s="14"/>
      <c r="AO1195" s="14"/>
    </row>
    <row r="1196" spans="1:41" s="14" customFormat="1" x14ac:dyDescent="0.3">
      <c r="A1196" s="13"/>
      <c r="B1196" s="13"/>
      <c r="C1196" s="13"/>
      <c r="D1196" s="13"/>
      <c r="E1196" s="14">
        <v>250</v>
      </c>
      <c r="O1196" s="15"/>
      <c r="R1196" s="16"/>
      <c r="V1196" s="14">
        <v>1490</v>
      </c>
      <c r="W1196" s="14">
        <v>2630</v>
      </c>
      <c r="X1196" s="14">
        <v>4120</v>
      </c>
      <c r="Y1196" s="24" t="e">
        <f>knicks_players_all_stats[[#This Row],[REB]]/knicks_players_all_stats[[#This Row],[GP]]</f>
        <v>#DIV/0!</v>
      </c>
      <c r="AC1196" s="14">
        <v>1670</v>
      </c>
      <c r="AE1196" s="14">
        <v>240</v>
      </c>
      <c r="AH1196" s="14">
        <v>2560</v>
      </c>
      <c r="AI1196" s="19" t="e">
        <f>knicks_players_all_stats[[#This Row],[BLKPG]]+knicks_players_all_stats[[#This Row],[STLPG]]+knicks_players_all_stats[[#This Row],[REBPG]]</f>
        <v>#DIV/0!</v>
      </c>
    </row>
    <row r="1197" spans="1:41" s="17" customFormat="1" x14ac:dyDescent="0.3">
      <c r="A1197" s="13"/>
      <c r="B1197" s="13"/>
      <c r="C1197" s="13"/>
      <c r="D1197" s="13"/>
      <c r="E1197" s="14">
        <v>260</v>
      </c>
      <c r="F1197" s="14"/>
      <c r="G1197" s="14"/>
      <c r="H1197" s="14"/>
      <c r="I1197" s="14"/>
      <c r="J1197" s="14"/>
      <c r="K1197" s="14"/>
      <c r="L1197" s="14"/>
      <c r="M1197" s="14"/>
      <c r="N1197" s="14"/>
      <c r="O1197" s="15"/>
      <c r="P1197" s="14"/>
      <c r="Q1197" s="14"/>
      <c r="R1197" s="16"/>
      <c r="S1197" s="14"/>
      <c r="T1197" s="14"/>
      <c r="U1197" s="14"/>
      <c r="V1197" s="14">
        <v>1220</v>
      </c>
      <c r="W1197" s="14">
        <v>1990</v>
      </c>
      <c r="X1197" s="14">
        <v>3210</v>
      </c>
      <c r="Y1197" s="24" t="e">
        <f>knicks_players_all_stats[[#This Row],[REB]]/knicks_players_all_stats[[#This Row],[GP]]</f>
        <v>#DIV/0!</v>
      </c>
      <c r="Z1197" s="14"/>
      <c r="AA1197" s="14"/>
      <c r="AB1197" s="14"/>
      <c r="AC1197" s="14">
        <v>1850</v>
      </c>
      <c r="AD1197" s="14"/>
      <c r="AE1197" s="14">
        <v>370</v>
      </c>
      <c r="AF1197" s="14"/>
      <c r="AG1197" s="14"/>
      <c r="AH1197" s="14">
        <v>2350</v>
      </c>
      <c r="AI1197" s="19" t="e">
        <f>knicks_players_all_stats[[#This Row],[BLKPG]]+knicks_players_all_stats[[#This Row],[STLPG]]+knicks_players_all_stats[[#This Row],[REBPG]]</f>
        <v>#DIV/0!</v>
      </c>
      <c r="AJ1197" s="14"/>
      <c r="AK1197" s="14"/>
      <c r="AL1197" s="14"/>
      <c r="AM1197" s="14"/>
      <c r="AN1197" s="14"/>
      <c r="AO1197" s="14"/>
    </row>
    <row r="1198" spans="1:41" s="14" customFormat="1" x14ac:dyDescent="0.3">
      <c r="A1198" s="13"/>
      <c r="B1198" s="13"/>
      <c r="C1198" s="13"/>
      <c r="D1198" s="13"/>
      <c r="E1198" s="14">
        <v>290</v>
      </c>
      <c r="O1198" s="15"/>
      <c r="R1198" s="16"/>
      <c r="V1198" s="14">
        <v>670</v>
      </c>
      <c r="W1198" s="14">
        <v>2000</v>
      </c>
      <c r="X1198" s="14">
        <v>2670</v>
      </c>
      <c r="Y1198" s="24" t="e">
        <f>knicks_players_all_stats[[#This Row],[REB]]/knicks_players_all_stats[[#This Row],[GP]]</f>
        <v>#DIV/0!</v>
      </c>
      <c r="AC1198" s="14">
        <v>1620</v>
      </c>
      <c r="AE1198" s="14">
        <v>260</v>
      </c>
      <c r="AH1198" s="14">
        <v>2190</v>
      </c>
      <c r="AI1198" s="19" t="e">
        <f>knicks_players_all_stats[[#This Row],[BLKPG]]+knicks_players_all_stats[[#This Row],[STLPG]]+knicks_players_all_stats[[#This Row],[REBPG]]</f>
        <v>#DIV/0!</v>
      </c>
    </row>
    <row r="1199" spans="1:41" s="14" customFormat="1" x14ac:dyDescent="0.3">
      <c r="A1199" s="13"/>
      <c r="B1199" s="13"/>
      <c r="C1199" s="13"/>
      <c r="D1199" s="13"/>
      <c r="E1199" s="14">
        <v>220</v>
      </c>
      <c r="O1199" s="15"/>
      <c r="R1199" s="16"/>
      <c r="V1199" s="14">
        <v>650</v>
      </c>
      <c r="W1199" s="14">
        <v>560</v>
      </c>
      <c r="X1199" s="14">
        <v>1210</v>
      </c>
      <c r="Y1199" s="24" t="e">
        <f>knicks_players_all_stats[[#This Row],[REB]]/knicks_players_all_stats[[#This Row],[GP]]</f>
        <v>#DIV/0!</v>
      </c>
      <c r="AC1199" s="14">
        <v>190</v>
      </c>
      <c r="AE1199" s="14">
        <v>80</v>
      </c>
      <c r="AH1199" s="14">
        <v>490</v>
      </c>
      <c r="AI1199" s="19" t="e">
        <f>knicks_players_all_stats[[#This Row],[BLKPG]]+knicks_players_all_stats[[#This Row],[STLPG]]+knicks_players_all_stats[[#This Row],[REBPG]]</f>
        <v>#DIV/0!</v>
      </c>
    </row>
    <row r="1200" spans="1:41" s="14" customFormat="1" x14ac:dyDescent="0.3">
      <c r="A1200" s="13"/>
      <c r="B1200" s="13"/>
      <c r="C1200" s="13"/>
      <c r="D1200" s="13"/>
      <c r="E1200" s="14">
        <v>230</v>
      </c>
      <c r="O1200" s="15"/>
      <c r="R1200" s="16"/>
      <c r="V1200" s="14">
        <v>1590</v>
      </c>
      <c r="W1200" s="14">
        <v>2570</v>
      </c>
      <c r="X1200" s="14">
        <v>4160</v>
      </c>
      <c r="Y1200" s="24" t="e">
        <f>knicks_players_all_stats[[#This Row],[REB]]/knicks_players_all_stats[[#This Row],[GP]]</f>
        <v>#DIV/0!</v>
      </c>
      <c r="AC1200" s="14">
        <v>1160</v>
      </c>
      <c r="AE1200" s="14">
        <v>180</v>
      </c>
      <c r="AH1200" s="14">
        <v>1410</v>
      </c>
      <c r="AI1200" s="19" t="e">
        <f>knicks_players_all_stats[[#This Row],[BLKPG]]+knicks_players_all_stats[[#This Row],[STLPG]]+knicks_players_all_stats[[#This Row],[REBPG]]</f>
        <v>#DIV/0!</v>
      </c>
    </row>
    <row r="1201" spans="1:41" s="14" customFormat="1" x14ac:dyDescent="0.3">
      <c r="A1201" s="13"/>
      <c r="B1201" s="13"/>
      <c r="C1201" s="13"/>
      <c r="D1201" s="13"/>
      <c r="E1201" s="14">
        <v>240</v>
      </c>
      <c r="O1201" s="15"/>
      <c r="R1201" s="16"/>
      <c r="V1201" s="14">
        <v>1000</v>
      </c>
      <c r="W1201" s="14">
        <v>1270</v>
      </c>
      <c r="X1201" s="14">
        <v>2270</v>
      </c>
      <c r="Y1201" s="24" t="e">
        <f>knicks_players_all_stats[[#This Row],[REB]]/knicks_players_all_stats[[#This Row],[GP]]</f>
        <v>#DIV/0!</v>
      </c>
      <c r="AC1201" s="14">
        <v>770</v>
      </c>
      <c r="AE1201" s="14">
        <v>160</v>
      </c>
      <c r="AH1201" s="14">
        <v>1140</v>
      </c>
      <c r="AI1201" s="19" t="e">
        <f>knicks_players_all_stats[[#This Row],[BLKPG]]+knicks_players_all_stats[[#This Row],[STLPG]]+knicks_players_all_stats[[#This Row],[REBPG]]</f>
        <v>#DIV/0!</v>
      </c>
    </row>
    <row r="1202" spans="1:41" s="14" customFormat="1" x14ac:dyDescent="0.3">
      <c r="A1202" s="13"/>
      <c r="B1202" s="13"/>
      <c r="C1202" s="13"/>
      <c r="D1202" s="13"/>
      <c r="E1202" s="14">
        <v>250</v>
      </c>
      <c r="O1202" s="15"/>
      <c r="R1202" s="16"/>
      <c r="V1202" s="14">
        <v>940</v>
      </c>
      <c r="W1202" s="14">
        <v>1960</v>
      </c>
      <c r="X1202" s="14">
        <v>2900</v>
      </c>
      <c r="Y1202" s="24" t="e">
        <f>knicks_players_all_stats[[#This Row],[REB]]/knicks_players_all_stats[[#This Row],[GP]]</f>
        <v>#DIV/0!</v>
      </c>
      <c r="AC1202" s="14">
        <v>730</v>
      </c>
      <c r="AE1202" s="14">
        <v>30</v>
      </c>
      <c r="AH1202" s="14">
        <v>1330</v>
      </c>
      <c r="AI1202" s="19" t="e">
        <f>knicks_players_all_stats[[#This Row],[BLKPG]]+knicks_players_all_stats[[#This Row],[STLPG]]+knicks_players_all_stats[[#This Row],[REBPG]]</f>
        <v>#DIV/0!</v>
      </c>
    </row>
    <row r="1203" spans="1:41" s="14" customFormat="1" x14ac:dyDescent="0.3">
      <c r="A1203" s="13"/>
      <c r="B1203" s="13"/>
      <c r="C1203" s="13"/>
      <c r="D1203" s="13"/>
      <c r="E1203" s="14">
        <v>250</v>
      </c>
      <c r="O1203" s="15"/>
      <c r="R1203" s="16"/>
      <c r="V1203" s="14">
        <v>60</v>
      </c>
      <c r="W1203" s="14">
        <v>90</v>
      </c>
      <c r="X1203" s="14">
        <v>150</v>
      </c>
      <c r="Y1203" s="24" t="e">
        <f>knicks_players_all_stats[[#This Row],[REB]]/knicks_players_all_stats[[#This Row],[GP]]</f>
        <v>#DIV/0!</v>
      </c>
      <c r="AC1203" s="14">
        <v>20</v>
      </c>
      <c r="AE1203" s="14">
        <v>20</v>
      </c>
      <c r="AH1203" s="14">
        <v>20</v>
      </c>
      <c r="AI1203" s="19" t="e">
        <f>knicks_players_all_stats[[#This Row],[BLKPG]]+knicks_players_all_stats[[#This Row],[STLPG]]+knicks_players_all_stats[[#This Row],[REBPG]]</f>
        <v>#DIV/0!</v>
      </c>
    </row>
    <row r="1204" spans="1:41" s="17" customFormat="1" x14ac:dyDescent="0.3">
      <c r="A1204" s="13"/>
      <c r="B1204" s="13"/>
      <c r="C1204" s="13"/>
      <c r="D1204" s="13"/>
      <c r="E1204" s="14">
        <v>350</v>
      </c>
      <c r="F1204" s="14"/>
      <c r="G1204" s="14"/>
      <c r="H1204" s="14"/>
      <c r="I1204" s="14"/>
      <c r="J1204" s="14"/>
      <c r="K1204" s="14"/>
      <c r="L1204" s="14"/>
      <c r="M1204" s="14"/>
      <c r="N1204" s="14"/>
      <c r="O1204" s="15"/>
      <c r="P1204" s="14"/>
      <c r="Q1204" s="14"/>
      <c r="R1204" s="16"/>
      <c r="S1204" s="14"/>
      <c r="T1204" s="14"/>
      <c r="U1204" s="14"/>
      <c r="V1204" s="14">
        <v>30</v>
      </c>
      <c r="W1204" s="14">
        <v>50</v>
      </c>
      <c r="X1204" s="14">
        <v>80</v>
      </c>
      <c r="Y1204" s="24" t="e">
        <f>knicks_players_all_stats[[#This Row],[REB]]/knicks_players_all_stats[[#This Row],[GP]]</f>
        <v>#DIV/0!</v>
      </c>
      <c r="Z1204" s="14"/>
      <c r="AA1204" s="14"/>
      <c r="AB1204" s="14"/>
      <c r="AC1204" s="14">
        <v>40</v>
      </c>
      <c r="AD1204" s="14"/>
      <c r="AE1204" s="14">
        <v>0</v>
      </c>
      <c r="AF1204" s="14"/>
      <c r="AG1204" s="14"/>
      <c r="AH1204" s="14">
        <v>60</v>
      </c>
      <c r="AI1204" s="19" t="e">
        <f>knicks_players_all_stats[[#This Row],[BLKPG]]+knicks_players_all_stats[[#This Row],[STLPG]]+knicks_players_all_stats[[#This Row],[REBPG]]</f>
        <v>#DIV/0!</v>
      </c>
      <c r="AJ1204" s="14"/>
      <c r="AK1204" s="14"/>
      <c r="AL1204" s="14"/>
      <c r="AM1204" s="14"/>
      <c r="AN1204" s="14"/>
      <c r="AO1204" s="14"/>
    </row>
    <row r="1205" spans="1:41" s="14" customFormat="1" x14ac:dyDescent="0.3">
      <c r="A1205" s="13"/>
      <c r="B1205" s="13"/>
      <c r="C1205" s="13"/>
      <c r="D1205" s="13"/>
      <c r="E1205" s="14">
        <v>360</v>
      </c>
      <c r="O1205" s="15"/>
      <c r="R1205" s="16"/>
      <c r="V1205" s="14">
        <v>10</v>
      </c>
      <c r="W1205" s="14">
        <v>10</v>
      </c>
      <c r="X1205" s="14">
        <v>20</v>
      </c>
      <c r="Y1205" s="24" t="e">
        <f>knicks_players_all_stats[[#This Row],[REB]]/knicks_players_all_stats[[#This Row],[GP]]</f>
        <v>#DIV/0!</v>
      </c>
      <c r="AC1205" s="14">
        <v>10</v>
      </c>
      <c r="AE1205" s="14">
        <v>20</v>
      </c>
      <c r="AH1205" s="14">
        <v>20</v>
      </c>
      <c r="AI1205" s="19" t="e">
        <f>knicks_players_all_stats[[#This Row],[BLKPG]]+knicks_players_all_stats[[#This Row],[STLPG]]+knicks_players_all_stats[[#This Row],[REBPG]]</f>
        <v>#DIV/0!</v>
      </c>
    </row>
    <row r="1206" spans="1:41" s="17" customFormat="1" x14ac:dyDescent="0.3">
      <c r="A1206" s="13"/>
      <c r="B1206" s="13"/>
      <c r="C1206" s="13"/>
      <c r="D1206" s="13"/>
      <c r="E1206" s="14">
        <v>250</v>
      </c>
      <c r="F1206" s="14"/>
      <c r="G1206" s="14"/>
      <c r="H1206" s="14"/>
      <c r="I1206" s="14"/>
      <c r="J1206" s="14"/>
      <c r="K1206" s="14"/>
      <c r="L1206" s="14"/>
      <c r="M1206" s="14"/>
      <c r="N1206" s="14"/>
      <c r="O1206" s="15"/>
      <c r="P1206" s="14"/>
      <c r="Q1206" s="14"/>
      <c r="R1206" s="16"/>
      <c r="S1206" s="14"/>
      <c r="T1206" s="14"/>
      <c r="U1206" s="14"/>
      <c r="V1206" s="14"/>
      <c r="W1206" s="14"/>
      <c r="X1206" s="14">
        <v>160</v>
      </c>
      <c r="Y1206" s="24" t="e">
        <f>knicks_players_all_stats[[#This Row],[REB]]/knicks_players_all_stats[[#This Row],[GP]]</f>
        <v>#DIV/0!</v>
      </c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9" t="e">
        <f>knicks_players_all_stats[[#This Row],[BLKPG]]+knicks_players_all_stats[[#This Row],[STLPG]]+knicks_players_all_stats[[#This Row],[REBPG]]</f>
        <v>#DIV/0!</v>
      </c>
      <c r="AJ1206" s="14"/>
      <c r="AK1206" s="14"/>
      <c r="AL1206" s="14"/>
      <c r="AM1206" s="14"/>
      <c r="AN1206" s="14"/>
      <c r="AO1206" s="14"/>
    </row>
    <row r="1207" spans="1:41" s="14" customFormat="1" x14ac:dyDescent="0.3">
      <c r="A1207" s="13"/>
      <c r="B1207" s="13"/>
      <c r="C1207" s="13"/>
      <c r="D1207" s="13"/>
      <c r="E1207" s="14">
        <v>260</v>
      </c>
      <c r="O1207" s="15"/>
      <c r="R1207" s="16"/>
      <c r="V1207" s="14">
        <v>720</v>
      </c>
      <c r="W1207" s="14">
        <v>940</v>
      </c>
      <c r="X1207" s="14">
        <v>1660</v>
      </c>
      <c r="Y1207" s="24" t="e">
        <f>knicks_players_all_stats[[#This Row],[REB]]/knicks_players_all_stats[[#This Row],[GP]]</f>
        <v>#DIV/0!</v>
      </c>
      <c r="AC1207" s="14">
        <v>70</v>
      </c>
      <c r="AE1207" s="14">
        <v>140</v>
      </c>
      <c r="AI1207" s="19" t="e">
        <f>knicks_players_all_stats[[#This Row],[BLKPG]]+knicks_players_all_stats[[#This Row],[STLPG]]+knicks_players_all_stats[[#This Row],[REBPG]]</f>
        <v>#DIV/0!</v>
      </c>
    </row>
    <row r="1208" spans="1:41" s="14" customFormat="1" x14ac:dyDescent="0.3">
      <c r="A1208" s="13"/>
      <c r="B1208" s="13"/>
      <c r="C1208" s="13"/>
      <c r="D1208" s="13"/>
      <c r="E1208" s="14">
        <v>270</v>
      </c>
      <c r="O1208" s="15"/>
      <c r="R1208" s="16"/>
      <c r="V1208" s="14">
        <v>1630</v>
      </c>
      <c r="W1208" s="14">
        <v>2930</v>
      </c>
      <c r="X1208" s="14">
        <v>4560</v>
      </c>
      <c r="Y1208" s="24" t="e">
        <f>knicks_players_all_stats[[#This Row],[REB]]/knicks_players_all_stats[[#This Row],[GP]]</f>
        <v>#DIV/0!</v>
      </c>
      <c r="AC1208" s="14">
        <v>480</v>
      </c>
      <c r="AE1208" s="14">
        <v>350</v>
      </c>
      <c r="AI1208" s="19" t="e">
        <f>knicks_players_all_stats[[#This Row],[BLKPG]]+knicks_players_all_stats[[#This Row],[STLPG]]+knicks_players_all_stats[[#This Row],[REBPG]]</f>
        <v>#DIV/0!</v>
      </c>
    </row>
    <row r="1209" spans="1:41" s="14" customFormat="1" x14ac:dyDescent="0.3">
      <c r="A1209" s="13"/>
      <c r="B1209" s="13"/>
      <c r="C1209" s="13"/>
      <c r="D1209" s="13"/>
      <c r="E1209" s="14">
        <v>280</v>
      </c>
      <c r="O1209" s="15"/>
      <c r="R1209" s="16"/>
      <c r="V1209" s="14">
        <v>460</v>
      </c>
      <c r="W1209" s="14">
        <v>610</v>
      </c>
      <c r="X1209" s="14">
        <v>1070</v>
      </c>
      <c r="Y1209" s="24" t="e">
        <f>knicks_players_all_stats[[#This Row],[REB]]/knicks_players_all_stats[[#This Row],[GP]]</f>
        <v>#DIV/0!</v>
      </c>
      <c r="AC1209" s="14">
        <v>190</v>
      </c>
      <c r="AE1209" s="14">
        <v>80</v>
      </c>
      <c r="AI1209" s="19" t="e">
        <f>knicks_players_all_stats[[#This Row],[BLKPG]]+knicks_players_all_stats[[#This Row],[STLPG]]+knicks_players_all_stats[[#This Row],[REBPG]]</f>
        <v>#DIV/0!</v>
      </c>
    </row>
    <row r="1210" spans="1:41" s="14" customFormat="1" x14ac:dyDescent="0.3">
      <c r="A1210" s="13"/>
      <c r="B1210" s="13"/>
      <c r="C1210" s="13"/>
      <c r="D1210" s="13"/>
      <c r="E1210" s="14">
        <v>230</v>
      </c>
      <c r="O1210" s="15"/>
      <c r="R1210" s="16"/>
      <c r="V1210" s="14">
        <v>330</v>
      </c>
      <c r="W1210" s="14">
        <v>640</v>
      </c>
      <c r="X1210" s="14">
        <v>970</v>
      </c>
      <c r="Y1210" s="24" t="e">
        <f>knicks_players_all_stats[[#This Row],[REB]]/knicks_players_all_stats[[#This Row],[GP]]</f>
        <v>#DIV/0!</v>
      </c>
      <c r="AC1210" s="14">
        <v>360</v>
      </c>
      <c r="AE1210" s="14">
        <v>120</v>
      </c>
      <c r="AH1210" s="14">
        <v>540</v>
      </c>
      <c r="AI1210" s="19" t="e">
        <f>knicks_players_all_stats[[#This Row],[BLKPG]]+knicks_players_all_stats[[#This Row],[STLPG]]+knicks_players_all_stats[[#This Row],[REBPG]]</f>
        <v>#DIV/0!</v>
      </c>
    </row>
    <row r="1211" spans="1:41" s="17" customFormat="1" x14ac:dyDescent="0.3">
      <c r="A1211" s="13"/>
      <c r="B1211" s="13"/>
      <c r="C1211" s="13"/>
      <c r="D1211" s="13"/>
      <c r="E1211" s="14">
        <v>250</v>
      </c>
      <c r="F1211" s="14"/>
      <c r="G1211" s="14"/>
      <c r="H1211" s="14"/>
      <c r="I1211" s="14"/>
      <c r="J1211" s="14"/>
      <c r="K1211" s="14"/>
      <c r="L1211" s="14"/>
      <c r="M1211" s="14"/>
      <c r="N1211" s="14"/>
      <c r="O1211" s="15"/>
      <c r="P1211" s="14"/>
      <c r="Q1211" s="14"/>
      <c r="R1211" s="16"/>
      <c r="S1211" s="14"/>
      <c r="T1211" s="14"/>
      <c r="U1211" s="14"/>
      <c r="V1211" s="14">
        <v>250</v>
      </c>
      <c r="W1211" s="14">
        <v>280</v>
      </c>
      <c r="X1211" s="14">
        <v>530</v>
      </c>
      <c r="Y1211" s="24" t="e">
        <f>knicks_players_all_stats[[#This Row],[REB]]/knicks_players_all_stats[[#This Row],[GP]]</f>
        <v>#DIV/0!</v>
      </c>
      <c r="Z1211" s="14"/>
      <c r="AA1211" s="14"/>
      <c r="AB1211" s="14"/>
      <c r="AC1211" s="14">
        <v>30</v>
      </c>
      <c r="AD1211" s="14"/>
      <c r="AE1211" s="14">
        <v>60</v>
      </c>
      <c r="AF1211" s="14"/>
      <c r="AG1211" s="14"/>
      <c r="AH1211" s="14">
        <v>130</v>
      </c>
      <c r="AI1211" s="19" t="e">
        <f>knicks_players_all_stats[[#This Row],[BLKPG]]+knicks_players_all_stats[[#This Row],[STLPG]]+knicks_players_all_stats[[#This Row],[REBPG]]</f>
        <v>#DIV/0!</v>
      </c>
      <c r="AJ1211" s="14"/>
      <c r="AK1211" s="14"/>
      <c r="AL1211" s="14"/>
      <c r="AM1211" s="14"/>
      <c r="AN1211" s="14"/>
      <c r="AO1211" s="14"/>
    </row>
    <row r="1212" spans="1:41" s="17" customFormat="1" x14ac:dyDescent="0.3">
      <c r="A1212" s="13"/>
      <c r="B1212" s="13"/>
      <c r="C1212" s="13"/>
      <c r="D1212" s="13"/>
      <c r="E1212" s="14">
        <v>250</v>
      </c>
      <c r="F1212" s="14"/>
      <c r="G1212" s="14"/>
      <c r="H1212" s="14"/>
      <c r="I1212" s="14"/>
      <c r="J1212" s="14"/>
      <c r="K1212" s="14"/>
      <c r="L1212" s="14"/>
      <c r="M1212" s="14"/>
      <c r="N1212" s="14"/>
      <c r="O1212" s="15"/>
      <c r="P1212" s="14"/>
      <c r="Q1212" s="14"/>
      <c r="R1212" s="16"/>
      <c r="S1212" s="14"/>
      <c r="T1212" s="14"/>
      <c r="U1212" s="14"/>
      <c r="V1212" s="14"/>
      <c r="W1212" s="14"/>
      <c r="X1212" s="14">
        <v>2280</v>
      </c>
      <c r="Y1212" s="24" t="e">
        <f>knicks_players_all_stats[[#This Row],[REB]]/knicks_players_all_stats[[#This Row],[GP]]</f>
        <v>#DIV/0!</v>
      </c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9" t="e">
        <f>knicks_players_all_stats[[#This Row],[BLKPG]]+knicks_players_all_stats[[#This Row],[STLPG]]+knicks_players_all_stats[[#This Row],[REBPG]]</f>
        <v>#DIV/0!</v>
      </c>
      <c r="AJ1212" s="14"/>
      <c r="AK1212" s="14"/>
      <c r="AL1212" s="14"/>
      <c r="AM1212" s="14"/>
      <c r="AN1212" s="14"/>
      <c r="AO1212" s="14"/>
    </row>
    <row r="1213" spans="1:41" s="17" customFormat="1" x14ac:dyDescent="0.3">
      <c r="A1213" s="13"/>
      <c r="B1213" s="13"/>
      <c r="C1213" s="13"/>
      <c r="D1213" s="13"/>
      <c r="E1213" s="14">
        <v>260</v>
      </c>
      <c r="F1213" s="14"/>
      <c r="G1213" s="14"/>
      <c r="H1213" s="14"/>
      <c r="I1213" s="14"/>
      <c r="J1213" s="14"/>
      <c r="K1213" s="14"/>
      <c r="L1213" s="14"/>
      <c r="M1213" s="14"/>
      <c r="N1213" s="14"/>
      <c r="O1213" s="15"/>
      <c r="P1213" s="14"/>
      <c r="Q1213" s="14"/>
      <c r="R1213" s="16"/>
      <c r="S1213" s="14"/>
      <c r="T1213" s="14"/>
      <c r="U1213" s="14"/>
      <c r="V1213" s="14"/>
      <c r="W1213" s="14"/>
      <c r="X1213" s="14">
        <v>1940</v>
      </c>
      <c r="Y1213" s="24" t="e">
        <f>knicks_players_all_stats[[#This Row],[REB]]/knicks_players_all_stats[[#This Row],[GP]]</f>
        <v>#DIV/0!</v>
      </c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9" t="e">
        <f>knicks_players_all_stats[[#This Row],[BLKPG]]+knicks_players_all_stats[[#This Row],[STLPG]]+knicks_players_all_stats[[#This Row],[REBPG]]</f>
        <v>#DIV/0!</v>
      </c>
      <c r="AJ1213" s="14"/>
      <c r="AK1213" s="14"/>
      <c r="AL1213" s="14"/>
      <c r="AM1213" s="14"/>
      <c r="AN1213" s="14"/>
      <c r="AO1213" s="14"/>
    </row>
    <row r="1214" spans="1:41" s="14" customFormat="1" x14ac:dyDescent="0.3">
      <c r="A1214" s="13"/>
      <c r="B1214" s="13"/>
      <c r="C1214" s="13"/>
      <c r="D1214" s="13"/>
      <c r="E1214" s="14">
        <v>270</v>
      </c>
      <c r="O1214" s="15"/>
      <c r="R1214" s="16"/>
      <c r="X1214" s="14">
        <v>750</v>
      </c>
      <c r="Y1214" s="24" t="e">
        <f>knicks_players_all_stats[[#This Row],[REB]]/knicks_players_all_stats[[#This Row],[GP]]</f>
        <v>#DIV/0!</v>
      </c>
      <c r="AI1214" s="19" t="e">
        <f>knicks_players_all_stats[[#This Row],[BLKPG]]+knicks_players_all_stats[[#This Row],[STLPG]]+knicks_players_all_stats[[#This Row],[REBPG]]</f>
        <v>#DIV/0!</v>
      </c>
    </row>
    <row r="1215" spans="1:41" s="14" customFormat="1" x14ac:dyDescent="0.3">
      <c r="A1215" s="13"/>
      <c r="B1215" s="13"/>
      <c r="C1215" s="13"/>
      <c r="D1215" s="13"/>
      <c r="E1215" s="14">
        <v>230</v>
      </c>
      <c r="O1215" s="15"/>
      <c r="R1215" s="16"/>
      <c r="V1215" s="14">
        <v>740</v>
      </c>
      <c r="W1215" s="14">
        <v>930</v>
      </c>
      <c r="X1215" s="14">
        <v>1670</v>
      </c>
      <c r="Y1215" s="24" t="e">
        <f>knicks_players_all_stats[[#This Row],[REB]]/knicks_players_all_stats[[#This Row],[GP]]</f>
        <v>#DIV/0!</v>
      </c>
      <c r="AC1215" s="14">
        <v>1270</v>
      </c>
      <c r="AE1215" s="14">
        <v>150</v>
      </c>
      <c r="AH1215" s="14">
        <v>1940</v>
      </c>
      <c r="AI1215" s="19" t="e">
        <f>knicks_players_all_stats[[#This Row],[BLKPG]]+knicks_players_all_stats[[#This Row],[STLPG]]+knicks_players_all_stats[[#This Row],[REBPG]]</f>
        <v>#DIV/0!</v>
      </c>
    </row>
    <row r="1216" spans="1:41" s="14" customFormat="1" x14ac:dyDescent="0.3">
      <c r="A1216" s="13"/>
      <c r="B1216" s="13"/>
      <c r="C1216" s="13"/>
      <c r="D1216" s="13"/>
      <c r="E1216" s="14">
        <v>240</v>
      </c>
      <c r="O1216" s="15"/>
      <c r="R1216" s="16"/>
      <c r="V1216" s="14">
        <v>1280</v>
      </c>
      <c r="W1216" s="14">
        <v>1500</v>
      </c>
      <c r="X1216" s="14">
        <v>2780</v>
      </c>
      <c r="Y1216" s="24" t="e">
        <f>knicks_players_all_stats[[#This Row],[REB]]/knicks_players_all_stats[[#This Row],[GP]]</f>
        <v>#DIV/0!</v>
      </c>
      <c r="AC1216" s="14">
        <v>1670</v>
      </c>
      <c r="AE1216" s="14">
        <v>210</v>
      </c>
      <c r="AH1216" s="14">
        <v>2040</v>
      </c>
      <c r="AI1216" s="19" t="e">
        <f>knicks_players_all_stats[[#This Row],[BLKPG]]+knicks_players_all_stats[[#This Row],[STLPG]]+knicks_players_all_stats[[#This Row],[REBPG]]</f>
        <v>#DIV/0!</v>
      </c>
    </row>
    <row r="1217" spans="1:41" s="17" customFormat="1" x14ac:dyDescent="0.3">
      <c r="A1217" s="13"/>
      <c r="B1217" s="13"/>
      <c r="C1217" s="13"/>
      <c r="D1217" s="13"/>
      <c r="E1217" s="14">
        <v>250</v>
      </c>
      <c r="F1217" s="14"/>
      <c r="G1217" s="14"/>
      <c r="H1217" s="14"/>
      <c r="I1217" s="14"/>
      <c r="J1217" s="14"/>
      <c r="K1217" s="14"/>
      <c r="L1217" s="14"/>
      <c r="M1217" s="14"/>
      <c r="N1217" s="14"/>
      <c r="O1217" s="15"/>
      <c r="P1217" s="14"/>
      <c r="Q1217" s="14"/>
      <c r="R1217" s="16"/>
      <c r="S1217" s="14"/>
      <c r="T1217" s="14"/>
      <c r="U1217" s="14"/>
      <c r="V1217" s="14">
        <v>1000</v>
      </c>
      <c r="W1217" s="14">
        <v>1200</v>
      </c>
      <c r="X1217" s="14">
        <v>2200</v>
      </c>
      <c r="Y1217" s="24" t="e">
        <f>knicks_players_all_stats[[#This Row],[REB]]/knicks_players_all_stats[[#This Row],[GP]]</f>
        <v>#DIV/0!</v>
      </c>
      <c r="Z1217" s="14"/>
      <c r="AA1217" s="14"/>
      <c r="AB1217" s="14"/>
      <c r="AC1217" s="14">
        <v>1460</v>
      </c>
      <c r="AD1217" s="14"/>
      <c r="AE1217" s="14">
        <v>360</v>
      </c>
      <c r="AF1217" s="14"/>
      <c r="AG1217" s="14"/>
      <c r="AH1217" s="14">
        <v>1920</v>
      </c>
      <c r="AI1217" s="19" t="e">
        <f>knicks_players_all_stats[[#This Row],[BLKPG]]+knicks_players_all_stats[[#This Row],[STLPG]]+knicks_players_all_stats[[#This Row],[REBPG]]</f>
        <v>#DIV/0!</v>
      </c>
      <c r="AJ1217" s="14"/>
      <c r="AK1217" s="14"/>
      <c r="AL1217" s="14"/>
      <c r="AM1217" s="14"/>
      <c r="AN1217" s="14"/>
      <c r="AO1217" s="14"/>
    </row>
    <row r="1218" spans="1:41" s="14" customFormat="1" x14ac:dyDescent="0.3">
      <c r="A1218" s="13"/>
      <c r="B1218" s="13"/>
      <c r="C1218" s="13"/>
      <c r="D1218" s="13"/>
      <c r="E1218" s="14">
        <v>370</v>
      </c>
      <c r="O1218" s="15"/>
      <c r="R1218" s="16"/>
      <c r="V1218" s="14">
        <v>1660</v>
      </c>
      <c r="W1218" s="14">
        <v>2310</v>
      </c>
      <c r="X1218" s="14">
        <v>3970</v>
      </c>
      <c r="Y1218" s="24" t="e">
        <f>knicks_players_all_stats[[#This Row],[REB]]/knicks_players_all_stats[[#This Row],[GP]]</f>
        <v>#DIV/0!</v>
      </c>
      <c r="AC1218" s="14">
        <v>400</v>
      </c>
      <c r="AE1218" s="14">
        <v>380</v>
      </c>
      <c r="AH1218" s="14">
        <v>790</v>
      </c>
      <c r="AI1218" s="19" t="e">
        <f>knicks_players_all_stats[[#This Row],[BLKPG]]+knicks_players_all_stats[[#This Row],[STLPG]]+knicks_players_all_stats[[#This Row],[REBPG]]</f>
        <v>#DIV/0!</v>
      </c>
    </row>
    <row r="1219" spans="1:41" s="14" customFormat="1" x14ac:dyDescent="0.3">
      <c r="A1219" s="13"/>
      <c r="B1219" s="13"/>
      <c r="C1219" s="13"/>
      <c r="D1219" s="13"/>
      <c r="E1219" s="14">
        <v>380</v>
      </c>
      <c r="O1219" s="15"/>
      <c r="R1219" s="16"/>
      <c r="V1219" s="14">
        <v>780</v>
      </c>
      <c r="W1219" s="14">
        <v>1050</v>
      </c>
      <c r="X1219" s="14">
        <v>1830</v>
      </c>
      <c r="Y1219" s="24" t="e">
        <f>knicks_players_all_stats[[#This Row],[REB]]/knicks_players_all_stats[[#This Row],[GP]]</f>
        <v>#DIV/0!</v>
      </c>
      <c r="AC1219" s="14">
        <v>170</v>
      </c>
      <c r="AE1219" s="14">
        <v>150</v>
      </c>
      <c r="AH1219" s="14">
        <v>380</v>
      </c>
      <c r="AI1219" s="19" t="e">
        <f>knicks_players_all_stats[[#This Row],[BLKPG]]+knicks_players_all_stats[[#This Row],[STLPG]]+knicks_players_all_stats[[#This Row],[REBPG]]</f>
        <v>#DIV/0!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4DAC-5CA7-4614-BC99-9110A1D9622A}">
  <dimension ref="B1:J1224"/>
  <sheetViews>
    <sheetView tabSelected="1" zoomScale="58" workbookViewId="0">
      <selection activeCell="G20" sqref="G20"/>
    </sheetView>
  </sheetViews>
  <sheetFormatPr baseColWidth="10" defaultRowHeight="14.4" x14ac:dyDescent="0.3"/>
  <cols>
    <col min="2" max="2" width="23" bestFit="1" customWidth="1"/>
    <col min="3" max="3" width="22" bestFit="1" customWidth="1"/>
    <col min="4" max="4" width="13.88671875" bestFit="1" customWidth="1"/>
    <col min="5" max="5" width="14.109375" bestFit="1" customWidth="1"/>
    <col min="6" max="6" width="29.5546875" bestFit="1" customWidth="1"/>
    <col min="7" max="7" width="20.109375" bestFit="1" customWidth="1"/>
    <col min="8" max="80" width="7.6640625" bestFit="1" customWidth="1"/>
  </cols>
  <sheetData>
    <row r="1" spans="2:10" ht="15.6" x14ac:dyDescent="0.3">
      <c r="G1" s="10"/>
    </row>
    <row r="3" spans="2:10" x14ac:dyDescent="0.3">
      <c r="B3" s="7" t="s">
        <v>1890</v>
      </c>
      <c r="C3" s="7"/>
      <c r="D3" s="7"/>
      <c r="E3" s="23"/>
      <c r="F3" s="7" t="s">
        <v>1888</v>
      </c>
      <c r="G3" s="7"/>
      <c r="H3" s="7"/>
      <c r="I3" s="7"/>
      <c r="J3" s="7"/>
    </row>
    <row r="5" spans="2:10" x14ac:dyDescent="0.3">
      <c r="B5" s="8" t="s">
        <v>1874</v>
      </c>
      <c r="C5" t="s">
        <v>1876</v>
      </c>
      <c r="D5" t="s">
        <v>1887</v>
      </c>
      <c r="F5" s="8" t="s">
        <v>1874</v>
      </c>
      <c r="G5" t="s">
        <v>1889</v>
      </c>
    </row>
    <row r="6" spans="2:10" x14ac:dyDescent="0.3">
      <c r="B6" s="9" t="s">
        <v>1878</v>
      </c>
      <c r="C6" s="22">
        <v>23.814814814814813</v>
      </c>
      <c r="D6" s="1">
        <v>81</v>
      </c>
      <c r="F6" s="9" t="s">
        <v>1419</v>
      </c>
      <c r="G6" s="1">
        <v>10186</v>
      </c>
    </row>
    <row r="7" spans="2:10" x14ac:dyDescent="0.3">
      <c r="B7" s="9" t="s">
        <v>1880</v>
      </c>
      <c r="C7" s="22">
        <v>23.740259740259742</v>
      </c>
      <c r="D7" s="1">
        <v>77</v>
      </c>
      <c r="F7" s="9" t="s">
        <v>1535</v>
      </c>
      <c r="G7" s="1">
        <v>6197</v>
      </c>
    </row>
    <row r="8" spans="2:10" x14ac:dyDescent="0.3">
      <c r="B8" s="9" t="s">
        <v>1881</v>
      </c>
      <c r="C8" s="22">
        <v>23.64788732394366</v>
      </c>
      <c r="D8" s="1">
        <v>71</v>
      </c>
      <c r="F8" s="9" t="s">
        <v>1463</v>
      </c>
      <c r="G8" s="1">
        <v>6032</v>
      </c>
    </row>
    <row r="9" spans="2:10" x14ac:dyDescent="0.3">
      <c r="B9" s="9" t="s">
        <v>1882</v>
      </c>
      <c r="C9" s="22">
        <v>22.558441558441558</v>
      </c>
      <c r="D9" s="1">
        <v>77</v>
      </c>
      <c r="F9" s="9" t="s">
        <v>1697</v>
      </c>
      <c r="G9" s="1">
        <v>5269</v>
      </c>
    </row>
    <row r="10" spans="2:10" x14ac:dyDescent="0.3">
      <c r="B10" s="9" t="s">
        <v>1877</v>
      </c>
      <c r="C10" s="22">
        <v>22.311688311688311</v>
      </c>
      <c r="D10" s="1">
        <v>77</v>
      </c>
      <c r="F10" s="9" t="s">
        <v>1498</v>
      </c>
      <c r="G10" s="1">
        <v>5232</v>
      </c>
    </row>
    <row r="11" spans="2:10" x14ac:dyDescent="0.3">
      <c r="B11" s="9" t="s">
        <v>1875</v>
      </c>
      <c r="C11" s="22">
        <v>116.07309174914809</v>
      </c>
      <c r="D11" s="1">
        <v>383</v>
      </c>
      <c r="F11" s="9" t="s">
        <v>1875</v>
      </c>
      <c r="G11" s="1">
        <v>32916</v>
      </c>
    </row>
    <row r="14" spans="2:10" x14ac:dyDescent="0.3">
      <c r="B14" s="7" t="s">
        <v>1891</v>
      </c>
      <c r="C14" s="7"/>
      <c r="D14" s="7"/>
    </row>
    <row r="16" spans="2:10" x14ac:dyDescent="0.3">
      <c r="B16" s="8" t="s">
        <v>1874</v>
      </c>
      <c r="C16" t="s">
        <v>1894</v>
      </c>
    </row>
    <row r="17" spans="2:4" x14ac:dyDescent="0.3">
      <c r="B17" s="9" t="s">
        <v>1879</v>
      </c>
      <c r="C17" s="22">
        <v>19</v>
      </c>
    </row>
    <row r="18" spans="2:4" x14ac:dyDescent="0.3">
      <c r="B18" s="9" t="s">
        <v>1883</v>
      </c>
      <c r="C18" s="22">
        <v>14.682539682539684</v>
      </c>
    </row>
    <row r="19" spans="2:4" x14ac:dyDescent="0.3">
      <c r="B19" s="9" t="s">
        <v>1884</v>
      </c>
      <c r="C19" s="22">
        <v>14</v>
      </c>
    </row>
    <row r="20" spans="2:4" x14ac:dyDescent="0.3">
      <c r="B20" s="9" t="s">
        <v>1885</v>
      </c>
      <c r="C20" s="22">
        <v>13.90909090909091</v>
      </c>
    </row>
    <row r="21" spans="2:4" x14ac:dyDescent="0.3">
      <c r="B21" s="9" t="s">
        <v>1878</v>
      </c>
      <c r="C21" s="22">
        <v>13.25925925925926</v>
      </c>
    </row>
    <row r="22" spans="2:4" x14ac:dyDescent="0.3">
      <c r="B22" s="9" t="s">
        <v>1875</v>
      </c>
      <c r="C22" s="22">
        <v>74.850889850889857</v>
      </c>
    </row>
    <row r="24" spans="2:4" x14ac:dyDescent="0.3">
      <c r="B24" s="25" t="s">
        <v>1895</v>
      </c>
      <c r="C24" s="25"/>
      <c r="D24" s="25"/>
    </row>
    <row r="26" spans="2:4" x14ac:dyDescent="0.3">
      <c r="B26" t="s">
        <v>1896</v>
      </c>
    </row>
    <row r="27" spans="2:4" x14ac:dyDescent="0.3">
      <c r="B27" s="1">
        <v>408</v>
      </c>
    </row>
    <row r="29" spans="2:4" x14ac:dyDescent="0.3">
      <c r="B29" s="25" t="s">
        <v>1897</v>
      </c>
      <c r="C29" s="25"/>
      <c r="D29" s="25"/>
    </row>
    <row r="31" spans="2:4" x14ac:dyDescent="0.3">
      <c r="B31" s="8" t="s">
        <v>1874</v>
      </c>
      <c r="C31" t="s">
        <v>1887</v>
      </c>
    </row>
    <row r="32" spans="2:4" x14ac:dyDescent="0.3">
      <c r="B32" s="9" t="s">
        <v>1790</v>
      </c>
      <c r="C32" s="1">
        <v>439</v>
      </c>
    </row>
    <row r="33" spans="2:3" x14ac:dyDescent="0.3">
      <c r="B33" s="9" t="s">
        <v>1419</v>
      </c>
      <c r="C33" s="1">
        <v>412</v>
      </c>
    </row>
    <row r="34" spans="2:3" x14ac:dyDescent="0.3">
      <c r="B34" s="9" t="s">
        <v>1547</v>
      </c>
      <c r="C34" s="1">
        <v>368</v>
      </c>
    </row>
    <row r="35" spans="2:3" x14ac:dyDescent="0.3">
      <c r="B35" s="9" t="s">
        <v>1301</v>
      </c>
      <c r="C35" s="1">
        <v>312</v>
      </c>
    </row>
    <row r="36" spans="2:3" x14ac:dyDescent="0.3">
      <c r="B36" s="9" t="s">
        <v>1463</v>
      </c>
      <c r="C36" s="1">
        <v>307</v>
      </c>
    </row>
    <row r="37" spans="2:3" x14ac:dyDescent="0.3">
      <c r="B37" s="9" t="s">
        <v>1875</v>
      </c>
      <c r="C37" s="1">
        <v>1838</v>
      </c>
    </row>
    <row r="1224" spans="8:9" x14ac:dyDescent="0.3">
      <c r="H1224" s="11"/>
      <c r="I1224" s="12"/>
    </row>
  </sheetData>
  <mergeCells count="5">
    <mergeCell ref="B24:D24"/>
    <mergeCell ref="B29:D29"/>
    <mergeCell ref="B3:D3"/>
    <mergeCell ref="F3:J3"/>
    <mergeCell ref="B14:D14"/>
  </mergeCells>
  <pageMargins left="0.7" right="0.7" top="0.75" bottom="0.75" header="0.3" footer="0.3"/>
  <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72B1A6-801A-476B-B7D4-84F64D9223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KNICKS_DATASET</vt:lpstr>
      <vt:lpstr>KNICKS_TABLA_BRUTO</vt:lpstr>
      <vt:lpstr>KNICKS_TABLA_LIMPIA_20_to_24</vt:lpstr>
      <vt:lpstr>TABLAS_DINÁMICAS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Víctor Sánchez Toledo</cp:lastModifiedBy>
  <dcterms:created xsi:type="dcterms:W3CDTF">2026-06-09T12:34:16Z</dcterms:created>
  <dcterms:modified xsi:type="dcterms:W3CDTF">2026-06-09T13:44:48Z</dcterms:modified>
</cp:coreProperties>
</file>